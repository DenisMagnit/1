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dTech 2026" sheetId="1" state="visible" r:id="rId1"/>
    <sheet xmlns:r="http://schemas.openxmlformats.org/officeDocument/2006/relationships" name="AdTech Октябрь" sheetId="2" state="visible" r:id="rId2"/>
    <sheet xmlns:r="http://schemas.openxmlformats.org/officeDocument/2006/relationships" name="AdTech Сентябрь" sheetId="3" state="visible" r:id="rId3"/>
    <sheet xmlns:r="http://schemas.openxmlformats.org/officeDocument/2006/relationships" name="CTRL Октябрь" sheetId="4" state="visible" r:id="rId4"/>
    <sheet xmlns:r="http://schemas.openxmlformats.org/officeDocument/2006/relationships" name="CTRL Сентябрь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-#,##0.0;-"/>
    <numFmt numFmtId="165" formatCode="0.0%;-0.0%;-"/>
  </numFmts>
  <fonts count="6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1" fillId="3" borderId="1" pivotButton="0" quotePrefix="0" xfId="0"/>
    <xf numFmtId="164" fontId="1" fillId="0" borderId="1" pivotButton="0" quotePrefix="0" xfId="0"/>
    <xf numFmtId="165" fontId="1" fillId="0" borderId="1" pivotButton="0" quotePrefix="0" xfId="0"/>
    <xf numFmtId="0" fontId="0" fillId="0" borderId="1" pivotButton="0" quotePrefix="0" xfId="0"/>
    <xf numFmtId="164" fontId="2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0" borderId="0" pivotButton="0" quotePrefix="0" xfId="0"/>
    <xf numFmtId="164" fontId="2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0" fontId="5" fillId="0" borderId="0" pivotButton="0" quotePrefix="0" xfId="0"/>
    <xf numFmtId="165" fontId="5" fillId="3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</cols>
  <sheetData>
    <row r="1">
      <c r="B1" s="1" t="inlineStr">
        <is>
          <t>Сентябрь</t>
        </is>
      </c>
      <c r="H1" s="1" t="inlineStr">
        <is>
          <t>Октябрь</t>
        </is>
      </c>
      <c r="N1" s="1" t="inlineStr">
        <is>
          <t>Итого</t>
        </is>
      </c>
    </row>
    <row r="2">
      <c r="B2" s="2" t="inlineStr">
        <is>
          <t>ACT 2026</t>
        </is>
      </c>
      <c r="D2" s="2" t="inlineStr">
        <is>
          <t>CTRL 2026</t>
        </is>
      </c>
      <c r="F2" s="2" t="inlineStr">
        <is>
          <t>ACT VS CTRL</t>
        </is>
      </c>
      <c r="H2" s="2" t="inlineStr">
        <is>
          <t>ACT 2026</t>
        </is>
      </c>
      <c r="J2" s="2" t="inlineStr">
        <is>
          <t>CTRL 2026</t>
        </is>
      </c>
      <c r="L2" s="2" t="inlineStr">
        <is>
          <t>ACT VS CTRL</t>
        </is>
      </c>
      <c r="N2" s="2" t="inlineStr">
        <is>
          <t>ACT 2026</t>
        </is>
      </c>
      <c r="P2" s="2" t="inlineStr">
        <is>
          <t>CTRL 2026</t>
        </is>
      </c>
      <c r="R2" s="2" t="inlineStr">
        <is>
          <t>ACT VS CTRL</t>
        </is>
      </c>
    </row>
    <row r="3">
      <c r="B3" s="2" t="inlineStr">
        <is>
          <t>ABS</t>
        </is>
      </c>
      <c r="C3" s="2" t="inlineStr">
        <is>
          <t>% GR</t>
        </is>
      </c>
      <c r="D3" s="2" t="inlineStr">
        <is>
          <t>ABS</t>
        </is>
      </c>
      <c r="E3" s="2" t="inlineStr">
        <is>
          <t>% GR</t>
        </is>
      </c>
      <c r="F3" s="2" t="inlineStr">
        <is>
          <t>ABS</t>
        </is>
      </c>
      <c r="G3" s="2" t="inlineStr">
        <is>
          <t>% GR</t>
        </is>
      </c>
      <c r="H3" s="2" t="inlineStr">
        <is>
          <t>ABS</t>
        </is>
      </c>
      <c r="I3" s="2" t="inlineStr">
        <is>
          <t>% GR</t>
        </is>
      </c>
      <c r="J3" s="2" t="inlineStr">
        <is>
          <t>ABS</t>
        </is>
      </c>
      <c r="K3" s="2" t="inlineStr">
        <is>
          <t>% GR</t>
        </is>
      </c>
      <c r="L3" s="2" t="inlineStr">
        <is>
          <t>ABS</t>
        </is>
      </c>
      <c r="M3" s="2" t="inlineStr">
        <is>
          <t>% GR</t>
        </is>
      </c>
      <c r="N3" s="2" t="inlineStr">
        <is>
          <t>ABS</t>
        </is>
      </c>
      <c r="O3" s="2" t="inlineStr">
        <is>
          <t>% GR</t>
        </is>
      </c>
      <c r="P3" s="2" t="inlineStr">
        <is>
          <t>ABS</t>
        </is>
      </c>
      <c r="Q3" s="2" t="inlineStr">
        <is>
          <t>% GR</t>
        </is>
      </c>
      <c r="R3" s="2" t="inlineStr">
        <is>
          <t>ABS</t>
        </is>
      </c>
      <c r="S3" s="2" t="inlineStr">
        <is>
          <t>% GR</t>
        </is>
      </c>
    </row>
    <row r="4">
      <c r="A4" s="3" t="inlineStr">
        <is>
          <t>Gross Revenue</t>
        </is>
      </c>
      <c r="B4" s="4">
        <f>IF('AdTech Сентябрь'!C5="","",'AdTech Сентябрь'!C5)</f>
        <v>1183.19316307631</v>
      </c>
      <c r="C4" s="5">
        <f>IF(OR(B4="",B$4="",B$4=0),"",B4/B$4)</f>
        <v>1</v>
      </c>
      <c r="D4" s="4">
        <f>IF('AdTech Сентябрь'!E5="","",'AdTech Сентябрь'!E5)</f>
        <v>1126.20049337253</v>
      </c>
      <c r="E4" s="5">
        <f>IF(OR(D4="",D$4="",D$4=0),"",D4/D$4)</f>
        <v>1</v>
      </c>
      <c r="F4" s="4">
        <f>IF(OR(B4="",D4=""),"",B4-D4)</f>
        <v>56.9926697037822</v>
      </c>
      <c r="G4" s="5">
        <f>IF(OR(C4="",E4=""),"",C4-E4)</f>
        <v>0</v>
      </c>
      <c r="H4" s="4" t="str">
        <f>IF('AdTech Октябрь'!C5="","",'AdTech Октябрь'!C5)</f>
        <v/>
      </c>
      <c r="I4" s="5" t="str">
        <f>IF(OR(H4="",H$4="",H$4=0),"",H4/H$4)</f>
        <v/>
      </c>
      <c r="J4" s="4">
        <f>IF('AdTech Октябрь'!E5="","",'AdTech Октябрь'!E5)</f>
        <v>971.690946041999</v>
      </c>
      <c r="K4" s="5">
        <f>IF(OR(J4="",J$4="",J$4=0),"",J4/J$4)</f>
        <v>1</v>
      </c>
      <c r="L4" s="4" t="str">
        <f>IF(OR(H4="",J4=""),"",H4-J4)</f>
        <v/>
      </c>
      <c r="M4" s="5" t="str">
        <f>IF(OR(I4="",K4=""),"",I4-K4)</f>
        <v/>
      </c>
      <c r="N4" s="4">
        <f>N(B4)+N(H4)</f>
        <v>1183.19316307631</v>
      </c>
      <c r="O4" s="5">
        <f>IF(OR(N4="",N$4="",N$4=0),"",N4/N$4)</f>
        <v>1</v>
      </c>
      <c r="P4" s="4">
        <f>IF(B4="",0,D4)+IF(H4="",0,J4)</f>
        <v>1126.20049337253</v>
      </c>
      <c r="Q4" s="5">
        <f>IF(OR(P4="",P$4="",P$4=0),"",P4/P$4)</f>
        <v>1</v>
      </c>
      <c r="R4" s="4">
        <f>IF(OR(N4="",P4=""),"",N4-P4)</f>
        <v>56.9926697037822</v>
      </c>
      <c r="S4" s="5">
        <f>IF(OR(O4="",Q4=""),"",O4-Q4)</f>
        <v>0</v>
      </c>
    </row>
    <row r="5">
      <c r="A5" s="3" t="inlineStr">
        <is>
          <t>APP</t>
        </is>
      </c>
      <c r="B5" s="6">
        <f>IF('AdTech Сентябрь'!C6="","",'AdTech Сентябрь'!C6)</f>
        <v>457.989994883026</v>
      </c>
      <c r="C5" s="7">
        <f>IF(OR(B5="",B$4="",B$4=0),"",B5/B$4)</f>
        <v>0.387079649524215</v>
      </c>
      <c r="D5" s="6">
        <f>IF('AdTech Сентябрь'!E6="","",'AdTech Сентябрь'!E6)</f>
        <v>765.326605574604</v>
      </c>
      <c r="E5" s="7">
        <f>IF(OR(D5="",D$4="",D$4=0),"",D5/D$4)</f>
        <v>0.679565148548951</v>
      </c>
      <c r="F5" s="6">
        <f>IF(OR(B5="",D5=""),"",B5-D5)</f>
        <v>-307.336610691578</v>
      </c>
      <c r="G5" s="7">
        <f>IF(OR(C5="",E5=""),"",C5-E5)</f>
        <v>-0.292485499024736</v>
      </c>
      <c r="H5" s="6" t="str">
        <f>IF('AdTech Октябрь'!C6="","",'AdTech Октябрь'!C6)</f>
        <v/>
      </c>
      <c r="I5" s="7" t="str">
        <f>IF(OR(H5="",H$4="",H$4=0),"",H5/H$4)</f>
        <v/>
      </c>
      <c r="J5" s="6">
        <f>IF('AdTech Октябрь'!E6="","",'AdTech Октябрь'!E6)</f>
        <v>560.927053331784</v>
      </c>
      <c r="K5" s="7">
        <f>IF(OR(J5="",J$4="",J$4=0),"",J5/J$4)</f>
        <v>0.577268992385506</v>
      </c>
      <c r="L5" s="6" t="str">
        <f>IF(OR(H5="",J5=""),"",H5-J5)</f>
        <v/>
      </c>
      <c r="M5" s="7" t="str">
        <f>IF(OR(I5="",K5=""),"",I5-K5)</f>
        <v/>
      </c>
      <c r="N5" s="6">
        <f>N(B5)+N(H5)</f>
        <v>457.989994883026</v>
      </c>
      <c r="O5" s="7">
        <f>IF(OR(N5="",N$4="",N$4=0),"",N5/N$4)</f>
        <v>0.387079649524215</v>
      </c>
      <c r="P5" s="6">
        <f>IF(B5="",0,D5)+IF(H5="",0,J5)</f>
        <v>765.326605574604</v>
      </c>
      <c r="Q5" s="7">
        <f>IF(OR(P5="",P$4="",P$4=0),"",P5/P$4)</f>
        <v>0.679565148548951</v>
      </c>
      <c r="R5" s="6">
        <f>IF(OR(N5="",P5=""),"",N5-P5)</f>
        <v>-307.336610691578</v>
      </c>
      <c r="S5" s="7">
        <f>IF(OR(O5="",Q5=""),"",O5-Q5)</f>
        <v>-0.292485499024736</v>
      </c>
    </row>
    <row r="6">
      <c r="A6" s="3" t="inlineStr">
        <is>
          <t>MIP</t>
        </is>
      </c>
      <c r="B6" s="6">
        <f>IF('AdTech Сентябрь'!C7="","",'AdTech Сентябрь'!C7)</f>
        <v>0</v>
      </c>
      <c r="C6" s="7">
        <f>IF(OR(B6="",B$4="",B$4=0),"",B6/B$4)</f>
        <v>0</v>
      </c>
      <c r="D6" s="6">
        <f>IF('AdTech Сентябрь'!E7="","",'AdTech Сентябрь'!E7)</f>
        <v>0.841669402561448</v>
      </c>
      <c r="E6" s="7">
        <f>IF(OR(D6="",D$4="",D$4=0),"",D6/D$4)</f>
        <v>0.000747353075686354</v>
      </c>
      <c r="F6" s="6">
        <f>IF(OR(B6="",D6=""),"",B6-D6)</f>
        <v>-0.841669402561448</v>
      </c>
      <c r="G6" s="7">
        <f>IF(OR(C6="",E6=""),"",C6-E6)</f>
        <v>-0.000747353075686354</v>
      </c>
      <c r="H6" s="6" t="str">
        <f>IF('AdTech Октябрь'!C7="","",'AdTech Октябрь'!C7)</f>
        <v/>
      </c>
      <c r="I6" s="7" t="str">
        <f>IF(OR(H6="",H$4="",H$4=0),"",H6/H$4)</f>
        <v/>
      </c>
      <c r="J6" s="6">
        <f>IF('AdTech Октябрь'!E7="","",'AdTech Октябрь'!E7)</f>
        <v>0.816164269150495</v>
      </c>
      <c r="K6" s="7">
        <f>IF(OR(J6="",J$4="",J$4=0),"",J6/J$4)</f>
        <v>0.000839942239325155</v>
      </c>
      <c r="L6" s="6" t="str">
        <f>IF(OR(H6="",J6=""),"",H6-J6)</f>
        <v/>
      </c>
      <c r="M6" s="7" t="str">
        <f>IF(OR(I6="",K6=""),"",I6-K6)</f>
        <v/>
      </c>
      <c r="N6" s="6">
        <f>N(B6)+N(H6)</f>
        <v>0</v>
      </c>
      <c r="O6" s="7">
        <f>IF(OR(N6="",N$4="",N$4=0),"",N6/N$4)</f>
        <v>0</v>
      </c>
      <c r="P6" s="6">
        <f>IF(B6="",0,D6)+IF(H6="",0,J6)</f>
        <v>0.841669402561448</v>
      </c>
      <c r="Q6" s="7">
        <f>IF(OR(P6="",P$4="",P$4=0),"",P6/P$4)</f>
        <v>0.000747353075686354</v>
      </c>
      <c r="R6" s="6">
        <f>IF(OR(N6="",P6=""),"",N6-P6)</f>
        <v>-0.841669402561448</v>
      </c>
      <c r="S6" s="7">
        <f>IF(OR(O6="",Q6=""),"",O6-Q6)</f>
        <v>-0.000747353075686354</v>
      </c>
    </row>
    <row r="7">
      <c r="A7" s="3" t="inlineStr">
        <is>
          <t>Magnit Market</t>
        </is>
      </c>
      <c r="B7" s="6">
        <f>IF('AdTech Сентябрь'!C8="","",'AdTech Сентябрь'!C8)</f>
        <v>0</v>
      </c>
      <c r="C7" s="7">
        <f>IF(OR(B7="",B$4="",B$4=0),"",B7/B$4)</f>
        <v>0</v>
      </c>
      <c r="D7" s="6">
        <f>IF('AdTech Сентябрь'!E8="","",'AdTech Сентябрь'!E8)</f>
        <v>0.4634102</v>
      </c>
      <c r="E7" s="7">
        <f>IF(OR(D7="",D$4="",D$4=0),"",D7/D$4)</f>
        <v>0.000411481084164924</v>
      </c>
      <c r="F7" s="6">
        <f>IF(OR(B7="",D7=""),"",B7-D7)</f>
        <v>-0.4634102</v>
      </c>
      <c r="G7" s="7">
        <f>IF(OR(C7="",E7=""),"",C7-E7)</f>
        <v>-0.000411481084164924</v>
      </c>
      <c r="H7" s="6" t="str">
        <f>IF('AdTech Октябрь'!C8="","",'AdTech Октябрь'!C8)</f>
        <v/>
      </c>
      <c r="I7" s="7" t="str">
        <f>IF(OR(H7="",H$4="",H$4=0),"",H7/H$4)</f>
        <v/>
      </c>
      <c r="J7" s="6">
        <f>IF('AdTech Октябрь'!E8="","",'AdTech Октябрь'!E8)</f>
        <v>0.449367466666667</v>
      </c>
      <c r="K7" s="7">
        <f>IF(OR(J7="",J$4="",J$4=0),"",J7/J$4)</f>
        <v>0.000462459250543685</v>
      </c>
      <c r="L7" s="6" t="str">
        <f>IF(OR(H7="",J7=""),"",H7-J7)</f>
        <v/>
      </c>
      <c r="M7" s="7" t="str">
        <f>IF(OR(I7="",K7=""),"",I7-K7)</f>
        <v/>
      </c>
      <c r="N7" s="6">
        <f>N(B7)+N(H7)</f>
        <v>0</v>
      </c>
      <c r="O7" s="7">
        <f>IF(OR(N7="",N$4="",N$4=0),"",N7/N$4)</f>
        <v>0</v>
      </c>
      <c r="P7" s="6">
        <f>IF(B7="",0,D7)+IF(H7="",0,J7)</f>
        <v>0.4634102</v>
      </c>
      <c r="Q7" s="7">
        <f>IF(OR(P7="",P$4="",P$4=0),"",P7/P$4)</f>
        <v>0.000411481084164924</v>
      </c>
      <c r="R7" s="6">
        <f>IF(OR(N7="",P7=""),"",N7-P7)</f>
        <v>-0.4634102</v>
      </c>
      <c r="S7" s="7">
        <f>IF(OR(O7="",Q7=""),"",O7-Q7)</f>
        <v>-0.000411481084164924</v>
      </c>
    </row>
    <row r="8">
      <c r="A8" s="3" t="inlineStr">
        <is>
          <t>DMP+ Analitycs</t>
        </is>
      </c>
      <c r="B8" s="6">
        <f>IF('AdTech Сентябрь'!C9="","",'AdTech Сентябрь'!C9)</f>
        <v>2.432515413</v>
      </c>
      <c r="C8" s="7">
        <f>IF(OR(B8="",B$4="",B$4=0),"",B8/B$4)</f>
        <v>0.00205589035578556</v>
      </c>
      <c r="D8" s="6">
        <f>IF('AdTech Сентябрь'!E9="","",'AdTech Сентябрь'!E9)</f>
        <v>4.86196879187658</v>
      </c>
      <c r="E8" s="7">
        <f>IF(OR(D8="",D$4="",D$4=0),"",D8/D$4)</f>
        <v>0.00431714319118871</v>
      </c>
      <c r="F8" s="6">
        <f>IF(OR(B8="",D8=""),"",B8-D8)</f>
        <v>-2.42945337887658</v>
      </c>
      <c r="G8" s="7">
        <f>IF(OR(C8="",E8=""),"",C8-E8)</f>
        <v>-0.00226125283540315</v>
      </c>
      <c r="H8" s="6" t="str">
        <f>IF('AdTech Октябрь'!C9="","",'AdTech Октябрь'!C9)</f>
        <v/>
      </c>
      <c r="I8" s="7" t="str">
        <f>IF(OR(H8="",H$4="",H$4=0),"",H8/H$4)</f>
        <v/>
      </c>
      <c r="J8" s="6">
        <f>IF('AdTech Октябрь'!E9="","",'AdTech Октябрь'!E9)</f>
        <v>5.00948675733486</v>
      </c>
      <c r="K8" s="7">
        <f>IF(OR(J8="",J$4="",J$4=0),"",J8/J$4)</f>
        <v>0.00515543216466107</v>
      </c>
      <c r="L8" s="6" t="str">
        <f>IF(OR(H8="",J8=""),"",H8-J8)</f>
        <v/>
      </c>
      <c r="M8" s="7" t="str">
        <f>IF(OR(I8="",K8=""),"",I8-K8)</f>
        <v/>
      </c>
      <c r="N8" s="6">
        <f>N(B8)+N(H8)</f>
        <v>2.432515413</v>
      </c>
      <c r="O8" s="7">
        <f>IF(OR(N8="",N$4="",N$4=0),"",N8/N$4)</f>
        <v>0.00205589035578556</v>
      </c>
      <c r="P8" s="6">
        <f>IF(B8="",0,D8)+IF(H8="",0,J8)</f>
        <v>4.86196879187658</v>
      </c>
      <c r="Q8" s="7">
        <f>IF(OR(P8="",P$4="",P$4=0),"",P8/P$4)</f>
        <v>0.00431714319118871</v>
      </c>
      <c r="R8" s="6">
        <f>IF(OR(N8="",P8=""),"",N8-P8)</f>
        <v>-2.42945337887658</v>
      </c>
      <c r="S8" s="7">
        <f>IF(OR(O8="",Q8=""),"",O8-Q8)</f>
        <v>-0.00226125283540315</v>
      </c>
    </row>
    <row r="9">
      <c r="A9" s="3" t="inlineStr">
        <is>
          <t>DMP+Online</t>
        </is>
      </c>
      <c r="B9" s="6">
        <f>IF('AdTech Сентябрь'!C10="","",'AdTech Сентябрь'!C10)</f>
        <v>201.669700888808</v>
      </c>
      <c r="C9" s="7">
        <f>IF(OR(B9="",B$4="",B$4=0),"",B9/B$4)</f>
        <v>0.170445289224344</v>
      </c>
      <c r="D9" s="6">
        <f>IF('AdTech Сентябрь'!E10="","",'AdTech Сентябрь'!E10)</f>
        <v>69.4795829801901</v>
      </c>
      <c r="E9" s="7">
        <f>IF(OR(D9="",D$4="",D$4=0),"",D9/D$4)</f>
        <v>0.0616937955444559</v>
      </c>
      <c r="F9" s="6">
        <f>IF(OR(B9="",D9=""),"",B9-D9)</f>
        <v>132.190117908618</v>
      </c>
      <c r="G9" s="7">
        <f>IF(OR(C9="",E9=""),"",C9-E9)</f>
        <v>0.108751493679888</v>
      </c>
      <c r="H9" s="6" t="str">
        <f>IF('AdTech Октябрь'!C10="","",'AdTech Октябрь'!C10)</f>
        <v/>
      </c>
      <c r="I9" s="7" t="str">
        <f>IF(OR(H9="",H$4="",H$4=0),"",H9/H$4)</f>
        <v/>
      </c>
      <c r="J9" s="6">
        <f>IF('AdTech Октябрь'!E10="","",'AdTech Октябрь'!E10)</f>
        <v>91.8189533006459</v>
      </c>
      <c r="K9" s="7">
        <f>IF(OR(J9="",J$4="",J$4=0),"",J9/J$4)</f>
        <v>0.0944939887262028</v>
      </c>
      <c r="L9" s="6" t="str">
        <f>IF(OR(H9="",J9=""),"",H9-J9)</f>
        <v/>
      </c>
      <c r="M9" s="7" t="str">
        <f>IF(OR(I9="",K9=""),"",I9-K9)</f>
        <v/>
      </c>
      <c r="N9" s="6">
        <f>N(B9)+N(H9)</f>
        <v>201.669700888808</v>
      </c>
      <c r="O9" s="7">
        <f>IF(OR(N9="",N$4="",N$4=0),"",N9/N$4)</f>
        <v>0.170445289224344</v>
      </c>
      <c r="P9" s="6">
        <f>IF(B9="",0,D9)+IF(H9="",0,J9)</f>
        <v>69.4795829801901</v>
      </c>
      <c r="Q9" s="7">
        <f>IF(OR(P9="",P$4="",P$4=0),"",P9/P$4)</f>
        <v>0.0616937955444559</v>
      </c>
      <c r="R9" s="6">
        <f>IF(OR(N9="",P9=""),"",N9-P9)</f>
        <v>132.190117908618</v>
      </c>
      <c r="S9" s="7">
        <f>IF(OR(O9="",Q9=""),"",O9-Q9)</f>
        <v>0.108751493679888</v>
      </c>
    </row>
    <row r="10">
      <c r="A10" s="3" t="inlineStr">
        <is>
          <t>Instore digital</t>
        </is>
      </c>
      <c r="B10" s="6">
        <f>IF('AdTech Сентябрь'!C11="","",'AdTech Сентябрь'!C11)</f>
        <v>421.805564119309</v>
      </c>
      <c r="C10" s="7">
        <f>IF(OR(B10="",B$4="",B$4=0),"",B10/B$4)</f>
        <v>0.356497634775552</v>
      </c>
      <c r="D10" s="6">
        <f>IF('AdTech Сентябрь'!E11="","",'AdTech Сентябрь'!E11)</f>
        <v>161.377206429419</v>
      </c>
      <c r="E10" s="7">
        <f>IF(OR(D10="",D$4="",D$4=0),"",D10/D$4)</f>
        <v>0.143293496476953</v>
      </c>
      <c r="F10" s="6">
        <f>IF(OR(B10="",D10=""),"",B10-D10)</f>
        <v>260.428357689891</v>
      </c>
      <c r="G10" s="7">
        <f>IF(OR(C10="",E10=""),"",C10-E10)</f>
        <v>0.2132041382986</v>
      </c>
      <c r="H10" s="6" t="str">
        <f>IF('AdTech Октябрь'!C11="","",'AdTech Октябрь'!C11)</f>
        <v/>
      </c>
      <c r="I10" s="7" t="str">
        <f>IF(OR(H10="",H$4="",H$4=0),"",H10/H$4)</f>
        <v/>
      </c>
      <c r="J10" s="6">
        <f>IF('AdTech Октябрь'!E11="","",'AdTech Октябрь'!E11)</f>
        <v>262.907784367151</v>
      </c>
      <c r="K10" s="7">
        <f>IF(OR(J10="",J$4="",J$4=0),"",J10/J$4)</f>
        <v>0.270567288331806</v>
      </c>
      <c r="L10" s="6" t="str">
        <f>IF(OR(H10="",J10=""),"",H10-J10)</f>
        <v/>
      </c>
      <c r="M10" s="7" t="str">
        <f>IF(OR(I10="",K10=""),"",I10-K10)</f>
        <v/>
      </c>
      <c r="N10" s="6">
        <f>N(B10)+N(H10)</f>
        <v>421.805564119309</v>
      </c>
      <c r="O10" s="7">
        <f>IF(OR(N10="",N$4="",N$4=0),"",N10/N$4)</f>
        <v>0.356497634775552</v>
      </c>
      <c r="P10" s="6">
        <f>IF(B10="",0,D10)+IF(H10="",0,J10)</f>
        <v>161.377206429419</v>
      </c>
      <c r="Q10" s="7">
        <f>IF(OR(P10="",P$4="",P$4=0),"",P10/P$4)</f>
        <v>0.143293496476953</v>
      </c>
      <c r="R10" s="6">
        <f>IF(OR(N10="",P10=""),"",N10-P10)</f>
        <v>260.428357689891</v>
      </c>
      <c r="S10" s="7">
        <f>IF(OR(O10="",Q10=""),"",O10-Q10)</f>
        <v>0.2132041382986</v>
      </c>
    </row>
    <row r="11">
      <c r="A11" s="3" t="inlineStr">
        <is>
          <t>Instore digital_2.0</t>
        </is>
      </c>
      <c r="B11" s="6">
        <f>IF('AdTech Сентябрь'!C12="","",'AdTech Сентябрь'!C12)</f>
        <v>0</v>
      </c>
      <c r="C11" s="7">
        <f>IF(OR(B11="",B$4="",B$4=0),"",B11/B$4)</f>
        <v>0</v>
      </c>
      <c r="D11" s="6">
        <f>IF('AdTech Сентябрь'!E12="","",'AdTech Сентябрь'!E12)</f>
        <v>121.332202786227</v>
      </c>
      <c r="E11" s="7">
        <f>IF(OR(D11="",D$4="",D$4=0),"",D11/D$4)</f>
        <v>0.107735881399665</v>
      </c>
      <c r="F11" s="6">
        <f>IF(OR(B11="",D11=""),"",B11-D11)</f>
        <v>-121.332202786227</v>
      </c>
      <c r="G11" s="7">
        <f>IF(OR(C11="",E11=""),"",C11-E11)</f>
        <v>-0.107735881399665</v>
      </c>
      <c r="H11" s="6" t="str">
        <f>IF('AdTech Октябрь'!C12="","",'AdTech Октябрь'!C12)</f>
        <v/>
      </c>
      <c r="I11" s="7" t="str">
        <f>IF(OR(H11="",H$4="",H$4=0),"",H11/H$4)</f>
        <v/>
      </c>
      <c r="J11" s="6">
        <f>IF('AdTech Октябрь'!E12="","",'AdTech Октябрь'!E12)</f>
        <v>47.0922156328493</v>
      </c>
      <c r="K11" s="7">
        <f>IF(OR(J11="",J$4="",J$4=0),"",J11/J$4)</f>
        <v>0.0484641910317994</v>
      </c>
      <c r="L11" s="6" t="str">
        <f>IF(OR(H11="",J11=""),"",H11-J11)</f>
        <v/>
      </c>
      <c r="M11" s="7" t="str">
        <f>IF(OR(I11="",K11=""),"",I11-K11)</f>
        <v/>
      </c>
      <c r="N11" s="6">
        <f>N(B11)+N(H11)</f>
        <v>0</v>
      </c>
      <c r="O11" s="7">
        <f>IF(OR(N11="",N$4="",N$4=0),"",N11/N$4)</f>
        <v>0</v>
      </c>
      <c r="P11" s="6">
        <f>IF(B11="",0,D11)+IF(H11="",0,J11)</f>
        <v>121.332202786227</v>
      </c>
      <c r="Q11" s="7">
        <f>IF(OR(P11="",P$4="",P$4=0),"",P11/P$4)</f>
        <v>0.107735881399665</v>
      </c>
      <c r="R11" s="6">
        <f>IF(OR(N11="",P11=""),"",N11-P11)</f>
        <v>-121.332202786227</v>
      </c>
      <c r="S11" s="7">
        <f>IF(OR(O11="",Q11=""),"",O11-Q11)</f>
        <v>-0.107735881399665</v>
      </c>
    </row>
    <row r="12">
      <c r="A12" s="3" t="inlineStr">
        <is>
          <t>POSM</t>
        </is>
      </c>
      <c r="B12" s="6">
        <f>IF('AdTech Сентябрь'!C13="","",'AdTech Сентябрь'!C13)</f>
        <v>0.4562211263</v>
      </c>
      <c r="C12" s="7">
        <f>IF(OR(B12="",B$4="",B$4=0),"",B12/B$4)</f>
        <v>0.00038558465391553</v>
      </c>
      <c r="D12" s="6">
        <f>IF('AdTech Сентябрь'!E13="","",'AdTech Сентябрь'!E13)</f>
        <v>2.51784720765027</v>
      </c>
      <c r="E12" s="7">
        <f>IF(OR(D12="",D$4="",D$4=0),"",D12/D$4)</f>
        <v>0.00223570067893533</v>
      </c>
      <c r="F12" s="6">
        <f>IF(OR(B12="",D12=""),"",B12-D12)</f>
        <v>-2.06162608135027</v>
      </c>
      <c r="G12" s="7">
        <f>IF(OR(C12="",E12=""),"",C12-E12)</f>
        <v>-0.0018501160250198</v>
      </c>
      <c r="H12" s="6" t="str">
        <f>IF('AdTech Октябрь'!C13="","",'AdTech Октябрь'!C13)</f>
        <v/>
      </c>
      <c r="I12" s="7" t="str">
        <f>IF(OR(H12="",H$4="",H$4=0),"",H12/H$4)</f>
        <v/>
      </c>
      <c r="J12" s="6">
        <f>IF('AdTech Октябрь'!E13="","",'AdTech Октябрь'!E13)</f>
        <v>2.66992091641693</v>
      </c>
      <c r="K12" s="7">
        <f>IF(OR(J12="",J$4="",J$4=0),"",J12/J$4)</f>
        <v>0.00274770587015589</v>
      </c>
      <c r="L12" s="6" t="str">
        <f>IF(OR(H12="",J12=""),"",H12-J12)</f>
        <v/>
      </c>
      <c r="M12" s="7" t="str">
        <f>IF(OR(I12="",K12=""),"",I12-K12)</f>
        <v/>
      </c>
      <c r="N12" s="6">
        <f>N(B12)+N(H12)</f>
        <v>0.4562211263</v>
      </c>
      <c r="O12" s="7">
        <f>IF(OR(N12="",N$4="",N$4=0),"",N12/N$4)</f>
        <v>0.00038558465391553</v>
      </c>
      <c r="P12" s="6">
        <f>IF(B12="",0,D12)+IF(H12="",0,J12)</f>
        <v>2.51784720765027</v>
      </c>
      <c r="Q12" s="7">
        <f>IF(OR(P12="",P$4="",P$4=0),"",P12/P$4)</f>
        <v>0.00223570067893533</v>
      </c>
      <c r="R12" s="6">
        <f>IF(OR(N12="",P12=""),"",N12-P12)</f>
        <v>-2.06162608135027</v>
      </c>
      <c r="S12" s="7">
        <f>IF(OR(O12="",Q12=""),"",O12-Q12)</f>
        <v>-0.0018501160250198</v>
      </c>
    </row>
    <row r="13">
      <c r="A13" s="3" t="inlineStr">
        <is>
          <t>Other</t>
        </is>
      </c>
      <c r="B13" s="6">
        <f>IF('AdTech Сентябрь'!C14="","",'AdTech Сентябрь'!C14)</f>
        <v>94.8117974986673</v>
      </c>
      <c r="C13" s="7">
        <f>IF(OR(B13="",B$4="",B$4=0),"",B13/B$4)</f>
        <v>0.0801321377247955</v>
      </c>
      <c r="D13" s="6">
        <f>IF('AdTech Сентябрь'!E14="","",'AdTech Сентябрь'!E14)</f>
        <v>0</v>
      </c>
      <c r="E13" s="7">
        <f>IF(OR(D13="",D$4="",D$4=0),"",D13/D$4)</f>
        <v>0</v>
      </c>
      <c r="F13" s="6">
        <f>IF(OR(B13="",D13=""),"",B13-D13)</f>
        <v>94.8117974986673</v>
      </c>
      <c r="G13" s="7">
        <f>IF(OR(C13="",E13=""),"",C13-E13)</f>
        <v>0.0801321377247955</v>
      </c>
      <c r="H13" s="6" t="str">
        <f>IF('AdTech Октябрь'!C14="","",'AdTech Октябрь'!C14)</f>
        <v/>
      </c>
      <c r="I13" s="7" t="str">
        <f>IF(OR(H13="",H$4="",H$4=0),"",H13/H$4)</f>
        <v/>
      </c>
      <c r="J13" s="6">
        <f>IF('AdTech Октябрь'!E14="","",'AdTech Октябрь'!E14)</f>
        <v>0</v>
      </c>
      <c r="K13" s="7">
        <f>IF(OR(J13="",J$4="",J$4=0),"",J13/J$4)</f>
        <v>0</v>
      </c>
      <c r="L13" s="6" t="str">
        <f>IF(OR(H13="",J13=""),"",H13-J13)</f>
        <v/>
      </c>
      <c r="M13" s="7" t="str">
        <f>IF(OR(I13="",K13=""),"",I13-K13)</f>
        <v/>
      </c>
      <c r="N13" s="6">
        <f>N(B13)+N(H13)</f>
        <v>94.8117974986673</v>
      </c>
      <c r="O13" s="7">
        <f>IF(OR(N13="",N$4="",N$4=0),"",N13/N$4)</f>
        <v>0.0801321377247955</v>
      </c>
      <c r="P13" s="6">
        <f>IF(B13="",0,D13)+IF(H13="",0,J13)</f>
        <v>0</v>
      </c>
      <c r="Q13" s="7">
        <f>IF(OR(P13="",P$4="",P$4=0),"",P13/P$4)</f>
        <v>0</v>
      </c>
      <c r="R13" s="6">
        <f>IF(OR(N13="",P13=""),"",N13-P13)</f>
        <v>94.8117974986673</v>
      </c>
      <c r="S13" s="7">
        <f>IF(OR(O13="",Q13=""),"",O13-Q13)</f>
        <v>0.0801321377247955</v>
      </c>
    </row>
    <row r="14">
      <c r="A14" s="3" t="inlineStr">
        <is>
          <t>Кроссформатные пакеты</t>
        </is>
      </c>
      <c r="B14" s="6">
        <f>IF('AdTech Сентябрь'!C15="","",'AdTech Сентябрь'!C15)</f>
        <v>4.0273691471999</v>
      </c>
      <c r="C14" s="7">
        <f>IF(OR(B14="",B$4="",B$4=0),"",B14/B$4)</f>
        <v>0.00340381374139173</v>
      </c>
      <c r="D14" s="6">
        <f>IF('AdTech Сентябрь'!E15="","",'AdTech Сентябрь'!E15)</f>
        <v>0</v>
      </c>
      <c r="E14" s="7">
        <f>IF(OR(D14="",D$4="",D$4=0),"",D14/D$4)</f>
        <v>0</v>
      </c>
      <c r="F14" s="6">
        <f>IF(OR(B14="",D14=""),"",B14-D14)</f>
        <v>4.0273691471999</v>
      </c>
      <c r="G14" s="7">
        <f>IF(OR(C14="",E14=""),"",C14-E14)</f>
        <v>0.00340381374139173</v>
      </c>
      <c r="H14" s="6" t="str">
        <f>IF('AdTech Октябрь'!C15="","",'AdTech Октябрь'!C15)</f>
        <v/>
      </c>
      <c r="I14" s="7" t="str">
        <f>IF(OR(H14="",H$4="",H$4=0),"",H14/H$4)</f>
        <v/>
      </c>
      <c r="J14" s="6">
        <f>IF('AdTech Октябрь'!E15="","",'AdTech Октябрь'!E15)</f>
        <v>0</v>
      </c>
      <c r="K14" s="7">
        <f>IF(OR(J14="",J$4="",J$4=0),"",J14/J$4)</f>
        <v>0</v>
      </c>
      <c r="L14" s="6" t="str">
        <f>IF(OR(H14="",J14=""),"",H14-J14)</f>
        <v/>
      </c>
      <c r="M14" s="7" t="str">
        <f>IF(OR(I14="",K14=""),"",I14-K14)</f>
        <v/>
      </c>
      <c r="N14" s="6">
        <f>N(B14)+N(H14)</f>
        <v>4.0273691471999</v>
      </c>
      <c r="O14" s="7">
        <f>IF(OR(N14="",N$4="",N$4=0),"",N14/N$4)</f>
        <v>0.00340381374139173</v>
      </c>
      <c r="P14" s="6">
        <f>IF(B14="",0,D14)+IF(H14="",0,J14)</f>
        <v>0</v>
      </c>
      <c r="Q14" s="7">
        <f>IF(OR(P14="",P$4="",P$4=0),"",P14/P$4)</f>
        <v>0</v>
      </c>
      <c r="R14" s="6">
        <f>IF(OR(N14="",P14=""),"",N14-P14)</f>
        <v>4.0273691471999</v>
      </c>
      <c r="S14" s="7">
        <f>IF(OR(O14="",Q14=""),"",O14-Q14)</f>
        <v>0.00340381374139173</v>
      </c>
    </row>
    <row r="15">
      <c r="A15" s="3" t="inlineStr">
        <is>
          <t>Direct cost</t>
        </is>
      </c>
      <c r="B15" s="6">
        <f>IF('AdTech Сентябрь'!C16="","",'AdTech Сентябрь'!C16)</f>
        <v>-0.92785226</v>
      </c>
      <c r="C15" s="7">
        <f>IF(OR(B15="",B$4="",B$4=0),"",B15/B$4)</f>
        <v>-0.000784193392047312</v>
      </c>
      <c r="D15" s="6">
        <f>IF('AdTech Сентябрь'!E16="","",'AdTech Сентябрь'!E16)</f>
        <v>-34.7658006279034</v>
      </c>
      <c r="E15" s="7">
        <f>IF(OR(D15="",D$4="",D$4=0),"",D15/D$4)</f>
        <v>-0.0308699923614786</v>
      </c>
      <c r="F15" s="6">
        <f>IF(OR(B15="",D15=""),"",B15-D15)</f>
        <v>33.8379483679034</v>
      </c>
      <c r="G15" s="7">
        <f>IF(OR(C15="",E15=""),"",C15-E15)</f>
        <v>0.0300857989694313</v>
      </c>
      <c r="H15" s="6" t="str">
        <f>IF('AdTech Октябрь'!C16="","",'AdTech Октябрь'!C16)</f>
        <v/>
      </c>
      <c r="I15" s="7" t="str">
        <f>IF(OR(H15="",H$4="",H$4=0),"",H15/H$4)</f>
        <v/>
      </c>
      <c r="J15" s="6">
        <f>IF('AdTech Октябрь'!E16="","",'AdTech Октябрь'!E16)</f>
        <v>-37.708031149277</v>
      </c>
      <c r="K15" s="7">
        <f>IF(OR(J15="",J$4="",J$4=0),"",J15/J$4)</f>
        <v>-0.0388066095530411</v>
      </c>
      <c r="L15" s="6" t="str">
        <f>IF(OR(H15="",J15=""),"",H15-J15)</f>
        <v/>
      </c>
      <c r="M15" s="7" t="str">
        <f>IF(OR(I15="",K15=""),"",I15-K15)</f>
        <v/>
      </c>
      <c r="N15" s="6">
        <f>N(B15)+N(H15)</f>
        <v>-0.92785226</v>
      </c>
      <c r="O15" s="7">
        <f>IF(OR(N15="",N$4="",N$4=0),"",N15/N$4)</f>
        <v>-0.000784193392047312</v>
      </c>
      <c r="P15" s="6">
        <f>IF(B15="",0,D15)+IF(H15="",0,J15)</f>
        <v>-34.7658006279034</v>
      </c>
      <c r="Q15" s="7">
        <f>IF(OR(P15="",P$4="",P$4=0),"",P15/P$4)</f>
        <v>-0.0308699923614786</v>
      </c>
      <c r="R15" s="6">
        <f>IF(OR(N15="",P15=""),"",N15-P15)</f>
        <v>33.8379483679034</v>
      </c>
      <c r="S15" s="7">
        <f>IF(OR(O15="",Q15=""),"",O15-Q15)</f>
        <v>0.0300857989694313</v>
      </c>
    </row>
    <row r="16">
      <c r="A16" s="3" t="inlineStr">
        <is>
          <t>PEX</t>
        </is>
      </c>
      <c r="B16" s="6">
        <f>IF('AdTech Сентябрь'!C17="","",'AdTech Сентябрь'!C17)</f>
        <v>62.4564056952867</v>
      </c>
      <c r="C16" s="7">
        <f>IF(OR(B16="",B$4="",B$4=0),"",B16/B$4)</f>
        <v>0.052786313887159</v>
      </c>
      <c r="D16" s="6">
        <f>IF('AdTech Сентябрь'!E17="","",'AdTech Сентябрь'!E17)</f>
        <v>-111.51028275114</v>
      </c>
      <c r="E16" s="7">
        <f>IF(OR(D16="",D$4="",D$4=0),"",D16/D$4)</f>
        <v>-0.0990145923459954</v>
      </c>
      <c r="F16" s="6">
        <f>IF(OR(B16="",D16=""),"",B16-D16)</f>
        <v>173.966688446426</v>
      </c>
      <c r="G16" s="7">
        <f>IF(OR(C16="",E16=""),"",C16-E16)</f>
        <v>0.151800906233154</v>
      </c>
      <c r="H16" s="6" t="str">
        <f>IF('AdTech Октябрь'!C17="","",'AdTech Октябрь'!C17)</f>
        <v/>
      </c>
      <c r="I16" s="7" t="str">
        <f>IF(OR(H16="",H$4="",H$4=0),"",H16/H$4)</f>
        <v/>
      </c>
      <c r="J16" s="6">
        <f>IF('AdTech Октябрь'!E17="","",'AdTech Октябрь'!E17)</f>
        <v>-89.6943252451799</v>
      </c>
      <c r="K16" s="7">
        <f>IF(OR(J16="",J$4="",J$4=0),"",J16/J$4)</f>
        <v>-0.0923074621725488</v>
      </c>
      <c r="L16" s="6" t="str">
        <f>IF(OR(H16="",J16=""),"",H16-J16)</f>
        <v/>
      </c>
      <c r="M16" s="7" t="str">
        <f>IF(OR(I16="",K16=""),"",I16-K16)</f>
        <v/>
      </c>
      <c r="N16" s="6">
        <f>N(B16)+N(H16)</f>
        <v>62.4564056952867</v>
      </c>
      <c r="O16" s="7">
        <f>IF(OR(N16="",N$4="",N$4=0),"",N16/N$4)</f>
        <v>0.052786313887159</v>
      </c>
      <c r="P16" s="6">
        <f>IF(B16="",0,D16)+IF(H16="",0,J16)</f>
        <v>-111.51028275114</v>
      </c>
      <c r="Q16" s="7">
        <f>IF(OR(P16="",P$4="",P$4=0),"",P16/P$4)</f>
        <v>-0.0990145923459954</v>
      </c>
      <c r="R16" s="6">
        <f>IF(OR(N16="",P16=""),"",N16-P16)</f>
        <v>173.966688446426</v>
      </c>
      <c r="S16" s="7">
        <f>IF(OR(O16="",Q16=""),"",O16-Q16)</f>
        <v>0.151800906233154</v>
      </c>
    </row>
    <row r="17">
      <c r="A17" s="3" t="inlineStr">
        <is>
          <t>Other PEX</t>
        </is>
      </c>
      <c r="B17" s="6">
        <f>IF('AdTech Сентябрь'!C18="","",'AdTech Сентябрь'!C18)</f>
        <v>-0.211306162631583</v>
      </c>
      <c r="C17" s="7">
        <f>IF(OR(B17="",B$4="",B$4=0),"",B17/B$4)</f>
        <v>-0.000178589742762023</v>
      </c>
      <c r="D17" s="6">
        <f>IF('AdTech Сентябрь'!E18="","",'AdTech Сентябрь'!E18)</f>
        <v>-4.33863391461458</v>
      </c>
      <c r="E17" s="7">
        <f>IF(OR(D17="",D$4="",D$4=0),"",D17/D$4)</f>
        <v>-0.00385245250747678</v>
      </c>
      <c r="F17" s="6">
        <f>IF(OR(B17="",D17=""),"",B17-D17)</f>
        <v>4.127327751983</v>
      </c>
      <c r="G17" s="7">
        <f>IF(OR(C17="",E17=""),"",C17-E17)</f>
        <v>0.00367386276471476</v>
      </c>
      <c r="H17" s="6" t="str">
        <f>IF('AdTech Октябрь'!C18="","",'AdTech Октябрь'!C18)</f>
        <v/>
      </c>
      <c r="I17" s="7" t="str">
        <f>IF(OR(H17="",H$4="",H$4=0),"",H17/H$4)</f>
        <v/>
      </c>
      <c r="J17" s="6">
        <f>IF('AdTech Октябрь'!E18="","",'AdTech Октябрь'!E18)</f>
        <v>-5.80732307423639</v>
      </c>
      <c r="K17" s="7">
        <f>IF(OR(J17="",J$4="",J$4=0),"",J17/J$4)</f>
        <v>-0.00597651248876141</v>
      </c>
      <c r="L17" s="6" t="str">
        <f>IF(OR(H17="",J17=""),"",H17-J17)</f>
        <v/>
      </c>
      <c r="M17" s="7" t="str">
        <f>IF(OR(I17="",K17=""),"",I17-K17)</f>
        <v/>
      </c>
      <c r="N17" s="6">
        <f>N(B17)+N(H17)</f>
        <v>-0.211306162631583</v>
      </c>
      <c r="O17" s="7">
        <f>IF(OR(N17="",N$4="",N$4=0),"",N17/N$4)</f>
        <v>-0.000178589742762023</v>
      </c>
      <c r="P17" s="6">
        <f>IF(B17="",0,D17)+IF(H17="",0,J17)</f>
        <v>-4.33863391461458</v>
      </c>
      <c r="Q17" s="7">
        <f>IF(OR(P17="",P$4="",P$4=0),"",P17/P$4)</f>
        <v>-0.00385245250747678</v>
      </c>
      <c r="R17" s="6">
        <f>IF(OR(N17="",P17=""),"",N17-P17)</f>
        <v>4.127327751983</v>
      </c>
      <c r="S17" s="7">
        <f>IF(OR(O17="",Q17=""),"",O17-Q17)</f>
        <v>0.00367386276471476</v>
      </c>
    </row>
    <row r="18">
      <c r="A18" s="3" t="inlineStr">
        <is>
          <t>Marketing</t>
        </is>
      </c>
      <c r="B18" s="6">
        <f>IF('AdTech Сентябрь'!C19="","",'AdTech Сентябрь'!C19)</f>
        <v>-105.089188</v>
      </c>
      <c r="C18" s="7">
        <f>IF(OR(B18="",B$4="",B$4=0),"",B18/B$4)</f>
        <v>-0.0888182853649757</v>
      </c>
      <c r="D18" s="6">
        <f>IF('AdTech Сентябрь'!E19="","",'AdTech Сентябрь'!E19)</f>
        <v>-348.750338137281</v>
      </c>
      <c r="E18" s="7">
        <f>IF(OR(D18="",D$4="",D$4=0),"",D18/D$4)</f>
        <v>-0.309669850252783</v>
      </c>
      <c r="F18" s="6">
        <f>IF(OR(B18="",D18=""),"",B18-D18)</f>
        <v>243.661150137281</v>
      </c>
      <c r="G18" s="7">
        <f>IF(OR(C18="",E18=""),"",C18-E18)</f>
        <v>0.220851564887807</v>
      </c>
      <c r="H18" s="6" t="str">
        <f>IF('AdTech Октябрь'!C19="","",'AdTech Октябрь'!C19)</f>
        <v/>
      </c>
      <c r="I18" s="7" t="str">
        <f>IF(OR(H18="",H$4="",H$4=0),"",H18/H$4)</f>
        <v/>
      </c>
      <c r="J18" s="6">
        <f>IF('AdTech Октябрь'!E19="","",'AdTech Октябрь'!E19)</f>
        <v>-101.49894799297</v>
      </c>
      <c r="K18" s="7">
        <f>IF(OR(J18="",J$4="",J$4=0),"",J18/J$4)</f>
        <v>-0.104455998490474</v>
      </c>
      <c r="L18" s="6" t="str">
        <f>IF(OR(H18="",J18=""),"",H18-J18)</f>
        <v/>
      </c>
      <c r="M18" s="7" t="str">
        <f>IF(OR(I18="",K18=""),"",I18-K18)</f>
        <v/>
      </c>
      <c r="N18" s="6">
        <f>N(B18)+N(H18)</f>
        <v>-105.089188</v>
      </c>
      <c r="O18" s="7">
        <f>IF(OR(N18="",N$4="",N$4=0),"",N18/N$4)</f>
        <v>-0.0888182853649757</v>
      </c>
      <c r="P18" s="6">
        <f>IF(B18="",0,D18)+IF(H18="",0,J18)</f>
        <v>-348.750338137281</v>
      </c>
      <c r="Q18" s="7">
        <f>IF(OR(P18="",P$4="",P$4=0),"",P18/P$4)</f>
        <v>-0.309669850252783</v>
      </c>
      <c r="R18" s="6">
        <f>IF(OR(N18="",P18=""),"",N18-P18)</f>
        <v>243.661150137281</v>
      </c>
      <c r="S18" s="7">
        <f>IF(OR(O18="",Q18=""),"",O18-Q18)</f>
        <v>0.220851564887807</v>
      </c>
    </row>
    <row r="19">
      <c r="A19" s="3" t="inlineStr">
        <is>
          <t>IT</t>
        </is>
      </c>
      <c r="B19" s="6">
        <f>IF('AdTech Сентябрь'!C20="","",'AdTech Сентябрь'!C20)</f>
        <v>-3.8875147</v>
      </c>
      <c r="C19" s="7">
        <f>IF(OR(B19="",B$4="",B$4=0),"",B19/B$4)</f>
        <v>-0.00328561288326957</v>
      </c>
      <c r="D19" s="6">
        <f>IF('AdTech Сентябрь'!E20="","",'AdTech Сентябрь'!E20)</f>
        <v>-1.28350724</v>
      </c>
      <c r="E19" s="7">
        <f>IF(OR(D19="",D$4="",D$4=0),"",D19/D$4)</f>
        <v>-0.00113967916685634</v>
      </c>
      <c r="F19" s="6">
        <f>IF(OR(B19="",D19=""),"",B19-D19)</f>
        <v>-2.60400746</v>
      </c>
      <c r="G19" s="7">
        <f>IF(OR(C19="",E19=""),"",C19-E19)</f>
        <v>-0.00214593371641323</v>
      </c>
      <c r="H19" s="6" t="str">
        <f>IF('AdTech Октябрь'!C20="","",'AdTech Октябрь'!C20)</f>
        <v/>
      </c>
      <c r="I19" s="7" t="str">
        <f>IF(OR(H19="",H$4="",H$4=0),"",H19/H$4)</f>
        <v/>
      </c>
      <c r="J19" s="6">
        <f>IF('AdTech Октябрь'!E20="","",'AdTech Октябрь'!E20)</f>
        <v>-1.85798722666667</v>
      </c>
      <c r="K19" s="7">
        <f>IF(OR(J19="",J$4="",J$4=0),"",J19/J$4)</f>
        <v>-0.00191211746310371</v>
      </c>
      <c r="L19" s="6" t="str">
        <f>IF(OR(H19="",J19=""),"",H19-J19)</f>
        <v/>
      </c>
      <c r="M19" s="7" t="str">
        <f>IF(OR(I19="",K19=""),"",I19-K19)</f>
        <v/>
      </c>
      <c r="N19" s="6">
        <f>N(B19)+N(H19)</f>
        <v>-3.8875147</v>
      </c>
      <c r="O19" s="7">
        <f>IF(OR(N19="",N$4="",N$4=0),"",N19/N$4)</f>
        <v>-0.00328561288326957</v>
      </c>
      <c r="P19" s="6">
        <f>IF(B19="",0,D19)+IF(H19="",0,J19)</f>
        <v>-1.28350724</v>
      </c>
      <c r="Q19" s="7">
        <f>IF(OR(P19="",P$4="",P$4=0),"",P19/P$4)</f>
        <v>-0.00113967916685634</v>
      </c>
      <c r="R19" s="6">
        <f>IF(OR(N19="",P19=""),"",N19-P19)</f>
        <v>-2.60400746</v>
      </c>
      <c r="S19" s="7">
        <f>IF(OR(O19="",Q19=""),"",O19-Q19)</f>
        <v>-0.00214593371641323</v>
      </c>
    </row>
    <row r="20">
      <c r="A20" s="3" t="inlineStr">
        <is>
          <t>Other OPEX</t>
        </is>
      </c>
      <c r="B20" s="6">
        <f>IF('AdTech Сентябрь'!C21="","",'AdTech Сентябрь'!C21)</f>
        <v>-9.12317528</v>
      </c>
      <c r="C20" s="7">
        <f>IF(OR(B20="",B$4="",B$4=0),"",B20/B$4)</f>
        <v>-0.00771063894274007</v>
      </c>
      <c r="D20" s="6">
        <f>IF('AdTech Сентябрь'!E21="","",'AdTech Сентябрь'!E21)</f>
        <v>-5.04728405703625</v>
      </c>
      <c r="E20" s="7">
        <f>IF(OR(D20="",D$4="",D$4=0),"",D20/D$4)</f>
        <v>-0.00448169228013887</v>
      </c>
      <c r="F20" s="6">
        <f>IF(OR(B20="",D20=""),"",B20-D20)</f>
        <v>-4.07589122296375</v>
      </c>
      <c r="G20" s="7">
        <f>IF(OR(C20="",E20=""),"",C20-E20)</f>
        <v>-0.0032289466626012</v>
      </c>
      <c r="H20" s="6" t="str">
        <f>IF('AdTech Октябрь'!C21="","",'AdTech Октябрь'!C21)</f>
        <v/>
      </c>
      <c r="I20" s="7" t="str">
        <f>IF(OR(H20="",H$4="",H$4=0),"",H20/H$4)</f>
        <v/>
      </c>
      <c r="J20" s="6">
        <f>IF('AdTech Октябрь'!E21="","",'AdTech Октябрь'!E21)</f>
        <v>-5.64965270667597</v>
      </c>
      <c r="K20" s="7">
        <f>IF(OR(J20="",J$4="",J$4=0),"",J20/J$4)</f>
        <v>-0.00581424858355301</v>
      </c>
      <c r="L20" s="6" t="str">
        <f>IF(OR(H20="",J20=""),"",H20-J20)</f>
        <v/>
      </c>
      <c r="M20" s="7" t="str">
        <f>IF(OR(I20="",K20=""),"",I20-K20)</f>
        <v/>
      </c>
      <c r="N20" s="6">
        <f>N(B20)+N(H20)</f>
        <v>-9.12317528</v>
      </c>
      <c r="O20" s="7">
        <f>IF(OR(N20="",N$4="",N$4=0),"",N20/N$4)</f>
        <v>-0.00771063894274007</v>
      </c>
      <c r="P20" s="6">
        <f>IF(B20="",0,D20)+IF(H20="",0,J20)</f>
        <v>-5.04728405703625</v>
      </c>
      <c r="Q20" s="7">
        <f>IF(OR(P20="",P$4="",P$4=0),"",P20/P$4)</f>
        <v>-0.00448169228013887</v>
      </c>
      <c r="R20" s="6">
        <f>IF(OR(N20="",P20=""),"",N20-P20)</f>
        <v>-4.07589122296375</v>
      </c>
      <c r="S20" s="7">
        <f>IF(OR(O20="",Q20=""),"",O20-Q20)</f>
        <v>-0.0032289466626012</v>
      </c>
    </row>
    <row r="21">
      <c r="A21" s="3" t="inlineStr">
        <is>
          <t>EBITDA</t>
        </is>
      </c>
      <c r="B21" s="4">
        <f>IF('AdTech Сентябрь'!C22="","",'AdTech Сентябрь'!C22)</f>
        <v>1126.41053236897</v>
      </c>
      <c r="C21" s="5">
        <f>IF(OR(B21="",B$4="",B$4=0),"",B21/B$4)</f>
        <v>0.952008993561364</v>
      </c>
      <c r="D21" s="4">
        <f>IF('AdTech Сентябрь'!E22="","",'AdTech Сентябрь'!E22)</f>
        <v>620.504646644553</v>
      </c>
      <c r="E21" s="5">
        <f>IF(OR(D21="",D$4="",D$4=0),"",D21/D$4)</f>
        <v>0.550971741085271</v>
      </c>
      <c r="F21" s="4">
        <f>IF(OR(B21="",D21=""),"",B21-D21)</f>
        <v>505.905885724412</v>
      </c>
      <c r="G21" s="5">
        <f>IF(OR(C21="",E21=""),"",C21-E21)</f>
        <v>0.401037252476093</v>
      </c>
      <c r="H21" s="4" t="str">
        <f>IF('AdTech Октябрь'!C22="","",'AdTech Октябрь'!C22)</f>
        <v/>
      </c>
      <c r="I21" s="5" t="str">
        <f>IF(OR(H21="",H$4="",H$4=0),"",H21/H$4)</f>
        <v/>
      </c>
      <c r="J21" s="4">
        <f>IF('AdTech Октябрь'!E22="","",'AdTech Октябрь'!E22)</f>
        <v>729.474678646993</v>
      </c>
      <c r="K21" s="5">
        <f>IF(OR(J21="",J$4="",J$4=0),"",J21/J$4)</f>
        <v>0.750727051248519</v>
      </c>
      <c r="L21" s="4" t="str">
        <f>IF(OR(H21="",J21=""),"",H21-J21)</f>
        <v/>
      </c>
      <c r="M21" s="5" t="str">
        <f>IF(OR(I21="",K21=""),"",I21-K21)</f>
        <v/>
      </c>
      <c r="N21" s="4">
        <f>N(B21)+N(H21)</f>
        <v>1126.41053236897</v>
      </c>
      <c r="O21" s="5">
        <f>IF(OR(N21="",N$4="",N$4=0),"",N21/N$4)</f>
        <v>0.952008993561364</v>
      </c>
      <c r="P21" s="4">
        <f>IF(B21="",0,D21)+IF(H21="",0,J21)</f>
        <v>620.504646644553</v>
      </c>
      <c r="Q21" s="5">
        <f>IF(OR(P21="",P$4="",P$4=0),"",P21/P$4)</f>
        <v>0.550971741085271</v>
      </c>
      <c r="R21" s="4">
        <f>IF(OR(N21="",P21=""),"",N21-P21)</f>
        <v>505.905885724412</v>
      </c>
      <c r="S21" s="5">
        <f>IF(OR(O21="",Q21=""),"",O21-Q21)</f>
        <v>0.401037252476093</v>
      </c>
    </row>
  </sheetData>
  <mergeCells count="12">
    <mergeCell ref="L2:M2"/>
    <mergeCell ref="F2:G2"/>
    <mergeCell ref="H1:M1"/>
    <mergeCell ref="B2:C2"/>
    <mergeCell ref="H2:I2"/>
    <mergeCell ref="D2:E2"/>
    <mergeCell ref="J2:K2"/>
    <mergeCell ref="N2:O2"/>
    <mergeCell ref="B1:G1"/>
    <mergeCell ref="P2:Q2"/>
    <mergeCell ref="R2:S2"/>
    <mergeCell ref="N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60" customWidth="1" min="9" max="9"/>
  </cols>
  <sheetData>
    <row r="2">
      <c r="C2" s="1" t="inlineStr">
        <is>
          <t>Октябрь</t>
        </is>
      </c>
    </row>
    <row r="3">
      <c r="C3" s="2" t="inlineStr">
        <is>
          <t>ACT 2026</t>
        </is>
      </c>
      <c r="E3" s="2" t="inlineStr">
        <is>
          <t>CTRL 2026 (9+3)</t>
        </is>
      </c>
      <c r="G3" s="2" t="inlineStr">
        <is>
          <t>ACT VS CTRL</t>
        </is>
      </c>
    </row>
    <row r="4">
      <c r="B4" s="3" t="inlineStr">
        <is>
          <t>млн руб.</t>
        </is>
      </c>
      <c r="C4" s="2" t="inlineStr">
        <is>
          <t>ABS</t>
        </is>
      </c>
      <c r="D4" s="2" t="inlineStr">
        <is>
          <t>% GR</t>
        </is>
      </c>
      <c r="E4" s="2" t="inlineStr">
        <is>
          <t>ABS</t>
        </is>
      </c>
      <c r="F4" s="2" t="inlineStr">
        <is>
          <t>% GR</t>
        </is>
      </c>
      <c r="G4" s="2" t="inlineStr">
        <is>
          <t>ABS</t>
        </is>
      </c>
      <c r="H4" s="2" t="inlineStr">
        <is>
          <t>% GR</t>
        </is>
      </c>
      <c r="I4" s="2" t="inlineStr">
        <is>
          <t>Комментарий</t>
        </is>
      </c>
    </row>
    <row r="5">
      <c r="B5" s="8" t="inlineStr">
        <is>
          <t>Gross Revenue</t>
        </is>
      </c>
      <c r="C5" s="9" t="str">
        <f>IF(COUNT(C6:C15)=0,"",SUM(C6:C15))</f>
        <v/>
      </c>
      <c r="D5" s="10" t="str">
        <f>IF(OR(C5="",C$5=""),"",C5/C$5)</f>
        <v/>
      </c>
      <c r="E5" s="9">
        <f>IF(COUNT(E6:E15)=0,"",SUM(E6:E15))</f>
        <v>971.690946041999</v>
      </c>
      <c r="F5" s="10">
        <f>IF(OR(E5="",E$5=""),"",E5/E$5)</f>
        <v>1</v>
      </c>
      <c r="G5" s="9" t="str">
        <f>IF(OR(C5="",E5=""),"",C5-E5)</f>
        <v/>
      </c>
      <c r="H5" s="10" t="str">
        <f>IF(OR(D5="",F5=""),"",D5-F5)</f>
        <v/>
      </c>
      <c r="I5" s="11" t="n"/>
    </row>
    <row r="6">
      <c r="B6" s="3" t="inlineStr">
        <is>
          <t>APP</t>
        </is>
      </c>
      <c r="C6" s="12" t="n"/>
      <c r="D6" s="7" t="str">
        <f>IF(OR(C6="",C$5=""),"",C6/C$5)</f>
        <v/>
      </c>
      <c r="E6" s="12" t="n">
        <v>560.9270533317836</v>
      </c>
      <c r="F6" s="7">
        <f>IF(OR(E6="",E$5=""),"",E6/E$5)</f>
        <v>0.577268992385506</v>
      </c>
      <c r="G6" s="6" t="str">
        <f>IF(OR(C6="",E6=""),"",C6-E6)</f>
        <v/>
      </c>
      <c r="H6" s="7" t="str">
        <f>IF(OR(D6="",F6=""),"",D6-F6)</f>
        <v/>
      </c>
    </row>
    <row r="7">
      <c r="B7" s="3" t="inlineStr">
        <is>
          <t>MIP</t>
        </is>
      </c>
      <c r="C7" s="12" t="n"/>
      <c r="D7" s="7" t="str">
        <f>IF(OR(C7="",C$5=""),"",C7/C$5)</f>
        <v/>
      </c>
      <c r="E7" s="12" t="n">
        <v>0.8161642691504949</v>
      </c>
      <c r="F7" s="7">
        <f>IF(OR(E7="",E$5=""),"",E7/E$5)</f>
        <v>0.000839942239325155</v>
      </c>
      <c r="G7" s="6" t="str">
        <f>IF(OR(C7="",E7=""),"",C7-E7)</f>
        <v/>
      </c>
      <c r="H7" s="7" t="str">
        <f>IF(OR(D7="",F7=""),"",D7-F7)</f>
        <v/>
      </c>
    </row>
    <row r="8">
      <c r="B8" s="3" t="inlineStr">
        <is>
          <t>Magnit Market</t>
        </is>
      </c>
      <c r="C8" s="12" t="n"/>
      <c r="D8" s="7" t="str">
        <f>IF(OR(C8="",C$5=""),"",C8/C$5)</f>
        <v/>
      </c>
      <c r="E8" s="12" t="n">
        <v>0.4493674666666666</v>
      </c>
      <c r="F8" s="7">
        <f>IF(OR(E8="",E$5=""),"",E8/E$5)</f>
        <v>0.000462459250543685</v>
      </c>
      <c r="G8" s="6" t="str">
        <f>IF(OR(C8="",E8=""),"",C8-E8)</f>
        <v/>
      </c>
      <c r="H8" s="7" t="str">
        <f>IF(OR(D8="",F8=""),"",D8-F8)</f>
        <v/>
      </c>
    </row>
    <row r="9">
      <c r="B9" s="3" t="inlineStr">
        <is>
          <t>DMP+ Analitycs</t>
        </is>
      </c>
      <c r="C9" s="12" t="n"/>
      <c r="D9" s="7" t="str">
        <f>IF(OR(C9="",C$5=""),"",C9/C$5)</f>
        <v/>
      </c>
      <c r="E9" s="12" t="n">
        <v>5.009486757334861</v>
      </c>
      <c r="F9" s="7">
        <f>IF(OR(E9="",E$5=""),"",E9/E$5)</f>
        <v>0.00515543216466107</v>
      </c>
      <c r="G9" s="6" t="str">
        <f>IF(OR(C9="",E9=""),"",C9-E9)</f>
        <v/>
      </c>
      <c r="H9" s="7" t="str">
        <f>IF(OR(D9="",F9=""),"",D9-F9)</f>
        <v/>
      </c>
    </row>
    <row r="10">
      <c r="B10" s="3" t="inlineStr">
        <is>
          <t>DMP+Online</t>
        </is>
      </c>
      <c r="C10" s="12" t="n"/>
      <c r="D10" s="7" t="str">
        <f>IF(OR(C10="",C$5=""),"",C10/C$5)</f>
        <v/>
      </c>
      <c r="E10" s="12" t="n">
        <v>91.8189533006459</v>
      </c>
      <c r="F10" s="7">
        <f>IF(OR(E10="",E$5=""),"",E10/E$5)</f>
        <v>0.0944939887262028</v>
      </c>
      <c r="G10" s="6" t="str">
        <f>IF(OR(C10="",E10=""),"",C10-E10)</f>
        <v/>
      </c>
      <c r="H10" s="7" t="str">
        <f>IF(OR(D10="",F10=""),"",D10-F10)</f>
        <v/>
      </c>
    </row>
    <row r="11">
      <c r="B11" s="3" t="inlineStr">
        <is>
          <t>Instore digital</t>
        </is>
      </c>
      <c r="C11" s="12" t="n"/>
      <c r="D11" s="7" t="str">
        <f>IF(OR(C11="",C$5=""),"",C11/C$5)</f>
        <v/>
      </c>
      <c r="E11" s="12" t="n">
        <v>262.9077843671507</v>
      </c>
      <c r="F11" s="7">
        <f>IF(OR(E11="",E$5=""),"",E11/E$5)</f>
        <v>0.270567288331806</v>
      </c>
      <c r="G11" s="6" t="str">
        <f>IF(OR(C11="",E11=""),"",C11-E11)</f>
        <v/>
      </c>
      <c r="H11" s="7" t="str">
        <f>IF(OR(D11="",F11=""),"",D11-F11)</f>
        <v/>
      </c>
    </row>
    <row r="12">
      <c r="B12" s="3" t="inlineStr">
        <is>
          <t>Instore digital_2.0</t>
        </is>
      </c>
      <c r="C12" s="12" t="n"/>
      <c r="D12" s="7" t="str">
        <f>IF(OR(C12="",C$5=""),"",C12/C$5)</f>
        <v/>
      </c>
      <c r="E12" s="12" t="n">
        <v>47.0922156328493</v>
      </c>
      <c r="F12" s="7">
        <f>IF(OR(E12="",E$5=""),"",E12/E$5)</f>
        <v>0.0484641910317994</v>
      </c>
      <c r="G12" s="6" t="str">
        <f>IF(OR(C12="",E12=""),"",C12-E12)</f>
        <v/>
      </c>
      <c r="H12" s="7" t="str">
        <f>IF(OR(D12="",F12=""),"",D12-F12)</f>
        <v/>
      </c>
    </row>
    <row r="13">
      <c r="B13" s="3" t="inlineStr">
        <is>
          <t>POSM</t>
        </is>
      </c>
      <c r="C13" s="12" t="n"/>
      <c r="D13" s="7" t="str">
        <f>IF(OR(C13="",C$5=""),"",C13/C$5)</f>
        <v/>
      </c>
      <c r="E13" s="12" t="n">
        <v>2.669920916416933</v>
      </c>
      <c r="F13" s="7">
        <f>IF(OR(E13="",E$5=""),"",E13/E$5)</f>
        <v>0.00274770587015589</v>
      </c>
      <c r="G13" s="6" t="str">
        <f>IF(OR(C13="",E13=""),"",C13-E13)</f>
        <v/>
      </c>
      <c r="H13" s="7" t="str">
        <f>IF(OR(D13="",F13=""),"",D13-F13)</f>
        <v/>
      </c>
    </row>
    <row r="14">
      <c r="B14" s="3" t="inlineStr">
        <is>
          <t>Other</t>
        </is>
      </c>
      <c r="C14" s="12" t="n"/>
      <c r="D14" s="7" t="str">
        <f>IF(OR(C14="",C$5=""),"",C14/C$5)</f>
        <v/>
      </c>
      <c r="E14" s="12" t="n">
        <v>0</v>
      </c>
      <c r="F14" s="7">
        <f>IF(OR(E14="",E$5=""),"",E14/E$5)</f>
        <v>0</v>
      </c>
      <c r="G14" s="6" t="str">
        <f>IF(OR(C14="",E14=""),"",C14-E14)</f>
        <v/>
      </c>
      <c r="H14" s="7" t="str">
        <f>IF(OR(D14="",F14=""),"",D14-F14)</f>
        <v/>
      </c>
    </row>
    <row r="15">
      <c r="B15" s="3" t="inlineStr">
        <is>
          <t>Кроссформатные пакеты</t>
        </is>
      </c>
      <c r="C15" s="12" t="n"/>
      <c r="D15" s="7" t="str">
        <f>IF(OR(C15="",C$5=""),"",C15/C$5)</f>
        <v/>
      </c>
      <c r="E15" s="12" t="n">
        <v>0</v>
      </c>
      <c r="F15" s="7">
        <f>IF(OR(E15="",E$5=""),"",E15/E$5)</f>
        <v>0</v>
      </c>
      <c r="G15" s="6" t="str">
        <f>IF(OR(C15="",E15=""),"",C15-E15)</f>
        <v/>
      </c>
      <c r="H15" s="7" t="str">
        <f>IF(OR(D15="",F15=""),"",D15-F15)</f>
        <v/>
      </c>
    </row>
    <row r="16">
      <c r="B16" s="3" t="inlineStr">
        <is>
          <t>Direct cost</t>
        </is>
      </c>
      <c r="C16" s="12" t="n"/>
      <c r="D16" s="7" t="str">
        <f>IF(OR(C16="",C$5=""),"",C16/C$5)</f>
        <v/>
      </c>
      <c r="E16" s="12" t="n">
        <v>-37.70803114927696</v>
      </c>
      <c r="F16" s="7">
        <f>IF(OR(E16="",E$5=""),"",E16/E$5)</f>
        <v>-0.0388066095530411</v>
      </c>
      <c r="G16" s="6" t="str">
        <f>IF(OR(C16="",E16=""),"",C16-E16)</f>
        <v/>
      </c>
      <c r="H16" s="7" t="str">
        <f>IF(OR(D16="",F16=""),"",D16-F16)</f>
        <v/>
      </c>
    </row>
    <row r="17">
      <c r="B17" s="3" t="inlineStr">
        <is>
          <t>PEX</t>
        </is>
      </c>
      <c r="C17" s="12" t="n"/>
      <c r="D17" s="7" t="str">
        <f>IF(OR(C17="",C$5=""),"",C17/C$5)</f>
        <v/>
      </c>
      <c r="E17" s="12" t="n">
        <v>-89.69432524517988</v>
      </c>
      <c r="F17" s="7">
        <f>IF(OR(E17="",E$5=""),"",E17/E$5)</f>
        <v>-0.0923074621725488</v>
      </c>
      <c r="G17" s="6" t="str">
        <f>IF(OR(C17="",E17=""),"",C17-E17)</f>
        <v/>
      </c>
      <c r="H17" s="7" t="str">
        <f>IF(OR(D17="",F17=""),"",D17-F17)</f>
        <v/>
      </c>
    </row>
    <row r="18">
      <c r="B18" s="3" t="inlineStr">
        <is>
          <t>Other PEX</t>
        </is>
      </c>
      <c r="C18" s="12" t="n"/>
      <c r="D18" s="7" t="str">
        <f>IF(OR(C18="",C$5=""),"",C18/C$5)</f>
        <v/>
      </c>
      <c r="E18" s="12" t="n">
        <v>-5.807323074236389</v>
      </c>
      <c r="F18" s="7">
        <f>IF(OR(E18="",E$5=""),"",E18/E$5)</f>
        <v>-0.00597651248876141</v>
      </c>
      <c r="G18" s="6" t="str">
        <f>IF(OR(C18="",E18=""),"",C18-E18)</f>
        <v/>
      </c>
      <c r="H18" s="7" t="str">
        <f>IF(OR(D18="",F18=""),"",D18-F18)</f>
        <v/>
      </c>
    </row>
    <row r="19">
      <c r="B19" s="3" t="inlineStr">
        <is>
          <t>Marketing</t>
        </is>
      </c>
      <c r="C19" s="12" t="n"/>
      <c r="D19" s="7" t="str">
        <f>IF(OR(C19="",C$5=""),"",C19/C$5)</f>
        <v/>
      </c>
      <c r="E19" s="12" t="n">
        <v>-101.4989479929699</v>
      </c>
      <c r="F19" s="7">
        <f>IF(OR(E19="",E$5=""),"",E19/E$5)</f>
        <v>-0.104455998490474</v>
      </c>
      <c r="G19" s="6" t="str">
        <f>IF(OR(C19="",E19=""),"",C19-E19)</f>
        <v/>
      </c>
      <c r="H19" s="7" t="str">
        <f>IF(OR(D19="",F19=""),"",D19-F19)</f>
        <v/>
      </c>
    </row>
    <row r="20">
      <c r="B20" s="3" t="inlineStr">
        <is>
          <t>IT</t>
        </is>
      </c>
      <c r="C20" s="12" t="n"/>
      <c r="D20" s="7" t="str">
        <f>IF(OR(C20="",C$5=""),"",C20/C$5)</f>
        <v/>
      </c>
      <c r="E20" s="12" t="n">
        <v>-1.857987226666667</v>
      </c>
      <c r="F20" s="7">
        <f>IF(OR(E20="",E$5=""),"",E20/E$5)</f>
        <v>-0.00191211746310371</v>
      </c>
      <c r="G20" s="6" t="str">
        <f>IF(OR(C20="",E20=""),"",C20-E20)</f>
        <v/>
      </c>
      <c r="H20" s="7" t="str">
        <f>IF(OR(D20="",F20=""),"",D20-F20)</f>
        <v/>
      </c>
    </row>
    <row r="21">
      <c r="B21" s="3" t="inlineStr">
        <is>
          <t>Other OPEX</t>
        </is>
      </c>
      <c r="C21" s="12" t="n"/>
      <c r="D21" s="7" t="str">
        <f>IF(OR(C21="",C$5=""),"",C21/C$5)</f>
        <v/>
      </c>
      <c r="E21" s="12" t="n">
        <v>-5.649652706675969</v>
      </c>
      <c r="F21" s="7">
        <f>IF(OR(E21="",E$5=""),"",E21/E$5)</f>
        <v>-0.00581424858355301</v>
      </c>
      <c r="G21" s="6" t="str">
        <f>IF(OR(C21="",E21=""),"",C21-E21)</f>
        <v/>
      </c>
      <c r="H21" s="7" t="str">
        <f>IF(OR(D21="",F21=""),"",D21-F21)</f>
        <v/>
      </c>
    </row>
    <row r="22">
      <c r="B22" s="8" t="inlineStr">
        <is>
          <t>EBITDA</t>
        </is>
      </c>
      <c r="C22" s="9" t="str">
        <f>IF(C5="","",C5+SUM(C16:C21))</f>
        <v/>
      </c>
      <c r="D22" s="10" t="str">
        <f>IF(OR(C22="",C$5=""),"",C22/C$5)</f>
        <v/>
      </c>
      <c r="E22" s="9">
        <f>IF(E5="","",E5+SUM(E16:E21))</f>
        <v>729.474678646993</v>
      </c>
      <c r="F22" s="10">
        <f>IF(OR(E22="",E$5=""),"",E22/E$5)</f>
        <v>0.750727051248519</v>
      </c>
      <c r="G22" s="9" t="str">
        <f>IF(OR(C22="",E22=""),"",C22-E22)</f>
        <v/>
      </c>
      <c r="H22" s="10" t="str">
        <f>IF(OR(D22="",F22=""),"",D22-F22)</f>
        <v/>
      </c>
      <c r="I22" s="11" t="n"/>
    </row>
  </sheetData>
  <mergeCells count="4">
    <mergeCell ref="C3:D3"/>
    <mergeCell ref="C2:H2"/>
    <mergeCell ref="E3:F3"/>
    <mergeCell ref="G3:H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60" customWidth="1" min="9" max="9"/>
  </cols>
  <sheetData>
    <row r="2">
      <c r="C2" s="1" t="inlineStr">
        <is>
          <t>Сентябрь</t>
        </is>
      </c>
    </row>
    <row r="3">
      <c r="C3" s="2" t="inlineStr">
        <is>
          <t>ACT 2026</t>
        </is>
      </c>
      <c r="E3" s="2" t="inlineStr">
        <is>
          <t>CTRL 2026 (8+4)</t>
        </is>
      </c>
      <c r="G3" s="2" t="inlineStr">
        <is>
          <t>ACT VS CTRL</t>
        </is>
      </c>
    </row>
    <row r="4">
      <c r="B4" s="3" t="inlineStr">
        <is>
          <t>млн руб.</t>
        </is>
      </c>
      <c r="C4" s="2" t="inlineStr">
        <is>
          <t>ABS</t>
        </is>
      </c>
      <c r="D4" s="2" t="inlineStr">
        <is>
          <t>% GR</t>
        </is>
      </c>
      <c r="E4" s="2" t="inlineStr">
        <is>
          <t>ABS</t>
        </is>
      </c>
      <c r="F4" s="2" t="inlineStr">
        <is>
          <t>% GR</t>
        </is>
      </c>
      <c r="G4" s="2" t="inlineStr">
        <is>
          <t>ABS</t>
        </is>
      </c>
      <c r="H4" s="2" t="inlineStr">
        <is>
          <t>% GR</t>
        </is>
      </c>
      <c r="I4" s="2" t="inlineStr">
        <is>
          <t>Комментарий</t>
        </is>
      </c>
    </row>
    <row r="5">
      <c r="B5" s="8" t="inlineStr">
        <is>
          <t>Gross Revenue</t>
        </is>
      </c>
      <c r="C5" s="9">
        <f>IF(COUNT(C6:C15)=0,"",SUM(C6:C15))</f>
        <v>1183.19316307631</v>
      </c>
      <c r="D5" s="10">
        <f>IF(OR(C5="",C$5=""),"",C5/C$5)</f>
        <v>1</v>
      </c>
      <c r="E5" s="9">
        <f>IF(COUNT(E6:E15)=0,"",SUM(E6:E15))</f>
        <v>1126.20049337253</v>
      </c>
      <c r="F5" s="10">
        <f>IF(OR(E5="",E$5=""),"",E5/E$5)</f>
        <v>1</v>
      </c>
      <c r="G5" s="9">
        <f>IF(OR(C5="",E5=""),"",C5-E5)</f>
        <v>56.9926697037822</v>
      </c>
      <c r="H5" s="10">
        <f>IF(OR(D5="",F5=""),"",D5-F5)</f>
        <v>0</v>
      </c>
      <c r="I5" s="11" t="n"/>
    </row>
    <row r="6">
      <c r="B6" s="3" t="inlineStr">
        <is>
          <t>APP</t>
        </is>
      </c>
      <c r="C6" s="12" t="n">
        <v>457.9899948830258</v>
      </c>
      <c r="D6" s="7">
        <f>IF(OR(C6="",C$5=""),"",C6/C$5)</f>
        <v>0.387079649524215</v>
      </c>
      <c r="E6" s="12" t="n">
        <v>765.3266055746036</v>
      </c>
      <c r="F6" s="7">
        <f>IF(OR(E6="",E$5=""),"",E6/E$5)</f>
        <v>0.679565148548951</v>
      </c>
      <c r="G6" s="6">
        <f>IF(OR(C6="",E6=""),"",C6-E6)</f>
        <v>-307.336610691578</v>
      </c>
      <c r="H6" s="7">
        <f>IF(OR(D6="",F6=""),"",D6-F6)</f>
        <v>-0.292485499024736</v>
      </c>
    </row>
    <row r="7">
      <c r="B7" s="3" t="inlineStr">
        <is>
          <t>MIP</t>
        </is>
      </c>
      <c r="C7" s="12" t="n">
        <v>0</v>
      </c>
      <c r="D7" s="7">
        <f>IF(OR(C7="",C$5=""),"",C7/C$5)</f>
        <v>0</v>
      </c>
      <c r="E7" s="12" t="n">
        <v>0.8416694025614481</v>
      </c>
      <c r="F7" s="7">
        <f>IF(OR(E7="",E$5=""),"",E7/E$5)</f>
        <v>0.000747353075686354</v>
      </c>
      <c r="G7" s="6">
        <f>IF(OR(C7="",E7=""),"",C7-E7)</f>
        <v>-0.841669402561448</v>
      </c>
      <c r="H7" s="7">
        <f>IF(OR(D7="",F7=""),"",D7-F7)</f>
        <v>-0.000747353075686354</v>
      </c>
    </row>
    <row r="8">
      <c r="B8" s="3" t="inlineStr">
        <is>
          <t>Magnit Market</t>
        </is>
      </c>
      <c r="C8" s="12" t="n">
        <v>0</v>
      </c>
      <c r="D8" s="7">
        <f>IF(OR(C8="",C$5=""),"",C8/C$5)</f>
        <v>0</v>
      </c>
      <c r="E8" s="12" t="n">
        <v>0.4634102</v>
      </c>
      <c r="F8" s="7">
        <f>IF(OR(E8="",E$5=""),"",E8/E$5)</f>
        <v>0.000411481084164924</v>
      </c>
      <c r="G8" s="6">
        <f>IF(OR(C8="",E8=""),"",C8-E8)</f>
        <v>-0.4634102</v>
      </c>
      <c r="H8" s="7">
        <f>IF(OR(D8="",F8=""),"",D8-F8)</f>
        <v>-0.000411481084164924</v>
      </c>
    </row>
    <row r="9">
      <c r="B9" s="3" t="inlineStr">
        <is>
          <t>DMP+ Analitycs</t>
        </is>
      </c>
      <c r="C9" s="12" t="n">
        <v>2.432515413</v>
      </c>
      <c r="D9" s="7">
        <f>IF(OR(C9="",C$5=""),"",C9/C$5)</f>
        <v>0.00205589035578556</v>
      </c>
      <c r="E9" s="12" t="n">
        <v>4.861968791876576</v>
      </c>
      <c r="F9" s="7">
        <f>IF(OR(E9="",E$5=""),"",E9/E$5)</f>
        <v>0.00431714319118871</v>
      </c>
      <c r="G9" s="6">
        <f>IF(OR(C9="",E9=""),"",C9-E9)</f>
        <v>-2.42945337887658</v>
      </c>
      <c r="H9" s="7">
        <f>IF(OR(D9="",F9=""),"",D9-F9)</f>
        <v>-0.00226125283540315</v>
      </c>
    </row>
    <row r="10">
      <c r="B10" s="3" t="inlineStr">
        <is>
          <t>DMP+Online</t>
        </is>
      </c>
      <c r="C10" s="12" t="n">
        <v>201.6697008888079</v>
      </c>
      <c r="D10" s="7">
        <f>IF(OR(C10="",C$5=""),"",C10/C$5)</f>
        <v>0.170445289224344</v>
      </c>
      <c r="E10" s="12" t="n">
        <v>69.4795829801901</v>
      </c>
      <c r="F10" s="7">
        <f>IF(OR(E10="",E$5=""),"",E10/E$5)</f>
        <v>0.0616937955444559</v>
      </c>
      <c r="G10" s="6">
        <f>IF(OR(C10="",E10=""),"",C10-E10)</f>
        <v>132.190117908618</v>
      </c>
      <c r="H10" s="7">
        <f>IF(OR(D10="",F10=""),"",D10-F10)</f>
        <v>0.108751493679888</v>
      </c>
    </row>
    <row r="11">
      <c r="B11" s="3" t="inlineStr">
        <is>
          <t>Instore digital</t>
        </is>
      </c>
      <c r="C11" s="12" t="n">
        <v>421.8055641193091</v>
      </c>
      <c r="D11" s="7">
        <f>IF(OR(C11="",C$5=""),"",C11/C$5)</f>
        <v>0.356497634775552</v>
      </c>
      <c r="E11" s="12" t="n">
        <v>161.3772064294186</v>
      </c>
      <c r="F11" s="7">
        <f>IF(OR(E11="",E$5=""),"",E11/E$5)</f>
        <v>0.143293496476953</v>
      </c>
      <c r="G11" s="6">
        <f>IF(OR(C11="",E11=""),"",C11-E11)</f>
        <v>260.428357689891</v>
      </c>
      <c r="H11" s="7">
        <f>IF(OR(D11="",F11=""),"",D11-F11)</f>
        <v>0.2132041382986</v>
      </c>
    </row>
    <row r="12">
      <c r="B12" s="3" t="inlineStr">
        <is>
          <t>Instore digital_2.0</t>
        </is>
      </c>
      <c r="C12" s="12" t="n">
        <v>0</v>
      </c>
      <c r="D12" s="7">
        <f>IF(OR(C12="",C$5=""),"",C12/C$5)</f>
        <v>0</v>
      </c>
      <c r="E12" s="12" t="n">
        <v>121.3322027862274</v>
      </c>
      <c r="F12" s="7">
        <f>IF(OR(E12="",E$5=""),"",E12/E$5)</f>
        <v>0.107735881399665</v>
      </c>
      <c r="G12" s="6">
        <f>IF(OR(C12="",E12=""),"",C12-E12)</f>
        <v>-121.332202786227</v>
      </c>
      <c r="H12" s="7">
        <f>IF(OR(D12="",F12=""),"",D12-F12)</f>
        <v>-0.107735881399665</v>
      </c>
    </row>
    <row r="13">
      <c r="B13" s="3" t="inlineStr">
        <is>
          <t>POSM</t>
        </is>
      </c>
      <c r="C13" s="12" t="n">
        <v>0.4562211263</v>
      </c>
      <c r="D13" s="7">
        <f>IF(OR(C13="",C$5=""),"",C13/C$5)</f>
        <v>0.00038558465391553</v>
      </c>
      <c r="E13" s="12" t="n">
        <v>2.517847207650266</v>
      </c>
      <c r="F13" s="7">
        <f>IF(OR(E13="",E$5=""),"",E13/E$5)</f>
        <v>0.00223570067893533</v>
      </c>
      <c r="G13" s="6">
        <f>IF(OR(C13="",E13=""),"",C13-E13)</f>
        <v>-2.06162608135027</v>
      </c>
      <c r="H13" s="7">
        <f>IF(OR(D13="",F13=""),"",D13-F13)</f>
        <v>-0.0018501160250198</v>
      </c>
    </row>
    <row r="14">
      <c r="B14" s="3" t="inlineStr">
        <is>
          <t>Other</t>
        </is>
      </c>
      <c r="C14" s="12" t="n">
        <v>94.81179749866732</v>
      </c>
      <c r="D14" s="7">
        <f>IF(OR(C14="",C$5=""),"",C14/C$5)</f>
        <v>0.0801321377247955</v>
      </c>
      <c r="E14" s="12" t="n">
        <v>0</v>
      </c>
      <c r="F14" s="7">
        <f>IF(OR(E14="",E$5=""),"",E14/E$5)</f>
        <v>0</v>
      </c>
      <c r="G14" s="6">
        <f>IF(OR(C14="",E14=""),"",C14-E14)</f>
        <v>94.8117974986673</v>
      </c>
      <c r="H14" s="7">
        <f>IF(OR(D14="",F14=""),"",D14-F14)</f>
        <v>0.0801321377247955</v>
      </c>
    </row>
    <row r="15">
      <c r="B15" s="3" t="inlineStr">
        <is>
          <t>Кроссформатные пакеты</t>
        </is>
      </c>
      <c r="C15" s="12" t="n">
        <v>4.027369147199895</v>
      </c>
      <c r="D15" s="7">
        <f>IF(OR(C15="",C$5=""),"",C15/C$5)</f>
        <v>0.00340381374139173</v>
      </c>
      <c r="E15" s="12" t="n">
        <v>0</v>
      </c>
      <c r="F15" s="7">
        <f>IF(OR(E15="",E$5=""),"",E15/E$5)</f>
        <v>0</v>
      </c>
      <c r="G15" s="6">
        <f>IF(OR(C15="",E15=""),"",C15-E15)</f>
        <v>4.0273691471999</v>
      </c>
      <c r="H15" s="7">
        <f>IF(OR(D15="",F15=""),"",D15-F15)</f>
        <v>0.00340381374139173</v>
      </c>
    </row>
    <row r="16">
      <c r="B16" s="3" t="inlineStr">
        <is>
          <t>Direct cost</t>
        </is>
      </c>
      <c r="C16" s="12" t="n">
        <v>-0.92785226</v>
      </c>
      <c r="D16" s="7">
        <f>IF(OR(C16="",C$5=""),"",C16/C$5)</f>
        <v>-0.000784193392047312</v>
      </c>
      <c r="E16" s="12" t="n">
        <v>-34.76580062790342</v>
      </c>
      <c r="F16" s="7">
        <f>IF(OR(E16="",E$5=""),"",E16/E$5)</f>
        <v>-0.0308699923614786</v>
      </c>
      <c r="G16" s="6">
        <f>IF(OR(C16="",E16=""),"",C16-E16)</f>
        <v>33.8379483679034</v>
      </c>
      <c r="H16" s="7">
        <f>IF(OR(D16="",F16=""),"",D16-F16)</f>
        <v>0.0300857989694313</v>
      </c>
    </row>
    <row r="17">
      <c r="B17" s="3" t="inlineStr">
        <is>
          <t>PEX</t>
        </is>
      </c>
      <c r="C17" s="12" t="n">
        <v>62.45640569528666</v>
      </c>
      <c r="D17" s="7">
        <f>IF(OR(C17="",C$5=""),"",C17/C$5)</f>
        <v>0.052786313887159</v>
      </c>
      <c r="E17" s="12" t="n">
        <v>-111.5102827511398</v>
      </c>
      <c r="F17" s="7">
        <f>IF(OR(E17="",E$5=""),"",E17/E$5)</f>
        <v>-0.0990145923459954</v>
      </c>
      <c r="G17" s="6">
        <f>IF(OR(C17="",E17=""),"",C17-E17)</f>
        <v>173.966688446426</v>
      </c>
      <c r="H17" s="7">
        <f>IF(OR(D17="",F17=""),"",D17-F17)</f>
        <v>0.151800906233154</v>
      </c>
    </row>
    <row r="18">
      <c r="B18" s="3" t="inlineStr">
        <is>
          <t>Other PEX</t>
        </is>
      </c>
      <c r="C18" s="12" t="n">
        <v>-0.211306162631583</v>
      </c>
      <c r="D18" s="7">
        <f>IF(OR(C18="",C$5=""),"",C18/C$5)</f>
        <v>-0.000178589742762023</v>
      </c>
      <c r="E18" s="12" t="n">
        <v>-4.338633914614581</v>
      </c>
      <c r="F18" s="7">
        <f>IF(OR(E18="",E$5=""),"",E18/E$5)</f>
        <v>-0.00385245250747678</v>
      </c>
      <c r="G18" s="6">
        <f>IF(OR(C18="",E18=""),"",C18-E18)</f>
        <v>4.127327751983</v>
      </c>
      <c r="H18" s="7">
        <f>IF(OR(D18="",F18=""),"",D18-F18)</f>
        <v>0.00367386276471476</v>
      </c>
    </row>
    <row r="19">
      <c r="B19" s="3" t="inlineStr">
        <is>
          <t>Marketing</t>
        </is>
      </c>
      <c r="C19" s="12" t="n">
        <v>-105.089188</v>
      </c>
      <c r="D19" s="7">
        <f>IF(OR(C19="",C$5=""),"",C19/C$5)</f>
        <v>-0.0888182853649757</v>
      </c>
      <c r="E19" s="12" t="n">
        <v>-348.7503381372806</v>
      </c>
      <c r="F19" s="7">
        <f>IF(OR(E19="",E$5=""),"",E19/E$5)</f>
        <v>-0.309669850252783</v>
      </c>
      <c r="G19" s="6">
        <f>IF(OR(C19="",E19=""),"",C19-E19)</f>
        <v>243.661150137281</v>
      </c>
      <c r="H19" s="7">
        <f>IF(OR(D19="",F19=""),"",D19-F19)</f>
        <v>0.220851564887807</v>
      </c>
    </row>
    <row r="20">
      <c r="B20" s="3" t="inlineStr">
        <is>
          <t>IT</t>
        </is>
      </c>
      <c r="C20" s="12" t="n">
        <v>-3.887514700000001</v>
      </c>
      <c r="D20" s="7">
        <f>IF(OR(C20="",C$5=""),"",C20/C$5)</f>
        <v>-0.00328561288326957</v>
      </c>
      <c r="E20" s="12" t="n">
        <v>-1.28350724</v>
      </c>
      <c r="F20" s="7">
        <f>IF(OR(E20="",E$5=""),"",E20/E$5)</f>
        <v>-0.00113967916685634</v>
      </c>
      <c r="G20" s="6">
        <f>IF(OR(C20="",E20=""),"",C20-E20)</f>
        <v>-2.60400746</v>
      </c>
      <c r="H20" s="7">
        <f>IF(OR(D20="",F20=""),"",D20-F20)</f>
        <v>-0.00214593371641323</v>
      </c>
    </row>
    <row r="21">
      <c r="B21" s="3" t="inlineStr">
        <is>
          <t>Other OPEX</t>
        </is>
      </c>
      <c r="C21" s="12" t="n">
        <v>-9.12317528</v>
      </c>
      <c r="D21" s="7">
        <f>IF(OR(C21="",C$5=""),"",C21/C$5)</f>
        <v>-0.00771063894274007</v>
      </c>
      <c r="E21" s="12" t="n">
        <v>-5.04728405703625</v>
      </c>
      <c r="F21" s="7">
        <f>IF(OR(E21="",E$5=""),"",E21/E$5)</f>
        <v>-0.00448169228013887</v>
      </c>
      <c r="G21" s="6">
        <f>IF(OR(C21="",E21=""),"",C21-E21)</f>
        <v>-4.07589122296375</v>
      </c>
      <c r="H21" s="7">
        <f>IF(OR(D21="",F21=""),"",D21-F21)</f>
        <v>-0.0032289466626012</v>
      </c>
    </row>
    <row r="22">
      <c r="B22" s="8" t="inlineStr">
        <is>
          <t>EBITDA</t>
        </is>
      </c>
      <c r="C22" s="9">
        <f>IF(C5="","",C5+SUM(C16:C21))</f>
        <v>1126.41053236897</v>
      </c>
      <c r="D22" s="10">
        <f>IF(OR(C22="",C$5=""),"",C22/C$5)</f>
        <v>0.952008993561364</v>
      </c>
      <c r="E22" s="9">
        <f>IF(E5="","",E5+SUM(E16:E21))</f>
        <v>620.504646644553</v>
      </c>
      <c r="F22" s="10">
        <f>IF(OR(E22="",E$5=""),"",E22/E$5)</f>
        <v>0.550971741085271</v>
      </c>
      <c r="G22" s="9">
        <f>IF(OR(C22="",E22=""),"",C22-E22)</f>
        <v>505.905885724412</v>
      </c>
      <c r="H22" s="10">
        <f>IF(OR(D22="",F22=""),"",D22-F22)</f>
        <v>0.401037252476093</v>
      </c>
      <c r="I22" s="11" t="n"/>
    </row>
  </sheetData>
  <mergeCells count="4">
    <mergeCell ref="C3:D3"/>
    <mergeCell ref="C2:H2"/>
    <mergeCell ref="E3:F3"/>
    <mergeCell ref="G3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3" customWidth="1" min="4" max="4"/>
    <col width="13" customWidth="1" min="5" max="5"/>
    <col width="3" customWidth="1" min="6" max="6"/>
    <col width="60" customWidth="1" min="7" max="7"/>
  </cols>
  <sheetData>
    <row r="1">
      <c r="B1" s="13" t="inlineStr">
        <is>
          <t>ACT</t>
        </is>
      </c>
      <c r="C1" s="13" t="inlineStr">
        <is>
          <t>9+3</t>
        </is>
      </c>
      <c r="E1" s="13" t="inlineStr">
        <is>
          <t>ACT VS 9+3</t>
        </is>
      </c>
    </row>
    <row r="2">
      <c r="A2" s="14" t="inlineStr">
        <is>
          <t>P&amp;L, млн руб.</t>
        </is>
      </c>
      <c r="B2" s="13" t="inlineStr">
        <is>
          <t>Oct 26</t>
        </is>
      </c>
      <c r="C2" s="13" t="inlineStr">
        <is>
          <t>Oct 26</t>
        </is>
      </c>
      <c r="E2" s="13" t="inlineStr">
        <is>
          <t>Oct 26</t>
        </is>
      </c>
      <c r="G2" s="14" t="inlineStr">
        <is>
          <t>Комментарий</t>
        </is>
      </c>
    </row>
    <row r="3">
      <c r="A3" s="15" t="inlineStr">
        <is>
          <t xml:space="preserve">   APP</t>
        </is>
      </c>
      <c r="B3" s="16" t="n"/>
      <c r="C3" s="16" t="n">
        <v>560.9270533317836</v>
      </c>
      <c r="E3" s="17" t="str">
        <f>IF(OR(B3="",C3=""),"",B3-C3)</f>
        <v/>
      </c>
    </row>
    <row r="4">
      <c r="A4" s="15" t="inlineStr">
        <is>
          <t xml:space="preserve">   MIP</t>
        </is>
      </c>
      <c r="B4" s="16" t="n"/>
      <c r="C4" s="16" t="n">
        <v>0.8161642691504949</v>
      </c>
      <c r="E4" s="17" t="str">
        <f>IF(OR(B4="",C4=""),"",B4-C4)</f>
        <v/>
      </c>
    </row>
    <row r="5">
      <c r="A5" s="15" t="inlineStr">
        <is>
          <t xml:space="preserve">   Magnit Market</t>
        </is>
      </c>
      <c r="B5" s="16" t="n"/>
      <c r="C5" s="16" t="n">
        <v>0.4493674666666666</v>
      </c>
      <c r="E5" s="17" t="str">
        <f>IF(OR(B5="",C5=""),"",B5-C5)</f>
        <v/>
      </c>
    </row>
    <row r="6">
      <c r="A6" s="15" t="inlineStr">
        <is>
          <t xml:space="preserve">   DMP+ Analitycs</t>
        </is>
      </c>
      <c r="B6" s="16" t="n"/>
      <c r="C6" s="16" t="n">
        <v>5.009486757334861</v>
      </c>
      <c r="E6" s="17" t="str">
        <f>IF(OR(B6="",C6=""),"",B6-C6)</f>
        <v/>
      </c>
    </row>
    <row r="7">
      <c r="A7" s="15" t="inlineStr">
        <is>
          <t xml:space="preserve">   DMP+Online</t>
        </is>
      </c>
      <c r="B7" s="16" t="n"/>
      <c r="C7" s="16" t="n">
        <v>91.8189533006459</v>
      </c>
      <c r="E7" s="17" t="str">
        <f>IF(OR(B7="",C7=""),"",B7-C7)</f>
        <v/>
      </c>
    </row>
    <row r="8">
      <c r="A8" s="15" t="inlineStr">
        <is>
          <t xml:space="preserve">   Instore digital</t>
        </is>
      </c>
      <c r="B8" s="16" t="n"/>
      <c r="C8" s="16" t="n">
        <v>262.9077843671507</v>
      </c>
      <c r="E8" s="17" t="str">
        <f>IF(OR(B8="",C8=""),"",B8-C8)</f>
        <v/>
      </c>
    </row>
    <row r="9">
      <c r="A9" s="15" t="inlineStr">
        <is>
          <t xml:space="preserve">   Instore digital_2.0</t>
        </is>
      </c>
      <c r="B9" s="16" t="n"/>
      <c r="C9" s="16" t="n">
        <v>47.0922156328493</v>
      </c>
      <c r="E9" s="17" t="str">
        <f>IF(OR(B9="",C9=""),"",B9-C9)</f>
        <v/>
      </c>
    </row>
    <row r="10">
      <c r="A10" s="15" t="inlineStr">
        <is>
          <t xml:space="preserve">   POSM</t>
        </is>
      </c>
      <c r="B10" s="16" t="n"/>
      <c r="C10" s="16" t="n">
        <v>2.669920916416933</v>
      </c>
      <c r="E10" s="17" t="str">
        <f>IF(OR(B10="",C10=""),"",B10-C10)</f>
        <v/>
      </c>
    </row>
    <row r="11">
      <c r="A11" s="15" t="inlineStr">
        <is>
          <t xml:space="preserve">   Other</t>
        </is>
      </c>
      <c r="B11" s="16" t="n"/>
      <c r="C11" s="16" t="n">
        <v>0</v>
      </c>
      <c r="E11" s="17" t="str">
        <f>IF(OR(B11="",C11=""),"",B11-C11)</f>
        <v/>
      </c>
    </row>
    <row r="12">
      <c r="A12" s="15" t="inlineStr">
        <is>
          <t xml:space="preserve">   Кроссформатные пакеты</t>
        </is>
      </c>
      <c r="B12" s="16" t="n"/>
      <c r="C12" s="16" t="n">
        <v>0</v>
      </c>
      <c r="E12" s="17" t="str">
        <f>IF(OR(B12="",C12=""),"",B12-C12)</f>
        <v/>
      </c>
    </row>
    <row r="13">
      <c r="A13" s="14" t="inlineStr">
        <is>
          <t>Gross Revenue</t>
        </is>
      </c>
      <c r="B13" s="18" t="str">
        <f>IF(COUNT(B3:B12)=0,"",SUM(B3:B12))</f>
        <v/>
      </c>
      <c r="C13" s="18">
        <f>IF(COUNT(C3:C12)=0,"",SUM(C3:C12))</f>
        <v>971.690946041999</v>
      </c>
      <c r="E13" s="18" t="str">
        <f>IF(OR(B13="",C13=""),"",B13-C13)</f>
        <v/>
      </c>
    </row>
    <row r="14">
      <c r="A14" s="15" t="inlineStr">
        <is>
          <t>Direct cost</t>
        </is>
      </c>
      <c r="B14" s="16" t="n"/>
      <c r="C14" s="16" t="n">
        <v>-37.70803114927696</v>
      </c>
      <c r="E14" s="17" t="str">
        <f>IF(OR(B14="",C14=""),"",B14-C14)</f>
        <v/>
      </c>
    </row>
    <row r="15">
      <c r="A15" s="14" t="inlineStr">
        <is>
          <t>Gross Margin</t>
        </is>
      </c>
      <c r="B15" s="18" t="str">
        <f>IF(COUNT(B3:B12)=0,"",B13+B14)</f>
        <v/>
      </c>
      <c r="C15" s="18">
        <f>IF(COUNT(C3:C12)=0,"",C13+C14)</f>
        <v>933.982914892722</v>
      </c>
      <c r="E15" s="18" t="str">
        <f>IF(OR(B15="",C15=""),"",B15-C15)</f>
        <v/>
      </c>
    </row>
    <row r="16">
      <c r="A16" s="19" t="inlineStr">
        <is>
          <t>Gross Margin %</t>
        </is>
      </c>
      <c r="B16" s="20" t="str">
        <f>IF(COUNT(B3:B12)=0,"",B15/B13)</f>
        <v/>
      </c>
      <c r="C16" s="20">
        <f>IF(COUNT(C3:C12)=0,"",C15/C13)</f>
        <v>0.961193390446959</v>
      </c>
      <c r="E16" s="21" t="str">
        <f>IF(OR(B16="",C16=""),"",B16-C16)</f>
        <v/>
      </c>
    </row>
    <row r="17">
      <c r="A17" s="15" t="inlineStr">
        <is>
          <t>PEX</t>
        </is>
      </c>
      <c r="B17" s="16" t="n"/>
      <c r="C17" s="16" t="n">
        <v>-89.69432524517988</v>
      </c>
      <c r="E17" s="17" t="str">
        <f>IF(OR(B17="",C17=""),"",B17-C17)</f>
        <v/>
      </c>
    </row>
    <row r="18">
      <c r="A18" s="15" t="inlineStr">
        <is>
          <t>Other PEX</t>
        </is>
      </c>
      <c r="B18" s="16" t="n"/>
      <c r="C18" s="16" t="n">
        <v>-5.807323074236389</v>
      </c>
      <c r="E18" s="17" t="str">
        <f>IF(OR(B18="",C18=""),"",B18-C18)</f>
        <v/>
      </c>
    </row>
    <row r="19">
      <c r="A19" s="15" t="inlineStr">
        <is>
          <t>Marketing</t>
        </is>
      </c>
      <c r="B19" s="16" t="n"/>
      <c r="C19" s="16" t="n">
        <v>-101.4989479929699</v>
      </c>
      <c r="E19" s="17" t="str">
        <f>IF(OR(B19="",C19=""),"",B19-C19)</f>
        <v/>
      </c>
    </row>
    <row r="20">
      <c r="A20" s="15" t="inlineStr">
        <is>
          <t>IT</t>
        </is>
      </c>
      <c r="B20" s="16" t="n"/>
      <c r="C20" s="16" t="n">
        <v>-1.857987226666667</v>
      </c>
      <c r="E20" s="17" t="str">
        <f>IF(OR(B20="",C20=""),"",B20-C20)</f>
        <v/>
      </c>
    </row>
    <row r="21">
      <c r="A21" s="15" t="inlineStr">
        <is>
          <t>Other OPEX</t>
        </is>
      </c>
      <c r="B21" s="16" t="n"/>
      <c r="C21" s="16" t="n">
        <v>-5.649652706675969</v>
      </c>
      <c r="E21" s="17" t="str">
        <f>IF(OR(B21="",C21=""),"",B21-C21)</f>
        <v/>
      </c>
    </row>
    <row r="22">
      <c r="A22" s="14" t="inlineStr">
        <is>
          <t>OPEX</t>
        </is>
      </c>
      <c r="B22" s="18" t="str">
        <f>IF(COUNT(B3:B12)=0,"",SUM(B17:B21))</f>
        <v/>
      </c>
      <c r="C22" s="18">
        <f>IF(COUNT(C3:C12)=0,"",SUM(C17:C21))</f>
        <v>-204.508236245729</v>
      </c>
      <c r="E22" s="18" t="str">
        <f>IF(OR(B22="",C22=""),"",B22-C22)</f>
        <v/>
      </c>
    </row>
    <row r="23">
      <c r="A23" s="14" t="inlineStr">
        <is>
          <t>EBITDA</t>
        </is>
      </c>
      <c r="B23" s="18" t="str">
        <f>IF(COUNT(B3:B12)=0,"",B15+B22)</f>
        <v/>
      </c>
      <c r="C23" s="18">
        <f>IF(COUNT(C3:C12)=0,"",C15+C22)</f>
        <v>729.474678646993</v>
      </c>
      <c r="E23" s="18" t="str">
        <f>IF(OR(B23="",C23=""),"",B23-C23)</f>
        <v/>
      </c>
    </row>
    <row r="24">
      <c r="A24" s="19" t="inlineStr">
        <is>
          <t>EBITDA %</t>
        </is>
      </c>
      <c r="B24" s="20" t="str">
        <f>IF(COUNT(B3:B12)=0,"",B23/B13)</f>
        <v/>
      </c>
      <c r="C24" s="20">
        <f>IF(COUNT(C3:C12)=0,"",C23/C13)</f>
        <v>0.750727051248519</v>
      </c>
      <c r="E24" s="21" t="str">
        <f>IF(OR(B24="",C24=""),"",B24-C24)</f>
        <v/>
      </c>
    </row>
    <row r="25">
      <c r="A25" s="15" t="inlineStr">
        <is>
          <t>Capex</t>
        </is>
      </c>
      <c r="B25" s="16" t="n"/>
      <c r="C25" s="16" t="n">
        <v>-31.69605205991981</v>
      </c>
      <c r="E25" s="17" t="str">
        <f>IF(OR(B25="",C25=""),"",B25-C25)</f>
        <v/>
      </c>
    </row>
    <row r="26">
      <c r="A26" s="14" t="inlineStr">
        <is>
          <t>FCF</t>
        </is>
      </c>
      <c r="B26" s="18" t="str">
        <f>IF(COUNT(B3:B12)=0,"",B23+B25)</f>
        <v/>
      </c>
      <c r="C26" s="18">
        <f>IF(COUNT(C3:C12)=0,"",C23+C25)</f>
        <v>697.778626587073</v>
      </c>
      <c r="E26" s="18" t="str">
        <f>IF(OR(B26="",C26=""),"",B26-C26)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3" customWidth="1" min="4" max="4"/>
    <col width="13" customWidth="1" min="5" max="5"/>
    <col width="3" customWidth="1" min="6" max="6"/>
    <col width="60" customWidth="1" min="7" max="7"/>
  </cols>
  <sheetData>
    <row r="1">
      <c r="B1" s="13" t="inlineStr">
        <is>
          <t>ACT</t>
        </is>
      </c>
      <c r="C1" s="13" t="inlineStr">
        <is>
          <t>8+4</t>
        </is>
      </c>
      <c r="E1" s="13" t="inlineStr">
        <is>
          <t>ACT VS 8+4</t>
        </is>
      </c>
    </row>
    <row r="2">
      <c r="A2" s="14" t="inlineStr">
        <is>
          <t>P&amp;L, млн руб.</t>
        </is>
      </c>
      <c r="B2" s="13" t="inlineStr">
        <is>
          <t>Sep 26</t>
        </is>
      </c>
      <c r="C2" s="13" t="inlineStr">
        <is>
          <t>Sep 26</t>
        </is>
      </c>
      <c r="E2" s="13" t="inlineStr">
        <is>
          <t>Sep 26</t>
        </is>
      </c>
      <c r="G2" s="14" t="inlineStr">
        <is>
          <t>Комментарий</t>
        </is>
      </c>
    </row>
    <row r="3">
      <c r="A3" s="15" t="inlineStr">
        <is>
          <t xml:space="preserve">   APP</t>
        </is>
      </c>
      <c r="B3" s="16" t="n">
        <v>457.9899948830258</v>
      </c>
      <c r="C3" s="16" t="n">
        <v>765.3266055746036</v>
      </c>
      <c r="E3" s="17">
        <f>IF(OR(B3="",C3=""),"",B3-C3)</f>
        <v>-307.336610691578</v>
      </c>
    </row>
    <row r="4">
      <c r="A4" s="15" t="inlineStr">
        <is>
          <t xml:space="preserve">   MIP</t>
        </is>
      </c>
      <c r="B4" s="16" t="n">
        <v>0</v>
      </c>
      <c r="C4" s="16" t="n">
        <v>0.8416694025614481</v>
      </c>
      <c r="E4" s="17">
        <f>IF(OR(B4="",C4=""),"",B4-C4)</f>
        <v>-0.841669402561448</v>
      </c>
    </row>
    <row r="5">
      <c r="A5" s="15" t="inlineStr">
        <is>
          <t xml:space="preserve">   Magnit Market</t>
        </is>
      </c>
      <c r="B5" s="16" t="n">
        <v>0</v>
      </c>
      <c r="C5" s="16" t="n">
        <v>0.4634102</v>
      </c>
      <c r="E5" s="17">
        <f>IF(OR(B5="",C5=""),"",B5-C5)</f>
        <v>-0.4634102</v>
      </c>
    </row>
    <row r="6">
      <c r="A6" s="15" t="inlineStr">
        <is>
          <t xml:space="preserve">   DMP+ Analitycs</t>
        </is>
      </c>
      <c r="B6" s="16" t="n">
        <v>2.432515413</v>
      </c>
      <c r="C6" s="16" t="n">
        <v>4.861968791876576</v>
      </c>
      <c r="E6" s="17">
        <f>IF(OR(B6="",C6=""),"",B6-C6)</f>
        <v>-2.42945337887658</v>
      </c>
    </row>
    <row r="7">
      <c r="A7" s="15" t="inlineStr">
        <is>
          <t xml:space="preserve">   DMP+Online</t>
        </is>
      </c>
      <c r="B7" s="16" t="n">
        <v>201.6697008888079</v>
      </c>
      <c r="C7" s="16" t="n">
        <v>69.4795829801901</v>
      </c>
      <c r="E7" s="17">
        <f>IF(OR(B7="",C7=""),"",B7-C7)</f>
        <v>132.190117908618</v>
      </c>
    </row>
    <row r="8">
      <c r="A8" s="15" t="inlineStr">
        <is>
          <t xml:space="preserve">   Instore digital</t>
        </is>
      </c>
      <c r="B8" s="16" t="n">
        <v>421.8055641193091</v>
      </c>
      <c r="C8" s="16" t="n">
        <v>161.3772064294186</v>
      </c>
      <c r="E8" s="17">
        <f>IF(OR(B8="",C8=""),"",B8-C8)</f>
        <v>260.428357689891</v>
      </c>
    </row>
    <row r="9">
      <c r="A9" s="15" t="inlineStr">
        <is>
          <t xml:space="preserve">   Instore digital_2.0</t>
        </is>
      </c>
      <c r="B9" s="16" t="n">
        <v>0</v>
      </c>
      <c r="C9" s="16" t="n">
        <v>121.3322027862274</v>
      </c>
      <c r="E9" s="17">
        <f>IF(OR(B9="",C9=""),"",B9-C9)</f>
        <v>-121.332202786227</v>
      </c>
    </row>
    <row r="10">
      <c r="A10" s="15" t="inlineStr">
        <is>
          <t xml:space="preserve">   POSM</t>
        </is>
      </c>
      <c r="B10" s="16" t="n">
        <v>0.4562211263</v>
      </c>
      <c r="C10" s="16" t="n">
        <v>2.517847207650266</v>
      </c>
      <c r="E10" s="17">
        <f>IF(OR(B10="",C10=""),"",B10-C10)</f>
        <v>-2.06162608135027</v>
      </c>
    </row>
    <row r="11">
      <c r="A11" s="15" t="inlineStr">
        <is>
          <t xml:space="preserve">   Other</t>
        </is>
      </c>
      <c r="B11" s="16" t="n">
        <v>94.81179749866732</v>
      </c>
      <c r="C11" s="16" t="n">
        <v>0</v>
      </c>
      <c r="E11" s="17">
        <f>IF(OR(B11="",C11=""),"",B11-C11)</f>
        <v>94.8117974986673</v>
      </c>
    </row>
    <row r="12">
      <c r="A12" s="15" t="inlineStr">
        <is>
          <t xml:space="preserve">   Кроссформатные пакеты</t>
        </is>
      </c>
      <c r="B12" s="16" t="n">
        <v>4.027369147199895</v>
      </c>
      <c r="C12" s="16" t="n">
        <v>0</v>
      </c>
      <c r="E12" s="17">
        <f>IF(OR(B12="",C12=""),"",B12-C12)</f>
        <v>4.0273691471999</v>
      </c>
    </row>
    <row r="13">
      <c r="A13" s="14" t="inlineStr">
        <is>
          <t>Gross Revenue</t>
        </is>
      </c>
      <c r="B13" s="18">
        <f>IF(COUNT(B3:B12)=0,"",SUM(B3:B12))</f>
        <v>1183.19316307631</v>
      </c>
      <c r="C13" s="18">
        <f>IF(COUNT(C3:C12)=0,"",SUM(C3:C12))</f>
        <v>1126.20049337253</v>
      </c>
      <c r="E13" s="18">
        <f>IF(OR(B13="",C13=""),"",B13-C13)</f>
        <v>56.9926697037822</v>
      </c>
    </row>
    <row r="14">
      <c r="A14" s="15" t="inlineStr">
        <is>
          <t>Direct cost</t>
        </is>
      </c>
      <c r="B14" s="16" t="n">
        <v>-0.92785226</v>
      </c>
      <c r="C14" s="16" t="n">
        <v>-34.76580062790342</v>
      </c>
      <c r="E14" s="17">
        <f>IF(OR(B14="",C14=""),"",B14-C14)</f>
        <v>33.8379483679034</v>
      </c>
    </row>
    <row r="15">
      <c r="A15" s="14" t="inlineStr">
        <is>
          <t>Gross Margin</t>
        </is>
      </c>
      <c r="B15" s="18">
        <f>IF(COUNT(B3:B12)=0,"",B13+B14)</f>
        <v>1182.26531081631</v>
      </c>
      <c r="C15" s="18">
        <f>IF(COUNT(C3:C12)=0,"",C13+C14)</f>
        <v>1091.43469274462</v>
      </c>
      <c r="E15" s="18">
        <f>IF(OR(B15="",C15=""),"",B15-C15)</f>
        <v>90.8306180716857</v>
      </c>
    </row>
    <row r="16">
      <c r="A16" s="19" t="inlineStr">
        <is>
          <t>Gross Margin %</t>
        </is>
      </c>
      <c r="B16" s="20">
        <f>IF(COUNT(B3:B12)=0,"",B15/B13)</f>
        <v>0.999215806607953</v>
      </c>
      <c r="C16" s="20">
        <f>IF(COUNT(C3:C12)=0,"",C15/C13)</f>
        <v>0.969130007638521</v>
      </c>
      <c r="E16" s="21">
        <f>IF(OR(B16="",C16=""),"",B16-C16)</f>
        <v>0.0300857989694314</v>
      </c>
    </row>
    <row r="17">
      <c r="A17" s="15" t="inlineStr">
        <is>
          <t>PEX</t>
        </is>
      </c>
      <c r="B17" s="16" t="n">
        <v>62.45640569528666</v>
      </c>
      <c r="C17" s="16" t="n">
        <v>-111.5102827511398</v>
      </c>
      <c r="E17" s="17">
        <f>IF(OR(B17="",C17=""),"",B17-C17)</f>
        <v>173.966688446426</v>
      </c>
    </row>
    <row r="18">
      <c r="A18" s="15" t="inlineStr">
        <is>
          <t>Other PEX</t>
        </is>
      </c>
      <c r="B18" s="16" t="n">
        <v>-0.211306162631583</v>
      </c>
      <c r="C18" s="16" t="n">
        <v>-4.338633914614581</v>
      </c>
      <c r="E18" s="17">
        <f>IF(OR(B18="",C18=""),"",B18-C18)</f>
        <v>4.127327751983</v>
      </c>
    </row>
    <row r="19">
      <c r="A19" s="15" t="inlineStr">
        <is>
          <t>Marketing</t>
        </is>
      </c>
      <c r="B19" s="16" t="n">
        <v>-105.089188</v>
      </c>
      <c r="C19" s="16" t="n">
        <v>-348.7503381372806</v>
      </c>
      <c r="E19" s="17">
        <f>IF(OR(B19="",C19=""),"",B19-C19)</f>
        <v>243.661150137281</v>
      </c>
    </row>
    <row r="20">
      <c r="A20" s="15" t="inlineStr">
        <is>
          <t>IT</t>
        </is>
      </c>
      <c r="B20" s="16" t="n">
        <v>-3.887514700000001</v>
      </c>
      <c r="C20" s="16" t="n">
        <v>-1.28350724</v>
      </c>
      <c r="E20" s="17">
        <f>IF(OR(B20="",C20=""),"",B20-C20)</f>
        <v>-2.60400746</v>
      </c>
    </row>
    <row r="21">
      <c r="A21" s="15" t="inlineStr">
        <is>
          <t>Other OPEX</t>
        </is>
      </c>
      <c r="B21" s="16" t="n">
        <v>-9.12317528</v>
      </c>
      <c r="C21" s="16" t="n">
        <v>-5.04728405703625</v>
      </c>
      <c r="E21" s="17">
        <f>IF(OR(B21="",C21=""),"",B21-C21)</f>
        <v>-4.07589122296375</v>
      </c>
    </row>
    <row r="22">
      <c r="A22" s="14" t="inlineStr">
        <is>
          <t>OPEX</t>
        </is>
      </c>
      <c r="B22" s="18">
        <f>IF(COUNT(B3:B12)=0,"",SUM(B17:B21))</f>
        <v>-55.8547784473449</v>
      </c>
      <c r="C22" s="18">
        <f>IF(COUNT(C3:C12)=0,"",SUM(C17:C21))</f>
        <v>-470.930046100071</v>
      </c>
      <c r="E22" s="18">
        <f>IF(OR(B22="",C22=""),"",B22-C22)</f>
        <v>415.075267652726</v>
      </c>
    </row>
    <row r="23">
      <c r="A23" s="14" t="inlineStr">
        <is>
          <t>EBITDA</t>
        </is>
      </c>
      <c r="B23" s="18">
        <f>IF(COUNT(B3:B12)=0,"",B15+B22)</f>
        <v>1126.41053236897</v>
      </c>
      <c r="C23" s="18">
        <f>IF(COUNT(C3:C12)=0,"",C15+C22)</f>
        <v>620.504646644553</v>
      </c>
      <c r="E23" s="18">
        <f>IF(OR(B23="",C23=""),"",B23-C23)</f>
        <v>505.905885724412</v>
      </c>
    </row>
    <row r="24">
      <c r="A24" s="19" t="inlineStr">
        <is>
          <t>EBITDA %</t>
        </is>
      </c>
      <c r="B24" s="20">
        <f>IF(COUNT(B3:B12)=0,"",B23/B13)</f>
        <v>0.952008993561364</v>
      </c>
      <c r="C24" s="20">
        <f>IF(COUNT(C3:C12)=0,"",C23/C13)</f>
        <v>0.550971741085271</v>
      </c>
      <c r="E24" s="21">
        <f>IF(OR(B24="",C24=""),"",B24-C24)</f>
        <v>0.401037252476093</v>
      </c>
    </row>
    <row r="25">
      <c r="A25" s="15" t="inlineStr">
        <is>
          <t>Capex</t>
        </is>
      </c>
      <c r="B25" s="16" t="n">
        <v>-185.76541681</v>
      </c>
      <c r="C25" s="16" t="n">
        <v>-242.7097117168023</v>
      </c>
      <c r="E25" s="17">
        <f>IF(OR(B25="",C25=""),"",B25-C25)</f>
        <v>56.9442949068023</v>
      </c>
    </row>
    <row r="26">
      <c r="A26" s="14" t="inlineStr">
        <is>
          <t>FCF</t>
        </is>
      </c>
      <c r="B26" s="18">
        <f>IF(COUNT(B3:B12)=0,"",B23+B25)</f>
        <v>940.645115558965</v>
      </c>
      <c r="C26" s="18">
        <f>IF(COUNT(C3:C12)=0,"",C23+C25)</f>
        <v>377.794934927751</v>
      </c>
      <c r="E26" s="18">
        <f>IF(OR(B26="",C26=""),"",B26-C26)</f>
        <v>562.850180631214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2026-10-27T14:12:13Z</dcterms:created>
  <dcterms:modified xmlns:dcterms="http://purl.org/dc/terms/" xmlns:xsi="http://www.w3.org/2001/XMLSchema-instance" xsi:type="dcterms:W3CDTF">2026-10-27T14:12:13Z</dcterms:modified>
</cp:coreProperties>
</file>