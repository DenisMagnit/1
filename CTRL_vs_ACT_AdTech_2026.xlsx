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732" firstSheet="0" activeTab="0" autoFilterDateGrouping="1"/>
  </bookViews>
  <sheets>
    <sheet xmlns:r="http://schemas.openxmlformats.org/officeDocument/2006/relationships" name="AdTech 2026" sheetId="1" state="visible" r:id="rId1"/>
    <sheet xmlns:r="http://schemas.openxmlformats.org/officeDocument/2006/relationships" name="AdTech Октябрь" sheetId="2" state="visible" r:id="rId2"/>
    <sheet xmlns:r="http://schemas.openxmlformats.org/officeDocument/2006/relationships" name="AdTech Сентябрь" sheetId="3" state="visible" r:id="rId3"/>
    <sheet xmlns:r="http://schemas.openxmlformats.org/officeDocument/2006/relationships" name="Слайд" sheetId="4" state="visible" r:id="rId4"/>
    <sheet xmlns:r="http://schemas.openxmlformats.org/officeDocument/2006/relationships" name="CTRL Октябрь" sheetId="5" state="visible" r:id="rId5"/>
    <sheet xmlns:r="http://schemas.openxmlformats.org/officeDocument/2006/relationships" name="CTRL Сентябрь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,,"/>
    <numFmt numFmtId="165" formatCode="0.0%"/>
    <numFmt numFmtId="166" formatCode="_-* #,##0.00_-;\-* #,##0.00_-;_-* &quot;-&quot;??_-;_-@_-"/>
    <numFmt numFmtId="167" formatCode="_-* #,##0.00\ _₽_-;\-* #,##0.00\ _₽_-;_-* &quot;-&quot;??\ _₽_-;_-@_-"/>
  </numFmts>
  <fonts count="32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Arial"/>
      <charset val="204"/>
      <family val="2"/>
      <color rgb="FF000000"/>
      <sz val="10"/>
    </font>
    <font>
      <name val="Arial"/>
      <charset val="204"/>
      <family val="2"/>
      <b val="1"/>
      <color rgb="FF000000"/>
      <sz val="10"/>
    </font>
    <font>
      <name val="Calibri"/>
      <charset val="204"/>
      <family val="2"/>
      <b val="1"/>
      <sz val="11"/>
      <scheme val="minor"/>
    </font>
    <font>
      <name val="Calibri"/>
      <charset val="204"/>
      <family val="2"/>
      <i val="1"/>
      <color rgb="FFFF0000"/>
      <sz val="11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color rgb="FF000000"/>
      <sz val="11"/>
    </font>
    <font>
      <name val="Arial"/>
      <charset val="204"/>
      <family val="2"/>
      <b val="1"/>
      <sz val="10"/>
    </font>
    <font>
      <name val="Arial"/>
      <charset val="204"/>
      <family val="2"/>
      <b val="1"/>
      <color rgb="FFFFFFFF"/>
      <sz val="10"/>
    </font>
    <font>
      <name val="Arial"/>
      <charset val="204"/>
      <family val="2"/>
      <sz val="10"/>
    </font>
    <font>
      <name val="Arial"/>
      <charset val="204"/>
      <family val="2"/>
      <color rgb="FFC00000"/>
      <sz val="10"/>
    </font>
    <font>
      <name val="Arial"/>
      <charset val="204"/>
      <family val="2"/>
      <b val="1"/>
      <color rgb="FFC00000"/>
      <sz val="10"/>
    </font>
    <font>
      <name val="Calibri"/>
      <charset val="204"/>
      <family val="2"/>
      <color theme="1"/>
      <sz val="9"/>
      <scheme val="minor"/>
    </font>
    <font>
      <name val="Arial"/>
      <charset val="204"/>
      <family val="2"/>
      <b val="1"/>
      <i val="1"/>
      <color rgb="FFFFFFFF"/>
      <sz val="10"/>
    </font>
    <font>
      <name val="Arial"/>
      <charset val="204"/>
      <family val="2"/>
      <i val="1"/>
      <sz val="10"/>
    </font>
    <font>
      <name val="Arial"/>
      <charset val="204"/>
      <family val="2"/>
      <i val="1"/>
      <color rgb="FFC00000"/>
      <sz val="10"/>
    </font>
    <font>
      <name val="Arial"/>
      <charset val="204"/>
      <family val="2"/>
      <b val="1"/>
      <i val="1"/>
      <color rgb="FFC00000"/>
      <sz val="10"/>
    </font>
    <font>
      <name val="Arial"/>
      <charset val="204"/>
      <family val="2"/>
      <b val="1"/>
      <i val="1"/>
      <sz val="10"/>
    </font>
    <font>
      <name val="Arial"/>
      <charset val="204"/>
      <family val="2"/>
      <i val="1"/>
      <color rgb="FF000000"/>
      <sz val="10"/>
    </font>
    <font>
      <name val="Calibri"/>
      <charset val="204"/>
      <family val="2"/>
      <color rgb="FFFF0000"/>
      <sz val="11"/>
      <scheme val="minor"/>
    </font>
    <font>
      <name val="Calibri"/>
      <charset val="204"/>
      <family val="2"/>
      <i val="1"/>
      <color theme="5" tint="-0.249977111117893"/>
      <sz val="11"/>
      <scheme val="minor"/>
    </font>
    <font>
      <name val="Calibri"/>
      <charset val="204"/>
      <family val="2"/>
      <b val="1"/>
      <i val="1"/>
      <color theme="1"/>
      <sz val="11"/>
      <scheme val="minor"/>
    </font>
    <font>
      <name val="Calibri"/>
      <charset val="204"/>
      <family val="2"/>
      <b val="1"/>
      <color rgb="FF000000"/>
      <sz val="11"/>
    </font>
    <font>
      <name val="Calibri"/>
      <charset val="204"/>
      <family val="2"/>
      <color theme="1"/>
      <sz val="11"/>
    </font>
    <font>
      <name val="Calibri"/>
      <charset val="204"/>
      <family val="2"/>
      <i val="1"/>
      <color rgb="FFFF0000"/>
      <sz val="11"/>
    </font>
    <font>
      <name val="Calibri"/>
      <charset val="204"/>
      <family val="2"/>
      <b val="1"/>
      <sz val="11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i val="1"/>
      <color rgb="FF3A3838"/>
      <sz val="10"/>
    </font>
    <font>
      <name val="Calibri"/>
      <charset val="204"/>
      <family val="2"/>
      <i val="1"/>
      <color theme="1"/>
      <sz val="11"/>
    </font>
  </fonts>
  <fills count="11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F2CC"/>
        <bgColor rgb="FF000000"/>
      </patternFill>
    </fill>
  </fills>
  <borders count="19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/>
      <top style="dotted">
        <color rgb="FF000000"/>
      </top>
      <bottom/>
      <diagonal/>
    </border>
    <border>
      <left/>
      <right/>
      <top/>
      <bottom style="dotted">
        <color rgb="FF000000"/>
      </bottom>
      <diagonal/>
    </border>
    <border>
      <left/>
      <right/>
      <top/>
      <bottom style="dotted">
        <color indexed="64"/>
      </bottom>
      <diagonal/>
    </border>
    <border>
      <left/>
      <right/>
      <top/>
      <bottom style="thin">
        <color rgb="FFC00000"/>
      </bottom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/>
      <top/>
      <bottom/>
      <diagonal/>
    </border>
    <border>
      <left/>
      <right/>
      <top style="hair">
        <color auto="1"/>
      </top>
      <bottom/>
      <diagonal/>
    </border>
  </borders>
  <cellStyleXfs count="23">
    <xf numFmtId="0" fontId="1" fillId="0" borderId="0"/>
    <xf numFmtId="9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4" fillId="0" borderId="0"/>
    <xf numFmtId="166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8" fillId="0" borderId="0"/>
    <xf numFmtId="0" fontId="15" fillId="0" borderId="0"/>
    <xf numFmtId="0" fontId="8" fillId="0" borderId="0"/>
    <xf numFmtId="167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1" fillId="0" borderId="0"/>
    <xf numFmtId="0" fontId="1" fillId="0" borderId="0"/>
    <xf numFmtId="0" fontId="4" fillId="0" borderId="0"/>
  </cellStyleXfs>
  <cellXfs count="229">
    <xf numFmtId="0" fontId="0" fillId="0" borderId="0" pivotButton="0" quotePrefix="0" xfId="0"/>
    <xf numFmtId="0" fontId="2" fillId="2" borderId="1" pivotButton="0" quotePrefix="0" xfId="0"/>
    <xf numFmtId="0" fontId="2" fillId="3" borderId="1" pivotButton="0" quotePrefix="0" xfId="0"/>
    <xf numFmtId="0" fontId="0" fillId="0" borderId="4" pivotButton="0" quotePrefix="0" xfId="0"/>
    <xf numFmtId="0" fontId="2" fillId="5" borderId="1" pivotButton="0" quotePrefix="0" xfId="0"/>
    <xf numFmtId="0" fontId="5" fillId="4" borderId="6" applyAlignment="1" pivotButton="0" quotePrefix="0" xfId="6">
      <alignment horizontal="left"/>
    </xf>
    <xf numFmtId="0" fontId="5" fillId="4" borderId="7" applyAlignment="1" pivotButton="0" quotePrefix="0" xfId="6">
      <alignment horizontal="left"/>
    </xf>
    <xf numFmtId="0" fontId="6" fillId="4" borderId="7" applyAlignment="1" pivotButton="0" quotePrefix="0" xfId="5">
      <alignment horizontal="left" vertical="top"/>
    </xf>
    <xf numFmtId="0" fontId="5" fillId="4" borderId="5" applyAlignment="1" pivotButton="0" quotePrefix="0" xfId="6">
      <alignment horizontal="left"/>
    </xf>
    <xf numFmtId="0" fontId="2" fillId="4" borderId="6" pivotButton="0" quotePrefix="0" xfId="0"/>
    <xf numFmtId="0" fontId="5" fillId="4" borderId="5" pivotButton="0" quotePrefix="0" xfId="6"/>
    <xf numFmtId="3" fontId="0" fillId="0" borderId="0" pivotButton="0" quotePrefix="0" xfId="0"/>
    <xf numFmtId="0" fontId="0" fillId="0" borderId="0" pivotButton="0" quotePrefix="0" xfId="0"/>
    <xf numFmtId="0" fontId="9" fillId="0" borderId="0" pivotButton="0" quotePrefix="0" xfId="0"/>
    <xf numFmtId="0" fontId="10" fillId="0" borderId="11" applyAlignment="1" pivotButton="0" quotePrefix="0" xfId="9">
      <alignment horizontal="left" vertical="center" wrapText="1"/>
    </xf>
    <xf numFmtId="3" fontId="12" fillId="0" borderId="12" applyAlignment="1" pivotButton="0" quotePrefix="0" xfId="9">
      <alignment horizontal="left" vertical="center" wrapText="1"/>
    </xf>
    <xf numFmtId="3" fontId="12" fillId="0" borderId="0" applyAlignment="1" pivotButton="0" quotePrefix="0" xfId="9">
      <alignment horizontal="left" vertical="center" wrapText="1" indent="3"/>
    </xf>
    <xf numFmtId="0" fontId="13" fillId="0" borderId="0" applyAlignment="1" pivotButton="0" quotePrefix="0" xfId="9">
      <alignment horizontal="left" vertical="center" wrapText="1"/>
    </xf>
    <xf numFmtId="3" fontId="12" fillId="0" borderId="0" applyAlignment="1" pivotButton="0" quotePrefix="0" xfId="9">
      <alignment horizontal="left" vertical="center" wrapText="1"/>
    </xf>
    <xf numFmtId="3" fontId="14" fillId="0" borderId="0" applyAlignment="1" pivotButton="0" quotePrefix="0" xfId="9">
      <alignment horizontal="left" vertical="center" wrapText="1"/>
    </xf>
    <xf numFmtId="0" fontId="14" fillId="0" borderId="13" applyAlignment="1" pivotButton="0" quotePrefix="0" xfId="9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14" fillId="0" borderId="0" applyAlignment="1" pivotButton="0" quotePrefix="0" xfId="10">
      <alignment horizontal="left" vertical="center" wrapText="1"/>
    </xf>
    <xf numFmtId="0" fontId="13" fillId="0" borderId="13" applyAlignment="1" pivotButton="0" quotePrefix="0" xfId="9">
      <alignment horizontal="left" vertical="center" wrapText="1"/>
    </xf>
    <xf numFmtId="3" fontId="12" fillId="0" borderId="0" applyAlignment="1" pivotButton="0" quotePrefix="0" xfId="9">
      <alignment horizontal="left" vertical="center" wrapText="1" indent="1"/>
    </xf>
    <xf numFmtId="0" fontId="13" fillId="0" borderId="0" applyAlignment="1" pivotButton="0" quotePrefix="0" xfId="9">
      <alignment horizontal="left" vertical="center" wrapText="1" indent="1"/>
    </xf>
    <xf numFmtId="0" fontId="13" fillId="0" borderId="14" applyAlignment="1" pivotButton="0" quotePrefix="0" xfId="9">
      <alignment horizontal="left" vertical="center" wrapText="1"/>
    </xf>
    <xf numFmtId="0" fontId="12" fillId="0" borderId="0" applyAlignment="1" pivotButton="0" quotePrefix="0" xfId="9">
      <alignment horizontal="left" vertical="center" wrapText="1"/>
    </xf>
    <xf numFmtId="0" fontId="14" fillId="0" borderId="15" applyAlignment="1" pivotButton="0" quotePrefix="0" xfId="9">
      <alignment horizontal="left" vertical="center" wrapText="1"/>
    </xf>
    <xf numFmtId="0" fontId="11" fillId="6" borderId="11" applyAlignment="1" pivotButton="0" quotePrefix="0" xfId="0">
      <alignment horizontal="center" vertical="center" wrapText="1"/>
    </xf>
    <xf numFmtId="3" fontId="12" fillId="0" borderId="12" applyAlignment="1" pivotButton="0" quotePrefix="0" xfId="9">
      <alignment horizontal="left" vertical="center" wrapText="1" indent="3"/>
    </xf>
    <xf numFmtId="3" fontId="12" fillId="0" borderId="13" applyAlignment="1" pivotButton="0" quotePrefix="0" xfId="9">
      <alignment horizontal="left" vertical="center" wrapText="1" indent="3"/>
    </xf>
    <xf numFmtId="0" fontId="16" fillId="6" borderId="11" applyAlignment="1" pivotButton="0" quotePrefix="0" xfId="0">
      <alignment horizontal="center" vertical="center" wrapText="1"/>
    </xf>
    <xf numFmtId="164" fontId="12" fillId="0" borderId="0" applyAlignment="1" pivotButton="0" quotePrefix="0" xfId="9">
      <alignment horizontal="center" vertical="center" wrapText="1"/>
    </xf>
    <xf numFmtId="164" fontId="17" fillId="0" borderId="0" applyAlignment="1" pivotButton="0" quotePrefix="0" xfId="9">
      <alignment horizontal="center" vertical="center" wrapText="1"/>
    </xf>
    <xf numFmtId="164" fontId="12" fillId="2" borderId="0" applyAlignment="1" pivotButton="0" quotePrefix="0" xfId="9">
      <alignment horizontal="center" vertical="center" wrapText="1"/>
    </xf>
    <xf numFmtId="164" fontId="17" fillId="2" borderId="0" applyAlignment="1" pivotButton="0" quotePrefix="0" xfId="9">
      <alignment horizontal="center" vertical="center" wrapText="1"/>
    </xf>
    <xf numFmtId="164" fontId="13" fillId="4" borderId="0" applyAlignment="1" pivotButton="0" quotePrefix="0" xfId="9">
      <alignment horizontal="center" vertical="center" wrapText="1"/>
    </xf>
    <xf numFmtId="164" fontId="18" fillId="4" borderId="0" applyAlignment="1" pivotButton="0" quotePrefix="0" xfId="9">
      <alignment horizontal="center" vertical="center" wrapText="1"/>
    </xf>
    <xf numFmtId="164" fontId="14" fillId="4" borderId="0" applyAlignment="1" pivotButton="0" quotePrefix="0" xfId="9">
      <alignment horizontal="center" vertical="center" wrapText="1"/>
    </xf>
    <xf numFmtId="164" fontId="19" fillId="4" borderId="0" applyAlignment="1" pivotButton="0" quotePrefix="0" xfId="9">
      <alignment horizontal="center" vertical="center" wrapText="1"/>
    </xf>
    <xf numFmtId="164" fontId="10" fillId="4" borderId="0" applyAlignment="1" pivotButton="0" quotePrefix="0" xfId="9">
      <alignment horizontal="center" vertical="center" wrapText="1"/>
    </xf>
    <xf numFmtId="164" fontId="20" fillId="4" borderId="0" applyAlignment="1" pivotButton="0" quotePrefix="0" xfId="9">
      <alignment horizontal="center" vertical="center" wrapText="1"/>
    </xf>
    <xf numFmtId="164" fontId="12" fillId="4" borderId="0" applyAlignment="1" pivotButton="0" quotePrefix="0" xfId="9">
      <alignment horizontal="center" vertical="center" wrapText="1"/>
    </xf>
    <xf numFmtId="164" fontId="17" fillId="4" borderId="0" applyAlignment="1" pivotButton="0" quotePrefix="0" xfId="9">
      <alignment horizontal="center" vertical="center" wrapText="1"/>
    </xf>
    <xf numFmtId="164" fontId="14" fillId="4" borderId="15" applyAlignment="1" pivotButton="0" quotePrefix="0" xfId="9">
      <alignment horizontal="center" vertical="center" wrapText="1"/>
    </xf>
    <xf numFmtId="164" fontId="19" fillId="4" borderId="15" applyAlignment="1" pivotButton="0" quotePrefix="0" xfId="9">
      <alignment horizontal="center" vertical="center" wrapText="1"/>
    </xf>
    <xf numFmtId="0" fontId="21" fillId="4" borderId="7" applyAlignment="1" pivotButton="0" quotePrefix="0" xfId="6">
      <alignment horizontal="left" indent="1"/>
    </xf>
    <xf numFmtId="0" fontId="0" fillId="0" borderId="4" applyAlignment="1" pivotButton="0" quotePrefix="0" xfId="0">
      <alignment wrapText="1"/>
    </xf>
    <xf numFmtId="164" fontId="0" fillId="0" borderId="6" applyAlignment="1" pivotButton="0" quotePrefix="0" xfId="0">
      <alignment horizontal="right" vertical="center"/>
    </xf>
    <xf numFmtId="9" fontId="0" fillId="0" borderId="8" applyAlignment="1" pivotButton="0" quotePrefix="0" xfId="1">
      <alignment horizontal="right" vertical="center"/>
    </xf>
    <xf numFmtId="164" fontId="7" fillId="0" borderId="6" applyAlignment="1" pivotButton="0" quotePrefix="0" xfId="0">
      <alignment horizontal="right" vertical="center"/>
    </xf>
    <xf numFmtId="165" fontId="7" fillId="0" borderId="8" applyAlignment="1" pivotButton="0" quotePrefix="0" xfId="0">
      <alignment horizontal="right" vertical="center"/>
    </xf>
    <xf numFmtId="164" fontId="0" fillId="0" borderId="7" applyAlignment="1" pivotButton="0" quotePrefix="0" xfId="0">
      <alignment horizontal="right" vertical="center"/>
    </xf>
    <xf numFmtId="165" fontId="0" fillId="0" borderId="9" applyAlignment="1" pivotButton="0" quotePrefix="0" xfId="1">
      <alignment horizontal="right" vertical="center"/>
    </xf>
    <xf numFmtId="164" fontId="7" fillId="0" borderId="7" applyAlignment="1" pivotButton="0" quotePrefix="0" xfId="0">
      <alignment horizontal="right" vertical="center"/>
    </xf>
    <xf numFmtId="165" fontId="7" fillId="0" borderId="9" applyAlignment="1" pivotButton="0" quotePrefix="0" xfId="0">
      <alignment horizontal="right" vertical="center"/>
    </xf>
    <xf numFmtId="164" fontId="0" fillId="0" borderId="5" applyAlignment="1" pivotButton="0" quotePrefix="0" xfId="0">
      <alignment horizontal="right" vertical="center"/>
    </xf>
    <xf numFmtId="165" fontId="0" fillId="0" borderId="10" applyAlignment="1" pivotButton="0" quotePrefix="0" xfId="1">
      <alignment horizontal="right" vertical="center"/>
    </xf>
    <xf numFmtId="164" fontId="7" fillId="0" borderId="5" applyAlignment="1" pivotButton="0" quotePrefix="0" xfId="0">
      <alignment horizontal="right" vertical="center"/>
    </xf>
    <xf numFmtId="165" fontId="7" fillId="0" borderId="10" applyAlignment="1" pivotButton="0" quotePrefix="0" xfId="0">
      <alignment horizontal="right" vertical="center"/>
    </xf>
    <xf numFmtId="0" fontId="0" fillId="0" borderId="0" pivotButton="0" quotePrefix="1" xfId="0"/>
    <xf numFmtId="0" fontId="5" fillId="4" borderId="0" applyAlignment="1" pivotButton="0" quotePrefix="0" xfId="6">
      <alignment horizontal="left"/>
    </xf>
    <xf numFmtId="164" fontId="7" fillId="0" borderId="0" applyAlignment="1" pivotButton="0" quotePrefix="0" xfId="0">
      <alignment horizontal="right" vertical="center"/>
    </xf>
    <xf numFmtId="0" fontId="0" fillId="4" borderId="0" pivotButton="0" quotePrefix="0" xfId="0"/>
    <xf numFmtId="164" fontId="7" fillId="4" borderId="0" applyAlignment="1" pivotButton="0" quotePrefix="0" xfId="0">
      <alignment horizontal="right" vertical="center"/>
    </xf>
    <xf numFmtId="0" fontId="5" fillId="4" borderId="6" applyAlignment="1" pivotButton="0" quotePrefix="0" xfId="6">
      <alignment horizontal="left" vertical="center"/>
    </xf>
    <xf numFmtId="0" fontId="5" fillId="4" borderId="7" applyAlignment="1" pivotButton="0" quotePrefix="0" xfId="6">
      <alignment horizontal="left" vertical="center"/>
    </xf>
    <xf numFmtId="0" fontId="10" fillId="4" borderId="7" applyAlignment="1" pivotButton="0" quotePrefix="0" xfId="5">
      <alignment horizontal="left" vertical="center"/>
    </xf>
    <xf numFmtId="0" fontId="5" fillId="4" borderId="5" applyAlignment="1" pivotButton="0" quotePrefix="0" xfId="6">
      <alignment horizontal="left" vertical="center"/>
    </xf>
    <xf numFmtId="0" fontId="23" fillId="0" borderId="0" pivotButton="0" quotePrefix="0" xfId="0"/>
    <xf numFmtId="164" fontId="23" fillId="0" borderId="17" pivotButton="0" quotePrefix="0" xfId="0"/>
    <xf numFmtId="164" fontId="0" fillId="0" borderId="17" pivotButton="0" quotePrefix="0" xfId="0"/>
    <xf numFmtId="164" fontId="23" fillId="0" borderId="0" pivotButton="0" quotePrefix="0" xfId="0"/>
    <xf numFmtId="164" fontId="0" fillId="0" borderId="0" pivotButton="0" quotePrefix="0" xfId="0"/>
    <xf numFmtId="164" fontId="24" fillId="0" borderId="0" pivotButton="0" quotePrefix="0" xfId="0"/>
    <xf numFmtId="164" fontId="0" fillId="0" borderId="7" applyAlignment="1" pivotButton="0" quotePrefix="0" xfId="0">
      <alignment horizontal="right" vertical="center"/>
    </xf>
    <xf numFmtId="0" fontId="3" fillId="0" borderId="0" applyAlignment="1" pivotButton="0" quotePrefix="0" xfId="5">
      <alignment horizontal="center" vertical="top"/>
    </xf>
    <xf numFmtId="0" fontId="4" fillId="0" borderId="0" pivotButton="0" quotePrefix="0" xfId="6"/>
    <xf numFmtId="0" fontId="4" fillId="0" borderId="0" pivotButton="0" quotePrefix="0" xfId="6"/>
    <xf numFmtId="0" fontId="5" fillId="0" borderId="0" pivotButton="0" quotePrefix="0" xfId="6"/>
    <xf numFmtId="166" fontId="1" fillId="0" borderId="0" pivotButton="0" quotePrefix="0" xfId="20"/>
    <xf numFmtId="164" fontId="1" fillId="0" borderId="0" pivotButton="0" quotePrefix="0" xfId="8"/>
    <xf numFmtId="0" fontId="25" fillId="7" borderId="6" pivotButton="0" quotePrefix="0" xfId="0"/>
    <xf numFmtId="0" fontId="26" fillId="0" borderId="0" pivotButton="0" quotePrefix="0" xfId="0"/>
    <xf numFmtId="0" fontId="5" fillId="7" borderId="5" pivotButton="0" quotePrefix="0" xfId="6"/>
    <xf numFmtId="0" fontId="25" fillId="8" borderId="1" pivotButton="0" quotePrefix="0" xfId="0"/>
    <xf numFmtId="0" fontId="25" fillId="9" borderId="1" pivotButton="0" quotePrefix="0" xfId="0"/>
    <xf numFmtId="0" fontId="25" fillId="10" borderId="1" pivotButton="0" quotePrefix="0" xfId="0"/>
    <xf numFmtId="0" fontId="5" fillId="7" borderId="6" applyAlignment="1" pivotButton="0" quotePrefix="0" xfId="6">
      <alignment horizontal="left"/>
    </xf>
    <xf numFmtId="164" fontId="26" fillId="0" borderId="6" pivotButton="0" quotePrefix="0" xfId="0"/>
    <xf numFmtId="9" fontId="26" fillId="0" borderId="8" pivotButton="0" quotePrefix="0" xfId="1"/>
    <xf numFmtId="164" fontId="27" fillId="0" borderId="6" pivotButton="0" quotePrefix="0" xfId="0"/>
    <xf numFmtId="9" fontId="27" fillId="0" borderId="8" pivotButton="0" quotePrefix="0" xfId="0"/>
    <xf numFmtId="0" fontId="26" fillId="0" borderId="4" pivotButton="0" quotePrefix="0" xfId="0"/>
    <xf numFmtId="0" fontId="5" fillId="7" borderId="7" applyAlignment="1" pivotButton="0" quotePrefix="0" xfId="6">
      <alignment horizontal="left"/>
    </xf>
    <xf numFmtId="164" fontId="26" fillId="0" borderId="7" pivotButton="0" quotePrefix="0" xfId="0"/>
    <xf numFmtId="9" fontId="26" fillId="0" borderId="9" pivotButton="0" quotePrefix="0" xfId="1"/>
    <xf numFmtId="164" fontId="27" fillId="0" borderId="7" pivotButton="0" quotePrefix="0" xfId="0"/>
    <xf numFmtId="9" fontId="27" fillId="0" borderId="9" pivotButton="0" quotePrefix="0" xfId="0"/>
    <xf numFmtId="0" fontId="5" fillId="7" borderId="7" applyAlignment="1" pivotButton="0" quotePrefix="0" xfId="6">
      <alignment horizontal="left" vertical="center"/>
    </xf>
    <xf numFmtId="164" fontId="26" fillId="0" borderId="7" applyAlignment="1" pivotButton="0" quotePrefix="0" xfId="0">
      <alignment vertical="center"/>
    </xf>
    <xf numFmtId="9" fontId="26" fillId="0" borderId="9" applyAlignment="1" pivotButton="0" quotePrefix="0" xfId="1">
      <alignment vertical="center"/>
    </xf>
    <xf numFmtId="164" fontId="27" fillId="0" borderId="7" applyAlignment="1" pivotButton="0" quotePrefix="0" xfId="0">
      <alignment vertical="center"/>
    </xf>
    <xf numFmtId="9" fontId="27" fillId="0" borderId="9" applyAlignment="1" pivotButton="0" quotePrefix="0" xfId="0">
      <alignment vertical="center"/>
    </xf>
    <xf numFmtId="0" fontId="26" fillId="0" borderId="4" applyAlignment="1" pivotButton="0" quotePrefix="0" xfId="0">
      <alignment wrapText="1"/>
    </xf>
    <xf numFmtId="0" fontId="28" fillId="7" borderId="7" applyAlignment="1" pivotButton="0" quotePrefix="0" xfId="5">
      <alignment horizontal="left" vertical="top"/>
    </xf>
    <xf numFmtId="0" fontId="5" fillId="7" borderId="5" applyAlignment="1" pivotButton="0" quotePrefix="0" xfId="6">
      <alignment horizontal="left"/>
    </xf>
    <xf numFmtId="164" fontId="26" fillId="0" borderId="5" pivotButton="0" quotePrefix="0" xfId="0"/>
    <xf numFmtId="9" fontId="26" fillId="0" borderId="10" pivotButton="0" quotePrefix="0" xfId="1"/>
    <xf numFmtId="164" fontId="27" fillId="0" borderId="5" pivotButton="0" quotePrefix="0" xfId="0"/>
    <xf numFmtId="9" fontId="27" fillId="0" borderId="10" pivotButton="0" quotePrefix="0" xfId="0"/>
    <xf numFmtId="0" fontId="5" fillId="7" borderId="0" applyAlignment="1" pivotButton="0" quotePrefix="0" xfId="6">
      <alignment horizontal="left"/>
    </xf>
    <xf numFmtId="0" fontId="26" fillId="7" borderId="0" pivotButton="0" quotePrefix="0" xfId="0"/>
    <xf numFmtId="164" fontId="27" fillId="7" borderId="0" applyAlignment="1" pivotButton="0" quotePrefix="0" xfId="0">
      <alignment horizontal="right" vertical="center"/>
    </xf>
    <xf numFmtId="164" fontId="27" fillId="0" borderId="0" applyAlignment="1" pivotButton="0" quotePrefix="0" xfId="0">
      <alignment horizontal="right" vertical="center"/>
    </xf>
    <xf numFmtId="3" fontId="26" fillId="0" borderId="0" pivotButton="0" quotePrefix="0" xfId="0"/>
    <xf numFmtId="164" fontId="12" fillId="8" borderId="0" applyAlignment="1" pivotButton="0" quotePrefix="0" xfId="9">
      <alignment horizontal="center" vertical="center" wrapText="1"/>
    </xf>
    <xf numFmtId="164" fontId="17" fillId="8" borderId="0" applyAlignment="1" pivotButton="0" quotePrefix="0" xfId="9">
      <alignment horizontal="center" vertical="center" wrapText="1"/>
    </xf>
    <xf numFmtId="164" fontId="26" fillId="0" borderId="0" pivotButton="0" quotePrefix="0" xfId="0"/>
    <xf numFmtId="0" fontId="26" fillId="0" borderId="0" applyAlignment="1" pivotButton="0" quotePrefix="0" xfId="0">
      <alignment wrapText="1"/>
    </xf>
    <xf numFmtId="165" fontId="13" fillId="7" borderId="0" applyAlignment="1" pivotButton="0" quotePrefix="0" xfId="1">
      <alignment horizontal="center" vertical="center" wrapText="1"/>
    </xf>
    <xf numFmtId="165" fontId="26" fillId="0" borderId="0" pivotButton="0" quotePrefix="0" xfId="1"/>
    <xf numFmtId="165" fontId="18" fillId="7" borderId="0" applyAlignment="1" pivotButton="0" quotePrefix="0" xfId="1">
      <alignment horizontal="center" vertical="center" wrapText="1"/>
    </xf>
    <xf numFmtId="164" fontId="14" fillId="7" borderId="0" applyAlignment="1" pivotButton="0" quotePrefix="0" xfId="9">
      <alignment horizontal="center" vertical="center" wrapText="1"/>
    </xf>
    <xf numFmtId="164" fontId="19" fillId="7" borderId="0" applyAlignment="1" pivotButton="0" quotePrefix="0" xfId="9">
      <alignment horizontal="center" vertical="center" wrapText="1"/>
    </xf>
    <xf numFmtId="164" fontId="10" fillId="7" borderId="0" applyAlignment="1" pivotButton="0" quotePrefix="0" xfId="9">
      <alignment horizontal="center" vertical="center" wrapText="1"/>
    </xf>
    <xf numFmtId="164" fontId="20" fillId="7" borderId="0" applyAlignment="1" pivotButton="0" quotePrefix="0" xfId="9">
      <alignment horizontal="center" vertical="center" wrapText="1"/>
    </xf>
    <xf numFmtId="164" fontId="12" fillId="7" borderId="0" applyAlignment="1" pivotButton="0" quotePrefix="0" xfId="9">
      <alignment horizontal="center" vertical="center" wrapText="1"/>
    </xf>
    <xf numFmtId="164" fontId="17" fillId="7" borderId="0" applyAlignment="1" pivotButton="0" quotePrefix="0" xfId="9">
      <alignment horizontal="center" vertical="center" wrapText="1"/>
    </xf>
    <xf numFmtId="165" fontId="14" fillId="7" borderId="15" applyAlignment="1" pivotButton="0" quotePrefix="0" xfId="1">
      <alignment horizontal="center" vertical="center" wrapText="1"/>
    </xf>
    <xf numFmtId="165" fontId="19" fillId="7" borderId="15" applyAlignment="1" pivotButton="0" quotePrefix="0" xfId="1">
      <alignment horizontal="center" vertical="center" wrapText="1"/>
    </xf>
    <xf numFmtId="0" fontId="29" fillId="0" borderId="0" pivotButton="0" quotePrefix="0" xfId="0"/>
    <xf numFmtId="0" fontId="22" fillId="0" borderId="0" pivotButton="0" quotePrefix="0" xfId="0"/>
    <xf numFmtId="0" fontId="5" fillId="7" borderId="6" applyAlignment="1" pivotButton="0" quotePrefix="0" xfId="6">
      <alignment horizontal="left" vertical="center"/>
    </xf>
    <xf numFmtId="164" fontId="26" fillId="0" borderId="6" applyAlignment="1" pivotButton="0" quotePrefix="0" xfId="0">
      <alignment horizontal="right" vertical="center"/>
    </xf>
    <xf numFmtId="9" fontId="26" fillId="0" borderId="8" applyAlignment="1" pivotButton="0" quotePrefix="0" xfId="1">
      <alignment horizontal="right" vertical="center"/>
    </xf>
    <xf numFmtId="164" fontId="27" fillId="0" borderId="6" applyAlignment="1" pivotButton="0" quotePrefix="0" xfId="0">
      <alignment horizontal="right" vertical="center"/>
    </xf>
    <xf numFmtId="165" fontId="27" fillId="0" borderId="8" applyAlignment="1" pivotButton="0" quotePrefix="0" xfId="0">
      <alignment horizontal="right" vertical="center"/>
    </xf>
    <xf numFmtId="164" fontId="26" fillId="0" borderId="7" applyAlignment="1" pivotButton="0" quotePrefix="0" xfId="0">
      <alignment horizontal="right" vertical="center"/>
    </xf>
    <xf numFmtId="165" fontId="26" fillId="0" borderId="9" applyAlignment="1" pivotButton="0" quotePrefix="0" xfId="1">
      <alignment horizontal="right" vertical="center"/>
    </xf>
    <xf numFmtId="164" fontId="27" fillId="0" borderId="7" applyAlignment="1" pivotButton="0" quotePrefix="0" xfId="0">
      <alignment horizontal="right" vertical="center"/>
    </xf>
    <xf numFmtId="165" fontId="27" fillId="0" borderId="9" applyAlignment="1" pivotButton="0" quotePrefix="0" xfId="0">
      <alignment horizontal="right" vertical="center"/>
    </xf>
    <xf numFmtId="0" fontId="26" fillId="0" borderId="4" applyAlignment="1" pivotButton="0" quotePrefix="1" xfId="0">
      <alignment wrapText="1"/>
    </xf>
    <xf numFmtId="0" fontId="10" fillId="7" borderId="7" applyAlignment="1" pivotButton="0" quotePrefix="0" xfId="5">
      <alignment horizontal="left" vertical="center"/>
    </xf>
    <xf numFmtId="0" fontId="30" fillId="7" borderId="7" applyAlignment="1" pivotButton="0" quotePrefix="0" xfId="6">
      <alignment horizontal="left" vertical="center" indent="1"/>
    </xf>
    <xf numFmtId="0" fontId="5" fillId="7" borderId="5" applyAlignment="1" pivotButton="0" quotePrefix="0" xfId="6">
      <alignment horizontal="left" vertical="center"/>
    </xf>
    <xf numFmtId="164" fontId="26" fillId="0" borderId="5" applyAlignment="1" pivotButton="0" quotePrefix="0" xfId="0">
      <alignment horizontal="right" vertical="center"/>
    </xf>
    <xf numFmtId="165" fontId="26" fillId="0" borderId="10" applyAlignment="1" pivotButton="0" quotePrefix="0" xfId="1">
      <alignment horizontal="right" vertical="center"/>
    </xf>
    <xf numFmtId="164" fontId="27" fillId="0" borderId="5" applyAlignment="1" pivotButton="0" quotePrefix="0" xfId="0">
      <alignment horizontal="right" vertical="center"/>
    </xf>
    <xf numFmtId="165" fontId="27" fillId="0" borderId="10" applyAlignment="1" pivotButton="0" quotePrefix="0" xfId="0">
      <alignment horizontal="right" vertical="center"/>
    </xf>
    <xf numFmtId="0" fontId="26" fillId="0" borderId="0" pivotButton="0" quotePrefix="1" xfId="0"/>
    <xf numFmtId="164" fontId="13" fillId="7" borderId="0" applyAlignment="1" pivotButton="0" quotePrefix="0" xfId="9">
      <alignment horizontal="center" vertical="center" wrapText="1"/>
    </xf>
    <xf numFmtId="164" fontId="18" fillId="7" borderId="0" applyAlignment="1" pivotButton="0" quotePrefix="0" xfId="9">
      <alignment horizontal="center" vertical="center" wrapText="1"/>
    </xf>
    <xf numFmtId="9" fontId="14" fillId="7" borderId="15" applyAlignment="1" pivotButton="0" quotePrefix="0" xfId="1">
      <alignment horizontal="center" vertical="center" wrapText="1"/>
    </xf>
    <xf numFmtId="9" fontId="26" fillId="0" borderId="0" pivotButton="0" quotePrefix="0" xfId="1"/>
    <xf numFmtId="9" fontId="19" fillId="7" borderId="15" applyAlignment="1" pivotButton="0" quotePrefix="0" xfId="1">
      <alignment horizontal="center" vertical="center" wrapText="1"/>
    </xf>
    <xf numFmtId="165" fontId="7" fillId="0" borderId="0" applyAlignment="1" pivotButton="0" quotePrefix="0" xfId="0">
      <alignment horizontal="right" vertical="center"/>
    </xf>
    <xf numFmtId="165" fontId="7" fillId="0" borderId="16" applyAlignment="1" pivotButton="0" quotePrefix="0" xfId="0">
      <alignment horizontal="right" vertical="center"/>
    </xf>
    <xf numFmtId="0" fontId="21" fillId="4" borderId="7" applyAlignment="1" pivotButton="0" quotePrefix="0" xfId="6">
      <alignment horizontal="left"/>
    </xf>
    <xf numFmtId="0" fontId="26" fillId="0" borderId="0" pivotButton="0" quotePrefix="0" xfId="0"/>
    <xf numFmtId="0" fontId="26" fillId="0" borderId="0" pivotButton="0" quotePrefix="0" xfId="0"/>
    <xf numFmtId="164" fontId="31" fillId="0" borderId="6" applyAlignment="1" pivotButton="0" quotePrefix="0" xfId="0">
      <alignment horizontal="right" vertical="center"/>
    </xf>
    <xf numFmtId="164" fontId="31" fillId="0" borderId="7" applyAlignment="1" pivotButton="0" quotePrefix="0" xfId="0">
      <alignment horizontal="right" vertical="center"/>
    </xf>
    <xf numFmtId="164" fontId="31" fillId="0" borderId="5" applyAlignment="1" pivotButton="0" quotePrefix="0" xfId="0">
      <alignment horizontal="right" vertical="center"/>
    </xf>
    <xf numFmtId="165" fontId="26" fillId="0" borderId="0" pivotButton="0" quotePrefix="0" xfId="0"/>
    <xf numFmtId="0" fontId="26" fillId="0" borderId="0" pivotButton="0" quotePrefix="1" xfId="0"/>
    <xf numFmtId="164" fontId="29" fillId="0" borderId="5" applyAlignment="1" pivotButton="0" quotePrefix="0" xfId="0">
      <alignment horizontal="right" vertical="center"/>
    </xf>
    <xf numFmtId="0" fontId="0" fillId="0" borderId="16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2" fillId="2" borderId="3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25" fillId="8" borderId="2" applyAlignment="1" pivotButton="0" quotePrefix="0" xfId="0">
      <alignment horizontal="center"/>
    </xf>
    <xf numFmtId="0" fontId="25" fillId="8" borderId="3" applyAlignment="1" pivotButton="0" quotePrefix="0" xfId="0">
      <alignment horizontal="center"/>
    </xf>
    <xf numFmtId="0" fontId="25" fillId="9" borderId="2" applyAlignment="1" pivotButton="0" quotePrefix="0" xfId="0">
      <alignment horizontal="center"/>
    </xf>
    <xf numFmtId="0" fontId="25" fillId="9" borderId="3" applyAlignment="1" pivotButton="0" quotePrefix="0" xfId="0">
      <alignment horizontal="center"/>
    </xf>
    <xf numFmtId="0" fontId="26" fillId="10" borderId="1" applyAlignment="1" pivotButton="0" quotePrefix="0" xfId="0">
      <alignment horizontal="center"/>
    </xf>
    <xf numFmtId="0" fontId="26" fillId="0" borderId="16" applyAlignment="1" pivotButton="0" quotePrefix="0" xfId="0">
      <alignment horizontal="center"/>
    </xf>
    <xf numFmtId="0" fontId="0" fillId="0" borderId="16" pivotButton="0" quotePrefix="0" xfId="0"/>
    <xf numFmtId="0" fontId="1" fillId="0" borderId="0" pivotButton="0" quotePrefix="0" xfId="0"/>
    <xf numFmtId="0" fontId="25" fillId="8" borderId="1" applyAlignment="1" pivotButton="0" quotePrefix="0" xfId="0">
      <alignment horizontal="center"/>
    </xf>
    <xf numFmtId="0" fontId="0" fillId="0" borderId="3" pivotButton="0" quotePrefix="0" xfId="0"/>
    <xf numFmtId="0" fontId="25" fillId="9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164" fontId="26" fillId="0" borderId="6" pivotButton="0" quotePrefix="0" xfId="0"/>
    <xf numFmtId="164" fontId="27" fillId="0" borderId="6" pivotButton="0" quotePrefix="0" xfId="0"/>
    <xf numFmtId="164" fontId="0" fillId="0" borderId="6" applyAlignment="1" pivotButton="0" quotePrefix="0" xfId="0">
      <alignment horizontal="right" vertical="center"/>
    </xf>
    <xf numFmtId="164" fontId="7" fillId="0" borderId="6" applyAlignment="1" pivotButton="0" quotePrefix="0" xfId="0">
      <alignment horizontal="right" vertical="center"/>
    </xf>
    <xf numFmtId="165" fontId="7" fillId="0" borderId="8" applyAlignment="1" pivotButton="0" quotePrefix="0" xfId="0">
      <alignment horizontal="right" vertical="center"/>
    </xf>
    <xf numFmtId="164" fontId="26" fillId="0" borderId="7" pivotButton="0" quotePrefix="0" xfId="0"/>
    <xf numFmtId="164" fontId="27" fillId="0" borderId="7" pivotButton="0" quotePrefix="0" xfId="0"/>
    <xf numFmtId="164" fontId="0" fillId="0" borderId="7" applyAlignment="1" pivotButton="0" quotePrefix="0" xfId="0">
      <alignment horizontal="right" vertical="center"/>
    </xf>
    <xf numFmtId="164" fontId="7" fillId="0" borderId="7" applyAlignment="1" pivotButton="0" quotePrefix="0" xfId="0">
      <alignment horizontal="right" vertical="center"/>
    </xf>
    <xf numFmtId="165" fontId="7" fillId="0" borderId="9" applyAlignment="1" pivotButton="0" quotePrefix="0" xfId="0">
      <alignment horizontal="right" vertical="center"/>
    </xf>
    <xf numFmtId="164" fontId="26" fillId="0" borderId="7" applyAlignment="1" pivotButton="0" quotePrefix="0" xfId="0">
      <alignment vertical="center"/>
    </xf>
    <xf numFmtId="164" fontId="27" fillId="0" borderId="7" applyAlignment="1" pivotButton="0" quotePrefix="0" xfId="0">
      <alignment vertical="center"/>
    </xf>
    <xf numFmtId="164" fontId="26" fillId="0" borderId="5" pivotButton="0" quotePrefix="0" xfId="0"/>
    <xf numFmtId="164" fontId="27" fillId="0" borderId="5" pivotButton="0" quotePrefix="0" xfId="0"/>
    <xf numFmtId="164" fontId="0" fillId="0" borderId="5" applyAlignment="1" pivotButton="0" quotePrefix="0" xfId="0">
      <alignment horizontal="right" vertical="center"/>
    </xf>
    <xf numFmtId="164" fontId="7" fillId="0" borderId="5" applyAlignment="1" pivotButton="0" quotePrefix="0" xfId="0">
      <alignment horizontal="right" vertical="center"/>
    </xf>
    <xf numFmtId="165" fontId="7" fillId="0" borderId="10" applyAlignment="1" pivotButton="0" quotePrefix="0" xfId="0">
      <alignment horizontal="right" vertical="center"/>
    </xf>
    <xf numFmtId="164" fontId="0" fillId="0" borderId="0" pivotButton="0" quotePrefix="0" xfId="0"/>
    <xf numFmtId="164" fontId="26" fillId="0" borderId="6" applyAlignment="1" pivotButton="0" quotePrefix="0" xfId="0">
      <alignment horizontal="right" vertical="center"/>
    </xf>
    <xf numFmtId="164" fontId="31" fillId="0" borderId="6" applyAlignment="1" pivotButton="0" quotePrefix="0" xfId="0">
      <alignment horizontal="right" vertical="center"/>
    </xf>
    <xf numFmtId="165" fontId="27" fillId="0" borderId="8" applyAlignment="1" pivotButton="0" quotePrefix="0" xfId="0">
      <alignment horizontal="right" vertical="center"/>
    </xf>
    <xf numFmtId="165" fontId="26" fillId="0" borderId="0" pivotButton="0" quotePrefix="0" xfId="0"/>
    <xf numFmtId="164" fontId="26" fillId="0" borderId="7" applyAlignment="1" pivotButton="0" quotePrefix="0" xfId="0">
      <alignment horizontal="right" vertical="center"/>
    </xf>
    <xf numFmtId="165" fontId="26" fillId="0" borderId="9" applyAlignment="1" pivotButton="0" quotePrefix="0" xfId="1">
      <alignment horizontal="right" vertical="center"/>
    </xf>
    <xf numFmtId="164" fontId="31" fillId="0" borderId="7" applyAlignment="1" pivotButton="0" quotePrefix="0" xfId="0">
      <alignment horizontal="right" vertical="center"/>
    </xf>
    <xf numFmtId="165" fontId="27" fillId="0" borderId="9" applyAlignment="1" pivotButton="0" quotePrefix="0" xfId="0">
      <alignment horizontal="right" vertical="center"/>
    </xf>
    <xf numFmtId="164" fontId="26" fillId="0" borderId="5" applyAlignment="1" pivotButton="0" quotePrefix="0" xfId="0">
      <alignment horizontal="right" vertical="center"/>
    </xf>
    <xf numFmtId="165" fontId="26" fillId="0" borderId="10" applyAlignment="1" pivotButton="0" quotePrefix="0" xfId="1">
      <alignment horizontal="right" vertical="center"/>
    </xf>
    <xf numFmtId="164" fontId="31" fillId="0" borderId="5" applyAlignment="1" pivotButton="0" quotePrefix="0" xfId="0">
      <alignment horizontal="right" vertical="center"/>
    </xf>
    <xf numFmtId="165" fontId="27" fillId="0" borderId="10" applyAlignment="1" pivotButton="0" quotePrefix="0" xfId="0">
      <alignment horizontal="right" vertical="center"/>
    </xf>
    <xf numFmtId="164" fontId="12" fillId="0" borderId="0" applyAlignment="1" pivotButton="0" quotePrefix="0" xfId="9">
      <alignment horizontal="center" vertical="center" wrapText="1"/>
    </xf>
    <xf numFmtId="164" fontId="17" fillId="0" borderId="0" applyAlignment="1" pivotButton="0" quotePrefix="0" xfId="9">
      <alignment horizontal="center" vertical="center" wrapText="1"/>
    </xf>
    <xf numFmtId="164" fontId="12" fillId="8" borderId="0" applyAlignment="1" pivotButton="0" quotePrefix="0" xfId="9">
      <alignment horizontal="center" vertical="center" wrapText="1"/>
    </xf>
    <xf numFmtId="164" fontId="17" fillId="8" borderId="0" applyAlignment="1" pivotButton="0" quotePrefix="0" xfId="9">
      <alignment horizontal="center" vertical="center" wrapText="1"/>
    </xf>
    <xf numFmtId="164" fontId="14" fillId="7" borderId="0" applyAlignment="1" pivotButton="0" quotePrefix="0" xfId="9">
      <alignment horizontal="center" vertical="center" wrapText="1"/>
    </xf>
    <xf numFmtId="164" fontId="19" fillId="7" borderId="0" applyAlignment="1" pivotButton="0" quotePrefix="0" xfId="9">
      <alignment horizontal="center" vertical="center" wrapText="1"/>
    </xf>
    <xf numFmtId="165" fontId="13" fillId="7" borderId="0" applyAlignment="1" pivotButton="0" quotePrefix="0" xfId="9">
      <alignment horizontal="center" vertical="center" wrapText="1"/>
    </xf>
    <xf numFmtId="165" fontId="18" fillId="7" borderId="0" applyAlignment="1" pivotButton="0" quotePrefix="0" xfId="9">
      <alignment horizontal="center" vertical="center" wrapText="1"/>
    </xf>
    <xf numFmtId="164" fontId="10" fillId="7" borderId="0" applyAlignment="1" pivotButton="0" quotePrefix="0" xfId="9">
      <alignment horizontal="center" vertical="center" wrapText="1"/>
    </xf>
    <xf numFmtId="164" fontId="20" fillId="7" borderId="0" applyAlignment="1" pivotButton="0" quotePrefix="0" xfId="9">
      <alignment horizontal="center" vertical="center" wrapText="1"/>
    </xf>
    <xf numFmtId="165" fontId="14" fillId="7" borderId="15" applyAlignment="1" pivotButton="0" quotePrefix="0" xfId="1">
      <alignment horizontal="center" vertical="center" wrapText="1"/>
    </xf>
    <xf numFmtId="165" fontId="19" fillId="7" borderId="15" applyAlignment="1" pivotButton="0" quotePrefix="0" xfId="1">
      <alignment horizontal="center" vertical="center" wrapText="1"/>
    </xf>
  </cellXfs>
  <cellStyles count="23">
    <cellStyle name="Normal" xfId="0" builtinId="0"/>
    <cellStyle name="Percent" xfId="1" builtinId="5"/>
    <cellStyle name="Обычный 2" xfId="2"/>
    <cellStyle name="Обычный 8" xfId="3"/>
    <cellStyle name="Обычный 9" xfId="4"/>
    <cellStyle name="Normal 5" xfId="5"/>
    <cellStyle name="Обычный 125 3" xfId="6"/>
    <cellStyle name="Финансовый 26" xfId="7"/>
    <cellStyle name="Обычный 19" xfId="8"/>
    <cellStyle name="Normal 2" xfId="9"/>
    <cellStyle name="Обычный 2 12" xfId="10"/>
    <cellStyle name="Normal 5 2" xfId="11"/>
    <cellStyle name="Обычный 2 10" xfId="12"/>
    <cellStyle name="Обычный 117" xfId="13"/>
    <cellStyle name="Обычный 68" xfId="14"/>
    <cellStyle name="Финансовый 2" xfId="15"/>
    <cellStyle name="Обычный 2 10 2" xfId="16"/>
    <cellStyle name="Обычный 68 2" xfId="17"/>
    <cellStyle name="Обычный 100" xfId="18"/>
    <cellStyle name="Normal 2 2" xfId="19"/>
    <cellStyle name="Финансовый 26 2" xfId="20"/>
    <cellStyle name="Обычный 10" xfId="21"/>
    <cellStyle name="Обычный 125 3 2" xfId="22"/>
  </cellStyles>
  <dxfs count="354">
    <dxf>
      <font>
        <name val="Arial Narrow"/>
        <charset val="204"/>
        <family val="2"/>
        <b val="1"/>
        <color theme="3" tint="-0.499984740745262"/>
        <sz val="12"/>
      </font>
      <fill>
        <patternFill>
          <bgColor theme="2" tint="-0.09994811853389081"/>
        </patternFill>
      </fill>
      <border>
        <bottom style="thin">
          <color theme="0" tint="-0.3499862666707358"/>
        </bottom>
        <vertical/>
        <horizontal/>
      </border>
    </dxf>
    <dxf>
      <font>
        <color theme="1"/>
      </font>
      <fill>
        <patternFill patternType="solid">
          <bgColor theme="2" tint="-0.09994811853389081"/>
        </patternFill>
      </fill>
      <border>
        <left/>
        <right/>
        <top/>
        <bottom/>
        <vertical/>
        <horizontal/>
      </border>
    </dxf>
    <dxf>
      <font>
        <name val="Arial Narrow"/>
        <charset val="204"/>
        <family val="2"/>
        <b val="1"/>
        <color theme="0" tint="-0.1499374370555742"/>
        <sz val="12"/>
      </font>
      <border>
        <bottom style="thin">
          <color theme="0" tint="-0.3499862666707358"/>
        </bottom>
        <vertical/>
        <horizontal/>
      </border>
    </dxf>
    <dxf>
      <font>
        <color theme="3"/>
      </font>
      <fill>
        <patternFill patternType="solid">
          <bgColor rgb="FF1C2138"/>
        </patternFill>
      </fill>
      <border>
        <left/>
        <right/>
        <top/>
        <bottom/>
        <vertical/>
        <horizontal/>
      </border>
    </dxf>
    <dxf>
      <font>
        <name val="Arial Narrow"/>
        <charset val="204"/>
        <family val="2"/>
        <b val="1"/>
        <color theme="0" tint="-0.1499374370555742"/>
        <sz val="12"/>
      </font>
      <border>
        <bottom style="thin">
          <color theme="0" tint="-0.3499862666707358"/>
        </bottom>
        <vertical/>
        <horizontal/>
      </border>
    </dxf>
    <dxf>
      <font>
        <color theme="1"/>
      </font>
      <fill>
        <patternFill patternType="solid">
          <bgColor theme="3"/>
        </patternFill>
      </fill>
      <border>
        <left/>
        <right/>
        <top/>
        <bottom/>
        <vertical/>
        <horizontal/>
      </border>
    </dxf>
    <dxf>
      <font>
        <name val="Arial Narrow"/>
        <charset val="204"/>
        <family val="2"/>
        <b val="1"/>
        <color theme="0" tint="-0.1499374370555742"/>
        <sz val="12"/>
      </font>
      <fill>
        <patternFill>
          <bgColor theme="3" tint="-0.249946592608417"/>
        </patternFill>
      </fill>
      <border>
        <bottom style="thin">
          <color theme="0" tint="-0.3499862666707358"/>
        </bottom>
        <vertical/>
        <horizontal/>
      </border>
    </dxf>
    <dxf>
      <font>
        <color theme="1"/>
      </font>
      <fill>
        <patternFill patternType="solid">
          <bgColor theme="3" tint="-0.249946592608417"/>
        </patternFill>
      </fill>
      <border>
        <left/>
        <right/>
        <top/>
        <bottom/>
        <vertical/>
        <horizontal/>
      </border>
    </dxf>
    <dxf>
      <font>
        <b val="1"/>
        <color rgb="FF266445"/>
      </font>
      <fill>
        <patternFill>
          <fgColor rgb="FF74B88C"/>
          <bgColor rgb="FFB8E2BC"/>
        </patternFill>
      </fill>
      <border>
        <left/>
        <right/>
        <top style="thin">
          <color theme="0"/>
        </top>
        <bottom style="thin">
          <color theme="0"/>
        </bottom>
        <horizontal style="thin">
          <color theme="0"/>
        </horizontal>
      </border>
    </dxf>
    <dxf>
      <font>
        <b val="1"/>
        <color theme="1" tint="0.249946592608417"/>
      </font>
      <fill>
        <patternFill>
          <bgColor theme="0" tint="-0.0499893185216834"/>
        </patternFill>
      </fill>
      <border>
        <top style="thin">
          <color theme="0"/>
        </top>
        <bottom style="thin">
          <color theme="0"/>
        </bottom>
        <horizontal style="thin">
          <color theme="0"/>
        </horizontal>
      </border>
    </dxf>
    <dxf>
      <font>
        <b val="1"/>
      </font>
      <fill>
        <patternFill>
          <bgColor theme="0" tint="-0.0499893185216834"/>
        </patternFill>
      </fill>
      <border>
        <top style="thin">
          <color theme="0" tint="-0.0499893185216834"/>
        </top>
        <bottom style="thin">
          <color theme="0" tint="-0.0499893185216834"/>
        </bottom>
        <horizontal style="thin">
          <color theme="0" tint="-0.0499893185216834"/>
        </horizontal>
      </border>
    </dxf>
    <dxf>
      <font>
        <b val="1"/>
      </font>
      <fill>
        <patternFill patternType="solid">
          <bgColor rgb="FFF2F2F2"/>
        </patternFill>
      </fill>
      <border>
        <top style="thin">
          <color theme="0"/>
        </top>
        <bottom style="thin">
          <color theme="0"/>
        </bottom>
        <horizontal style="thin">
          <color theme="0"/>
        </horizontal>
      </border>
    </dxf>
    <dxf>
      <font>
        <b val="1"/>
      </font>
      <fill>
        <patternFill>
          <bgColor rgb="FFDFF1E5"/>
        </patternFill>
      </fill>
      <border>
        <top style="thin">
          <color theme="0"/>
        </top>
        <bottom style="thin">
          <color theme="0"/>
        </bottom>
        <horizontal style="thin">
          <color theme="0"/>
        </horizontal>
      </border>
    </dxf>
    <dxf>
      <fill>
        <patternFill>
          <bgColor rgb="FF55B97D"/>
        </patternFill>
      </fill>
      <border>
        <left style="thin">
          <color rgb="FF47AF76"/>
        </left>
        <right style="thin">
          <color rgb="FF47AF76"/>
        </right>
        <vertical style="thin">
          <color rgb="FF47AF76"/>
        </vertical>
      </border>
    </dxf>
    <dxf>
      <font>
        <color theme="0"/>
      </font>
      <fill>
        <patternFill>
          <bgColor rgb="FF42A46E"/>
        </patternFill>
      </fill>
      <border>
        <left style="thin">
          <color rgb="FF42A46E"/>
        </left>
        <right style="thin">
          <color rgb="FF42A46E"/>
        </right>
        <top/>
        <bottom style="thin">
          <color rgb="FF42A46E"/>
        </bottom>
        <horizontal/>
      </border>
    </dxf>
    <dxf>
      <font>
        <b val="1"/>
        <color theme="0"/>
      </font>
    </dxf>
    <dxf>
      <fill>
        <patternFill patternType="solid">
          <fgColor rgb="FF74B88C"/>
          <bgColor theme="6" tint="0.3999450666829432"/>
        </patternFill>
      </fill>
      <border>
        <left/>
        <right/>
        <top style="thin">
          <color theme="0"/>
        </top>
        <bottom style="thin">
          <color theme="0"/>
        </bottom>
        <horizontal style="thin">
          <color theme="0"/>
        </horizontal>
      </border>
    </dxf>
    <dxf>
      <font>
        <color rgb="FF399366"/>
      </font>
      <fill>
        <patternFill>
          <bgColor rgb="FF399366"/>
        </patternFill>
      </fill>
      <border>
        <top/>
        <bottom/>
        <horizontal/>
      </border>
    </dxf>
    <dxf>
      <border>
        <left/>
        <right/>
        <top/>
        <bottom/>
        <horizontal/>
      </border>
    </dxf>
    <dxf>
      <font>
        <color auto="1"/>
      </font>
      <border>
        <top/>
        <bottom/>
        <horizontal/>
      </border>
    </dxf>
    <dxf>
      <font/>
      <fill>
        <patternFill patternType="solid">
          <bgColor rgb="FFF9F9F9"/>
        </patternFill>
      </fill>
      <border>
        <top style="thin">
          <color theme="0" tint="-0.0499893185216834"/>
        </top>
        <bottom style="thin">
          <color theme="0" tint="-0.0499893185216834"/>
        </bottom>
        <horizontal style="thin">
          <color theme="0" tint="-0.0499893185216834"/>
        </horizontal>
      </border>
    </dxf>
    <dxf>
      <font>
        <b val="1"/>
        <color theme="0"/>
      </font>
      <fill>
        <patternFill patternType="solid">
          <fgColor theme="1"/>
          <bgColor rgb="FF404040"/>
        </patternFill>
      </fill>
    </dxf>
    <dxf>
      <font>
        <b val="1"/>
        <color theme="0"/>
      </font>
      <fill>
        <patternFill patternType="solid">
          <fgColor rgb="FF005828"/>
          <bgColor rgb="FF399366"/>
        </patternFill>
      </fill>
      <border>
        <top/>
        <bottom style="thin">
          <color theme="0"/>
        </bottom>
        <horizontal/>
      </border>
    </dxf>
    <dxf>
      <font>
        <color theme="1" tint="0.249946592608417"/>
      </font>
      <fill>
        <patternFill patternType="solid">
          <fgColor theme="0"/>
          <bgColor theme="0"/>
        </patternFill>
      </fill>
      <border>
        <top style="thin">
          <color rgb="FFEBEBEB"/>
        </top>
        <bottom style="thin">
          <color rgb="FFEBEBEB"/>
        </bottom>
        <horizontal style="thin">
          <color rgb="FFEBEBEB"/>
        </horizontal>
      </border>
    </dxf>
    <dxf>
      <fill>
        <patternFill>
          <bgColor rgb="FFC00000"/>
        </patternFill>
      </fill>
    </dxf>
    <dxf>
      <font>
        <b val="1"/>
        <color rgb="FF000000"/>
      </font>
      <border>
        <bottom style="thin">
          <color rgb="FF4472C4"/>
        </bottom>
        <vertical/>
        <horizontal/>
      </border>
    </dxf>
    <dxf>
      <font>
        <color rgb="FF000000"/>
      </font>
      <border>
        <left style="thin">
          <color rgb="FF4472C4"/>
        </left>
        <right style="thin">
          <color rgb="FF4472C4"/>
        </right>
        <top style="thin">
          <color rgb="FF4472C4"/>
        </top>
        <bottom style="thin">
          <color rgb="FF4472C4"/>
        </bottom>
        <vertical/>
        <horizontal/>
      </border>
    </dxf>
    <dxf>
      <font>
        <b val="1"/>
        <color rgb="FF000000"/>
      </font>
      <border>
        <bottom style="thin">
          <color rgb="FF4472C4"/>
        </bottom>
        <vertical/>
        <horizontal/>
      </border>
    </dxf>
    <dxf>
      <font>
        <color rgb="FF000000"/>
      </font>
      <border>
        <left style="thin">
          <color rgb="FF4472C4"/>
        </left>
        <right style="thin">
          <color rgb="FF4472C4"/>
        </right>
        <top style="thin">
          <color rgb="FF4472C4"/>
        </top>
        <bottom style="thin">
          <color rgb="FF4472C4"/>
        </bottom>
        <vertical/>
        <horizontal/>
      </border>
    </dxf>
    <dxf>
      <border>
        <left style="thin">
          <color rgb="FF4472C4"/>
        </left>
      </border>
    </dxf>
    <dxf>
      <border>
        <left style="thin">
          <color rgb="FF4472C4"/>
        </left>
      </border>
    </dxf>
    <dxf>
      <border>
        <top style="thin">
          <color rgb="FF4472C4"/>
        </top>
      </border>
    </dxf>
    <dxf>
      <border>
        <top style="thin">
          <color rgb="FF4472C4"/>
        </top>
      </border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top style="double">
          <color rgb="FF4472C4"/>
        </top>
      </border>
    </dxf>
    <dxf>
      <font>
        <b val="1"/>
        <color rgb="FFFFFFFF"/>
      </font>
      <fill>
        <patternFill patternType="solid">
          <fgColor rgb="FF4472C4"/>
          <bgColor rgb="FF4472C4"/>
        </patternFill>
      </fill>
    </dxf>
    <dxf>
      <font>
        <color rgb="FF000000"/>
      </font>
      <border>
        <left style="thin">
          <color rgb="FF4472C4"/>
        </left>
        <right style="thin">
          <color rgb="FF4472C4"/>
        </right>
        <top style="thin">
          <color rgb="FF4472C4"/>
        </top>
        <bottom style="thin">
          <color rgb="FF4472C4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top style="double">
          <color rgb="FF5B9BD5"/>
        </top>
      </border>
    </dxf>
    <dxf>
      <font>
        <b val="1"/>
        <color rgb="FFFFFFFF"/>
      </font>
      <fill>
        <patternFill patternType="solid">
          <fgColor rgb="FF5B9BD5"/>
          <bgColor rgb="FF5B9BD5"/>
        </patternFill>
      </fill>
    </dxf>
    <dxf>
      <font>
        <color rgb="FF000000"/>
      </font>
      <border>
        <left style="thin">
          <color rgb="FF9BC2E6"/>
        </left>
        <right style="thin">
          <color rgb="FF9BC2E6"/>
        </right>
        <top style="thin">
          <color rgb="FF9BC2E6"/>
        </top>
        <bottom style="thin">
          <color rgb="FF9BC2E6"/>
        </bottom>
        <horizontal style="thin">
          <color rgb="FF9BC2E6"/>
        </horizontal>
      </border>
    </dxf>
    <dxf>
      <font>
        <name val="Calibri"/>
        <b val="1"/>
        <color theme="1" tint="0.1499374370555742"/>
        <sz val="12"/>
      </font>
      <border>
        <bottom/>
        <vertical/>
        <horizontal/>
      </border>
    </dxf>
    <dxf>
      <font>
        <color theme="1"/>
      </font>
      <fill>
        <patternFill patternType="solid">
          <bgColor rgb="FFE0E0E0"/>
        </patternFill>
      </fill>
      <border>
        <left/>
        <right/>
        <top/>
        <bottom/>
        <vertical/>
        <horizontal/>
      </border>
    </dxf>
    <dxf>
      <font>
        <b val="1"/>
        <color theme="1"/>
      </font>
      <fill>
        <patternFill>
          <fgColor rgb="FF969696"/>
          <bgColor rgb="FFE0E0E0"/>
        </patternFill>
      </fill>
      <border>
        <left/>
        <right/>
        <top style="thin">
          <color theme="0"/>
        </top>
        <bottom style="thin">
          <color theme="0"/>
        </bottom>
        <horizontal style="thin">
          <color theme="0"/>
        </horizontal>
      </border>
    </dxf>
    <dxf>
      <font>
        <b val="1"/>
        <color theme="0"/>
      </font>
      <fill>
        <patternFill>
          <bgColor rgb="FF484C52"/>
        </patternFill>
      </fill>
      <border>
        <top style="thin">
          <color theme="0"/>
        </top>
        <bottom style="thin">
          <color theme="0"/>
        </bottom>
        <horizontal style="thin">
          <color theme="0"/>
        </horizontal>
      </border>
    </dxf>
    <dxf>
      <font>
        <b val="1"/>
      </font>
      <fill>
        <patternFill>
          <bgColor theme="0" tint="-0.0499893185216834"/>
        </patternFill>
      </fill>
      <border>
        <top style="thin">
          <color theme="0" tint="-0.0499893185216834"/>
        </top>
        <bottom style="thin">
          <color theme="0" tint="-0.0499893185216834"/>
        </bottom>
        <horizontal style="thin">
          <color theme="0" tint="-0.0499893185216834"/>
        </horizontal>
      </border>
    </dxf>
    <dxf>
      <font>
        <b val="1"/>
      </font>
      <fill>
        <patternFill patternType="solid">
          <bgColor rgb="FFF2F2F2"/>
        </patternFill>
      </fill>
      <border>
        <top style="thin">
          <color theme="0"/>
        </top>
        <bottom style="thin">
          <color theme="0"/>
        </bottom>
        <horizontal style="thin">
          <color theme="0"/>
        </horizontal>
      </border>
    </dxf>
    <dxf>
      <font>
        <b val="1"/>
      </font>
      <fill>
        <patternFill>
          <bgColor rgb="FFDCDCE4"/>
        </patternFill>
      </fill>
      <border>
        <top style="thin">
          <color theme="0"/>
        </top>
        <bottom style="thin">
          <color theme="0"/>
        </bottom>
        <horizontal style="thin">
          <color theme="0"/>
        </horizontal>
      </border>
    </dxf>
    <dxf>
      <fill>
        <patternFill>
          <bgColor rgb="FF484C52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484C52"/>
        </patternFill>
      </fill>
      <border>
        <left/>
        <right/>
        <bottom/>
        <vertical/>
        <horizontal/>
      </border>
    </dxf>
    <dxf>
      <font>
        <color theme="1" tint="0.249946592608417"/>
      </font>
      <fill>
        <patternFill>
          <bgColor theme="0" tint="-0.0499893185216834"/>
        </patternFill>
      </fill>
    </dxf>
    <dxf>
      <fill>
        <patternFill patternType="solid">
          <fgColor rgb="FF969696"/>
          <bgColor rgb="FFC0C0C0"/>
        </patternFill>
      </fill>
      <border>
        <left/>
        <right/>
        <top style="thin">
          <color theme="0"/>
        </top>
        <bottom style="thin">
          <color theme="0"/>
        </bottom>
        <horizontal style="thin">
          <color theme="0"/>
        </horizontal>
      </border>
    </dxf>
    <dxf>
      <font>
        <color rgb="FF777777"/>
      </font>
      <fill>
        <patternFill>
          <bgColor rgb="FF484C52"/>
        </patternFill>
      </fill>
      <border>
        <top/>
        <bottom/>
        <horizontal/>
      </border>
    </dxf>
    <dxf>
      <border>
        <left/>
        <right/>
        <top/>
        <bottom/>
        <horizontal/>
      </border>
    </dxf>
    <dxf>
      <font>
        <color auto="1"/>
      </font>
      <border>
        <top/>
        <bottom/>
        <horizontal/>
      </border>
    </dxf>
    <dxf>
      <font/>
      <fill>
        <patternFill patternType="solid">
          <bgColor rgb="FFF9F9F9"/>
        </patternFill>
      </fill>
      <border>
        <top style="thin">
          <color theme="0" tint="-0.0499893185216834"/>
        </top>
        <bottom style="thin">
          <color theme="0" tint="-0.0499893185216834"/>
        </bottom>
        <horizontal style="thin">
          <color theme="0" tint="-0.0499893185216834"/>
        </horizontal>
      </border>
    </dxf>
    <dxf>
      <font>
        <b val="1"/>
        <color theme="1"/>
      </font>
      <fill>
        <patternFill patternType="solid">
          <fgColor theme="1"/>
          <bgColor rgb="FFB5B9BF"/>
        </patternFill>
      </fill>
    </dxf>
    <dxf>
      <font>
        <b val="1"/>
        <color theme="0"/>
      </font>
      <fill>
        <patternFill patternType="solid">
          <fgColor rgb="FF4D4D4D"/>
          <bgColor rgb="FF484C52"/>
        </patternFill>
      </fill>
      <border>
        <top/>
        <bottom style="thin">
          <color theme="0"/>
        </bottom>
        <horizontal/>
      </border>
    </dxf>
    <dxf>
      <font>
        <color theme="1" tint="0.249946592608417"/>
      </font>
      <fill>
        <patternFill patternType="solid">
          <fgColor theme="0"/>
          <bgColor theme="0"/>
        </patternFill>
      </fill>
      <border>
        <top style="thin">
          <color rgb="FFEBEBEB"/>
        </top>
        <bottom style="thin">
          <color rgb="FFEBEBEB"/>
        </bottom>
        <horizontal style="thin">
          <color rgb="FFEBEBEB"/>
        </horizontal>
      </border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E2EFDA"/>
          <bgColor rgb="FFE2EFDA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top style="double">
          <color rgb="FF70AD47"/>
        </top>
      </border>
    </dxf>
    <dxf>
      <font>
        <b val="1"/>
        <color rgb="FFFFFFFF"/>
      </font>
      <fill>
        <patternFill patternType="solid">
          <fgColor rgb="FF70AD47"/>
          <bgColor rgb="FF70AD47"/>
        </patternFill>
      </fill>
    </dxf>
    <dxf>
      <font>
        <color rgb="FF000000"/>
      </font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E2EFDA"/>
          <bgColor rgb="FFE2EFDA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top style="double">
          <color rgb="FF70AD47"/>
        </top>
      </border>
    </dxf>
    <dxf>
      <font>
        <b val="1"/>
        <color rgb="FFFFFFFF"/>
      </font>
      <fill>
        <patternFill patternType="solid">
          <fgColor rgb="FF70AD47"/>
          <bgColor rgb="FF70AD47"/>
        </patternFill>
      </fill>
    </dxf>
    <dxf>
      <font>
        <color rgb="FF000000"/>
      </font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ont>
        <b val="1"/>
        <color rgb="FF000000"/>
      </font>
      <border>
        <bottom style="thin">
          <color rgb="FFA5A5A5"/>
        </bottom>
        <vertical/>
        <horizontal/>
      </border>
    </dxf>
    <dxf>
      <font>
        <color rgb="FF000000"/>
      </font>
      <border>
        <left style="thin">
          <color rgb="FFA5A5A5"/>
        </left>
        <right style="thin">
          <color rgb="FFA5A5A5"/>
        </right>
        <top style="thin">
          <color rgb="FFA5A5A5"/>
        </top>
        <bottom style="thin">
          <color rgb="FFA5A5A5"/>
        </bottom>
        <vertical/>
        <horizontal/>
      </border>
    </dxf>
    <dxf>
      <font>
        <b val="1"/>
        <color rgb="FF000000"/>
      </font>
      <border>
        <bottom style="thin">
          <color rgb="FFA5A5A5"/>
        </bottom>
        <vertical/>
        <horizontal/>
      </border>
    </dxf>
    <dxf>
      <font>
        <color rgb="FF000000"/>
      </font>
      <border>
        <left style="thin">
          <color rgb="FFA5A5A5"/>
        </left>
        <right style="thin">
          <color rgb="FFA5A5A5"/>
        </right>
        <top style="thin">
          <color rgb="FFA5A5A5"/>
        </top>
        <bottom style="thin">
          <color rgb="FFA5A5A5"/>
        </bottom>
        <vertical/>
        <horizontal/>
      </border>
    </dxf>
    <dxf>
      <font>
        <b val="1"/>
        <color rgb="FF000000"/>
      </font>
      <border>
        <bottom style="thin">
          <color rgb="FFA5A5A5"/>
        </bottom>
        <vertical/>
        <horizontal/>
      </border>
    </dxf>
    <dxf>
      <font>
        <color rgb="FF000000"/>
      </font>
      <border>
        <left style="thin">
          <color rgb="FFA5A5A5"/>
        </left>
        <right style="thin">
          <color rgb="FFA5A5A5"/>
        </right>
        <top style="thin">
          <color rgb="FFA5A5A5"/>
        </top>
        <bottom style="thin">
          <color rgb="FFA5A5A5"/>
        </bottom>
        <vertical/>
        <horizontal/>
      </border>
    </dxf>
    <dxf>
      <font>
        <b val="1"/>
        <color rgb="FF000000"/>
      </font>
      <border>
        <bottom style="thin">
          <color rgb="FFA5A5A5"/>
        </bottom>
        <vertical/>
        <horizontal/>
      </border>
    </dxf>
    <dxf>
      <font>
        <color rgb="FF000000"/>
      </font>
      <border>
        <left style="thin">
          <color rgb="FFA5A5A5"/>
        </left>
        <right style="thin">
          <color rgb="FFA5A5A5"/>
        </right>
        <top style="thin">
          <color rgb="FFA5A5A5"/>
        </top>
        <bottom style="thin">
          <color rgb="FFA5A5A5"/>
        </bottom>
        <vertical/>
        <horizontal/>
      </border>
    </dxf>
    <dxf>
      <font>
        <b val="1"/>
        <color theme="0"/>
      </font>
      <fill>
        <patternFill>
          <fgColor rgb="FF74B88C"/>
          <bgColor rgb="FF005828"/>
        </patternFill>
      </fill>
      <border>
        <left style="thin">
          <color rgb="FFB0D086"/>
        </left>
        <right/>
        <top/>
        <bottom/>
      </border>
    </dxf>
    <dxf>
      <font>
        <b val="1"/>
        <color theme="0"/>
      </font>
      <fill>
        <patternFill>
          <bgColor rgb="FF005828"/>
        </patternFill>
      </fill>
    </dxf>
    <dxf>
      <font>
        <b val="1"/>
      </font>
    </dxf>
    <dxf>
      <font>
        <b val="1"/>
      </font>
    </dxf>
    <dxf>
      <font>
        <b val="1"/>
      </font>
    </dxf>
    <dxf>
      <border>
        <bottom style="thin">
          <color theme="6" tint="0.3999755851924192"/>
        </bottom>
      </border>
    </dxf>
    <dxf>
      <font>
        <b val="1"/>
        <color theme="0"/>
      </font>
    </dxf>
    <dxf>
      <fill>
        <patternFill patternType="solid">
          <fgColor rgb="FF74B88C"/>
          <bgColor rgb="FF74B891"/>
        </patternFill>
      </fill>
      <border>
        <left style="thin">
          <color theme="6" tint="0.3999755851924192"/>
        </left>
        <right style="thin">
          <color theme="6" tint="0.3999755851924192"/>
        </right>
        <top style="thin">
          <color theme="6" tint="0.3999755851924192"/>
        </top>
        <bottom style="thin">
          <color theme="6" tint="0.3999755851924192"/>
        </bottom>
      </border>
    </dxf>
    <dxf>
      <border>
        <left style="thin">
          <color theme="6" tint="0.3999755851924192"/>
        </left>
        <right style="thin">
          <color theme="6" tint="0.3999755851924192"/>
        </right>
      </border>
    </dxf>
    <dxf>
      <fill>
        <patternFill>
          <bgColor rgb="FFC6E0D7"/>
        </patternFill>
      </fill>
      <border>
        <top style="thin">
          <color theme="6" tint="0.3999755851924192"/>
        </top>
        <bottom style="thin">
          <color theme="6" tint="0.3999755851924192"/>
        </bottom>
      </border>
    </dxf>
    <dxf>
      <font/>
      <fill>
        <patternFill patternType="solid">
          <bgColor rgb="FF74B891"/>
        </patternFill>
      </fill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b val="1"/>
        <color theme="0"/>
      </font>
      <fill>
        <patternFill patternType="solid">
          <fgColor rgb="FF005828"/>
          <bgColor rgb="FF005828"/>
        </patternFill>
      </fill>
    </dxf>
    <dxf>
      <font>
        <color theme="1" tint="0.0499893185216834"/>
      </font>
      <fill>
        <patternFill patternType="solid">
          <fgColor theme="0"/>
          <bgColor theme="0"/>
        </patternFill>
      </fill>
    </dxf>
    <dxf>
      <font>
        <b val="1"/>
        <color theme="0"/>
      </font>
      <fill>
        <patternFill>
          <fgColor rgb="FF74B88C"/>
          <bgColor rgb="FF217436"/>
        </patternFill>
      </fill>
      <border>
        <left style="thin">
          <color rgb="FFB0D086"/>
        </left>
        <right/>
        <top/>
        <bottom/>
      </border>
    </dxf>
    <dxf>
      <font>
        <b val="1"/>
        <color theme="0"/>
      </font>
      <fill>
        <patternFill>
          <bgColor rgb="FF217436"/>
        </patternFill>
      </fill>
    </dxf>
    <dxf>
      <font>
        <b val="1"/>
      </font>
    </dxf>
    <dxf>
      <font>
        <b val="1"/>
      </font>
    </dxf>
    <dxf>
      <font>
        <b val="1"/>
      </font>
      <fill>
        <patternFill>
          <bgColor rgb="FF74B891"/>
        </patternFill>
      </fill>
    </dxf>
    <dxf>
      <border>
        <bottom style="thin">
          <color theme="6" tint="0.3999755851924192"/>
        </bottom>
      </border>
    </dxf>
    <dxf>
      <font>
        <b val="1"/>
        <color theme="0"/>
      </font>
    </dxf>
    <dxf>
      <fill>
        <patternFill patternType="solid">
          <fgColor rgb="FF74B88C"/>
          <bgColor rgb="FF74B891"/>
        </patternFill>
      </fill>
      <border>
        <left style="thin">
          <color theme="6" tint="0.3999755851924192"/>
        </left>
        <right style="thin">
          <color theme="6" tint="0.3999755851924192"/>
        </right>
        <top style="thin">
          <color theme="6" tint="0.3999755851924192"/>
        </top>
        <bottom style="thin">
          <color theme="6" tint="0.3999755851924192"/>
        </bottom>
      </border>
    </dxf>
    <dxf>
      <border>
        <left style="thin">
          <color theme="6" tint="0.3999755851924192"/>
        </left>
        <right style="thin">
          <color theme="6" tint="0.3999755851924192"/>
        </right>
      </border>
    </dxf>
    <dxf>
      <border>
        <top style="thin">
          <color theme="6" tint="0.3999755851924192"/>
        </top>
        <bottom style="thin">
          <color theme="6" tint="0.3999755851924192"/>
        </bottom>
      </border>
    </dxf>
    <dxf>
      <font/>
      <fill>
        <patternFill>
          <bgColor rgb="FFC6E0D7"/>
        </patternFill>
      </fill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b val="1"/>
        <color theme="0"/>
      </font>
      <fill>
        <patternFill patternType="solid">
          <fgColor rgb="FF005828"/>
          <bgColor rgb="FF217436"/>
        </patternFill>
      </fill>
    </dxf>
    <dxf>
      <font>
        <color theme="1" tint="0.0499893185216834"/>
      </font>
      <fill>
        <patternFill patternType="solid">
          <fgColor theme="0"/>
          <bgColor theme="0"/>
        </patternFill>
      </fill>
    </dxf>
    <dxf>
      <font>
        <b val="1"/>
        <color theme="0"/>
      </font>
      <fill>
        <patternFill>
          <fgColor rgb="FF74B88C"/>
          <bgColor rgb="FF005828"/>
        </patternFill>
      </fill>
      <border>
        <left style="thin">
          <color rgb="FFB0D086"/>
        </left>
        <right/>
        <top/>
        <bottom/>
      </border>
    </dxf>
    <dxf>
      <font>
        <b val="1"/>
        <color theme="0"/>
      </font>
      <fill>
        <patternFill>
          <bgColor rgb="FF005828"/>
        </patternFill>
      </fill>
    </dxf>
    <dxf>
      <font>
        <b val="1"/>
      </font>
    </dxf>
    <dxf>
      <font>
        <b val="1"/>
      </font>
    </dxf>
    <dxf>
      <font>
        <b val="1"/>
      </font>
    </dxf>
    <dxf>
      <border>
        <bottom style="thin">
          <color theme="6" tint="0.3999755851924192"/>
        </bottom>
      </border>
    </dxf>
    <dxf>
      <font>
        <b val="1"/>
        <color theme="0"/>
      </font>
    </dxf>
    <dxf>
      <fill>
        <patternFill patternType="solid">
          <fgColor rgb="FF74B88C"/>
          <bgColor rgb="FF74B891"/>
        </patternFill>
      </fill>
      <border>
        <left style="thin">
          <color theme="6" tint="0.3999755851924192"/>
        </left>
        <right style="thin">
          <color theme="6" tint="0.3999755851924192"/>
        </right>
        <top style="thin">
          <color theme="6" tint="0.3999755851924192"/>
        </top>
        <bottom style="thin">
          <color theme="6" tint="0.3999755851924192"/>
        </bottom>
      </border>
    </dxf>
    <dxf>
      <border>
        <left style="thin">
          <color theme="6" tint="0.3999755851924192"/>
        </left>
        <right style="thin">
          <color theme="6" tint="0.3999755851924192"/>
        </right>
      </border>
    </dxf>
    <dxf>
      <fill>
        <patternFill>
          <bgColor rgb="FFC6E0D7"/>
        </patternFill>
      </fill>
      <border>
        <top style="thin">
          <color theme="6" tint="0.3999755851924192"/>
        </top>
        <bottom style="thin">
          <color theme="6" tint="0.3999755851924192"/>
        </bottom>
      </border>
    </dxf>
    <dxf>
      <font/>
      <fill>
        <patternFill patternType="solid">
          <bgColor rgb="FF74B891"/>
        </patternFill>
      </fill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b val="1"/>
        <color theme="0"/>
      </font>
      <fill>
        <patternFill patternType="solid">
          <fgColor rgb="FF005828"/>
          <bgColor rgb="FF005828"/>
        </patternFill>
      </fill>
    </dxf>
    <dxf>
      <font>
        <color theme="1" tint="0.0499893185216834"/>
      </font>
      <fill>
        <patternFill patternType="solid">
          <fgColor theme="0"/>
          <bgColor theme="0"/>
        </patternFill>
      </fill>
    </dxf>
    <dxf>
      <font>
        <b val="1"/>
        <color theme="0"/>
      </font>
      <fill>
        <patternFill>
          <fgColor rgb="FF74B88C"/>
          <bgColor rgb="FF217436"/>
        </patternFill>
      </fill>
      <border>
        <left style="thin">
          <color rgb="FFB0D086"/>
        </left>
        <right/>
        <top/>
        <bottom/>
      </border>
    </dxf>
    <dxf>
      <font>
        <b val="1"/>
        <color theme="0"/>
      </font>
      <fill>
        <patternFill>
          <bgColor rgb="FF217436"/>
        </patternFill>
      </fill>
    </dxf>
    <dxf>
      <font>
        <b val="1"/>
      </font>
    </dxf>
    <dxf>
      <font>
        <b val="1"/>
      </font>
    </dxf>
    <dxf>
      <font>
        <b val="1"/>
      </font>
      <fill>
        <patternFill>
          <bgColor rgb="FF74B891"/>
        </patternFill>
      </fill>
    </dxf>
    <dxf>
      <border>
        <bottom style="thin">
          <color theme="6" tint="0.3999755851924192"/>
        </bottom>
      </border>
    </dxf>
    <dxf>
      <font>
        <b val="1"/>
        <color theme="0"/>
      </font>
    </dxf>
    <dxf>
      <fill>
        <patternFill patternType="solid">
          <fgColor rgb="FF74B88C"/>
          <bgColor rgb="FF74B891"/>
        </patternFill>
      </fill>
      <border>
        <left style="thin">
          <color theme="6" tint="0.3999755851924192"/>
        </left>
        <right style="thin">
          <color theme="6" tint="0.3999755851924192"/>
        </right>
        <top style="thin">
          <color theme="6" tint="0.3999755851924192"/>
        </top>
        <bottom style="thin">
          <color theme="6" tint="0.3999755851924192"/>
        </bottom>
      </border>
    </dxf>
    <dxf>
      <border>
        <left style="thin">
          <color theme="6" tint="0.3999755851924192"/>
        </left>
        <right style="thin">
          <color theme="6" tint="0.3999755851924192"/>
        </right>
      </border>
    </dxf>
    <dxf>
      <border>
        <top style="thin">
          <color theme="6" tint="0.3999755851924192"/>
        </top>
        <bottom style="thin">
          <color theme="6" tint="0.3999755851924192"/>
        </bottom>
      </border>
    </dxf>
    <dxf>
      <font/>
      <fill>
        <patternFill>
          <bgColor rgb="FFC6E0D7"/>
        </patternFill>
      </fill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b val="1"/>
        <color theme="0"/>
      </font>
      <fill>
        <patternFill patternType="solid">
          <fgColor rgb="FF005828"/>
          <bgColor rgb="FF217436"/>
        </patternFill>
      </fill>
    </dxf>
    <dxf>
      <font>
        <color theme="1" tint="0.0499893185216834"/>
      </font>
      <fill>
        <patternFill patternType="solid">
          <fgColor theme="0"/>
          <bgColor theme="0"/>
        </patternFill>
      </fill>
    </dxf>
    <dxf>
      <font>
        <b val="1"/>
        <color theme="0"/>
      </font>
      <fill>
        <patternFill>
          <fgColor rgb="FF74B88C"/>
          <bgColor rgb="FF005828"/>
        </patternFill>
      </fill>
      <border>
        <left style="thin">
          <color rgb="FFB0D086"/>
        </left>
        <right/>
        <top/>
        <bottom/>
      </border>
    </dxf>
    <dxf>
      <font>
        <b val="1"/>
        <color theme="0"/>
      </font>
      <fill>
        <patternFill>
          <bgColor rgb="FF005828"/>
        </patternFill>
      </fill>
    </dxf>
    <dxf>
      <font>
        <b val="1"/>
      </font>
    </dxf>
    <dxf>
      <font>
        <b val="1"/>
      </font>
    </dxf>
    <dxf>
      <font>
        <b val="1"/>
      </font>
      <fill>
        <patternFill>
          <bgColor rgb="FF74B891"/>
        </patternFill>
      </fill>
    </dxf>
    <dxf>
      <border>
        <bottom style="thin">
          <color theme="6" tint="0.3999755851924192"/>
        </bottom>
      </border>
    </dxf>
    <dxf>
      <font>
        <b val="1"/>
        <color theme="0"/>
      </font>
    </dxf>
    <dxf>
      <fill>
        <patternFill patternType="solid">
          <fgColor rgb="FF74B88C"/>
          <bgColor rgb="FF74B891"/>
        </patternFill>
      </fill>
      <border>
        <left style="thin">
          <color theme="6" tint="0.3999755851924192"/>
        </left>
        <right style="thin">
          <color theme="6" tint="0.3999755851924192"/>
        </right>
        <top style="thin">
          <color theme="6" tint="0.3999755851924192"/>
        </top>
        <bottom style="thin">
          <color theme="6" tint="0.3999755851924192"/>
        </bottom>
      </border>
    </dxf>
    <dxf>
      <border>
        <left style="thin">
          <color theme="6" tint="0.3999755851924192"/>
        </left>
        <right style="thin">
          <color theme="6" tint="0.3999755851924192"/>
        </right>
      </border>
    </dxf>
    <dxf>
      <border>
        <top style="thin">
          <color theme="6" tint="0.3999755851924192"/>
        </top>
        <bottom style="thin">
          <color theme="6" tint="0.3999755851924192"/>
        </bottom>
      </border>
    </dxf>
    <dxf>
      <font/>
      <fill>
        <patternFill>
          <bgColor rgb="FFC6E0D7"/>
        </patternFill>
      </fill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b val="1"/>
        <color theme="0"/>
      </font>
      <fill>
        <patternFill patternType="solid">
          <fgColor rgb="FF005828"/>
          <bgColor rgb="FF005828"/>
        </patternFill>
      </fill>
    </dxf>
    <dxf>
      <font>
        <color theme="1" tint="0.0499893185216834"/>
      </font>
      <fill>
        <patternFill patternType="solid">
          <fgColor theme="0"/>
          <bgColor theme="0"/>
        </patternFill>
      </fill>
    </dxf>
    <dxf>
      <font>
        <b val="1"/>
        <color theme="0"/>
      </font>
      <fill>
        <patternFill>
          <fgColor rgb="FF74B88C"/>
          <bgColor rgb="FF217436"/>
        </patternFill>
      </fill>
      <border>
        <left style="thin">
          <color rgb="FFB0D086"/>
        </left>
        <right/>
        <top/>
        <bottom/>
      </border>
    </dxf>
    <dxf>
      <font>
        <b val="1"/>
        <color theme="0"/>
      </font>
      <fill>
        <patternFill>
          <bgColor rgb="FF217436"/>
        </patternFill>
      </fill>
    </dxf>
    <dxf>
      <font>
        <b val="1"/>
      </font>
    </dxf>
    <dxf>
      <font>
        <b val="1"/>
      </font>
    </dxf>
    <dxf>
      <font>
        <b val="1"/>
      </font>
      <fill>
        <patternFill>
          <bgColor rgb="FF74B891"/>
        </patternFill>
      </fill>
    </dxf>
    <dxf>
      <border>
        <bottom style="thin">
          <color theme="6" tint="0.3999755851924192"/>
        </bottom>
      </border>
    </dxf>
    <dxf>
      <font>
        <b val="1"/>
        <color theme="0"/>
      </font>
    </dxf>
    <dxf>
      <fill>
        <patternFill patternType="solid">
          <fgColor rgb="FF74B88C"/>
          <bgColor rgb="FF74B891"/>
        </patternFill>
      </fill>
      <border>
        <left style="thin">
          <color theme="6" tint="0.3999755851924192"/>
        </left>
        <right style="thin">
          <color theme="6" tint="0.3999755851924192"/>
        </right>
        <top style="thin">
          <color theme="6" tint="0.3999755851924192"/>
        </top>
        <bottom style="thin">
          <color theme="6" tint="0.3999755851924192"/>
        </bottom>
      </border>
    </dxf>
    <dxf>
      <border>
        <left style="thin">
          <color theme="6" tint="0.3999755851924192"/>
        </left>
        <right style="thin">
          <color theme="6" tint="0.3999755851924192"/>
        </right>
      </border>
    </dxf>
    <dxf>
      <border>
        <top style="thin">
          <color theme="6" tint="0.3999755851924192"/>
        </top>
        <bottom style="thin">
          <color theme="6" tint="0.3999755851924192"/>
        </bottom>
      </border>
    </dxf>
    <dxf>
      <font/>
      <fill>
        <patternFill>
          <bgColor rgb="FFC6E0D7"/>
        </patternFill>
      </fill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b val="1"/>
        <color theme="0"/>
      </font>
      <fill>
        <patternFill patternType="solid">
          <fgColor rgb="FF005828"/>
          <bgColor rgb="FF217436"/>
        </patternFill>
      </fill>
    </dxf>
    <dxf>
      <font>
        <color theme="1" tint="0.0499893185216834"/>
      </font>
      <fill>
        <patternFill patternType="solid">
          <fgColor theme="0"/>
          <bgColor theme="0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D9E1F2"/>
          <bgColor rgb="FFD9E1F2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top style="double">
          <color rgb="FF4472C4"/>
        </top>
      </border>
    </dxf>
    <dxf>
      <font>
        <b val="1"/>
        <color rgb="FFFFFFFF"/>
      </font>
      <fill>
        <patternFill patternType="solid">
          <fgColor rgb="FF4472C4"/>
          <bgColor rgb="FF4472C4"/>
        </patternFill>
      </fill>
    </dxf>
    <dxf>
      <font>
        <color rgb="FF000000"/>
      </font>
      <border>
        <left style="thin">
          <color rgb="FF8EA9DB"/>
        </left>
        <right style="thin">
          <color rgb="FF8EA9DB"/>
        </right>
        <top style="thin">
          <color rgb="FF8EA9DB"/>
        </top>
        <bottom style="thin">
          <color rgb="FF8EA9DB"/>
        </bottom>
        <horizontal style="thin">
          <color rgb="FF8EA9DB"/>
        </horizontal>
      </border>
    </dxf>
    <dxf>
      <font>
        <b val="1"/>
        <color rgb="FF000000"/>
      </font>
      <border>
        <bottom style="thin">
          <color rgb="FF4472C4"/>
        </bottom>
        <vertical/>
        <horizontal/>
      </border>
    </dxf>
    <dxf>
      <font>
        <color rgb="FF000000"/>
      </font>
      <border>
        <left style="thin">
          <color rgb="FF4472C4"/>
        </left>
        <right style="thin">
          <color rgb="FF4472C4"/>
        </right>
        <top style="thin">
          <color rgb="FF4472C4"/>
        </top>
        <bottom style="thin">
          <color rgb="FF4472C4"/>
        </bottom>
        <vertical/>
        <horizontal/>
      </border>
    </dxf>
    <dxf>
      <font>
        <b val="1"/>
        <color rgb="FF000000"/>
      </font>
      <border>
        <bottom style="thin">
          <color rgb="FF4472C4"/>
        </bottom>
        <vertical/>
        <horizontal/>
      </border>
    </dxf>
    <dxf>
      <font>
        <color rgb="FF000000"/>
      </font>
      <border>
        <left style="thin">
          <color rgb="FF4472C4"/>
        </left>
        <right style="thin">
          <color rgb="FF4472C4"/>
        </right>
        <top style="thin">
          <color rgb="FF4472C4"/>
        </top>
        <bottom style="thin">
          <color rgb="FF4472C4"/>
        </bottom>
        <vertical/>
        <horizontal/>
      </border>
    </dxf>
    <dxf>
      <font>
        <b val="1"/>
        <color rgb="FF000000"/>
      </font>
      <border>
        <bottom style="thin">
          <color rgb="FF4472C4"/>
        </bottom>
        <vertical/>
        <horizontal/>
      </border>
    </dxf>
    <dxf>
      <font>
        <color rgb="FF000000"/>
      </font>
      <border>
        <left style="thin">
          <color rgb="FF4472C4"/>
        </left>
        <right style="thin">
          <color rgb="FF4472C4"/>
        </right>
        <top style="thin">
          <color rgb="FF4472C4"/>
        </top>
        <bottom style="thin">
          <color rgb="FF4472C4"/>
        </bottom>
        <vertical/>
        <horizontal/>
      </border>
    </dxf>
    <dxf>
      <font>
        <b val="1"/>
        <color theme="1"/>
        <sz val="10"/>
      </font>
      <border>
        <bottom style="thin">
          <color theme="4"/>
        </bottom>
        <vertical/>
        <horizontal/>
      </border>
    </dxf>
    <dxf>
      <font>
        <color theme="1"/>
      </font>
      <fill>
        <patternFill patternType="solid">
          <bgColor theme="0"/>
        </patternFill>
      </fill>
      <border>
        <left/>
        <right/>
        <top/>
        <bottom/>
        <vertical/>
        <horizontal/>
      </border>
    </dxf>
    <dxf>
      <font>
        <b val="1"/>
        <color theme="1"/>
        <sz val="10"/>
      </font>
      <border>
        <bottom style="thin">
          <color theme="4"/>
        </bottom>
        <vertical/>
        <horizontal/>
      </border>
    </dxf>
    <dxf>
      <font>
        <color theme="1"/>
      </font>
      <fill>
        <patternFill patternType="solid">
          <bgColor theme="0"/>
        </patternFill>
      </fill>
      <border>
        <left/>
        <right/>
        <top/>
        <bottom/>
        <vertical/>
        <horizontal/>
      </border>
    </dxf>
    <dxf>
      <font>
        <b val="1"/>
        <color theme="1"/>
        <sz val="10"/>
      </font>
      <border>
        <bottom style="thin">
          <color theme="4"/>
        </bottom>
        <vertical/>
        <horizontal/>
      </border>
    </dxf>
    <dxf>
      <font>
        <color theme="1"/>
      </font>
      <fill>
        <patternFill patternType="solid">
          <bgColor theme="0"/>
        </patternFill>
      </fill>
      <border>
        <left/>
        <right/>
        <top/>
        <bottom/>
        <vertical/>
        <horizontal/>
      </border>
    </dxf>
    <dxf>
      <font>
        <b val="1"/>
        <color theme="1"/>
        <sz val="10"/>
      </font>
      <border>
        <bottom style="thin">
          <color theme="4"/>
        </bottom>
        <vertical/>
        <horizontal/>
      </border>
    </dxf>
    <dxf>
      <font>
        <color theme="1"/>
      </font>
      <fill>
        <patternFill patternType="solid">
          <bgColor theme="0"/>
        </patternFill>
      </fill>
      <border>
        <left/>
        <right/>
        <top/>
        <bottom/>
        <vertical/>
        <horizontal/>
      </border>
    </dxf>
    <dxf>
      <font>
        <b val="1"/>
        <color theme="1"/>
        <sz val="10"/>
      </font>
      <border>
        <bottom style="thin">
          <color theme="4"/>
        </bottom>
        <vertical/>
        <horizontal/>
      </border>
    </dxf>
    <dxf>
      <font>
        <color theme="1"/>
      </font>
      <fill>
        <patternFill patternType="solid">
          <bgColor theme="0"/>
        </patternFill>
      </fill>
      <border>
        <left/>
        <right/>
        <top/>
        <bottom/>
        <vertical/>
        <horizontal/>
      </border>
    </dxf>
    <dxf>
      <font>
        <b val="1"/>
        <color theme="1"/>
        <sz val="10"/>
      </font>
      <border>
        <bottom style="thin">
          <color theme="4"/>
        </bottom>
        <vertical/>
        <horizontal/>
      </border>
    </dxf>
    <dxf>
      <font>
        <color theme="1"/>
      </font>
      <fill>
        <patternFill patternType="solid">
          <bgColor theme="0"/>
        </patternFill>
      </fill>
      <border>
        <left/>
        <right/>
        <top/>
        <bottom/>
        <vertical/>
        <horizontal/>
      </border>
    </dxf>
    <dxf>
      <font>
        <b val="1"/>
        <color theme="1"/>
        <sz val="10"/>
      </font>
      <border>
        <bottom style="thin">
          <color theme="4"/>
        </bottom>
        <vertical/>
        <horizontal/>
      </border>
    </dxf>
    <dxf>
      <font>
        <color theme="1"/>
      </font>
      <fill>
        <patternFill patternType="solid">
          <bgColor theme="0"/>
        </patternFill>
      </fill>
      <border>
        <left/>
        <right/>
        <top/>
        <bottom/>
        <vertical/>
        <horizontal/>
      </border>
    </dxf>
    <dxf>
      <font>
        <b val="1"/>
        <color theme="1"/>
        <sz val="10"/>
      </font>
      <border>
        <bottom style="thin">
          <color theme="4"/>
        </bottom>
        <vertical/>
        <horizontal/>
      </border>
    </dxf>
    <dxf>
      <font>
        <color theme="1"/>
      </font>
      <fill>
        <patternFill patternType="solid">
          <bgColor theme="0"/>
        </patternFill>
      </fill>
      <border>
        <left/>
        <right/>
        <top/>
        <bottom/>
        <vertical/>
        <horizontal/>
      </border>
    </dxf>
    <dxf>
      <font>
        <b val="1"/>
        <color theme="1"/>
        <sz val="10"/>
      </font>
      <border>
        <bottom style="thin">
          <color theme="4"/>
        </bottom>
        <vertical/>
        <horizontal/>
      </border>
    </dxf>
    <dxf>
      <font>
        <color theme="1"/>
      </font>
      <fill>
        <patternFill patternType="solid">
          <bgColor theme="0"/>
        </patternFill>
      </fill>
      <border>
        <left/>
        <right/>
        <top/>
        <bottom/>
        <vertical/>
        <horizontal/>
      </border>
    </dxf>
    <dxf>
      <font>
        <b val="1"/>
        <color theme="1"/>
        <sz val="10"/>
      </font>
      <border>
        <bottom style="thin">
          <color theme="4"/>
        </bottom>
        <vertical/>
        <horizontal/>
      </border>
    </dxf>
    <dxf>
      <font>
        <color theme="1"/>
      </font>
      <fill>
        <patternFill patternType="solid">
          <bgColor theme="0"/>
        </patternFill>
      </fill>
      <border>
        <left/>
        <right/>
        <top/>
        <bottom/>
        <vertical/>
        <horizontal/>
      </border>
    </dxf>
    <dxf>
      <font>
        <b val="1"/>
        <color theme="1"/>
        <sz val="10"/>
      </font>
      <border>
        <bottom style="thin">
          <color theme="4"/>
        </bottom>
        <vertical/>
        <horizontal/>
      </border>
    </dxf>
    <dxf>
      <font>
        <color theme="1"/>
      </font>
      <fill>
        <patternFill patternType="solid">
          <bgColor theme="0"/>
        </patternFill>
      </fill>
      <border>
        <left/>
        <right/>
        <top/>
        <bottom/>
        <vertical/>
        <horizontal/>
      </border>
    </dxf>
    <dxf>
      <font>
        <b val="1"/>
        <color theme="1"/>
        <sz val="10"/>
      </font>
      <border>
        <bottom style="thin">
          <color theme="4"/>
        </bottom>
        <vertical/>
        <horizontal/>
      </border>
    </dxf>
    <dxf>
      <font>
        <color theme="1"/>
      </font>
      <fill>
        <patternFill patternType="solid">
          <bgColor theme="0"/>
        </patternFill>
      </fill>
      <border>
        <left/>
        <right/>
        <top/>
        <bottom/>
        <vertical/>
        <horizontal/>
      </border>
    </dxf>
    <dxf>
      <font>
        <b val="1"/>
        <color theme="1"/>
        <sz val="10"/>
      </font>
      <border>
        <bottom style="thin">
          <color theme="4"/>
        </bottom>
        <vertical/>
        <horizontal/>
      </border>
    </dxf>
    <dxf>
      <font>
        <color theme="1"/>
      </font>
      <fill>
        <patternFill patternType="solid">
          <bgColor rgb="FFF7F7F7"/>
        </patternFill>
      </fill>
      <border>
        <left/>
        <right/>
        <top/>
        <bottom/>
        <vertical/>
        <horizontal/>
      </border>
    </dxf>
    <dxf>
      <font>
        <b val="1"/>
        <color theme="1"/>
        <sz val="10"/>
      </font>
      <border>
        <bottom style="thin">
          <color theme="4"/>
        </bottom>
        <vertical/>
        <horizontal/>
      </border>
    </dxf>
    <dxf>
      <font>
        <color theme="1"/>
      </font>
      <fill>
        <patternFill patternType="solid">
          <bgColor rgb="FFF7F7F7"/>
        </patternFill>
      </fill>
      <border>
        <left/>
        <right/>
        <top/>
        <bottom/>
        <vertical/>
        <horizontal/>
      </border>
    </dxf>
    <dxf>
      <font>
        <b val="1"/>
        <color theme="1"/>
        <sz val="10"/>
      </font>
      <border>
        <bottom style="thin">
          <color theme="4"/>
        </bottom>
        <vertical/>
        <horizontal/>
      </border>
    </dxf>
    <dxf>
      <font>
        <color theme="1"/>
      </font>
      <fill>
        <patternFill patternType="solid">
          <bgColor rgb="FFF7F7F7"/>
        </patternFill>
      </fill>
      <border>
        <left/>
        <right/>
        <top/>
        <bottom/>
        <vertical/>
        <horizontal/>
      </border>
    </dxf>
    <dxf>
      <font>
        <b val="1"/>
        <color theme="1"/>
        <sz val="10"/>
      </font>
      <border>
        <bottom style="thin">
          <color theme="4"/>
        </bottom>
        <vertical/>
        <horizontal/>
      </border>
    </dxf>
    <dxf>
      <font>
        <color theme="1"/>
      </font>
      <fill>
        <patternFill patternType="solid">
          <bgColor rgb="FFF7F7F7"/>
        </patternFill>
      </fill>
      <border>
        <left/>
        <right/>
        <top/>
        <bottom/>
        <vertical/>
        <horizontal/>
      </border>
    </dxf>
    <dxf>
      <font>
        <b val="1"/>
        <color theme="1"/>
        <sz val="10"/>
      </font>
      <border>
        <bottom style="thin">
          <color theme="4"/>
        </bottom>
        <vertical/>
        <horizontal/>
      </border>
    </dxf>
    <dxf>
      <font>
        <color theme="1"/>
      </font>
      <fill>
        <patternFill patternType="solid">
          <bgColor rgb="FFF7F7F7"/>
        </patternFill>
      </fill>
      <border>
        <left/>
        <right/>
        <top/>
        <bottom/>
        <vertical/>
        <horizontal/>
      </border>
    </dxf>
    <dxf>
      <font>
        <b val="1"/>
        <color theme="1"/>
        <sz val="10"/>
      </font>
      <border>
        <bottom style="thin">
          <color theme="4"/>
        </bottom>
        <vertical/>
        <horizontal/>
      </border>
    </dxf>
    <dxf>
      <font>
        <color theme="1"/>
      </font>
      <fill>
        <patternFill patternType="solid">
          <bgColor rgb="FFF7F7F7"/>
        </patternFill>
      </fill>
      <border>
        <left/>
        <right/>
        <top/>
        <bottom/>
        <vertical/>
        <horizontal/>
      </border>
    </dxf>
    <dxf>
      <font>
        <b val="1"/>
        <color theme="1"/>
        <sz val="10"/>
      </font>
      <border>
        <bottom style="thin">
          <color theme="4"/>
        </bottom>
        <vertical/>
        <horizontal/>
      </border>
    </dxf>
    <dxf>
      <font>
        <color theme="1"/>
      </font>
      <fill>
        <patternFill patternType="solid">
          <bgColor rgb="FFF7F7F7"/>
        </patternFill>
      </fill>
      <border>
        <left/>
        <right/>
        <top/>
        <bottom/>
        <vertical/>
        <horizontal/>
      </border>
    </dxf>
    <dxf>
      <font>
        <b val="1"/>
        <color theme="1"/>
        <sz val="10"/>
      </font>
      <border>
        <bottom style="thin">
          <color theme="4"/>
        </bottom>
        <vertical/>
        <horizontal/>
      </border>
    </dxf>
    <dxf>
      <font>
        <color theme="1"/>
      </font>
      <fill>
        <patternFill patternType="solid">
          <bgColor rgb="FFF7F7F7"/>
        </patternFill>
      </fill>
      <border>
        <left/>
        <right/>
        <top/>
        <bottom/>
        <vertical/>
        <horizontal/>
      </border>
    </dxf>
    <dxf>
      <font>
        <b val="1"/>
        <color theme="1"/>
        <sz val="10"/>
      </font>
      <border>
        <bottom style="thin">
          <color theme="4"/>
        </bottom>
        <vertical/>
        <horizontal/>
      </border>
    </dxf>
    <dxf>
      <font>
        <color theme="1"/>
      </font>
      <fill>
        <patternFill patternType="solid">
          <bgColor rgb="FFF7F7F7"/>
        </patternFill>
      </fill>
      <border>
        <left/>
        <right/>
        <top/>
        <bottom/>
        <vertical/>
        <horizontal/>
      </border>
    </dxf>
    <dxf>
      <font>
        <b val="1"/>
        <color theme="1"/>
        <sz val="10"/>
      </font>
      <border>
        <bottom style="thin">
          <color theme="4"/>
        </bottom>
        <vertical/>
        <horizontal/>
      </border>
    </dxf>
    <dxf>
      <font>
        <color theme="1"/>
      </font>
      <fill>
        <patternFill patternType="solid">
          <bgColor rgb="FFF7F7F7"/>
        </patternFill>
      </fill>
      <border>
        <left/>
        <right/>
        <top/>
        <bottom/>
        <vertical/>
        <horizontal/>
      </border>
    </dxf>
    <dxf>
      <font>
        <b val="1"/>
        <color theme="1"/>
        <sz val="10"/>
      </font>
      <border>
        <bottom style="thin">
          <color theme="4"/>
        </bottom>
        <vertical/>
        <horizontal/>
      </border>
    </dxf>
    <dxf>
      <font>
        <color theme="1"/>
      </font>
      <fill>
        <patternFill patternType="solid">
          <bgColor rgb="FFF7F7F7"/>
        </patternFill>
      </fill>
      <border>
        <left/>
        <right/>
        <top/>
        <bottom/>
        <vertical/>
        <horizontal/>
      </border>
    </dxf>
    <dxf>
      <font>
        <b val="1"/>
        <color theme="1"/>
        <sz val="10"/>
      </font>
      <border>
        <bottom style="thin">
          <color theme="4"/>
        </bottom>
        <vertical/>
        <horizontal/>
      </border>
    </dxf>
    <dxf>
      <font>
        <color theme="1"/>
      </font>
      <fill>
        <patternFill patternType="solid">
          <bgColor rgb="FFF7F7F7"/>
        </patternFill>
      </fill>
      <border>
        <left/>
        <right/>
        <top/>
        <bottom/>
        <vertical/>
        <horizontal/>
      </border>
    </dxf>
    <dxf>
      <font>
        <b val="1"/>
        <color theme="1"/>
        <sz val="10"/>
      </font>
      <border>
        <bottom style="thin">
          <color theme="4"/>
        </bottom>
        <vertical/>
        <horizontal/>
      </border>
    </dxf>
    <dxf>
      <font>
        <color theme="1"/>
      </font>
      <fill>
        <patternFill patternType="solid">
          <bgColor rgb="FFF7F7F7"/>
        </patternFill>
      </fill>
      <border>
        <left/>
        <right/>
        <top/>
        <bottom/>
        <vertical/>
        <horizontal/>
      </border>
    </dxf>
    <dxf>
      <font>
        <b val="1"/>
        <color theme="1"/>
        <sz val="10"/>
      </font>
      <border>
        <bottom style="thin">
          <color theme="4"/>
        </bottom>
        <vertical/>
        <horizontal/>
      </border>
    </dxf>
    <dxf>
      <font>
        <color theme="1"/>
      </font>
      <fill>
        <patternFill patternType="solid">
          <bgColor rgb="FFF7F7F7"/>
        </patternFill>
      </fill>
      <border>
        <left/>
        <right/>
        <top/>
        <bottom/>
        <vertical/>
        <horizontal/>
      </border>
    </dxf>
    <dxf>
      <font>
        <b val="1"/>
        <color theme="1"/>
        <sz val="10"/>
      </font>
      <border>
        <bottom style="thin">
          <color theme="4"/>
        </bottom>
        <vertical/>
        <horizontal/>
      </border>
    </dxf>
    <dxf>
      <font>
        <color theme="1"/>
      </font>
      <fill>
        <patternFill patternType="solid">
          <bgColor rgb="FFF7F7F7"/>
        </patternFill>
      </fill>
      <border>
        <left/>
        <right/>
        <top/>
        <bottom/>
        <vertical/>
        <horizontal/>
      </border>
    </dxf>
    <dxf>
      <font>
        <b val="1"/>
        <color theme="1"/>
        <sz val="10"/>
      </font>
      <border>
        <bottom style="thin">
          <color theme="4"/>
        </bottom>
        <vertical/>
        <horizontal/>
      </border>
    </dxf>
    <dxf>
      <font>
        <color theme="1"/>
      </font>
      <fill>
        <patternFill patternType="solid">
          <bgColor rgb="FFF7F7F7"/>
        </patternFill>
      </fill>
      <border>
        <left/>
        <right/>
        <top/>
        <bottom/>
        <vertical/>
        <horizontal/>
      </border>
    </dxf>
    <dxf>
      <font>
        <b val="1"/>
        <color theme="1"/>
        <sz val="10"/>
      </font>
      <border>
        <bottom style="thin">
          <color theme="4"/>
        </bottom>
        <vertical/>
        <horizontal/>
      </border>
    </dxf>
    <dxf>
      <font>
        <color theme="1"/>
      </font>
      <fill>
        <patternFill patternType="solid">
          <bgColor rgb="FFF7F7F7"/>
        </patternFill>
      </fill>
      <border>
        <left/>
        <right/>
        <top/>
        <bottom/>
        <vertical/>
        <horizontal/>
      </border>
    </dxf>
    <dxf>
      <font>
        <b val="1"/>
        <color theme="1"/>
        <sz val="10"/>
      </font>
      <border>
        <bottom style="thin">
          <color theme="4"/>
        </bottom>
        <vertical/>
        <horizontal/>
      </border>
    </dxf>
    <dxf>
      <font>
        <color theme="1"/>
      </font>
      <fill>
        <patternFill patternType="solid">
          <bgColor rgb="FFF7F7F7"/>
        </patternFill>
      </fill>
      <border>
        <left/>
        <right/>
        <top/>
        <bottom/>
        <vertical/>
        <horizontal/>
      </border>
    </dxf>
    <dxf>
      <font>
        <b val="1"/>
        <color theme="1"/>
        <sz val="10"/>
      </font>
      <border>
        <bottom style="thin">
          <color theme="4"/>
        </bottom>
        <vertical/>
        <horizontal/>
      </border>
    </dxf>
    <dxf>
      <font>
        <color theme="1"/>
      </font>
      <fill>
        <patternFill patternType="solid">
          <bgColor rgb="FFF7F7F7"/>
        </patternFill>
      </fill>
      <border>
        <left/>
        <right/>
        <top/>
        <bottom/>
        <vertical/>
        <horizontal/>
      </border>
    </dxf>
    <dxf>
      <font>
        <b val="1"/>
        <color theme="1"/>
        <sz val="10"/>
      </font>
      <border>
        <bottom style="thin">
          <color theme="4"/>
        </bottom>
        <vertical/>
        <horizontal/>
      </border>
    </dxf>
    <dxf>
      <font>
        <color theme="1"/>
      </font>
      <fill>
        <patternFill patternType="solid">
          <bgColor rgb="FFF7F7F7"/>
        </patternFill>
      </fill>
      <border>
        <left/>
        <right/>
        <top/>
        <bottom/>
        <vertical/>
        <horizontal/>
      </border>
    </dxf>
    <dxf>
      <font>
        <b val="1"/>
        <color theme="1"/>
        <sz val="10"/>
      </font>
      <border>
        <bottom style="thin">
          <color theme="4"/>
        </bottom>
        <vertical/>
        <horizontal/>
      </border>
    </dxf>
    <dxf>
      <font>
        <color theme="1"/>
      </font>
      <fill>
        <patternFill patternType="solid">
          <bgColor rgb="FFF7F7F7"/>
        </patternFill>
      </fill>
      <border>
        <left/>
        <right/>
        <top/>
        <bottom/>
        <vertical/>
        <horizontal/>
      </border>
    </dxf>
    <dxf>
      <font>
        <b val="1"/>
        <color theme="1"/>
        <sz val="10"/>
      </font>
      <border>
        <bottom style="thin">
          <color theme="4"/>
        </bottom>
        <vertical/>
        <horizontal/>
      </border>
    </dxf>
    <dxf>
      <font>
        <color theme="1"/>
      </font>
      <fill>
        <patternFill patternType="solid">
          <bgColor rgb="FFF7F7F7"/>
        </patternFill>
      </fill>
      <border>
        <left/>
        <right/>
        <top/>
        <bottom/>
        <vertical/>
        <horizontal/>
      </border>
    </dxf>
    <dxf>
      <font>
        <b val="1"/>
        <color theme="1"/>
        <sz val="10"/>
      </font>
      <border>
        <bottom style="thin">
          <color theme="4"/>
        </bottom>
        <vertical/>
        <horizontal/>
      </border>
    </dxf>
    <dxf>
      <font>
        <color theme="1"/>
      </font>
      <fill>
        <patternFill patternType="solid">
          <bgColor rgb="FFF7F7F7"/>
        </patternFill>
      </fill>
      <border>
        <left/>
        <right/>
        <top/>
        <bottom/>
        <vertical/>
        <horizontal/>
      </border>
    </dxf>
    <dxf>
      <font>
        <b val="1"/>
        <color theme="1"/>
        <sz val="10"/>
      </font>
      <border>
        <bottom style="thin">
          <color theme="4"/>
        </bottom>
        <vertical/>
        <horizontal/>
      </border>
    </dxf>
    <dxf>
      <font>
        <color theme="1"/>
      </font>
      <fill>
        <patternFill patternType="solid">
          <bgColor rgb="FFF7F7F7"/>
        </patternFill>
      </fill>
      <border>
        <left/>
        <right/>
        <top/>
        <bottom/>
        <vertical/>
        <horizontal/>
      </border>
    </dxf>
    <dxf>
      <font>
        <b val="1"/>
        <color theme="1"/>
        <sz val="10"/>
      </font>
      <border>
        <bottom style="thin">
          <color theme="4"/>
        </bottom>
        <vertical/>
        <horizontal/>
      </border>
    </dxf>
    <dxf>
      <font>
        <color theme="1"/>
      </font>
      <fill>
        <patternFill patternType="solid">
          <bgColor rgb="FFF7F7F7"/>
        </patternFill>
      </fill>
      <border>
        <left/>
        <right/>
        <top/>
        <bottom/>
        <vertical/>
        <horizontal/>
      </border>
    </dxf>
    <dxf>
      <font>
        <b val="1"/>
        <color theme="1"/>
        <sz val="10"/>
      </font>
      <border>
        <bottom style="thin">
          <color theme="4"/>
        </bottom>
        <vertical/>
        <horizontal/>
      </border>
    </dxf>
    <dxf>
      <font>
        <color theme="1"/>
      </font>
      <fill>
        <patternFill patternType="solid">
          <bgColor rgb="FFF7F7F7"/>
        </patternFill>
      </fill>
      <border>
        <left/>
        <right/>
        <top/>
        <bottom/>
        <vertical/>
        <horizontal/>
      </border>
    </dxf>
    <dxf>
      <font>
        <b val="1"/>
        <color theme="1"/>
        <sz val="10"/>
      </font>
      <border>
        <bottom style="thin">
          <color theme="4"/>
        </bottom>
        <vertical/>
        <horizontal/>
      </border>
    </dxf>
    <dxf>
      <font>
        <color theme="1"/>
      </font>
      <fill>
        <patternFill patternType="solid">
          <bgColor rgb="FFF7F7F7"/>
        </patternFill>
      </fill>
      <border>
        <left/>
        <right/>
        <top/>
        <bottom/>
        <vertical/>
        <horizontal/>
      </border>
    </dxf>
    <dxf>
      <font>
        <b val="1"/>
        <color theme="1"/>
        <sz val="10"/>
      </font>
      <border>
        <bottom style="thin">
          <color theme="4"/>
        </bottom>
        <vertical/>
        <horizontal/>
      </border>
    </dxf>
    <dxf>
      <font>
        <color theme="1"/>
      </font>
      <fill>
        <patternFill patternType="solid">
          <bgColor rgb="FFF7F7F7"/>
        </patternFill>
      </fill>
      <border>
        <left/>
        <right/>
        <top/>
        <bottom/>
        <vertical/>
        <horizontal/>
      </border>
    </dxf>
    <dxf>
      <font>
        <b val="1"/>
        <color theme="1"/>
        <sz val="10"/>
      </font>
      <border>
        <bottom style="thin">
          <color theme="4"/>
        </bottom>
        <vertical/>
        <horizontal/>
      </border>
    </dxf>
    <dxf>
      <font>
        <color theme="1"/>
      </font>
      <fill>
        <patternFill patternType="solid">
          <bgColor rgb="FFF7F7F7"/>
        </patternFill>
      </fill>
      <border>
        <left/>
        <right/>
        <top/>
        <bottom/>
        <vertical/>
        <horizontal/>
      </border>
    </dxf>
    <dxf>
      <font>
        <b val="1"/>
        <color theme="1"/>
        <sz val="10"/>
      </font>
      <border>
        <bottom style="thin">
          <color theme="4"/>
        </bottom>
        <vertical/>
        <horizontal/>
      </border>
    </dxf>
    <dxf>
      <font>
        <color theme="1"/>
      </font>
      <fill>
        <patternFill patternType="solid">
          <bgColor rgb="FFF7F7F7"/>
        </patternFill>
      </fill>
      <border>
        <left/>
        <right/>
        <top/>
        <bottom/>
        <vertical/>
        <horizontal/>
      </border>
    </dxf>
    <dxf>
      <font>
        <b val="1"/>
        <color theme="1"/>
        <sz val="10"/>
      </font>
      <border>
        <bottom style="thin">
          <color theme="4"/>
        </bottom>
        <vertical/>
        <horizontal/>
      </border>
    </dxf>
    <dxf>
      <font>
        <color theme="1"/>
      </font>
      <fill>
        <patternFill patternType="solid">
          <bgColor rgb="FFF7F7F7"/>
        </patternFill>
      </fill>
      <border>
        <left/>
        <right/>
        <top/>
        <bottom/>
        <vertical/>
        <horizontal/>
      </border>
    </dxf>
    <dxf>
      <font>
        <b val="1"/>
        <color theme="1"/>
        <sz val="10"/>
      </font>
      <border>
        <bottom style="thin">
          <color theme="4"/>
        </bottom>
        <vertical/>
        <horizontal/>
      </border>
    </dxf>
    <dxf>
      <font>
        <color theme="1"/>
      </font>
      <fill>
        <patternFill patternType="solid">
          <bgColor rgb="FFF7F7F7"/>
        </patternFill>
      </fill>
      <border>
        <left/>
        <right/>
        <top/>
        <bottom/>
        <vertical/>
        <horizontal/>
      </border>
    </dxf>
    <dxf>
      <font>
        <b val="1"/>
        <color theme="1"/>
        <sz val="10"/>
      </font>
      <border>
        <bottom style="thin">
          <color theme="4"/>
        </bottom>
        <vertical/>
        <horizontal/>
      </border>
    </dxf>
    <dxf>
      <font>
        <color theme="1"/>
      </font>
      <fill>
        <patternFill patternType="solid">
          <bgColor rgb="FFF7F7F7"/>
        </patternFill>
      </fill>
      <border>
        <left/>
        <right/>
        <top/>
        <bottom/>
        <vertical/>
        <horizontal/>
      </border>
    </dxf>
    <dxf>
      <font>
        <b val="1"/>
        <color theme="1"/>
        <sz val="10"/>
      </font>
      <border>
        <bottom style="thin">
          <color theme="4"/>
        </bottom>
        <vertical/>
        <horizontal/>
      </border>
    </dxf>
    <dxf>
      <font>
        <color theme="1"/>
      </font>
      <fill>
        <patternFill patternType="solid">
          <bgColor rgb="FFF7F7F7"/>
        </patternFill>
      </fill>
      <border>
        <left/>
        <right/>
        <top/>
        <bottom/>
        <vertical/>
        <horizontal/>
      </border>
    </dxf>
    <dxf>
      <font>
        <b val="1"/>
        <color theme="1"/>
        <sz val="10"/>
      </font>
      <border>
        <bottom style="thin">
          <color theme="4"/>
        </bottom>
        <vertical/>
        <horizontal/>
      </border>
    </dxf>
    <dxf>
      <font>
        <color theme="1"/>
      </font>
      <fill>
        <patternFill patternType="solid">
          <bgColor rgb="FFF7F7F7"/>
        </patternFill>
      </fill>
      <border>
        <left/>
        <right/>
        <top/>
        <bottom/>
        <vertical/>
        <horizontal/>
      </border>
    </dxf>
    <dxf>
      <font>
        <b val="1"/>
        <color theme="1"/>
        <sz val="10"/>
      </font>
      <border>
        <bottom style="thin">
          <color theme="4"/>
        </bottom>
        <vertical/>
        <horizontal/>
      </border>
    </dxf>
    <dxf>
      <font>
        <color theme="1"/>
      </font>
      <fill>
        <patternFill patternType="solid">
          <bgColor rgb="FFF7F7F7"/>
        </patternFill>
      </fill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solid">
          <fgColor rgb="FFEBF1DE"/>
          <bgColor rgb="FFE1F0E6"/>
        </patternFill>
      </fill>
    </dxf>
    <dxf>
      <fill>
        <patternFill patternType="solid">
          <fgColor rgb="FFEBF1DE"/>
          <bgColor rgb="FFEBF5EB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top style="double">
          <color rgb="FF379164"/>
        </top>
      </border>
    </dxf>
    <dxf>
      <font>
        <b val="1"/>
        <color rgb="FFFFFFFF"/>
      </font>
      <fill>
        <patternFill patternType="solid">
          <fgColor rgb="FF9BBB59"/>
          <bgColor rgb="FF379164"/>
        </patternFill>
      </fill>
    </dxf>
    <dxf>
      <font>
        <color rgb="FF000000"/>
      </font>
      <border>
        <left style="thin">
          <color rgb="FFE1F0E6"/>
        </left>
        <right style="thin">
          <color rgb="FFE1F0E6"/>
        </right>
        <top style="thin">
          <color rgb="FFE1F0E6"/>
        </top>
        <bottom style="thin">
          <color rgb="FFE1F0E6"/>
        </bottom>
        <horizontal style="thin">
          <color rgb="FFE1F0E6"/>
        </horizontal>
      </border>
    </dxf>
    <dxf>
      <font>
        <name val="sagoe ui"/>
        <b val="1"/>
        <color theme="1" tint="0.1499679555650502"/>
        <sz val="10"/>
      </font>
      <border>
        <bottom/>
        <vertical/>
        <horizontal/>
      </border>
    </dxf>
    <dxf>
      <font>
        <color theme="1"/>
      </font>
      <fill>
        <patternFill patternType="solid">
          <bgColor rgb="FFF7F7F7"/>
        </patternFill>
      </fill>
      <border>
        <left/>
        <right/>
        <top/>
        <bottom/>
        <vertical/>
        <horizontal/>
      </border>
    </dxf>
    <dxf>
      <font>
        <name val="sagoe ui"/>
        <b val="1"/>
        <color theme="1" tint="0.1499679555650502"/>
        <sz val="10"/>
      </font>
      <border>
        <bottom/>
        <vertical/>
        <horizontal/>
      </border>
    </dxf>
    <dxf>
      <font>
        <color theme="1"/>
      </font>
      <fill>
        <patternFill patternType="solid">
          <bgColor rgb="FFF7F7F7"/>
        </patternFill>
      </fill>
      <border>
        <left/>
        <right/>
        <top/>
        <bottom/>
        <vertical/>
        <horizontal/>
      </border>
    </dxf>
    <dxf>
      <font>
        <name val="sagoe ui"/>
        <b val="1"/>
        <color theme="1" tint="0.1499679555650502"/>
        <sz val="10"/>
      </font>
      <border>
        <bottom/>
        <vertical/>
        <horizontal/>
      </border>
    </dxf>
    <dxf>
      <font>
        <color theme="1"/>
      </font>
      <fill>
        <patternFill patternType="solid">
          <bgColor rgb="FFF7F7F7"/>
        </patternFill>
      </fill>
      <border>
        <left/>
        <right/>
        <top/>
        <bottom/>
        <vertical/>
        <horizontal/>
      </border>
    </dxf>
    <dxf>
      <font>
        <name val="sagoe ui"/>
        <b val="1"/>
        <color theme="1" tint="0.1499679555650502"/>
        <sz val="10"/>
      </font>
      <border>
        <bottom/>
        <vertical/>
        <horizontal/>
      </border>
    </dxf>
    <dxf>
      <font>
        <color theme="1"/>
      </font>
      <fill>
        <patternFill patternType="solid">
          <bgColor rgb="FFF7F7F7"/>
        </patternFill>
      </fill>
      <border>
        <left/>
        <right/>
        <top/>
        <bottom/>
        <vertical/>
        <horizontal/>
      </border>
    </dxf>
    <dxf>
      <font>
        <name val="sagoe ui"/>
        <b val="1"/>
        <color theme="1" tint="0.1499679555650502"/>
        <sz val="10"/>
      </font>
      <border>
        <bottom/>
        <vertical/>
        <horizontal/>
      </border>
    </dxf>
    <dxf>
      <font>
        <color theme="1"/>
      </font>
      <fill>
        <patternFill patternType="solid">
          <bgColor rgb="FFF7F7F7"/>
        </patternFill>
      </fill>
      <border>
        <left/>
        <right/>
        <top/>
        <bottom/>
        <vertical/>
        <horizontal/>
      </border>
    </dxf>
    <dxf>
      <font>
        <name val="sagoe ui"/>
        <b val="1"/>
        <color theme="1" tint="0.1499679555650502"/>
        <sz val="10"/>
      </font>
      <border>
        <bottom/>
        <vertical/>
        <horizontal/>
      </border>
    </dxf>
    <dxf>
      <font>
        <color theme="1"/>
      </font>
      <fill>
        <patternFill patternType="solid">
          <bgColor rgb="FFF7F7F7"/>
        </patternFill>
      </fill>
      <border>
        <left/>
        <right/>
        <top/>
        <bottom/>
        <vertical/>
        <horizontal/>
      </border>
    </dxf>
    <dxf>
      <font>
        <name val="sagoe ui"/>
        <b val="1"/>
        <color theme="1" tint="0.1499679555650502"/>
        <sz val="10"/>
      </font>
      <border>
        <bottom/>
        <vertical/>
        <horizontal/>
      </border>
    </dxf>
    <dxf>
      <font>
        <color theme="1"/>
      </font>
      <fill>
        <patternFill patternType="solid">
          <bgColor rgb="FFF7F7F7"/>
        </patternFill>
      </fill>
      <border>
        <left/>
        <right/>
        <top/>
        <bottom/>
        <vertical/>
        <horizontal/>
      </border>
    </dxf>
    <dxf>
      <font>
        <name val="sagoe ui"/>
        <b val="1"/>
        <color theme="1" tint="0.1499679555650502"/>
        <sz val="10"/>
      </font>
      <border>
        <bottom/>
        <vertical/>
        <horizontal/>
      </border>
    </dxf>
    <dxf>
      <font>
        <color theme="1"/>
      </font>
      <fill>
        <patternFill patternType="solid">
          <bgColor rgb="FFF7F7F7"/>
        </patternFill>
      </fill>
      <border>
        <left/>
        <right/>
        <top/>
        <bottom/>
        <vertical/>
        <horizontal/>
      </border>
    </dxf>
    <dxf>
      <font>
        <name val="sagoe ui"/>
        <b val="1"/>
        <color theme="1" tint="0.1499679555650502"/>
        <sz val="10"/>
      </font>
      <border>
        <bottom/>
        <vertical/>
        <horizontal/>
      </border>
    </dxf>
    <dxf>
      <font>
        <color theme="1"/>
      </font>
      <fill>
        <patternFill patternType="solid">
          <bgColor rgb="FFF7F7F7"/>
        </patternFill>
      </fill>
      <border>
        <left/>
        <right/>
        <top/>
        <bottom/>
        <vertical/>
        <horizontal/>
      </border>
    </dxf>
    <dxf>
      <font>
        <name val="sagoe ui"/>
        <b val="1"/>
        <color theme="1" tint="0.1499679555650502"/>
        <sz val="10"/>
      </font>
      <border>
        <bottom/>
        <vertical/>
        <horizontal/>
      </border>
    </dxf>
    <dxf>
      <font>
        <color theme="1"/>
      </font>
      <fill>
        <patternFill patternType="solid">
          <bgColor rgb="FFF7F7F7"/>
        </patternFill>
      </fill>
      <border>
        <left/>
        <right/>
        <top/>
        <bottom/>
        <vertical/>
        <horizontal/>
      </border>
    </dxf>
    <dxf>
      <font>
        <name val="sagoe ui"/>
        <b val="1"/>
        <color theme="1" tint="0.1499679555650502"/>
        <sz val="10"/>
      </font>
      <border>
        <bottom/>
        <vertical/>
        <horizontal/>
      </border>
    </dxf>
    <dxf>
      <font>
        <color theme="1"/>
      </font>
      <fill>
        <patternFill patternType="solid">
          <bgColor rgb="FFF7F7F7"/>
        </patternFill>
      </fill>
      <border>
        <left/>
        <right/>
        <top/>
        <bottom/>
        <vertical/>
        <horizontal/>
      </border>
    </dxf>
    <dxf>
      <font>
        <name val="sagoe ui"/>
        <b val="1"/>
        <color theme="1" tint="0.1499679555650502"/>
        <sz val="10"/>
      </font>
      <border>
        <bottom/>
        <vertical/>
        <horizontal/>
      </border>
    </dxf>
    <dxf>
      <font>
        <color theme="1"/>
      </font>
      <fill>
        <patternFill patternType="solid">
          <bgColor rgb="FFF7F7F7"/>
        </patternFill>
      </fill>
      <border>
        <left/>
        <right/>
        <top/>
        <bottom/>
        <vertical/>
        <horizontal/>
      </border>
    </dxf>
    <dxf>
      <font>
        <name val="sagoe ui"/>
        <b val="1"/>
        <color theme="1" tint="0.1499679555650502"/>
        <sz val="10"/>
      </font>
      <border>
        <bottom/>
        <vertical/>
        <horizontal/>
      </border>
    </dxf>
    <dxf>
      <font>
        <color theme="1"/>
      </font>
      <fill>
        <patternFill patternType="solid">
          <bgColor rgb="FFF7F7F7"/>
        </patternFill>
      </fill>
      <border>
        <left/>
        <right/>
        <top/>
        <bottom/>
        <vertical/>
        <horizontal/>
      </border>
    </dxf>
    <dxf>
      <font>
        <name val="sagoe ui"/>
        <b val="1"/>
        <color theme="1" tint="0.1499679555650502"/>
        <sz val="10"/>
      </font>
      <border>
        <bottom/>
        <vertical/>
        <horizontal/>
      </border>
    </dxf>
    <dxf>
      <font>
        <color theme="1"/>
      </font>
      <fill>
        <patternFill patternType="solid">
          <bgColor rgb="FFF7F7F7"/>
        </patternFill>
      </fill>
      <border>
        <left/>
        <right/>
        <top/>
        <bottom/>
        <vertical/>
        <horizontal/>
      </border>
    </dxf>
    <dxf>
      <font>
        <b val="1"/>
        <color rgb="FF266445"/>
      </font>
      <fill>
        <patternFill>
          <fgColor rgb="FF74B88C"/>
          <bgColor rgb="FFB8E2BC"/>
        </patternFill>
      </fill>
      <border>
        <left/>
        <right/>
        <top style="thin">
          <color theme="0"/>
        </top>
        <bottom style="thin">
          <color theme="0"/>
        </bottom>
        <horizontal style="thin">
          <color theme="0"/>
        </horizontal>
      </border>
    </dxf>
    <dxf>
      <font>
        <b val="1"/>
        <color theme="1" tint="0.249946592608417"/>
      </font>
      <fill>
        <patternFill>
          <bgColor theme="0" tint="-0.0499893185216834"/>
        </patternFill>
      </fill>
      <border>
        <top style="thin">
          <color theme="0"/>
        </top>
        <bottom style="thin">
          <color theme="0"/>
        </bottom>
        <horizontal style="thin">
          <color theme="0"/>
        </horizontal>
      </border>
    </dxf>
    <dxf>
      <font>
        <b val="1"/>
      </font>
      <fill>
        <patternFill>
          <bgColor theme="0" tint="-0.0499893185216834"/>
        </patternFill>
      </fill>
      <border>
        <top style="thin">
          <color theme="0" tint="-0.0499893185216834"/>
        </top>
        <bottom style="thin">
          <color theme="0" tint="-0.0499893185216834"/>
        </bottom>
        <horizontal style="thin">
          <color theme="0" tint="-0.0499893185216834"/>
        </horizontal>
      </border>
    </dxf>
    <dxf>
      <font>
        <b val="1"/>
      </font>
      <fill>
        <patternFill patternType="solid">
          <bgColor rgb="FFF2F2F2"/>
        </patternFill>
      </fill>
      <border>
        <top style="thin">
          <color theme="0"/>
        </top>
        <bottom style="thin">
          <color theme="0"/>
        </bottom>
        <horizontal style="thin">
          <color theme="0"/>
        </horizontal>
      </border>
    </dxf>
    <dxf>
      <font>
        <b val="1"/>
      </font>
      <fill>
        <patternFill>
          <bgColor rgb="FFDFF1E5"/>
        </patternFill>
      </fill>
      <border>
        <top style="thin">
          <color theme="0"/>
        </top>
        <bottom style="thin">
          <color theme="0"/>
        </bottom>
        <horizontal style="thin">
          <color theme="0"/>
        </horizontal>
      </border>
    </dxf>
    <dxf>
      <fill>
        <patternFill>
          <bgColor rgb="FF55B97D"/>
        </patternFill>
      </fill>
      <border>
        <left style="thin">
          <color rgb="FF47AF76"/>
        </left>
        <right style="thin">
          <color rgb="FF47AF76"/>
        </right>
        <vertical style="thin">
          <color rgb="FF47AF76"/>
        </vertical>
      </border>
    </dxf>
    <dxf>
      <font>
        <color theme="0"/>
      </font>
      <fill>
        <patternFill>
          <bgColor rgb="FF42A46E"/>
        </patternFill>
      </fill>
      <border>
        <left style="thin">
          <color rgb="FF42A46E"/>
        </left>
        <right style="thin">
          <color rgb="FF42A46E"/>
        </right>
        <top/>
        <bottom style="thin">
          <color rgb="FF42A46E"/>
        </bottom>
        <horizontal/>
      </border>
    </dxf>
    <dxf>
      <font>
        <b val="1"/>
        <color theme="0"/>
      </font>
    </dxf>
    <dxf>
      <fill>
        <patternFill patternType="solid">
          <fgColor rgb="FF74B88C"/>
          <bgColor theme="6" tint="0.3999450666829432"/>
        </patternFill>
      </fill>
      <border>
        <left/>
        <right/>
        <top style="thin">
          <color theme="0"/>
        </top>
        <bottom style="thin">
          <color theme="0"/>
        </bottom>
        <horizontal style="thin">
          <color theme="0"/>
        </horizontal>
      </border>
    </dxf>
    <dxf>
      <font>
        <color rgb="FF399366"/>
      </font>
      <fill>
        <patternFill>
          <bgColor rgb="FF399366"/>
        </patternFill>
      </fill>
      <border>
        <top/>
        <bottom/>
        <horizontal/>
      </border>
    </dxf>
    <dxf>
      <border>
        <left/>
        <right/>
        <top/>
        <bottom/>
        <horizontal/>
      </border>
    </dxf>
    <dxf>
      <font>
        <color auto="1"/>
      </font>
      <border>
        <top/>
        <bottom/>
        <horizontal/>
      </border>
    </dxf>
    <dxf>
      <font/>
      <fill>
        <patternFill patternType="solid">
          <bgColor rgb="FFF9F9F9"/>
        </patternFill>
      </fill>
      <border>
        <top style="thin">
          <color theme="0" tint="-0.0499893185216834"/>
        </top>
        <bottom style="thin">
          <color theme="0" tint="-0.0499893185216834"/>
        </bottom>
        <horizontal style="thin">
          <color theme="0" tint="-0.0499893185216834"/>
        </horizontal>
      </border>
    </dxf>
    <dxf>
      <font>
        <b val="1"/>
        <color theme="0"/>
      </font>
      <fill>
        <patternFill patternType="solid">
          <fgColor theme="1"/>
          <bgColor rgb="FF404040"/>
        </patternFill>
      </fill>
    </dxf>
    <dxf>
      <font>
        <b val="1"/>
        <color theme="0"/>
      </font>
      <fill>
        <patternFill patternType="solid">
          <fgColor rgb="FF005828"/>
          <bgColor rgb="FF399366"/>
        </patternFill>
      </fill>
      <border>
        <top/>
        <bottom style="thin">
          <color theme="0"/>
        </bottom>
        <horizontal/>
      </border>
    </dxf>
    <dxf>
      <font>
        <color theme="1" tint="0.249946592608417"/>
      </font>
      <fill>
        <patternFill patternType="solid">
          <fgColor theme="0"/>
          <bgColor theme="0"/>
        </patternFill>
      </fill>
      <border>
        <top style="thin">
          <color rgb="FFEBEBEB"/>
        </top>
        <bottom style="thin">
          <color rgb="FFEBEBEB"/>
        </bottom>
        <horizontal style="thin">
          <color rgb="FFEBEBEB"/>
        </horizontal>
      </border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E2EFDA"/>
          <bgColor rgb="FFE2EFDA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top style="double">
          <color rgb="FF70AD47"/>
        </top>
      </border>
    </dxf>
    <dxf>
      <font>
        <b val="1"/>
        <color rgb="FFFFFFFF"/>
      </font>
      <fill>
        <patternFill patternType="solid">
          <fgColor rgb="FF70AD47"/>
          <bgColor rgb="FF70AD47"/>
        </patternFill>
      </fill>
    </dxf>
    <dxf>
      <font>
        <color rgb="FF000000"/>
      </font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E2EFDA"/>
          <bgColor rgb="FFE2EFDA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top style="double">
          <color rgb="FF70AD47"/>
        </top>
      </border>
    </dxf>
    <dxf>
      <font>
        <b val="1"/>
        <color rgb="FFFFFFFF"/>
      </font>
      <fill>
        <patternFill patternType="solid">
          <fgColor rgb="FF70AD47"/>
          <bgColor rgb="FF70AD47"/>
        </patternFill>
      </fill>
    </dxf>
    <dxf>
      <font>
        <color rgb="FF000000"/>
      </font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top style="double">
          <color rgb="FF5B9BD5"/>
        </top>
      </border>
    </dxf>
    <dxf>
      <font>
        <b val="1"/>
        <color rgb="FFFFFFFF"/>
      </font>
      <fill>
        <patternFill patternType="solid">
          <fgColor rgb="FF5B9BD5"/>
          <bgColor rgb="FF5B9BD5"/>
        </patternFill>
      </fill>
    </dxf>
    <dxf>
      <font>
        <color rgb="FF000000"/>
      </font>
      <border>
        <left style="thin">
          <color rgb="FF9BC2E6"/>
        </left>
        <right style="thin">
          <color rgb="FF9BC2E6"/>
        </right>
        <top style="thin">
          <color rgb="FF9BC2E6"/>
        </top>
        <bottom style="thin">
          <color rgb="FF9BC2E6"/>
        </bottom>
        <horizontal style="thin">
          <color rgb="FF9BC2E6"/>
        </horizontal>
      </border>
    </dxf>
    <dxf>
      <font>
        <color theme="4" tint="0.7999816888943144"/>
      </font>
      <border>
        <bottom style="thin">
          <color theme="4"/>
        </bottom>
        <vertical/>
        <horizontal/>
      </border>
    </dxf>
    <dxf>
      <font>
        <color theme="1"/>
      </font>
      <fill>
        <patternFill patternType="solid">
          <bgColor theme="4" tint="-0.499984740745262"/>
        </patternFill>
      </fill>
      <border>
        <left/>
        <right/>
        <top/>
        <bottom/>
        <vertical/>
        <horizontal/>
      </border>
    </dxf>
  </dxfs>
  <tableStyles count="99" defaultTableStyle="TableStyleMedium2" defaultPivotStyle="PivotStyleLight16">
    <tableStyle name="SlicerStyleDark1 2" pivot="0" table="0" count="2">
      <tableStyleElement type="wholeTable" dxfId="353"/>
      <tableStyleElement type="headerRow" dxfId="352"/>
    </tableStyle>
    <tableStyle name="TableStyleMedium2 2" pivot="0" count="7">
      <tableStyleElement type="wholeTable" dxfId="351"/>
      <tableStyleElement type="headerRow" dxfId="350"/>
      <tableStyleElement type="totalRow" dxfId="349"/>
      <tableStyleElement type="firstColumn" dxfId="348"/>
      <tableStyleElement type="lastColumn" dxfId="347"/>
      <tableStyleElement type="firstRowStripe" dxfId="346"/>
      <tableStyleElement type="firstColumnStripe" dxfId="345"/>
    </tableStyle>
    <tableStyle name="TableStyleMedium7 2" pivot="0" count="7">
      <tableStyleElement type="wholeTable" dxfId="344"/>
      <tableStyleElement type="headerRow" dxfId="343"/>
      <tableStyleElement type="totalRow" dxfId="342"/>
      <tableStyleElement type="firstColumn" dxfId="341"/>
      <tableStyleElement type="lastColumn" dxfId="340"/>
      <tableStyleElement type="firstRowStripe" dxfId="339"/>
      <tableStyleElement type="firstColumnStripe" dxfId="338"/>
    </tableStyle>
    <tableStyle name="TableStyleMedium7 3" pivot="0" count="7">
      <tableStyleElement type="wholeTable" dxfId="337"/>
      <tableStyleElement type="headerRow" dxfId="336"/>
      <tableStyleElement type="totalRow" dxfId="335"/>
      <tableStyleElement type="firstColumn" dxfId="334"/>
      <tableStyleElement type="lastColumn" dxfId="333"/>
      <tableStyleElement type="firstRowStripe" dxfId="332"/>
      <tableStyleElement type="firstColumnStripe" dxfId="331"/>
    </tableStyle>
    <tableStyle name="VD_Базовый" table="0" count="16">
      <tableStyleElement type="wholeTable" dxfId="330"/>
      <tableStyleElement type="headerRow" dxfId="329"/>
      <tableStyleElement type="totalRow" dxfId="328"/>
      <tableStyleElement type="firstColumn" dxfId="327"/>
      <tableStyleElement type="firstRowStripe" dxfId="326"/>
      <tableStyleElement type="firstColumnStripe" dxfId="325"/>
      <tableStyleElement type="firstHeaderCell" dxfId="324"/>
      <tableStyleElement type="firstSubtotalColumn" dxfId="323"/>
      <tableStyleElement type="firstSubtotalRow" dxfId="322"/>
      <tableStyleElement type="firstColumnSubheading" dxfId="321"/>
      <tableStyleElement type="secondColumnSubheading" dxfId="320"/>
      <tableStyleElement type="firstRowSubheading" dxfId="319"/>
      <tableStyleElement type="secondRowSubheading" dxfId="318"/>
      <tableStyleElement type="thirdRowSubheading" dxfId="317"/>
      <tableStyleElement type="pageFieldLabels" dxfId="316"/>
      <tableStyleElement type="pageFieldValues" dxfId="315"/>
    </tableStyle>
    <tableStyle name="VD_Базовый_срезы 15" pivot="0" table="0" count="2">
      <tableStyleElement type="wholeTable" dxfId="314"/>
      <tableStyleElement type="headerRow" dxfId="313"/>
    </tableStyle>
    <tableStyle name="VD_Базовый_срезы 16" pivot="0" table="0" count="2">
      <tableStyleElement type="wholeTable" dxfId="312"/>
      <tableStyleElement type="headerRow" dxfId="311"/>
    </tableStyle>
    <tableStyle name="VD_Базовый_срезы 17" pivot="0" table="0" count="2">
      <tableStyleElement type="wholeTable" dxfId="310"/>
      <tableStyleElement type="headerRow" dxfId="309"/>
    </tableStyle>
    <tableStyle name="VD_Базовый_срезы 18" pivot="0" table="0" count="2">
      <tableStyleElement type="wholeTable" dxfId="308"/>
      <tableStyleElement type="headerRow" dxfId="307"/>
    </tableStyle>
    <tableStyle name="VD_Базовый_срезы 19" pivot="0" table="0" count="2">
      <tableStyleElement type="wholeTable" dxfId="306"/>
      <tableStyleElement type="headerRow" dxfId="305"/>
    </tableStyle>
    <tableStyle name="VD_Базовый_срезы 20" pivot="0" table="0" count="2">
      <tableStyleElement type="wholeTable" dxfId="304"/>
      <tableStyleElement type="headerRow" dxfId="303"/>
    </tableStyle>
    <tableStyle name="VD_Базовый_срезы 21" pivot="0" table="0" count="2">
      <tableStyleElement type="wholeTable" dxfId="302"/>
      <tableStyleElement type="headerRow" dxfId="301"/>
    </tableStyle>
    <tableStyle name="VD_Базовый_срезы 22" pivot="0" table="0" count="2">
      <tableStyleElement type="wholeTable" dxfId="300"/>
      <tableStyleElement type="headerRow" dxfId="299"/>
    </tableStyle>
    <tableStyle name="VD_Базовый_срезы 23" pivot="0" table="0" count="2">
      <tableStyleElement type="wholeTable" dxfId="298"/>
      <tableStyleElement type="headerRow" dxfId="297"/>
    </tableStyle>
    <tableStyle name="VD_Базовый_срезы 24" pivot="0" table="0" count="2">
      <tableStyleElement type="wholeTable" dxfId="296"/>
      <tableStyleElement type="headerRow" dxfId="295"/>
    </tableStyle>
    <tableStyle name="VD_Базовый_срезы 25" pivot="0" table="0" count="2">
      <tableStyleElement type="wholeTable" dxfId="294"/>
      <tableStyleElement type="headerRow" dxfId="293"/>
    </tableStyle>
    <tableStyle name="VD_Базовый_срезы 26" pivot="0" table="0" count="2">
      <tableStyleElement type="wholeTable" dxfId="292"/>
      <tableStyleElement type="headerRow" dxfId="291"/>
    </tableStyle>
    <tableStyle name="VD_Базовый_срезы 27" pivot="0" table="0" count="2">
      <tableStyleElement type="wholeTable" dxfId="290"/>
      <tableStyleElement type="headerRow" dxfId="289"/>
    </tableStyle>
    <tableStyle name="VD_Базовый_срезы 28" pivot="0" table="0" count="2">
      <tableStyleElement type="wholeTable" dxfId="288"/>
      <tableStyleElement type="headerRow" dxfId="287"/>
    </tableStyle>
    <tableStyle name="Плоская таблица" pivot="0" count="7">
      <tableStyleElement type="wholeTable" dxfId="286"/>
      <tableStyleElement type="headerRow" dxfId="285"/>
      <tableStyleElement type="totalRow" dxfId="284"/>
      <tableStyleElement type="firstColumn" dxfId="283"/>
      <tableStyleElement type="lastColumn" dxfId="282"/>
      <tableStyleElement type="firstRowStripe" dxfId="281"/>
      <tableStyleElement type="firstColumnStripe" dxfId="280"/>
    </tableStyle>
    <tableStyle name="Стиль среза 1" pivot="0" table="0" count="1">
      <tableStyleElement type="wholeTable" dxfId="279"/>
    </tableStyle>
    <tableStyle name="Стиль среза 2" pivot="0" table="0" count="1">
      <tableStyleElement type="wholeTable" dxfId="278"/>
    </tableStyle>
    <tableStyle name="For Scope3" pivot="0" table="0" count="2">
      <tableStyleElement type="wholeTable" dxfId="277"/>
      <tableStyleElement type="headerRow" dxfId="276"/>
    </tableStyle>
    <tableStyle name="For Scope3 10" pivot="0" table="0" count="2">
      <tableStyleElement type="wholeTable" dxfId="275"/>
      <tableStyleElement type="headerRow" dxfId="274"/>
    </tableStyle>
    <tableStyle name="For Scope3 10 2" pivot="0" table="0" count="2">
      <tableStyleElement type="wholeTable" dxfId="273"/>
      <tableStyleElement type="headerRow" dxfId="272"/>
    </tableStyle>
    <tableStyle name="For Scope3 11" pivot="0" table="0" count="2">
      <tableStyleElement type="wholeTable" dxfId="271"/>
      <tableStyleElement type="headerRow" dxfId="270"/>
    </tableStyle>
    <tableStyle name="For Scope3 11 2" pivot="0" table="0" count="2">
      <tableStyleElement type="wholeTable" dxfId="269"/>
      <tableStyleElement type="headerRow" dxfId="268"/>
    </tableStyle>
    <tableStyle name="For Scope3 2" pivot="0" table="0" count="2">
      <tableStyleElement type="wholeTable" dxfId="267"/>
      <tableStyleElement type="headerRow" dxfId="266"/>
    </tableStyle>
    <tableStyle name="For Scope3 2 2" pivot="0" table="0" count="2">
      <tableStyleElement type="wholeTable" dxfId="265"/>
      <tableStyleElement type="headerRow" dxfId="264"/>
    </tableStyle>
    <tableStyle name="For Scope3 2 3" pivot="0" table="0" count="2">
      <tableStyleElement type="wholeTable" dxfId="263"/>
      <tableStyleElement type="headerRow" dxfId="262"/>
    </tableStyle>
    <tableStyle name="For Scope3 3" pivot="0" table="0" count="2">
      <tableStyleElement type="wholeTable" dxfId="261"/>
      <tableStyleElement type="headerRow" dxfId="260"/>
    </tableStyle>
    <tableStyle name="For Scope3 3 2" pivot="0" table="0" count="2">
      <tableStyleElement type="wholeTable" dxfId="259"/>
      <tableStyleElement type="headerRow" dxfId="258"/>
    </tableStyle>
    <tableStyle name="For Scope3 4" pivot="0" table="0" count="2">
      <tableStyleElement type="wholeTable" dxfId="257"/>
      <tableStyleElement type="headerRow" dxfId="256"/>
    </tableStyle>
    <tableStyle name="For Scope3 4 2" pivot="0" table="0" count="2">
      <tableStyleElement type="wholeTable" dxfId="255"/>
      <tableStyleElement type="headerRow" dxfId="254"/>
    </tableStyle>
    <tableStyle name="For Scope3 5" pivot="0" table="0" count="2">
      <tableStyleElement type="wholeTable" dxfId="253"/>
      <tableStyleElement type="headerRow" dxfId="252"/>
    </tableStyle>
    <tableStyle name="For Scope3 5 2" pivot="0" table="0" count="2">
      <tableStyleElement type="wholeTable" dxfId="251"/>
      <tableStyleElement type="headerRow" dxfId="250"/>
    </tableStyle>
    <tableStyle name="For Scope3 6" pivot="0" table="0" count="2">
      <tableStyleElement type="wholeTable" dxfId="249"/>
      <tableStyleElement type="headerRow" dxfId="248"/>
    </tableStyle>
    <tableStyle name="For Scope3 6 2" pivot="0" table="0" count="2">
      <tableStyleElement type="wholeTable" dxfId="247"/>
      <tableStyleElement type="headerRow" dxfId="246"/>
    </tableStyle>
    <tableStyle name="For Scope3 7" pivot="0" table="0" count="2">
      <tableStyleElement type="wholeTable" dxfId="245"/>
      <tableStyleElement type="headerRow" dxfId="244"/>
    </tableStyle>
    <tableStyle name="For Scope3 7 2" pivot="0" table="0" count="2">
      <tableStyleElement type="wholeTable" dxfId="243"/>
      <tableStyleElement type="headerRow" dxfId="242"/>
    </tableStyle>
    <tableStyle name="For Scope3 8" pivot="0" table="0" count="2">
      <tableStyleElement type="wholeTable" dxfId="241"/>
      <tableStyleElement type="headerRow" dxfId="240"/>
    </tableStyle>
    <tableStyle name="For Scope3 8 10" pivot="0" table="0" count="2">
      <tableStyleElement type="wholeTable" dxfId="239"/>
      <tableStyleElement type="headerRow" dxfId="238"/>
    </tableStyle>
    <tableStyle name="For Scope3 8 2" pivot="0" table="0" count="2">
      <tableStyleElement type="wholeTable" dxfId="237"/>
      <tableStyleElement type="headerRow" dxfId="236"/>
    </tableStyle>
    <tableStyle name="For Scope3 8 2 2" pivot="0" table="0" count="2">
      <tableStyleElement type="wholeTable" dxfId="235"/>
      <tableStyleElement type="headerRow" dxfId="234"/>
    </tableStyle>
    <tableStyle name="For Scope3 8 3" pivot="0" table="0" count="2">
      <tableStyleElement type="wholeTable" dxfId="233"/>
      <tableStyleElement type="headerRow" dxfId="232"/>
    </tableStyle>
    <tableStyle name="For Scope3 8 3 2" pivot="0" table="0" count="2">
      <tableStyleElement type="wholeTable" dxfId="231"/>
      <tableStyleElement type="headerRow" dxfId="230"/>
    </tableStyle>
    <tableStyle name="For Scope3 8 4" pivot="0" table="0" count="2">
      <tableStyleElement type="wholeTable" dxfId="229"/>
      <tableStyleElement type="headerRow" dxfId="228"/>
    </tableStyle>
    <tableStyle name="For Scope3 8 4 2" pivot="0" table="0" count="2">
      <tableStyleElement type="wholeTable" dxfId="227"/>
      <tableStyleElement type="headerRow" dxfId="226"/>
    </tableStyle>
    <tableStyle name="For Scope3 8 5" pivot="0" table="0" count="2">
      <tableStyleElement type="wholeTable" dxfId="225"/>
      <tableStyleElement type="headerRow" dxfId="224"/>
    </tableStyle>
    <tableStyle name="For Scope3 8 5 2" pivot="0" table="0" count="2">
      <tableStyleElement type="wholeTable" dxfId="223"/>
      <tableStyleElement type="headerRow" dxfId="222"/>
    </tableStyle>
    <tableStyle name="For Scope3 8 6" pivot="0" table="0" count="2">
      <tableStyleElement type="wholeTable" dxfId="221"/>
      <tableStyleElement type="headerRow" dxfId="220"/>
    </tableStyle>
    <tableStyle name="For Scope3 8 6 2" pivot="0" table="0" count="2">
      <tableStyleElement type="wholeTable" dxfId="219"/>
      <tableStyleElement type="headerRow" dxfId="218"/>
    </tableStyle>
    <tableStyle name="For Scope3 8 7" pivot="0" table="0" count="2">
      <tableStyleElement type="wholeTable" dxfId="217"/>
      <tableStyleElement type="headerRow" dxfId="216"/>
    </tableStyle>
    <tableStyle name="For Scope3 8 7 2" pivot="0" table="0" count="2">
      <tableStyleElement type="wholeTable" dxfId="215"/>
      <tableStyleElement type="headerRow" dxfId="214"/>
    </tableStyle>
    <tableStyle name="For Scope3 8 8" pivot="0" table="0" count="2">
      <tableStyleElement type="wholeTable" dxfId="213"/>
      <tableStyleElement type="headerRow" dxfId="212"/>
    </tableStyle>
    <tableStyle name="For Scope3 8 9" pivot="0" table="0" count="2">
      <tableStyleElement type="wholeTable" dxfId="211"/>
      <tableStyleElement type="headerRow" dxfId="210"/>
    </tableStyle>
    <tableStyle name="For Scope3 9" pivot="0" table="0" count="2">
      <tableStyleElement type="wholeTable" dxfId="209"/>
      <tableStyleElement type="headerRow" dxfId="208"/>
    </tableStyle>
    <tableStyle name="For Scope3 9 2" pivot="0" table="0" count="2">
      <tableStyleElement type="wholeTable" dxfId="207"/>
      <tableStyleElement type="headerRow" dxfId="206"/>
    </tableStyle>
    <tableStyle name="ForDin3" pivot="0" table="0" count="2">
      <tableStyleElement type="wholeTable" dxfId="205"/>
      <tableStyleElement type="headerRow" dxfId="204"/>
    </tableStyle>
    <tableStyle name="ForDin3 2" pivot="0" table="0" count="2">
      <tableStyleElement type="wholeTable" dxfId="203"/>
      <tableStyleElement type="headerRow" dxfId="202"/>
    </tableStyle>
    <tableStyle name="ForDin3 2 2" pivot="0" table="0" count="2">
      <tableStyleElement type="wholeTable" dxfId="201"/>
      <tableStyleElement type="headerRow" dxfId="200"/>
    </tableStyle>
    <tableStyle name="ForDin3 2 3" pivot="0" table="0" count="2">
      <tableStyleElement type="wholeTable" dxfId="199"/>
      <tableStyleElement type="headerRow" dxfId="198"/>
    </tableStyle>
    <tableStyle name="ForDin3 3" pivot="0" table="0" count="2">
      <tableStyleElement type="wholeTable" dxfId="197"/>
      <tableStyleElement type="headerRow" dxfId="196"/>
    </tableStyle>
    <tableStyle name="ForDin3 3 2" pivot="0" table="0" count="2">
      <tableStyleElement type="wholeTable" dxfId="195"/>
      <tableStyleElement type="headerRow" dxfId="194"/>
    </tableStyle>
    <tableStyle name="ForDin3 3 3" pivot="0" table="0" count="2">
      <tableStyleElement type="wholeTable" dxfId="193"/>
      <tableStyleElement type="headerRow" dxfId="192"/>
    </tableStyle>
    <tableStyle name="ForDin3 4" pivot="0" table="0" count="2">
      <tableStyleElement type="wholeTable" dxfId="191"/>
      <tableStyleElement type="headerRow" dxfId="190"/>
    </tableStyle>
    <tableStyle name="ForDin3 4 2" pivot="0" table="0" count="2">
      <tableStyleElement type="wholeTable" dxfId="189"/>
      <tableStyleElement type="headerRow" dxfId="188"/>
    </tableStyle>
    <tableStyle name="ForDin3 5" pivot="0" table="0" count="2">
      <tableStyleElement type="wholeTable" dxfId="187"/>
      <tableStyleElement type="headerRow" dxfId="186"/>
    </tableStyle>
    <tableStyle name="ForDin3 6" pivot="0" table="0" count="2">
      <tableStyleElement type="wholeTable" dxfId="185"/>
      <tableStyleElement type="headerRow" dxfId="184"/>
    </tableStyle>
    <tableStyle name="ForDin3 7" pivot="0" table="0" count="2">
      <tableStyleElement type="wholeTable" dxfId="183"/>
      <tableStyleElement type="headerRow" dxfId="182"/>
    </tableStyle>
    <tableStyle name="SlicerStyleLight1 2" pivot="0" table="0" count="2">
      <tableStyleElement type="wholeTable" dxfId="181"/>
      <tableStyleElement type="headerRow" dxfId="180"/>
    </tableStyle>
    <tableStyle name="SlicerStyleLight1 3" pivot="0" table="0" count="2">
      <tableStyleElement type="wholeTable" dxfId="179"/>
      <tableStyleElement type="headerRow" dxfId="178"/>
    </tableStyle>
    <tableStyle name="SlicerStyleLight1 4" pivot="0" table="0" count="2">
      <tableStyleElement type="wholeTable" dxfId="177"/>
      <tableStyleElement type="headerRow" dxfId="176"/>
    </tableStyle>
    <tableStyle name="TableStyleMedium2 3" pivot="0" count="7">
      <tableStyleElement type="wholeTable" dxfId="175"/>
      <tableStyleElement type="headerRow" dxfId="174"/>
      <tableStyleElement type="totalRow" dxfId="173"/>
      <tableStyleElement type="firstColumn" dxfId="172"/>
      <tableStyleElement type="lastColumn" dxfId="171"/>
      <tableStyleElement type="firstRowStripe" dxfId="170"/>
      <tableStyleElement type="firstColumnStripe" dxfId="169"/>
    </tableStyle>
    <tableStyle name="VD" table="0" count="14">
      <tableStyleElement type="wholeTable" dxfId="168"/>
      <tableStyleElement type="headerRow" dxfId="167"/>
      <tableStyleElement type="totalRow" dxfId="166"/>
      <tableStyleElement type="firstColumn" dxfId="165"/>
      <tableStyleElement type="firstRowStripe" dxfId="164"/>
      <tableStyleElement type="firstColumnStripe" dxfId="163"/>
      <tableStyleElement type="firstSubtotalColumn" dxfId="162"/>
      <tableStyleElement type="firstSubtotalRow" dxfId="161"/>
      <tableStyleElement type="firstColumnSubheading" dxfId="160"/>
      <tableStyleElement type="firstRowSubheading" dxfId="159"/>
      <tableStyleElement type="secondRowSubheading" dxfId="158"/>
      <tableStyleElement type="thirdRowSubheading" dxfId="157"/>
      <tableStyleElement type="pageFieldLabels" dxfId="156"/>
      <tableStyleElement type="pageFieldValues" dxfId="155"/>
    </tableStyle>
    <tableStyle name="VD 2" table="0" count="14">
      <tableStyleElement type="wholeTable" dxfId="154"/>
      <tableStyleElement type="headerRow" dxfId="153"/>
      <tableStyleElement type="totalRow" dxfId="152"/>
      <tableStyleElement type="firstColumn" dxfId="151"/>
      <tableStyleElement type="firstRowStripe" dxfId="150"/>
      <tableStyleElement type="firstColumnStripe" dxfId="149"/>
      <tableStyleElement type="firstSubtotalColumn" dxfId="148"/>
      <tableStyleElement type="firstSubtotalRow" dxfId="147"/>
      <tableStyleElement type="firstColumnSubheading" dxfId="146"/>
      <tableStyleElement type="firstRowSubheading" dxfId="145"/>
      <tableStyleElement type="secondRowSubheading" dxfId="144"/>
      <tableStyleElement type="thirdRowSubheading" dxfId="143"/>
      <tableStyleElement type="pageFieldLabels" dxfId="142"/>
      <tableStyleElement type="pageFieldValues" dxfId="141"/>
    </tableStyle>
    <tableStyle name="VD 3" table="0" count="14">
      <tableStyleElement type="wholeTable" dxfId="140"/>
      <tableStyleElement type="headerRow" dxfId="139"/>
      <tableStyleElement type="totalRow" dxfId="138"/>
      <tableStyleElement type="firstColumn" dxfId="137"/>
      <tableStyleElement type="firstRowStripe" dxfId="136"/>
      <tableStyleElement type="firstColumnStripe" dxfId="135"/>
      <tableStyleElement type="firstSubtotalColumn" dxfId="134"/>
      <tableStyleElement type="firstSubtotalRow" dxfId="133"/>
      <tableStyleElement type="firstColumnSubheading" dxfId="132"/>
      <tableStyleElement type="firstRowSubheading" dxfId="131"/>
      <tableStyleElement type="secondRowSubheading" dxfId="130"/>
      <tableStyleElement type="thirdRowSubheading" dxfId="129"/>
      <tableStyleElement type="pageFieldLabels" dxfId="128"/>
      <tableStyleElement type="pageFieldValues" dxfId="127"/>
    </tableStyle>
    <tableStyle name="ГМ по объектам 2" table="0" count="14">
      <tableStyleElement type="wholeTable" dxfId="126"/>
      <tableStyleElement type="headerRow" dxfId="125"/>
      <tableStyleElement type="totalRow" dxfId="124"/>
      <tableStyleElement type="firstColumn" dxfId="123"/>
      <tableStyleElement type="firstRowStripe" dxfId="122"/>
      <tableStyleElement type="firstColumnStripe" dxfId="121"/>
      <tableStyleElement type="firstSubtotalColumn" dxfId="120"/>
      <tableStyleElement type="firstSubtotalRow" dxfId="119"/>
      <tableStyleElement type="firstColumnSubheading" dxfId="118"/>
      <tableStyleElement type="firstRowSubheading" dxfId="117"/>
      <tableStyleElement type="secondRowSubheading" dxfId="116"/>
      <tableStyleElement type="thirdRowSubheading" dxfId="115"/>
      <tableStyleElement type="pageFieldLabels" dxfId="114"/>
      <tableStyleElement type="pageFieldValues" dxfId="113"/>
    </tableStyle>
    <tableStyle name="VD 4" table="0" count="14">
      <tableStyleElement type="wholeTable" dxfId="112"/>
      <tableStyleElement type="headerRow" dxfId="111"/>
      <tableStyleElement type="totalRow" dxfId="110"/>
      <tableStyleElement type="firstColumn" dxfId="109"/>
      <tableStyleElement type="firstRowStripe" dxfId="108"/>
      <tableStyleElement type="firstColumnStripe" dxfId="107"/>
      <tableStyleElement type="firstSubtotalColumn" dxfId="106"/>
      <tableStyleElement type="firstSubtotalRow" dxfId="105"/>
      <tableStyleElement type="firstColumnSubheading" dxfId="104"/>
      <tableStyleElement type="firstRowSubheading" dxfId="103"/>
      <tableStyleElement type="secondRowSubheading" dxfId="102"/>
      <tableStyleElement type="thirdRowSubheading" dxfId="101"/>
      <tableStyleElement type="pageFieldLabels" dxfId="100"/>
      <tableStyleElement type="pageFieldValues" dxfId="99"/>
    </tableStyle>
    <tableStyle name="ГМ по объектам 2 2" table="0" count="14">
      <tableStyleElement type="wholeTable" dxfId="98"/>
      <tableStyleElement type="headerRow" dxfId="97"/>
      <tableStyleElement type="totalRow" dxfId="96"/>
      <tableStyleElement type="firstColumn" dxfId="95"/>
      <tableStyleElement type="firstRowStripe" dxfId="94"/>
      <tableStyleElement type="firstColumnStripe" dxfId="93"/>
      <tableStyleElement type="firstSubtotalColumn" dxfId="92"/>
      <tableStyleElement type="firstSubtotalRow" dxfId="91"/>
      <tableStyleElement type="firstColumnSubheading" dxfId="90"/>
      <tableStyleElement type="firstRowSubheading" dxfId="89"/>
      <tableStyleElement type="secondRowSubheading" dxfId="88"/>
      <tableStyleElement type="thirdRowSubheading" dxfId="87"/>
      <tableStyleElement type="pageFieldLabels" dxfId="86"/>
      <tableStyleElement type="pageFieldValues" dxfId="85"/>
    </tableStyle>
    <tableStyle name="SlicerStyleLight3 2" pivot="0" table="0" count="2">
      <tableStyleElement type="wholeTable" dxfId="84"/>
      <tableStyleElement type="headerRow" dxfId="83"/>
    </tableStyle>
    <tableStyle name="SlicerStyleLight3 3" pivot="0" table="0" count="2">
      <tableStyleElement type="wholeTable" dxfId="82"/>
      <tableStyleElement type="headerRow" dxfId="81"/>
    </tableStyle>
    <tableStyle name="SlicerStyleLight3 4" pivot="0" table="0" count="2">
      <tableStyleElement type="wholeTable" dxfId="80"/>
      <tableStyleElement type="headerRow" dxfId="79"/>
    </tableStyle>
    <tableStyle name="SlicerStyleLight3 5" pivot="0" table="0" count="2">
      <tableStyleElement type="wholeTable" dxfId="78"/>
      <tableStyleElement type="headerRow" dxfId="77"/>
    </tableStyle>
    <tableStyle name="TableStyleMedium7 4" pivot="0" count="7">
      <tableStyleElement type="wholeTable" dxfId="76"/>
      <tableStyleElement type="headerRow" dxfId="75"/>
      <tableStyleElement type="totalRow" dxfId="74"/>
      <tableStyleElement type="firstColumn" dxfId="73"/>
      <tableStyleElement type="lastColumn" dxfId="72"/>
      <tableStyleElement type="firstRowStripe" dxfId="71"/>
      <tableStyleElement type="firstColumnStripe" dxfId="70"/>
    </tableStyle>
    <tableStyle name="TableStyleMedium7 5" pivot="0" count="7">
      <tableStyleElement type="wholeTable" dxfId="69"/>
      <tableStyleElement type="headerRow" dxfId="68"/>
      <tableStyleElement type="totalRow" dxfId="67"/>
      <tableStyleElement type="firstColumn" dxfId="66"/>
      <tableStyleElement type="lastColumn" dxfId="65"/>
      <tableStyleElement type="firstRowStripe" dxfId="64"/>
      <tableStyleElement type="firstColumnStripe" dxfId="63"/>
    </tableStyle>
    <tableStyle name="Guideline (Стиль Гайдлайна / Сводная таблица)" table="0" count="16">
      <tableStyleElement type="wholeTable" dxfId="62"/>
      <tableStyleElement type="headerRow" dxfId="61"/>
      <tableStyleElement type="totalRow" dxfId="60"/>
      <tableStyleElement type="firstColumn" dxfId="59"/>
      <tableStyleElement type="firstRowStripe" dxfId="58"/>
      <tableStyleElement type="firstColumnStripe" dxfId="57"/>
      <tableStyleElement type="firstHeaderCell" dxfId="56"/>
      <tableStyleElement type="firstSubtotalColumn" dxfId="55"/>
      <tableStyleElement type="firstSubtotalRow" dxfId="54"/>
      <tableStyleElement type="firstColumnSubheading" dxfId="53"/>
      <tableStyleElement type="secondColumnSubheading" dxfId="52"/>
      <tableStyleElement type="firstRowSubheading" dxfId="51"/>
      <tableStyleElement type="secondRowSubheading" dxfId="50"/>
      <tableStyleElement type="thirdRowSubheading" dxfId="49"/>
      <tableStyleElement type="pageFieldLabels" dxfId="48"/>
      <tableStyleElement type="pageFieldValues" dxfId="47"/>
    </tableStyle>
    <tableStyle name="Guideline (Стиль Гайдлайна / Срезы)" pivot="0" table="0" count="2">
      <tableStyleElement type="wholeTable" dxfId="46"/>
      <tableStyleElement type="headerRow" dxfId="45"/>
    </tableStyle>
    <tableStyle name="TableStyleMedium2 4" pivot="0" count="7">
      <tableStyleElement type="wholeTable" dxfId="44"/>
      <tableStyleElement type="headerRow" dxfId="43"/>
      <tableStyleElement type="totalRow" dxfId="42"/>
      <tableStyleElement type="firstColumn" dxfId="41"/>
      <tableStyleElement type="lastColumn" dxfId="40"/>
      <tableStyleElement type="firstRowStripe" dxfId="39"/>
      <tableStyleElement type="firstColumnStripe" dxfId="38"/>
    </tableStyle>
    <tableStyle name="TableStyleLight9 2" pivot="0" count="9">
      <tableStyleElement type="wholeTable" dxfId="37"/>
      <tableStyleElement type="headerRow" dxfId="36"/>
      <tableStyleElement type="totalRow" dxfId="35"/>
      <tableStyleElement type="firstColumn" dxfId="34"/>
      <tableStyleElement type="lastColumn" dxfId="33"/>
      <tableStyleElement type="firstRowStripe" dxfId="32"/>
      <tableStyleElement type="secondRowStripe" dxfId="31"/>
      <tableStyleElement type="firstColumnStripe" dxfId="30"/>
      <tableStyleElement type="secondColumnStripe" dxfId="29"/>
    </tableStyle>
    <tableStyle name="SlicerStyleLight1 5" pivot="0" table="0" count="2">
      <tableStyleElement type="wholeTable" dxfId="28"/>
      <tableStyleElement type="headerRow" dxfId="27"/>
    </tableStyle>
    <tableStyle name="Invisible" pivot="0" table="0" count="0"/>
    <tableStyle name="SlicerStyleLight1 6" pivot="0" table="0" count="2">
      <tableStyleElement type="wholeTable" dxfId="26"/>
      <tableStyleElement type="headerRow" dxfId="25"/>
    </tableStyle>
    <tableStyle name="Стиль среза 3" pivot="0" table="0" count="1">
      <tableStyleElement type="wholeTable" dxfId="24"/>
    </tableStyle>
    <tableStyle name="VD_Базовый 2" table="0" count="16">
      <tableStyleElement type="wholeTable" dxfId="23"/>
      <tableStyleElement type="headerRow" dxfId="22"/>
      <tableStyleElement type="totalRow" dxfId="21"/>
      <tableStyleElement type="firstColumn" dxfId="20"/>
      <tableStyleElement type="firstRowStripe" dxfId="19"/>
      <tableStyleElement type="firstColumnStripe" dxfId="18"/>
      <tableStyleElement type="firstHeaderCell" dxfId="17"/>
      <tableStyleElement type="firstSubtotalColumn" dxfId="16"/>
      <tableStyleElement type="firstSubtotalRow" dxfId="15"/>
      <tableStyleElement type="firstColumnSubheading" dxfId="14"/>
      <tableStyleElement type="secondColumnSubheading" dxfId="13"/>
      <tableStyleElement type="firstRowSubheading" dxfId="12"/>
      <tableStyleElement type="secondRowSubheading" dxfId="11"/>
      <tableStyleElement type="thirdRowSubheading" dxfId="10"/>
      <tableStyleElement type="pageFieldLabels" dxfId="9"/>
      <tableStyleElement type="pageFieldValues" dxfId="8"/>
    </tableStyle>
    <tableStyle name="Срез 1" pivot="0" table="0" count="2">
      <tableStyleElement type="wholeTable" dxfId="7"/>
      <tableStyleElement type="headerRow" dxfId="6"/>
    </tableStyle>
    <tableStyle name="Срез 1 2" pivot="0" table="0" count="2">
      <tableStyleElement type="wholeTable" dxfId="5"/>
      <tableStyleElement type="headerRow" dxfId="4"/>
    </tableStyle>
    <tableStyle name="Срез 1 3" pivot="0" table="0" count="2">
      <tableStyleElement type="wholeTable" dxfId="3"/>
      <tableStyleElement type="headerRow" dxfId="2"/>
    </tableStyle>
    <tableStyle name="Срез 1 4" pivot="0" table="0" count="2">
      <tableStyleElement type="wholeTable" dxfId="1"/>
      <tableStyleElement type="headerRow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050000" cy="952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6"/>
  <sheetViews>
    <sheetView showGridLines="0" topLeftCell="B1" zoomScale="60" zoomScaleNormal="60" workbookViewId="0">
      <selection activeCell="AP23" sqref="AP23"/>
    </sheetView>
  </sheetViews>
  <sheetFormatPr baseColWidth="8" defaultRowHeight="14.5"/>
  <cols>
    <col width="24" bestFit="1" customWidth="1" style="12" min="1" max="1"/>
    <col outlineLevel="1" width="6.7265625" customWidth="1" style="12" min="2" max="2"/>
    <col outlineLevel="1" width="5.54296875" customWidth="1" style="12" min="3" max="3"/>
    <col outlineLevel="1" width="6.7265625" customWidth="1" style="12" min="4" max="4"/>
    <col outlineLevel="1" width="5.54296875" customWidth="1" style="12" min="5" max="5"/>
    <col outlineLevel="1" width="4.81640625" customWidth="1" style="12" min="6" max="6"/>
    <col outlineLevel="1" width="5.26953125" customWidth="1" style="12" min="7" max="7"/>
    <col outlineLevel="1" width="6.7265625" customWidth="1" style="12" min="8" max="8"/>
    <col outlineLevel="1" width="5.54296875" customWidth="1" style="12" min="9" max="9"/>
    <col outlineLevel="1" width="6.7265625" customWidth="1" style="12" min="10" max="10"/>
    <col outlineLevel="1" width="5.54296875" customWidth="1" style="12" min="11" max="11"/>
    <col outlineLevel="1" width="4.81640625" customWidth="1" style="12" min="12" max="12"/>
    <col outlineLevel="1" width="6.1796875" customWidth="1" style="12" min="13" max="13"/>
    <col outlineLevel="1" width="6.7265625" customWidth="1" style="12" min="14" max="14"/>
    <col outlineLevel="1" width="5.54296875" customWidth="1" style="12" min="15" max="15"/>
    <col outlineLevel="1" width="6.7265625" customWidth="1" style="12" min="16" max="16"/>
    <col outlineLevel="1" width="5.54296875" customWidth="1" style="12" min="17" max="17"/>
    <col outlineLevel="1" width="5.36328125" customWidth="1" style="12" min="18" max="18"/>
    <col outlineLevel="1" width="6.1796875" customWidth="1" style="12" min="19" max="19"/>
    <col outlineLevel="1" width="9.1" customWidth="1" style="12" min="20" max="20"/>
    <col outlineLevel="1" width="9.1" customWidth="1" style="12" min="21" max="21"/>
    <col outlineLevel="1" width="9.1" customWidth="1" style="12" min="22" max="22"/>
    <col outlineLevel="1" width="9.1" customWidth="1" style="12" min="23" max="23"/>
    <col outlineLevel="1" width="9.1" customWidth="1" style="12" min="24" max="24"/>
    <col outlineLevel="1" width="9.1" customWidth="1" style="12" min="25" max="25"/>
    <col width="9.1" customWidth="1" style="12" min="26" max="26"/>
    <col width="9.1" customWidth="1" style="12" min="27" max="27"/>
    <col width="9.1" customWidth="1" style="12" min="28" max="28"/>
    <col width="9.1" customWidth="1" style="12" min="29" max="29"/>
    <col width="9.1" customWidth="1" style="12" min="30" max="30"/>
    <col width="9.1" customWidth="1" style="12" min="31" max="37"/>
    <col width="9.1" customWidth="1" style="12" min="32" max="32"/>
    <col width="9.1" customWidth="1" style="12" min="33" max="33"/>
    <col width="9.1" customWidth="1" style="12" min="34" max="34"/>
    <col width="9.1" customWidth="1" style="12" min="35" max="35"/>
    <col width="9.1" customWidth="1" style="12" min="36" max="36"/>
    <col width="9.1" customWidth="1" style="12" min="37" max="37"/>
    <col outlineLevel="1" width="9.1" customWidth="1" style="12" min="38" max="38"/>
    <col outlineLevel="1" width="9.1" customWidth="1" style="12" min="39" max="39"/>
    <col outlineLevel="1" width="9.1" customWidth="1" style="12" min="40" max="40"/>
    <col outlineLevel="1" width="9.1" customWidth="1" style="12" min="41" max="41"/>
    <col outlineLevel="1" width="9.1" customWidth="1" style="12" min="42" max="42"/>
    <col outlineLevel="1" width="9.1" customWidth="1" style="12" min="43" max="43"/>
  </cols>
  <sheetData>
    <row r="1">
      <c r="B1" s="168" t="inlineStr">
        <is>
          <t>Сентябрь</t>
        </is>
      </c>
      <c r="C1" s="180" t="n"/>
      <c r="D1" s="180" t="n"/>
      <c r="E1" s="180" t="n"/>
      <c r="F1" s="180" t="n"/>
      <c r="G1" s="180" t="n"/>
      <c r="H1" s="168" t="inlineStr">
        <is>
          <t>Октябрь</t>
        </is>
      </c>
      <c r="I1" s="180" t="n"/>
      <c r="J1" s="180" t="n"/>
      <c r="K1" s="180" t="n"/>
      <c r="L1" s="180" t="n"/>
      <c r="M1" s="180" t="n"/>
      <c r="N1" s="168" t="inlineStr">
        <is>
          <t>С сентября</t>
        </is>
      </c>
      <c r="O1" s="180" t="n"/>
      <c r="P1" s="180" t="n"/>
      <c r="Q1" s="180" t="n"/>
      <c r="R1" s="180" t="n"/>
      <c r="S1" s="180" t="n"/>
      <c r="T1" s="181" t="n"/>
      <c r="U1" s="181" t="n"/>
      <c r="V1" s="181" t="n"/>
      <c r="W1" s="181" t="n"/>
      <c r="X1" s="181" t="n"/>
      <c r="Y1" s="181" t="n"/>
      <c r="Z1" s="181" t="n"/>
      <c r="AA1" s="181" t="n"/>
      <c r="AB1" s="181" t="n"/>
      <c r="AC1" s="181" t="n"/>
      <c r="AD1" s="181" t="n"/>
      <c r="AE1" s="181" t="n"/>
      <c r="AF1" s="181" t="n"/>
      <c r="AG1" s="181" t="n"/>
      <c r="AH1" s="181" t="n"/>
      <c r="AI1" s="181" t="n"/>
      <c r="AJ1" s="181" t="n"/>
      <c r="AK1" s="181" t="n"/>
      <c r="AL1" s="181" t="n"/>
      <c r="AM1" s="181" t="n"/>
      <c r="AN1" s="181" t="n"/>
      <c r="AO1" s="181" t="n"/>
      <c r="AP1" s="181" t="n"/>
      <c r="AQ1" s="181" t="n"/>
    </row>
    <row r="2">
      <c r="A2" s="9" t="n"/>
      <c r="B2" s="182" t="inlineStr">
        <is>
          <t>ACT 2026</t>
        </is>
      </c>
      <c r="C2" s="183" t="n"/>
      <c r="D2" s="184" t="inlineStr">
        <is>
          <t>CTRL 2026</t>
        </is>
      </c>
      <c r="E2" s="183" t="n"/>
      <c r="F2" s="178" t="inlineStr">
        <is>
          <t>ACT VS CTRL</t>
        </is>
      </c>
      <c r="G2" s="183" t="n"/>
      <c r="H2" s="185" t="inlineStr">
        <is>
          <t>ACT 2026</t>
        </is>
      </c>
      <c r="I2" s="183" t="n"/>
      <c r="J2" s="186" t="inlineStr">
        <is>
          <t>CTRL 2026</t>
        </is>
      </c>
      <c r="K2" s="183" t="n"/>
      <c r="L2" s="173" t="inlineStr">
        <is>
          <t>ACT VS CTRL</t>
        </is>
      </c>
      <c r="M2" s="183" t="n"/>
      <c r="N2" s="185" t="inlineStr">
        <is>
          <t>ACT 2026</t>
        </is>
      </c>
      <c r="O2" s="183" t="n"/>
      <c r="P2" s="186" t="inlineStr">
        <is>
          <t>CTRL 2026</t>
        </is>
      </c>
      <c r="Q2" s="183" t="n"/>
      <c r="R2" s="173" t="inlineStr">
        <is>
          <t>ACT VS CTRL</t>
        </is>
      </c>
      <c r="S2" s="183" t="n"/>
      <c r="T2" s="181" t="n"/>
      <c r="U2" s="181" t="n"/>
      <c r="V2" s="181" t="n"/>
      <c r="W2" s="181" t="n"/>
      <c r="X2" s="181" t="n"/>
      <c r="Y2" s="181" t="n"/>
      <c r="Z2" s="181" t="n"/>
      <c r="AA2" s="181" t="n"/>
      <c r="AB2" s="181" t="n"/>
      <c r="AC2" s="181" t="n"/>
      <c r="AD2" s="181" t="n"/>
      <c r="AE2" s="181" t="n"/>
      <c r="AF2" s="181" t="n"/>
      <c r="AG2" s="181" t="n"/>
      <c r="AH2" s="181" t="n"/>
      <c r="AI2" s="181" t="n"/>
      <c r="AJ2" s="181" t="n"/>
      <c r="AK2" s="181" t="n"/>
      <c r="AL2" s="181" t="n"/>
      <c r="AM2" s="181" t="n"/>
      <c r="AN2" s="181" t="n"/>
      <c r="AO2" s="181" t="n"/>
      <c r="AP2" s="181" t="n"/>
      <c r="AQ2" s="181" t="n"/>
    </row>
    <row r="3">
      <c r="A3" s="10" t="n"/>
      <c r="B3" s="86" t="inlineStr">
        <is>
          <t>ABC</t>
        </is>
      </c>
      <c r="C3" s="86" t="inlineStr">
        <is>
          <t>%GR</t>
        </is>
      </c>
      <c r="D3" s="87" t="inlineStr">
        <is>
          <t>ABS</t>
        </is>
      </c>
      <c r="E3" s="87" t="inlineStr">
        <is>
          <t>% GR</t>
        </is>
      </c>
      <c r="F3" s="88" t="inlineStr">
        <is>
          <t>ABS</t>
        </is>
      </c>
      <c r="G3" s="88" t="inlineStr">
        <is>
          <t>% GR</t>
        </is>
      </c>
      <c r="H3" s="1" t="inlineStr">
        <is>
          <t>ABC</t>
        </is>
      </c>
      <c r="I3" s="1" t="inlineStr">
        <is>
          <t>%GR</t>
        </is>
      </c>
      <c r="J3" s="2" t="inlineStr">
        <is>
          <t>ABS</t>
        </is>
      </c>
      <c r="K3" s="2" t="inlineStr">
        <is>
          <t>% GR</t>
        </is>
      </c>
      <c r="L3" s="4" t="inlineStr">
        <is>
          <t>ABS</t>
        </is>
      </c>
      <c r="M3" s="4" t="inlineStr">
        <is>
          <t>% GR</t>
        </is>
      </c>
      <c r="N3" s="1" t="inlineStr">
        <is>
          <t>ABC</t>
        </is>
      </c>
      <c r="O3" s="1" t="inlineStr">
        <is>
          <t>%GR</t>
        </is>
      </c>
      <c r="P3" s="2" t="inlineStr">
        <is>
          <t>ABS</t>
        </is>
      </c>
      <c r="Q3" s="2" t="inlineStr">
        <is>
          <t>% GR</t>
        </is>
      </c>
      <c r="R3" s="4" t="inlineStr">
        <is>
          <t>ABS</t>
        </is>
      </c>
      <c r="S3" s="4" t="inlineStr">
        <is>
          <t>% GR</t>
        </is>
      </c>
      <c r="T3" s="181" t="n"/>
      <c r="U3" s="181" t="n"/>
      <c r="V3" s="181" t="n"/>
      <c r="W3" s="181" t="n"/>
      <c r="X3" s="181" t="n"/>
      <c r="Y3" s="181" t="n"/>
      <c r="Z3" s="181" t="n"/>
      <c r="AA3" s="181" t="n"/>
      <c r="AB3" s="181" t="n"/>
      <c r="AC3" s="181" t="n"/>
      <c r="AD3" s="181" t="n"/>
      <c r="AE3" s="181" t="n"/>
      <c r="AF3" s="181" t="n"/>
      <c r="AG3" s="181" t="n"/>
      <c r="AH3" s="181" t="n"/>
      <c r="AI3" s="181" t="n"/>
      <c r="AJ3" s="181" t="n"/>
      <c r="AK3" s="181" t="n"/>
      <c r="AL3" s="181" t="n"/>
      <c r="AM3" s="181" t="n"/>
      <c r="AN3" s="181" t="n"/>
      <c r="AO3" s="181" t="n"/>
      <c r="AP3" s="181" t="n"/>
      <c r="AQ3" s="181" t="n"/>
    </row>
    <row r="4" ht="17.5" customHeight="1" s="12">
      <c r="A4" s="5" t="inlineStr">
        <is>
          <t>Gross Revenue</t>
        </is>
      </c>
      <c r="B4" s="187">
        <f>IF('AdTech Сентябрь'!C5="","",'AdTech Сентябрь'!C5)</f>
        <v>1183193163.08</v>
      </c>
      <c r="C4" s="91">
        <f>IF(B4="","",B4/B$4)</f>
        <v>1</v>
      </c>
      <c r="D4" s="187">
        <f>'AdTech Сентябрь'!E5</f>
        <v>1126200493.37</v>
      </c>
      <c r="E4" s="91">
        <f>D4/D$4</f>
        <v>1</v>
      </c>
      <c r="F4" s="188">
        <f>IF(B4="","",B4-D4)</f>
        <v>56992669.71</v>
      </c>
      <c r="G4" s="93">
        <f>IF(B4="","",C4-E4)</f>
        <v>0</v>
      </c>
      <c r="H4" s="189" t="str">
        <f>IF('AdTech Октябрь'!C5="","",'AdTech Октябрь'!C5)</f>
        <v/>
      </c>
      <c r="I4" s="91" t="str">
        <f>IF(H4="","",H4/H$4)</f>
        <v/>
      </c>
      <c r="J4" s="189">
        <f>'AdTech Октябрь'!E5</f>
        <v>1250103996.52</v>
      </c>
      <c r="K4" s="91">
        <f>J4/J$4</f>
        <v>1</v>
      </c>
      <c r="L4" s="190" t="str">
        <f>IF(H4="","",H4-J4)</f>
        <v/>
      </c>
      <c r="M4" s="191" t="str">
        <f>IF(H4="","",I4-K4)</f>
        <v/>
      </c>
      <c r="N4" s="189">
        <f>N(B4)+N(H4)</f>
        <v>1183193163.08</v>
      </c>
      <c r="O4" s="91">
        <f>IF(N4="","",N4/N$4)</f>
        <v>1</v>
      </c>
      <c r="P4" s="189">
        <f>D4+IF(H4="",0,J4)</f>
        <v>1126200493.37</v>
      </c>
      <c r="Q4" s="91">
        <f>P4/P$4</f>
        <v>1</v>
      </c>
      <c r="R4" s="190">
        <f>IF(N4="","",N4-P4)</f>
        <v>56992669.71</v>
      </c>
      <c r="S4" s="191">
        <f>IF(N4="","",O4-Q4)</f>
        <v>0</v>
      </c>
      <c r="T4" s="181" t="n"/>
      <c r="U4" s="181" t="n"/>
      <c r="V4" s="181" t="n"/>
      <c r="W4" s="181" t="n"/>
      <c r="X4" s="181" t="n"/>
      <c r="Y4" s="181" t="n"/>
      <c r="Z4" s="181" t="n"/>
      <c r="AA4" s="181" t="n"/>
      <c r="AB4" s="181" t="n"/>
      <c r="AC4" s="181" t="n"/>
      <c r="AD4" s="181" t="n"/>
      <c r="AE4" s="181" t="n"/>
      <c r="AF4" s="181" t="n"/>
      <c r="AG4" s="181" t="n"/>
      <c r="AH4" s="181" t="n"/>
      <c r="AI4" s="181" t="n"/>
      <c r="AJ4" s="181" t="n"/>
      <c r="AK4" s="181" t="n"/>
      <c r="AL4" s="181" t="n"/>
      <c r="AM4" s="181" t="n"/>
      <c r="AN4" s="181" t="n"/>
      <c r="AO4" s="181" t="n"/>
      <c r="AP4" s="181" t="n"/>
      <c r="AQ4" s="181" t="n"/>
    </row>
    <row r="5" ht="17.5" customHeight="1" s="12">
      <c r="A5" s="6" t="inlineStr">
        <is>
          <t>APP</t>
        </is>
      </c>
      <c r="B5" s="192">
        <f>IF('AdTech Сентябрь'!C6="","",'AdTech Сентябрь'!C6)</f>
        <v>467525662.62</v>
      </c>
      <c r="C5" s="97">
        <f>IF(B5="","",B5/B$4)</f>
        <v>0.39513891493674</v>
      </c>
      <c r="D5" s="192">
        <f>'AdTech Сентябрь'!E6</f>
        <v>765326605.57</v>
      </c>
      <c r="E5" s="97">
        <f>D5/D$4</f>
        <v>0.679565148546389</v>
      </c>
      <c r="F5" s="193">
        <f>IF(B5="","",B5-D5)</f>
        <v>-297800942.95</v>
      </c>
      <c r="G5" s="99">
        <f>IF(B5="","",C5-E5)</f>
        <v>-0.284426233609649</v>
      </c>
      <c r="H5" s="194" t="str">
        <f>IF('AdTech Октябрь'!C6="","",'AdTech Октябрь'!C6)</f>
        <v/>
      </c>
      <c r="I5" s="97" t="str">
        <f>IF(H5="","",H5/H$4)</f>
        <v/>
      </c>
      <c r="J5" s="194">
        <f>'AdTech Октябрь'!E6</f>
        <v>561821896.05</v>
      </c>
      <c r="K5" s="97">
        <f>J5/J$4</f>
        <v>0.449420126336674</v>
      </c>
      <c r="L5" s="195" t="str">
        <f>IF(H5="","",H5-J5)</f>
        <v/>
      </c>
      <c r="M5" s="196" t="str">
        <f>IF(H5="","",I5-K5)</f>
        <v/>
      </c>
      <c r="N5" s="194">
        <f>N(B5)+N(H5)</f>
        <v>467525662.62</v>
      </c>
      <c r="O5" s="97">
        <f>IF(N5="","",N5/N$4)</f>
        <v>0.39513891493674</v>
      </c>
      <c r="P5" s="194">
        <f>D5+IF(H5="",0,J5)</f>
        <v>765326605.57</v>
      </c>
      <c r="Q5" s="97">
        <f>P5/P$4</f>
        <v>0.679565148546389</v>
      </c>
      <c r="R5" s="195">
        <f>IF(N5="","",N5-P5)</f>
        <v>-297800942.95</v>
      </c>
      <c r="S5" s="196">
        <f>IF(N5="","",O5-Q5)</f>
        <v>-0.284426233609649</v>
      </c>
      <c r="T5" s="181" t="n"/>
      <c r="U5" s="181" t="n"/>
      <c r="V5" s="181" t="n"/>
      <c r="W5" s="181" t="n"/>
      <c r="X5" s="181" t="n"/>
      <c r="Y5" s="181" t="n"/>
      <c r="Z5" s="181" t="n"/>
      <c r="AA5" s="181" t="n"/>
      <c r="AB5" s="181" t="n"/>
      <c r="AC5" s="181" t="n"/>
      <c r="AD5" s="181" t="n"/>
      <c r="AE5" s="181" t="n"/>
      <c r="AF5" s="181" t="n"/>
      <c r="AG5" s="181" t="n"/>
      <c r="AH5" s="181" t="n"/>
      <c r="AI5" s="181" t="n"/>
      <c r="AJ5" s="181" t="n"/>
      <c r="AK5" s="181" t="n"/>
      <c r="AL5" s="181" t="n"/>
      <c r="AM5" s="181" t="n"/>
      <c r="AN5" s="181" t="n"/>
      <c r="AO5" s="181" t="n"/>
      <c r="AP5" s="181" t="n"/>
      <c r="AQ5" s="181" t="n"/>
    </row>
    <row r="6" ht="17.5" customHeight="1" s="12">
      <c r="A6" s="6" t="inlineStr">
        <is>
          <t>MIP</t>
        </is>
      </c>
      <c r="B6" s="192">
        <f>IF('AdTech Сентябрь'!C7="","",'AdTech Сентябрь'!C7)</f>
        <v>0</v>
      </c>
      <c r="C6" s="97">
        <f>IF(B6="","",B6/B$4)</f>
        <v>0</v>
      </c>
      <c r="D6" s="192">
        <f>'AdTech Сентябрь'!E7</f>
        <v>841669.4</v>
      </c>
      <c r="E6" s="97">
        <f>D6/D$4</f>
        <v>0.000747353073413616</v>
      </c>
      <c r="F6" s="193">
        <f>IF(B6="","",B6-D6)</f>
        <v>-841669.4</v>
      </c>
      <c r="G6" s="99">
        <f>IF(B6="","",C6-E6)</f>
        <v>-0.000747353073413616</v>
      </c>
      <c r="H6" s="194" t="str">
        <f>IF('AdTech Октябрь'!C7="","",'AdTech Октябрь'!C7)</f>
        <v/>
      </c>
      <c r="I6" s="97" t="str">
        <f>IF(H6="","",H6/H$4)</f>
        <v/>
      </c>
      <c r="J6" s="194">
        <f>'AdTech Октябрь'!E7</f>
        <v>816164.27</v>
      </c>
      <c r="K6" s="97">
        <f>J6/J$4</f>
        <v>0.000652877098443019</v>
      </c>
      <c r="L6" s="195" t="str">
        <f>IF(H6="","",H6-J6)</f>
        <v/>
      </c>
      <c r="M6" s="196" t="str">
        <f>IF(H6="","",I6-K6)</f>
        <v/>
      </c>
      <c r="N6" s="194">
        <f>N(B6)+N(H6)</f>
        <v>0</v>
      </c>
      <c r="O6" s="97">
        <f>IF(N6="","",N6/N$4)</f>
        <v>0</v>
      </c>
      <c r="P6" s="194">
        <f>D6+IF(H6="",0,J6)</f>
        <v>841669.4</v>
      </c>
      <c r="Q6" s="97">
        <f>P6/P$4</f>
        <v>0.000747353073413616</v>
      </c>
      <c r="R6" s="195">
        <f>IF(N6="","",N6-P6)</f>
        <v>-841669.4</v>
      </c>
      <c r="S6" s="196">
        <f>IF(N6="","",O6-Q6)</f>
        <v>-0.000747353073413616</v>
      </c>
      <c r="T6" s="181" t="n"/>
      <c r="U6" s="181" t="n"/>
      <c r="V6" s="181" t="n"/>
      <c r="W6" s="181" t="n"/>
      <c r="X6" s="181" t="n"/>
      <c r="Y6" s="181" t="n"/>
      <c r="Z6" s="181" t="n"/>
      <c r="AA6" s="181" t="n"/>
      <c r="AB6" s="181" t="n"/>
      <c r="AC6" s="181" t="n"/>
      <c r="AD6" s="181" t="n"/>
      <c r="AE6" s="181" t="n"/>
      <c r="AF6" s="181" t="n"/>
      <c r="AG6" s="181" t="n"/>
      <c r="AH6" s="181" t="n"/>
      <c r="AI6" s="181" t="n"/>
      <c r="AJ6" s="181" t="n"/>
      <c r="AK6" s="181" t="n"/>
      <c r="AL6" s="181" t="n"/>
      <c r="AM6" s="181" t="n"/>
      <c r="AN6" s="181" t="n"/>
      <c r="AO6" s="181" t="n"/>
      <c r="AP6" s="181" t="n"/>
      <c r="AQ6" s="181" t="n"/>
    </row>
    <row r="7" ht="17.5" customHeight="1" s="12">
      <c r="A7" s="6" t="inlineStr">
        <is>
          <t>Magnit Market</t>
        </is>
      </c>
      <c r="B7" s="197">
        <f>IF('AdTech Сентябрь'!C8="","",'AdTech Сентябрь'!C8)</f>
        <v>0</v>
      </c>
      <c r="C7" s="102">
        <f>IF(B7="","",B7/B$4)</f>
        <v>0</v>
      </c>
      <c r="D7" s="197">
        <f>'AdTech Сентябрь'!E8</f>
        <v>463410.2</v>
      </c>
      <c r="E7" s="102">
        <f>D7/D$4</f>
        <v>0.000411481084165848</v>
      </c>
      <c r="F7" s="198">
        <f>IF(B7="","",B7-D7)</f>
        <v>-463410.2</v>
      </c>
      <c r="G7" s="104">
        <f>IF(B7="","",C7-E7)</f>
        <v>-0.000411481084165848</v>
      </c>
      <c r="H7" s="194" t="str">
        <f>IF('AdTech Октябрь'!C8="","",'AdTech Октябрь'!C8)</f>
        <v/>
      </c>
      <c r="I7" s="102" t="str">
        <f>IF(H7="","",H7/H$4)</f>
        <v/>
      </c>
      <c r="J7" s="194">
        <f>'AdTech Октябрь'!E8</f>
        <v>449367.47</v>
      </c>
      <c r="K7" s="102">
        <f>J7/J$4</f>
        <v>0.000359464069590158</v>
      </c>
      <c r="L7" s="195" t="str">
        <f>IF(H7="","",H7-J7)</f>
        <v/>
      </c>
      <c r="M7" s="196" t="str">
        <f>IF(H7="","",I7-K7)</f>
        <v/>
      </c>
      <c r="N7" s="194">
        <f>N(B7)+N(H7)</f>
        <v>0</v>
      </c>
      <c r="O7" s="102">
        <f>IF(N7="","",N7/N$4)</f>
        <v>0</v>
      </c>
      <c r="P7" s="194">
        <f>D7+IF(H7="",0,J7)</f>
        <v>463410.2</v>
      </c>
      <c r="Q7" s="102">
        <f>P7/P$4</f>
        <v>0.000411481084165848</v>
      </c>
      <c r="R7" s="195">
        <f>IF(N7="","",N7-P7)</f>
        <v>-463410.2</v>
      </c>
      <c r="S7" s="196">
        <f>IF(N7="","",O7-Q7)</f>
        <v>-0.000411481084165848</v>
      </c>
      <c r="T7" s="181" t="n"/>
      <c r="U7" s="181" t="n"/>
      <c r="V7" s="181" t="n"/>
      <c r="W7" s="181" t="n"/>
      <c r="X7" s="181" t="n"/>
      <c r="Y7" s="181" t="n"/>
      <c r="Z7" s="181" t="n"/>
      <c r="AA7" s="181" t="n"/>
      <c r="AB7" s="181" t="n"/>
      <c r="AC7" s="181" t="n"/>
      <c r="AD7" s="181" t="n"/>
      <c r="AE7" s="181" t="n"/>
      <c r="AF7" s="181" t="n"/>
      <c r="AG7" s="181" t="n"/>
      <c r="AH7" s="181" t="n"/>
      <c r="AI7" s="181" t="n"/>
      <c r="AJ7" s="181" t="n"/>
      <c r="AK7" s="181" t="n"/>
      <c r="AL7" s="181" t="n"/>
      <c r="AM7" s="181" t="n"/>
      <c r="AN7" s="181" t="n"/>
      <c r="AO7" s="181" t="n"/>
      <c r="AP7" s="181" t="n"/>
      <c r="AQ7" s="181" t="n"/>
    </row>
    <row r="8" ht="17.5" customHeight="1" s="12">
      <c r="A8" s="7" t="inlineStr">
        <is>
          <t>DMP+ Analitycs</t>
        </is>
      </c>
      <c r="B8" s="192">
        <f>IF('AdTech Сентябрь'!C9="","",'AdTech Сентябрь'!C9)</f>
        <v>2432515.41</v>
      </c>
      <c r="C8" s="97">
        <f>IF(B8="","",B8/B$4)</f>
        <v>0.00205589035324364</v>
      </c>
      <c r="D8" s="192">
        <f>'AdTech Сентябрь'!E9</f>
        <v>4861968.79</v>
      </c>
      <c r="E8" s="97">
        <f>D8/D$4</f>
        <v>0.00431714318953211</v>
      </c>
      <c r="F8" s="193">
        <f>IF(B8="","",B8-D8)</f>
        <v>-2429453.38</v>
      </c>
      <c r="G8" s="99">
        <f>IF(B8="","",C8-E8)</f>
        <v>-0.00226125283628847</v>
      </c>
      <c r="H8" s="194" t="str">
        <f>IF('AdTech Октябрь'!C9="","",'AdTech Октябрь'!C9)</f>
        <v/>
      </c>
      <c r="I8" s="97" t="str">
        <f>IF(H8="","",H8/H$4)</f>
        <v/>
      </c>
      <c r="J8" s="194">
        <f>'AdTech Октябрь'!E9</f>
        <v>5009486.76</v>
      </c>
      <c r="K8" s="97">
        <f>J8/J$4</f>
        <v>0.00400725601545572</v>
      </c>
      <c r="L8" s="195" t="str">
        <f>IF(H8="","",H8-J8)</f>
        <v/>
      </c>
      <c r="M8" s="196" t="str">
        <f>IF(H8="","",I8-K8)</f>
        <v/>
      </c>
      <c r="N8" s="194">
        <f>N(B8)+N(H8)</f>
        <v>2432515.41</v>
      </c>
      <c r="O8" s="97">
        <f>IF(N8="","",N8/N$4)</f>
        <v>0.00205589035324364</v>
      </c>
      <c r="P8" s="194">
        <f>D8+IF(H8="",0,J8)</f>
        <v>4861968.79</v>
      </c>
      <c r="Q8" s="97">
        <f>P8/P$4</f>
        <v>0.00431714318953211</v>
      </c>
      <c r="R8" s="195">
        <f>IF(N8="","",N8-P8)</f>
        <v>-2429453.38</v>
      </c>
      <c r="S8" s="196">
        <f>IF(N8="","",O8-Q8)</f>
        <v>-0.00226125283628847</v>
      </c>
      <c r="T8" s="181" t="n"/>
      <c r="U8" s="181" t="n"/>
      <c r="V8" s="181" t="n"/>
      <c r="W8" s="181" t="n"/>
      <c r="X8" s="181" t="n"/>
      <c r="Y8" s="181" t="n"/>
      <c r="Z8" s="181" t="n"/>
      <c r="AA8" s="181" t="n"/>
      <c r="AB8" s="181" t="n"/>
      <c r="AC8" s="181" t="n"/>
      <c r="AD8" s="181" t="n"/>
      <c r="AE8" s="181" t="n"/>
      <c r="AF8" s="181" t="n"/>
      <c r="AG8" s="181" t="n"/>
      <c r="AH8" s="181" t="n"/>
      <c r="AI8" s="181" t="n"/>
      <c r="AJ8" s="181" t="n"/>
      <c r="AK8" s="181" t="n"/>
      <c r="AL8" s="181" t="n"/>
      <c r="AM8" s="181" t="n"/>
      <c r="AN8" s="181" t="n"/>
      <c r="AO8" s="181" t="n"/>
      <c r="AP8" s="181" t="n"/>
      <c r="AQ8" s="181" t="n"/>
    </row>
    <row r="9" ht="17.5" customHeight="1" s="12">
      <c r="A9" s="7" t="inlineStr">
        <is>
          <t>DMP+Online</t>
        </is>
      </c>
      <c r="B9" s="192">
        <f>IF('AdTech Сентябрь'!C10="","",'AdTech Сентябрь'!C10)</f>
        <v>201669700.89</v>
      </c>
      <c r="C9" s="97">
        <f>IF(B9="","",B9/B$4)</f>
        <v>0.17044528922482</v>
      </c>
      <c r="D9" s="192">
        <f>'AdTech Сентябрь'!E10</f>
        <v>69479582.98</v>
      </c>
      <c r="E9" s="97">
        <f>D9/D$4</f>
        <v>0.0616937955444256</v>
      </c>
      <c r="F9" s="193">
        <f>IF(B9="","",B9-D9)</f>
        <v>132190117.91</v>
      </c>
      <c r="G9" s="99">
        <f>IF(B9="","",C9-E9)</f>
        <v>0.108751493680394</v>
      </c>
      <c r="H9" s="194" t="str">
        <f>IF('AdTech Октябрь'!C10="","",'AdTech Октябрь'!C10)</f>
        <v/>
      </c>
      <c r="I9" s="97" t="str">
        <f>IF(H9="","",H9/H$4)</f>
        <v/>
      </c>
      <c r="J9" s="194">
        <f>'AdTech Октябрь'!E10</f>
        <v>91818953.3</v>
      </c>
      <c r="K9" s="97">
        <f>J9/J$4</f>
        <v>0.0734490518833655</v>
      </c>
      <c r="L9" s="195" t="str">
        <f>IF(H9="","",H9-J9)</f>
        <v/>
      </c>
      <c r="M9" s="196" t="str">
        <f>IF(H9="","",I9-K9)</f>
        <v/>
      </c>
      <c r="N9" s="194">
        <f>N(B9)+N(H9)</f>
        <v>201669700.89</v>
      </c>
      <c r="O9" s="97">
        <f>IF(N9="","",N9/N$4)</f>
        <v>0.17044528922482</v>
      </c>
      <c r="P9" s="194">
        <f>D9+IF(H9="",0,J9)</f>
        <v>69479582.98</v>
      </c>
      <c r="Q9" s="97">
        <f>P9/P$4</f>
        <v>0.0616937955444256</v>
      </c>
      <c r="R9" s="195">
        <f>IF(N9="","",N9-P9)</f>
        <v>132190117.91</v>
      </c>
      <c r="S9" s="196">
        <f>IF(N9="","",O9-Q9)</f>
        <v>0.108751493680394</v>
      </c>
      <c r="T9" s="181" t="n"/>
      <c r="U9" s="181" t="n"/>
      <c r="V9" s="181" t="n"/>
      <c r="W9" s="181" t="n"/>
      <c r="X9" s="181" t="n"/>
      <c r="Y9" s="181" t="n"/>
      <c r="Z9" s="181" t="n"/>
      <c r="AA9" s="181" t="n"/>
      <c r="AB9" s="181" t="n"/>
      <c r="AC9" s="181" t="n"/>
      <c r="AD9" s="181" t="n"/>
      <c r="AE9" s="181" t="n"/>
      <c r="AF9" s="181" t="n"/>
      <c r="AG9" s="181" t="n"/>
      <c r="AH9" s="181" t="n"/>
      <c r="AI9" s="181" t="n"/>
      <c r="AJ9" s="181" t="n"/>
      <c r="AK9" s="181" t="n"/>
      <c r="AL9" s="181" t="n"/>
      <c r="AM9" s="181" t="n"/>
      <c r="AN9" s="181" t="n"/>
      <c r="AO9" s="181" t="n"/>
      <c r="AP9" s="181" t="n"/>
      <c r="AQ9" s="181" t="n"/>
    </row>
    <row r="10" ht="17.5" customHeight="1" s="12">
      <c r="A10" s="6" t="inlineStr">
        <is>
          <t>Instore digital</t>
        </is>
      </c>
      <c r="B10" s="192">
        <f>IF('AdTech Сентябрь'!C11="","",'AdTech Сентябрь'!C11)</f>
        <v>413469896.39</v>
      </c>
      <c r="C10" s="97">
        <f>IF(B10="","",B10/B$4)</f>
        <v>0.349452574010558</v>
      </c>
      <c r="D10" s="192">
        <f>'AdTech Сентябрь'!E11</f>
        <v>161377206.43</v>
      </c>
      <c r="E10" s="97">
        <f>D10/D$4</f>
        <v>0.143293496477791</v>
      </c>
      <c r="F10" s="193">
        <f>IF(B10="","",B10-D10)</f>
        <v>252092689.96</v>
      </c>
      <c r="G10" s="99">
        <f>IF(B10="","",C10-E10)</f>
        <v>0.206159077532768</v>
      </c>
      <c r="H10" s="194" t="str">
        <f>IF('AdTech Октябрь'!C11="","",'AdTech Октябрь'!C11)</f>
        <v/>
      </c>
      <c r="I10" s="97" t="str">
        <f>IF(H10="","",H10/H$4)</f>
        <v/>
      </c>
      <c r="J10" s="194">
        <f>'AdTech Октябрь'!E11</f>
        <v>262907784.37</v>
      </c>
      <c r="K10" s="97">
        <f>J10/J$4</f>
        <v>0.210308730395131</v>
      </c>
      <c r="L10" s="195" t="str">
        <f>IF(H10="","",H10-J10)</f>
        <v/>
      </c>
      <c r="M10" s="196" t="str">
        <f>IF(H10="","",I10-K10)</f>
        <v/>
      </c>
      <c r="N10" s="194">
        <f>N(B10)+N(H10)</f>
        <v>413469896.39</v>
      </c>
      <c r="O10" s="97">
        <f>IF(N10="","",N10/N$4)</f>
        <v>0.349452574010558</v>
      </c>
      <c r="P10" s="194">
        <f>D10+IF(H10="",0,J10)</f>
        <v>161377206.43</v>
      </c>
      <c r="Q10" s="97">
        <f>P10/P$4</f>
        <v>0.143293496477791</v>
      </c>
      <c r="R10" s="195">
        <f>IF(N10="","",N10-P10)</f>
        <v>252092689.96</v>
      </c>
      <c r="S10" s="196">
        <f>IF(N10="","",O10-Q10)</f>
        <v>0.206159077532768</v>
      </c>
      <c r="T10" s="181" t="n"/>
      <c r="U10" s="181" t="n"/>
      <c r="V10" s="181" t="n"/>
      <c r="W10" s="181" t="n"/>
      <c r="X10" s="181" t="n"/>
      <c r="Y10" s="181" t="n"/>
      <c r="Z10" s="181" t="n"/>
      <c r="AA10" s="181" t="n"/>
      <c r="AB10" s="181" t="n"/>
      <c r="AC10" s="181" t="n"/>
      <c r="AD10" s="181" t="n"/>
      <c r="AE10" s="181" t="n"/>
      <c r="AF10" s="181" t="n"/>
      <c r="AG10" s="181" t="n"/>
      <c r="AH10" s="181" t="n"/>
      <c r="AI10" s="181" t="n"/>
      <c r="AJ10" s="181" t="n"/>
      <c r="AK10" s="181" t="n"/>
      <c r="AL10" s="181" t="n"/>
      <c r="AM10" s="181" t="n"/>
      <c r="AN10" s="181" t="n"/>
      <c r="AO10" s="181" t="n"/>
      <c r="AP10" s="181" t="n"/>
      <c r="AQ10" s="181" t="n"/>
    </row>
    <row r="11" ht="17.5" customHeight="1" s="12">
      <c r="A11" s="7" t="inlineStr">
        <is>
          <t>Instore digital_2.0</t>
        </is>
      </c>
      <c r="B11" s="192">
        <f>IF('AdTech Сентябрь'!C12="","",'AdTech Сентябрь'!C12)</f>
        <v>0</v>
      </c>
      <c r="C11" s="97">
        <f>IF(B11="","",B11/B$4)</f>
        <v>0</v>
      </c>
      <c r="D11" s="192">
        <f>'AdTech Сентябрь'!E12</f>
        <v>121332202.79</v>
      </c>
      <c r="E11" s="97">
        <f>D11/D$4</f>
        <v>0.107735881403257</v>
      </c>
      <c r="F11" s="193">
        <f>IF(B11="","",B11-D11)</f>
        <v>-121332202.79</v>
      </c>
      <c r="G11" s="99">
        <f>IF(B11="","",C11-E11)</f>
        <v>-0.107735881403257</v>
      </c>
      <c r="H11" s="194" t="str">
        <f>IF('AdTech Октябрь'!C12="","",'AdTech Октябрь'!C12)</f>
        <v/>
      </c>
      <c r="I11" s="97" t="str">
        <f>IF(H11="","",H11/H$4)</f>
        <v/>
      </c>
      <c r="J11" s="194">
        <f>'AdTech Октябрь'!E12</f>
        <v>47092215.63</v>
      </c>
      <c r="K11" s="97">
        <f>J11/J$4</f>
        <v>0.0376706384117592</v>
      </c>
      <c r="L11" s="195" t="str">
        <f>IF(H11="","",H11-J11)</f>
        <v/>
      </c>
      <c r="M11" s="196" t="str">
        <f>IF(H11="","",I11-K11)</f>
        <v/>
      </c>
      <c r="N11" s="194">
        <f>N(B11)+N(H11)</f>
        <v>0</v>
      </c>
      <c r="O11" s="97">
        <f>IF(N11="","",N11/N$4)</f>
        <v>0</v>
      </c>
      <c r="P11" s="194">
        <f>D11+IF(H11="",0,J11)</f>
        <v>121332202.79</v>
      </c>
      <c r="Q11" s="97">
        <f>P11/P$4</f>
        <v>0.107735881403257</v>
      </c>
      <c r="R11" s="195">
        <f>IF(N11="","",N11-P11)</f>
        <v>-121332202.79</v>
      </c>
      <c r="S11" s="196">
        <f>IF(N11="","",O11-Q11)</f>
        <v>-0.107735881403257</v>
      </c>
      <c r="T11" s="181" t="n"/>
      <c r="U11" s="181" t="n"/>
      <c r="V11" s="181" t="n"/>
      <c r="W11" s="181" t="n"/>
      <c r="X11" s="181" t="n"/>
      <c r="Y11" s="181" t="n"/>
      <c r="Z11" s="181" t="n"/>
      <c r="AA11" s="181" t="n"/>
      <c r="AB11" s="181" t="n"/>
      <c r="AC11" s="181" t="n"/>
      <c r="AD11" s="181" t="n"/>
      <c r="AE11" s="181" t="n"/>
      <c r="AF11" s="181" t="n"/>
      <c r="AG11" s="181" t="n"/>
      <c r="AH11" s="181" t="n"/>
      <c r="AI11" s="181" t="n"/>
      <c r="AJ11" s="181" t="n"/>
      <c r="AK11" s="181" t="n"/>
      <c r="AL11" s="181" t="n"/>
      <c r="AM11" s="181" t="n"/>
      <c r="AN11" s="181" t="n"/>
      <c r="AO11" s="181" t="n"/>
      <c r="AP11" s="181" t="n"/>
      <c r="AQ11" s="181" t="n"/>
    </row>
    <row r="12" ht="17.5" customHeight="1" s="12">
      <c r="A12" s="7" t="inlineStr">
        <is>
          <t>POSM</t>
        </is>
      </c>
      <c r="B12" s="192">
        <f>IF('AdTech Сентябрь'!C13="","",'AdTech Сентябрь'!C13)</f>
        <v>456221.13</v>
      </c>
      <c r="C12" s="97">
        <f>IF(B12="","",B12/B$4)</f>
        <v>0.000385584657041458</v>
      </c>
      <c r="D12" s="192">
        <f>'AdTech Сентябрь'!E13</f>
        <v>2517847.21</v>
      </c>
      <c r="E12" s="97">
        <f>D12/D$4</f>
        <v>0.00223570068102678</v>
      </c>
      <c r="F12" s="193">
        <f>IF(B12="","",B12-D12)</f>
        <v>-2061626.08</v>
      </c>
      <c r="G12" s="99">
        <f>IF(B12="","",C12-E12)</f>
        <v>-0.00185011602398532</v>
      </c>
      <c r="H12" s="194" t="str">
        <f>IF('AdTech Октябрь'!C13="","",'AdTech Октябрь'!C13)</f>
        <v/>
      </c>
      <c r="I12" s="97" t="str">
        <f>IF(H12="","",H12/H$4)</f>
        <v/>
      </c>
      <c r="J12" s="194">
        <f>'AdTech Октябрь'!E13</f>
        <v>2669920.92</v>
      </c>
      <c r="K12" s="97">
        <f>J12/J$4</f>
        <v>0.00213575904679326</v>
      </c>
      <c r="L12" s="195" t="str">
        <f>IF(H12="","",H12-J12)</f>
        <v/>
      </c>
      <c r="M12" s="196" t="str">
        <f>IF(H12="","",I12-K12)</f>
        <v/>
      </c>
      <c r="N12" s="194">
        <f>N(B12)+N(H12)</f>
        <v>456221.13</v>
      </c>
      <c r="O12" s="97">
        <f>IF(N12="","",N12/N$4)</f>
        <v>0.000385584657041458</v>
      </c>
      <c r="P12" s="194">
        <f>D12+IF(H12="",0,J12)</f>
        <v>2517847.21</v>
      </c>
      <c r="Q12" s="97">
        <f>P12/P$4</f>
        <v>0.00223570068102678</v>
      </c>
      <c r="R12" s="195">
        <f>IF(N12="","",N12-P12)</f>
        <v>-2061626.08</v>
      </c>
      <c r="S12" s="196">
        <f>IF(N12="","",O12-Q12)</f>
        <v>-0.00185011602398532</v>
      </c>
      <c r="T12" s="181" t="n"/>
      <c r="U12" s="181" t="n"/>
      <c r="V12" s="181" t="n"/>
      <c r="W12" s="181" t="n"/>
      <c r="X12" s="181" t="n"/>
      <c r="Y12" s="181" t="n"/>
      <c r="Z12" s="181" t="n"/>
      <c r="AA12" s="181" t="n"/>
      <c r="AB12" s="181" t="n"/>
      <c r="AC12" s="181" t="n"/>
      <c r="AD12" s="181" t="n"/>
      <c r="AE12" s="181" t="n"/>
      <c r="AF12" s="181" t="n"/>
      <c r="AG12" s="181" t="n"/>
      <c r="AH12" s="181" t="n"/>
      <c r="AI12" s="181" t="n"/>
      <c r="AJ12" s="181" t="n"/>
      <c r="AK12" s="181" t="n"/>
      <c r="AL12" s="181" t="n"/>
      <c r="AM12" s="181" t="n"/>
      <c r="AN12" s="181" t="n"/>
      <c r="AO12" s="181" t="n"/>
      <c r="AP12" s="181" t="n"/>
      <c r="AQ12" s="181" t="n"/>
    </row>
    <row r="13" ht="17.5" customHeight="1" s="12">
      <c r="A13" s="6" t="inlineStr">
        <is>
          <t>Other</t>
        </is>
      </c>
      <c r="B13" s="192">
        <f>IF('AdTech Сентябрь'!C14="","",'AdTech Сентябрь'!C14)</f>
        <v>94811797.5</v>
      </c>
      <c r="C13" s="97">
        <f>IF(B13="","",B13/B$4)</f>
        <v>0.080132137725672</v>
      </c>
      <c r="D13" s="192">
        <f>'AdTech Сентябрь'!E14</f>
        <v>0</v>
      </c>
      <c r="E13" s="97">
        <f>D13/D$4</f>
        <v>0</v>
      </c>
      <c r="F13" s="193">
        <f>IF(B13="","",B13-D13)</f>
        <v>94811797.5</v>
      </c>
      <c r="G13" s="99">
        <f>IF(B13="","",C13-E13)</f>
        <v>0.080132137725672</v>
      </c>
      <c r="H13" s="194" t="str">
        <f>IF('AdTech Октябрь'!C14="","",'AdTech Октябрь'!C14)</f>
        <v/>
      </c>
      <c r="I13" s="97" t="str">
        <f>IF(H13="","",H13/H$4)</f>
        <v/>
      </c>
      <c r="J13" s="194">
        <f>'AdTech Октябрь'!E14</f>
        <v>0</v>
      </c>
      <c r="K13" s="97">
        <f>J13/J$4</f>
        <v>0</v>
      </c>
      <c r="L13" s="195" t="str">
        <f>IF(H13="","",H13-J13)</f>
        <v/>
      </c>
      <c r="M13" s="196" t="str">
        <f>IF(H13="","",I13-K13)</f>
        <v/>
      </c>
      <c r="N13" s="194">
        <f>N(B13)+N(H13)</f>
        <v>94811797.5</v>
      </c>
      <c r="O13" s="97">
        <f>IF(N13="","",N13/N$4)</f>
        <v>0.080132137725672</v>
      </c>
      <c r="P13" s="194">
        <f>D13+IF(H13="",0,J13)</f>
        <v>0</v>
      </c>
      <c r="Q13" s="97">
        <f>P13/P$4</f>
        <v>0</v>
      </c>
      <c r="R13" s="195">
        <f>IF(N13="","",N13-P13)</f>
        <v>94811797.5</v>
      </c>
      <c r="S13" s="196">
        <f>IF(N13="","",O13-Q13)</f>
        <v>0.080132137725672</v>
      </c>
      <c r="T13" s="181" t="n"/>
      <c r="U13" s="181" t="n"/>
      <c r="V13" s="181" t="n"/>
      <c r="W13" s="181" t="n"/>
      <c r="X13" s="181" t="n"/>
      <c r="Y13" s="181" t="n"/>
      <c r="Z13" s="181" t="n"/>
      <c r="AA13" s="181" t="n"/>
      <c r="AB13" s="181" t="n"/>
      <c r="AC13" s="181" t="n"/>
      <c r="AD13" s="181" t="n"/>
      <c r="AE13" s="181" t="n"/>
      <c r="AF13" s="181" t="n"/>
      <c r="AG13" s="181" t="n"/>
      <c r="AH13" s="181" t="n"/>
      <c r="AI13" s="181" t="n"/>
      <c r="AJ13" s="181" t="n"/>
      <c r="AK13" s="181" t="n"/>
      <c r="AL13" s="181" t="n"/>
      <c r="AM13" s="181" t="n"/>
      <c r="AN13" s="181" t="n"/>
      <c r="AO13" s="181" t="n"/>
      <c r="AP13" s="181" t="n"/>
      <c r="AQ13" s="181" t="n"/>
    </row>
    <row r="14" ht="17.5" customHeight="1" s="12">
      <c r="A14" s="6" t="inlineStr">
        <is>
          <t>Кроссформатные пакеты</t>
        </is>
      </c>
      <c r="B14" s="192">
        <f>IF('AdTech Сентябрь'!C15="","",'AdTech Сентябрь'!C15)</f>
        <v>2827369.14</v>
      </c>
      <c r="C14" s="97">
        <f>IF(B14="","",B14/B$4)</f>
        <v>0.00238960909192545</v>
      </c>
      <c r="D14" s="192">
        <f>'AdTech Сентябрь'!E15</f>
        <v>0</v>
      </c>
      <c r="E14" s="97">
        <f>D14/D$4</f>
        <v>0</v>
      </c>
      <c r="F14" s="193">
        <f>IF(B14="","",B14-D14)</f>
        <v>2827369.14</v>
      </c>
      <c r="G14" s="99">
        <f>IF(B14="","",C14-E14)</f>
        <v>0.00238960909192545</v>
      </c>
      <c r="H14" s="194" t="str">
        <f>IF('AdTech Октябрь'!C15="","",'AdTech Октябрь'!C15)</f>
        <v/>
      </c>
      <c r="I14" s="97" t="str">
        <f>IF(H14="","",H14/H$4)</f>
        <v/>
      </c>
      <c r="J14" s="194">
        <f>'AdTech Октябрь'!E15</f>
        <v>0</v>
      </c>
      <c r="K14" s="97">
        <f>J14/J$4</f>
        <v>0</v>
      </c>
      <c r="L14" s="195" t="str">
        <f>IF(H14="","",H14-J14)</f>
        <v/>
      </c>
      <c r="M14" s="196" t="str">
        <f>IF(H14="","",I14-K14)</f>
        <v/>
      </c>
      <c r="N14" s="194">
        <f>N(B14)+N(H14)</f>
        <v>2827369.14</v>
      </c>
      <c r="O14" s="97">
        <f>IF(N14="","",N14/N$4)</f>
        <v>0.00238960909192545</v>
      </c>
      <c r="P14" s="194">
        <f>D14+IF(H14="",0,J14)</f>
        <v>0</v>
      </c>
      <c r="Q14" s="97">
        <f>P14/P$4</f>
        <v>0</v>
      </c>
      <c r="R14" s="195">
        <f>IF(N14="","",N14-P14)</f>
        <v>2827369.14</v>
      </c>
      <c r="S14" s="196">
        <f>IF(N14="","",O14-Q14)</f>
        <v>0.00238960909192545</v>
      </c>
      <c r="T14" s="181" t="n"/>
      <c r="U14" s="181" t="n"/>
      <c r="V14" s="181" t="n"/>
      <c r="W14" s="181" t="n"/>
      <c r="X14" s="181" t="n"/>
      <c r="Y14" s="181" t="n"/>
      <c r="Z14" s="181" t="n"/>
      <c r="AA14" s="181" t="n"/>
      <c r="AB14" s="181" t="n"/>
      <c r="AC14" s="181" t="n"/>
      <c r="AD14" s="181" t="n"/>
      <c r="AE14" s="181" t="n"/>
      <c r="AF14" s="181" t="n"/>
      <c r="AG14" s="181" t="n"/>
      <c r="AH14" s="181" t="n"/>
      <c r="AI14" s="181" t="n"/>
      <c r="AJ14" s="181" t="n"/>
      <c r="AK14" s="181" t="n"/>
      <c r="AL14" s="181" t="n"/>
      <c r="AM14" s="181" t="n"/>
      <c r="AN14" s="181" t="n"/>
      <c r="AO14" s="181" t="n"/>
      <c r="AP14" s="181" t="n"/>
      <c r="AQ14" s="181" t="n"/>
    </row>
    <row r="15" ht="17.5" customHeight="1" s="12">
      <c r="A15" s="6" t="inlineStr">
        <is>
          <t>М+ и сверка со сплитом</t>
        </is>
      </c>
      <c r="B15" s="192">
        <f>IF('AdTech Сентябрь'!C16="","",'AdTech Сентябрь'!C16)</f>
        <v>0</v>
      </c>
      <c r="C15" s="97">
        <f>IF(B15="","",B15/B$4)</f>
        <v>0</v>
      </c>
      <c r="D15" s="192">
        <f>'AdTech Сентябрь'!E16</f>
        <v>0</v>
      </c>
      <c r="E15" s="97">
        <f>D15/D$4</f>
        <v>0</v>
      </c>
      <c r="F15" s="193">
        <f>IF(B15="","",B15-D15)</f>
        <v>0</v>
      </c>
      <c r="G15" s="99">
        <f>IF(B15="","",C15-E15)</f>
        <v>0</v>
      </c>
      <c r="H15" s="194" t="str">
        <f>IF('AdTech Октябрь'!C16="","",'AdTech Октябрь'!C16)</f>
        <v/>
      </c>
      <c r="I15" s="97" t="str">
        <f>IF(H15="","",H15/H$4)</f>
        <v/>
      </c>
      <c r="J15" s="194">
        <f>'AdTech Октябрь'!E16</f>
        <v>277518207.76</v>
      </c>
      <c r="K15" s="97">
        <f>J15/J$4</f>
        <v>0.221996096750787</v>
      </c>
      <c r="L15" s="195" t="str">
        <f>IF(H15="","",H15-J15)</f>
        <v/>
      </c>
      <c r="M15" s="196" t="str">
        <f>IF(H15="","",I15-K15)</f>
        <v/>
      </c>
      <c r="N15" s="194">
        <f>N(B15)+N(H15)</f>
        <v>0</v>
      </c>
      <c r="O15" s="97">
        <f>IF(N15="","",N15/N$4)</f>
        <v>0</v>
      </c>
      <c r="P15" s="194">
        <f>D15+IF(H15="",0,J15)</f>
        <v>0</v>
      </c>
      <c r="Q15" s="97">
        <f>P15/P$4</f>
        <v>0</v>
      </c>
      <c r="R15" s="195">
        <f>IF(N15="","",N15-P15)</f>
        <v>0</v>
      </c>
      <c r="S15" s="196">
        <f>IF(N15="","",O15-Q15)</f>
        <v>0</v>
      </c>
      <c r="T15" s="181" t="n"/>
      <c r="U15" s="181" t="n"/>
      <c r="V15" s="181" t="n"/>
      <c r="W15" s="181" t="n"/>
      <c r="X15" s="181" t="n"/>
      <c r="Y15" s="181" t="n"/>
      <c r="Z15" s="181" t="n"/>
      <c r="AA15" s="181" t="n"/>
      <c r="AB15" s="181" t="n"/>
      <c r="AC15" s="181" t="n"/>
      <c r="AD15" s="181" t="n"/>
      <c r="AE15" s="181" t="n"/>
      <c r="AF15" s="181" t="n"/>
      <c r="AG15" s="181" t="n"/>
      <c r="AH15" s="181" t="n"/>
      <c r="AI15" s="181" t="n"/>
      <c r="AJ15" s="181" t="n"/>
      <c r="AK15" s="181" t="n"/>
      <c r="AL15" s="181" t="n"/>
      <c r="AM15" s="181" t="n"/>
      <c r="AN15" s="181" t="n"/>
      <c r="AO15" s="181" t="n"/>
      <c r="AP15" s="181" t="n"/>
      <c r="AQ15" s="181" t="n"/>
    </row>
    <row r="16" ht="17.5" customHeight="1" s="12">
      <c r="A16" s="6" t="inlineStr">
        <is>
          <t>Direct cost</t>
        </is>
      </c>
      <c r="B16" s="192">
        <f>IF('AdTech Сентябрь'!C17="","",'AdTech Сентябрь'!C17)</f>
        <v>-927852.26</v>
      </c>
      <c r="C16" s="97">
        <f>IF(B16="","",B16/B$4)</f>
        <v>-0.000784193392044867</v>
      </c>
      <c r="D16" s="192">
        <f>'AdTech Сентябрь'!E17</f>
        <v>-34765800.63</v>
      </c>
      <c r="E16" s="97">
        <f>D16/D$4</f>
        <v>-0.0308699923634096</v>
      </c>
      <c r="F16" s="193">
        <f>IF(B16="","",B16-D16)</f>
        <v>33837948.37</v>
      </c>
      <c r="G16" s="99">
        <f>IF(B16="","",C16-E16)</f>
        <v>0.0300857989713647</v>
      </c>
      <c r="H16" s="194" t="str">
        <f>IF('AdTech Октябрь'!C17="","",'AdTech Октябрь'!C17)</f>
        <v/>
      </c>
      <c r="I16" s="97" t="str">
        <f>IF(H16="","",H16/H$4)</f>
        <v/>
      </c>
      <c r="J16" s="194">
        <f>'AdTech Октябрь'!E17</f>
        <v>-37791001.81</v>
      </c>
      <c r="K16" s="97">
        <f>J16/J$4</f>
        <v>-0.0302302863723349</v>
      </c>
      <c r="L16" s="195" t="str">
        <f>IF(H16="","",H16-J16)</f>
        <v/>
      </c>
      <c r="M16" s="196" t="str">
        <f>IF(H16="","",I16-K16)</f>
        <v/>
      </c>
      <c r="N16" s="194">
        <f>N(B16)+N(H16)</f>
        <v>-927852.26</v>
      </c>
      <c r="O16" s="97">
        <f>IF(N16="","",N16/N$4)</f>
        <v>-0.000784193392044867</v>
      </c>
      <c r="P16" s="194">
        <f>D16+IF(H16="",0,J16)</f>
        <v>-34765800.63</v>
      </c>
      <c r="Q16" s="97">
        <f>P16/P$4</f>
        <v>-0.0308699923634096</v>
      </c>
      <c r="R16" s="195">
        <f>IF(N16="","",N16-P16)</f>
        <v>33837948.37</v>
      </c>
      <c r="S16" s="196">
        <f>IF(N16="","",O16-Q16)</f>
        <v>0.0300857989713647</v>
      </c>
      <c r="T16" s="181" t="n"/>
      <c r="U16" s="181" t="n"/>
      <c r="V16" s="181" t="n"/>
      <c r="W16" s="181" t="n"/>
      <c r="X16" s="181" t="n"/>
      <c r="Y16" s="181" t="n"/>
      <c r="Z16" s="181" t="n"/>
      <c r="AA16" s="181" t="n"/>
      <c r="AB16" s="181" t="n"/>
      <c r="AC16" s="181" t="n"/>
      <c r="AD16" s="181" t="n"/>
      <c r="AE16" s="181" t="n"/>
      <c r="AF16" s="181" t="n"/>
      <c r="AG16" s="181" t="n"/>
      <c r="AH16" s="181" t="n"/>
      <c r="AI16" s="181" t="n"/>
      <c r="AJ16" s="181" t="n"/>
      <c r="AK16" s="181" t="n"/>
      <c r="AL16" s="181" t="n"/>
      <c r="AM16" s="181" t="n"/>
      <c r="AN16" s="181" t="n"/>
      <c r="AO16" s="181" t="n"/>
      <c r="AP16" s="181" t="n"/>
      <c r="AQ16" s="181" t="n"/>
    </row>
    <row r="17" ht="17.5" customHeight="1" s="12">
      <c r="A17" s="6" t="inlineStr">
        <is>
          <t>PEX</t>
        </is>
      </c>
      <c r="B17" s="192">
        <f>IF('AdTech Сентябрь'!C18="","",'AdTech Сентябрь'!C18)</f>
        <v>62456405.7</v>
      </c>
      <c r="C17" s="97">
        <f>IF(B17="","",B17/B$4)</f>
        <v>0.052786313890978</v>
      </c>
      <c r="D17" s="192">
        <f>'AdTech Сентябрь'!E18</f>
        <v>-111510282.75</v>
      </c>
      <c r="E17" s="97">
        <f>D17/D$4</f>
        <v>-0.0990145923452056</v>
      </c>
      <c r="F17" s="193">
        <f>IF(B17="","",B17-D17)</f>
        <v>173966688.45</v>
      </c>
      <c r="G17" s="99">
        <f>IF(B17="","",C17-E17)</f>
        <v>0.151800906236184</v>
      </c>
      <c r="H17" s="194" t="str">
        <f>IF('AdTech Октябрь'!C18="","",'AdTech Октябрь'!C18)</f>
        <v/>
      </c>
      <c r="I17" s="97" t="str">
        <f>IF(H17="","",H17/H$4)</f>
        <v/>
      </c>
      <c r="J17" s="194">
        <f>'AdTech Октябрь'!E18</f>
        <v>-89694325.25</v>
      </c>
      <c r="K17" s="97">
        <f>J17/J$4</f>
        <v>-0.0717494908421125</v>
      </c>
      <c r="L17" s="195" t="str">
        <f>IF(H17="","",H17-J17)</f>
        <v/>
      </c>
      <c r="M17" s="196" t="str">
        <f>IF(H17="","",I17-K17)</f>
        <v/>
      </c>
      <c r="N17" s="194">
        <f>N(B17)+N(H17)</f>
        <v>62456405.7</v>
      </c>
      <c r="O17" s="97">
        <f>IF(N17="","",N17/N$4)</f>
        <v>0.052786313890978</v>
      </c>
      <c r="P17" s="194">
        <f>D17+IF(H17="",0,J17)</f>
        <v>-111510282.75</v>
      </c>
      <c r="Q17" s="97">
        <f>P17/P$4</f>
        <v>-0.0990145923452056</v>
      </c>
      <c r="R17" s="195">
        <f>IF(N17="","",N17-P17)</f>
        <v>173966688.45</v>
      </c>
      <c r="S17" s="196">
        <f>IF(N17="","",O17-Q17)</f>
        <v>0.151800906236184</v>
      </c>
      <c r="T17" s="181" t="n"/>
      <c r="U17" s="181" t="n"/>
      <c r="V17" s="181" t="n"/>
      <c r="W17" s="181" t="n"/>
      <c r="X17" s="181" t="n"/>
      <c r="Y17" s="181" t="n"/>
      <c r="Z17" s="181" t="n"/>
      <c r="AA17" s="181" t="n"/>
      <c r="AB17" s="181" t="n"/>
      <c r="AC17" s="181" t="n"/>
      <c r="AD17" s="181" t="n"/>
      <c r="AE17" s="181" t="n"/>
      <c r="AF17" s="181" t="n"/>
      <c r="AG17" s="181" t="n"/>
      <c r="AH17" s="181" t="n"/>
      <c r="AI17" s="181" t="n"/>
      <c r="AJ17" s="181" t="n"/>
      <c r="AK17" s="181" t="n"/>
      <c r="AL17" s="181" t="n"/>
      <c r="AM17" s="181" t="n"/>
      <c r="AN17" s="181" t="n"/>
      <c r="AO17" s="181" t="n"/>
      <c r="AP17" s="181" t="n"/>
      <c r="AQ17" s="181" t="n"/>
    </row>
    <row r="18" ht="17.5" customHeight="1" s="12">
      <c r="A18" s="6" t="inlineStr">
        <is>
          <t>Other PEX</t>
        </is>
      </c>
      <c r="B18" s="192">
        <f>IF('AdTech Сентябрь'!C19="","",'AdTech Сентябрь'!C19)</f>
        <v>-211306.16</v>
      </c>
      <c r="C18" s="97">
        <f>IF(B18="","",B18/B$4)</f>
        <v>-0.00017858974053733</v>
      </c>
      <c r="D18" s="192">
        <f>'AdTech Сентябрь'!E19</f>
        <v>-4338633.91</v>
      </c>
      <c r="E18" s="97">
        <f>D18/D$4</f>
        <v>-0.00385245250338795</v>
      </c>
      <c r="F18" s="193">
        <f>IF(B18="","",B18-D18)</f>
        <v>4127327.75</v>
      </c>
      <c r="G18" s="99">
        <f>IF(B18="","",C18-E18)</f>
        <v>0.00367386276285062</v>
      </c>
      <c r="H18" s="194" t="str">
        <f>IF('AdTech Октябрь'!C19="","",'AdTech Октябрь'!C19)</f>
        <v/>
      </c>
      <c r="I18" s="97" t="str">
        <f>IF(H18="","",H18/H$4)</f>
        <v/>
      </c>
      <c r="J18" s="194">
        <f>'AdTech Октябрь'!E19</f>
        <v>-5807323.07</v>
      </c>
      <c r="K18" s="97">
        <f>J18/J$4</f>
        <v>-0.00464547196566545</v>
      </c>
      <c r="L18" s="195" t="str">
        <f>IF(H18="","",H18-J18)</f>
        <v/>
      </c>
      <c r="M18" s="196" t="str">
        <f>IF(H18="","",I18-K18)</f>
        <v/>
      </c>
      <c r="N18" s="194">
        <f>N(B18)+N(H18)</f>
        <v>-211306.16</v>
      </c>
      <c r="O18" s="97">
        <f>IF(N18="","",N18/N$4)</f>
        <v>-0.00017858974053733</v>
      </c>
      <c r="P18" s="194">
        <f>D18+IF(H18="",0,J18)</f>
        <v>-4338633.91</v>
      </c>
      <c r="Q18" s="97">
        <f>P18/P$4</f>
        <v>-0.00385245250338795</v>
      </c>
      <c r="R18" s="195">
        <f>IF(N18="","",N18-P18)</f>
        <v>4127327.75</v>
      </c>
      <c r="S18" s="196">
        <f>IF(N18="","",O18-Q18)</f>
        <v>0.00367386276285062</v>
      </c>
      <c r="T18" s="181" t="n"/>
      <c r="U18" s="181" t="n"/>
      <c r="V18" s="181" t="n"/>
      <c r="W18" s="181" t="n"/>
      <c r="X18" s="181" t="n"/>
      <c r="Y18" s="181" t="n"/>
      <c r="Z18" s="181" t="n"/>
      <c r="AA18" s="181" t="n"/>
      <c r="AB18" s="181" t="n"/>
      <c r="AC18" s="181" t="n"/>
      <c r="AD18" s="181" t="n"/>
      <c r="AE18" s="181" t="n"/>
      <c r="AF18" s="181" t="n"/>
      <c r="AG18" s="181" t="n"/>
      <c r="AH18" s="181" t="n"/>
      <c r="AI18" s="181" t="n"/>
      <c r="AJ18" s="181" t="n"/>
      <c r="AK18" s="181" t="n"/>
      <c r="AL18" s="181" t="n"/>
      <c r="AM18" s="181" t="n"/>
      <c r="AN18" s="181" t="n"/>
      <c r="AO18" s="181" t="n"/>
      <c r="AP18" s="181" t="n"/>
      <c r="AQ18" s="181" t="n"/>
    </row>
    <row r="19" ht="17.5" customHeight="1" s="12">
      <c r="A19" s="6" t="inlineStr">
        <is>
          <t>Marketing</t>
        </is>
      </c>
      <c r="B19" s="192">
        <f>IF('AdTech Сентябрь'!C20="","",'AdTech Сентябрь'!C20)</f>
        <v>-105089188</v>
      </c>
      <c r="C19" s="97">
        <f>IF(B19="","",B19/B$4)</f>
        <v>-0.0888182853646988</v>
      </c>
      <c r="D19" s="192">
        <f>'AdTech Сентябрь'!E20</f>
        <v>-348750338.14</v>
      </c>
      <c r="E19" s="97">
        <f>D19/D$4</f>
        <v>-0.309669850255892</v>
      </c>
      <c r="F19" s="193">
        <f>IF(B19="","",B19-D19)</f>
        <v>243661150.14</v>
      </c>
      <c r="G19" s="99">
        <f>IF(B19="","",C19-E19)</f>
        <v>0.220851564891194</v>
      </c>
      <c r="H19" s="194" t="str">
        <f>IF('AdTech Октябрь'!C20="","",'AdTech Октябрь'!C20)</f>
        <v/>
      </c>
      <c r="I19" s="97" t="str">
        <f>IF(H19="","",H19/H$4)</f>
        <v/>
      </c>
      <c r="J19" s="194">
        <f>'AdTech Октябрь'!E20</f>
        <v>-101647328.58</v>
      </c>
      <c r="K19" s="97">
        <f>J19/J$4</f>
        <v>-0.0813110980070159</v>
      </c>
      <c r="L19" s="195" t="str">
        <f>IF(H19="","",H19-J19)</f>
        <v/>
      </c>
      <c r="M19" s="196" t="str">
        <f>IF(H19="","",I19-K19)</f>
        <v/>
      </c>
      <c r="N19" s="194">
        <f>N(B19)+N(H19)</f>
        <v>-105089188</v>
      </c>
      <c r="O19" s="97">
        <f>IF(N19="","",N19/N$4)</f>
        <v>-0.0888182853646988</v>
      </c>
      <c r="P19" s="194">
        <f>D19+IF(H19="",0,J19)</f>
        <v>-348750338.14</v>
      </c>
      <c r="Q19" s="97">
        <f>P19/P$4</f>
        <v>-0.309669850255892</v>
      </c>
      <c r="R19" s="195">
        <f>IF(N19="","",N19-P19)</f>
        <v>243661150.14</v>
      </c>
      <c r="S19" s="196">
        <f>IF(N19="","",O19-Q19)</f>
        <v>0.220851564891194</v>
      </c>
      <c r="T19" s="181" t="n"/>
      <c r="U19" s="181" t="n"/>
      <c r="V19" s="181" t="n"/>
      <c r="W19" s="181" t="n"/>
      <c r="X19" s="181" t="n"/>
      <c r="Y19" s="181" t="n"/>
      <c r="Z19" s="181" t="n"/>
      <c r="AA19" s="181" t="n"/>
      <c r="AB19" s="181" t="n"/>
      <c r="AC19" s="181" t="n"/>
      <c r="AD19" s="181" t="n"/>
      <c r="AE19" s="181" t="n"/>
      <c r="AF19" s="181" t="n"/>
      <c r="AG19" s="181" t="n"/>
      <c r="AH19" s="181" t="n"/>
      <c r="AI19" s="181" t="n"/>
      <c r="AJ19" s="181" t="n"/>
      <c r="AK19" s="181" t="n"/>
      <c r="AL19" s="181" t="n"/>
      <c r="AM19" s="181" t="n"/>
      <c r="AN19" s="181" t="n"/>
      <c r="AO19" s="181" t="n"/>
      <c r="AP19" s="181" t="n"/>
      <c r="AQ19" s="181" t="n"/>
    </row>
    <row r="20" ht="17.5" customHeight="1" s="12">
      <c r="A20" s="6" t="inlineStr">
        <is>
          <t>IT</t>
        </is>
      </c>
      <c r="B20" s="192">
        <f>IF('AdTech Сентябрь'!C21="","",'AdTech Сентябрь'!C21)</f>
        <v>-3887514.7</v>
      </c>
      <c r="C20" s="97">
        <f>IF(B20="","",B20/B$4)</f>
        <v>-0.00328561288325933</v>
      </c>
      <c r="D20" s="192">
        <f>'AdTech Сентябрь'!E21</f>
        <v>-1283507.24</v>
      </c>
      <c r="E20" s="97">
        <f>D20/D$4</f>
        <v>-0.0011396791668589</v>
      </c>
      <c r="F20" s="193">
        <f>IF(B20="","",B20-D20)</f>
        <v>-2604007.46</v>
      </c>
      <c r="G20" s="99">
        <f>IF(B20="","",C20-E20)</f>
        <v>-0.00214593371640043</v>
      </c>
      <c r="H20" s="194" t="str">
        <f>IF('AdTech Октябрь'!C21="","",'AdTech Октябрь'!C21)</f>
        <v/>
      </c>
      <c r="I20" s="97" t="str">
        <f>IF(H20="","",H20/H$4)</f>
        <v/>
      </c>
      <c r="J20" s="194">
        <f>'AdTech Октябрь'!E21</f>
        <v>-1857987.23</v>
      </c>
      <c r="K20" s="97">
        <f>J20/J$4</f>
        <v>-0.00148626613079568</v>
      </c>
      <c r="L20" s="195" t="str">
        <f>IF(H20="","",H20-J20)</f>
        <v/>
      </c>
      <c r="M20" s="196" t="str">
        <f>IF(H20="","",I20-K20)</f>
        <v/>
      </c>
      <c r="N20" s="194">
        <f>N(B20)+N(H20)</f>
        <v>-3887514.7</v>
      </c>
      <c r="O20" s="97">
        <f>IF(N20="","",N20/N$4)</f>
        <v>-0.00328561288325933</v>
      </c>
      <c r="P20" s="194">
        <f>D20+IF(H20="",0,J20)</f>
        <v>-1283507.24</v>
      </c>
      <c r="Q20" s="97">
        <f>P20/P$4</f>
        <v>-0.0011396791668589</v>
      </c>
      <c r="R20" s="195">
        <f>IF(N20="","",N20-P20)</f>
        <v>-2604007.46</v>
      </c>
      <c r="S20" s="196">
        <f>IF(N20="","",O20-Q20)</f>
        <v>-0.00214593371640043</v>
      </c>
      <c r="T20" s="181" t="n"/>
      <c r="U20" s="181" t="n"/>
      <c r="V20" s="181" t="n"/>
      <c r="W20" s="181" t="n"/>
      <c r="X20" s="181" t="n"/>
      <c r="Y20" s="181" t="n"/>
      <c r="Z20" s="181" t="n"/>
      <c r="AA20" s="181" t="n"/>
      <c r="AB20" s="181" t="n"/>
      <c r="AC20" s="181" t="n"/>
      <c r="AD20" s="181" t="n"/>
      <c r="AE20" s="181" t="n"/>
      <c r="AF20" s="181" t="n"/>
      <c r="AG20" s="181" t="n"/>
      <c r="AH20" s="181" t="n"/>
      <c r="AI20" s="181" t="n"/>
      <c r="AJ20" s="181" t="n"/>
      <c r="AK20" s="181" t="n"/>
      <c r="AL20" s="181" t="n"/>
      <c r="AM20" s="181" t="n"/>
      <c r="AN20" s="181" t="n"/>
      <c r="AO20" s="181" t="n"/>
      <c r="AP20" s="181" t="n"/>
      <c r="AQ20" s="181" t="n"/>
    </row>
    <row r="21" ht="17.5" customHeight="1" s="12">
      <c r="A21" s="6" t="inlineStr">
        <is>
          <t>Other OPEX</t>
        </is>
      </c>
      <c r="B21" s="192">
        <f>IF('AdTech Сентябрь'!C22="","",'AdTech Сентябрь'!C22)</f>
        <v>-9123175.28</v>
      </c>
      <c r="C21" s="97">
        <f>IF(B21="","",B21/B$4)</f>
        <v>-0.00771063894271603</v>
      </c>
      <c r="D21" s="192">
        <f>'AdTech Сентябрь'!E22</f>
        <v>-5047284.06</v>
      </c>
      <c r="E21" s="97">
        <f>D21/D$4</f>
        <v>-0.00448169228278057</v>
      </c>
      <c r="F21" s="193">
        <f>IF(B21="","",B21-D21)</f>
        <v>-4075891.22</v>
      </c>
      <c r="G21" s="99">
        <f>IF(B21="","",C21-E21)</f>
        <v>-0.00322894665993545</v>
      </c>
      <c r="H21" s="194" t="str">
        <f>IF('AdTech Октябрь'!C22="","",'AdTech Октябрь'!C22)</f>
        <v/>
      </c>
      <c r="I21" s="97" t="str">
        <f>IF(H21="","",H21/H$4)</f>
        <v/>
      </c>
      <c r="J21" s="194">
        <f>'AdTech Октябрь'!E22</f>
        <v>-5915678.59</v>
      </c>
      <c r="K21" s="97">
        <f>J21/J$4</f>
        <v>-0.00473214917036333</v>
      </c>
      <c r="L21" s="195" t="str">
        <f>IF(H21="","",H21-J21)</f>
        <v/>
      </c>
      <c r="M21" s="196" t="str">
        <f>IF(H21="","",I21-K21)</f>
        <v/>
      </c>
      <c r="N21" s="194">
        <f>N(B21)+N(H21)</f>
        <v>-9123175.28</v>
      </c>
      <c r="O21" s="97">
        <f>IF(N21="","",N21/N$4)</f>
        <v>-0.00771063894271603</v>
      </c>
      <c r="P21" s="194">
        <f>D21+IF(H21="",0,J21)</f>
        <v>-5047284.06</v>
      </c>
      <c r="Q21" s="97">
        <f>P21/P$4</f>
        <v>-0.00448169228278057</v>
      </c>
      <c r="R21" s="195">
        <f>IF(N21="","",N21-P21)</f>
        <v>-4075891.22</v>
      </c>
      <c r="S21" s="196">
        <f>IF(N21="","",O21-Q21)</f>
        <v>-0.00322894665993545</v>
      </c>
      <c r="T21" s="181" t="n"/>
      <c r="U21" s="181" t="n"/>
      <c r="V21" s="181" t="n"/>
      <c r="W21" s="181" t="n"/>
      <c r="X21" s="181" t="n"/>
      <c r="Y21" s="181" t="n"/>
      <c r="Z21" s="181" t="n"/>
      <c r="AA21" s="181" t="n"/>
      <c r="AB21" s="181" t="n"/>
      <c r="AC21" s="181" t="n"/>
      <c r="AD21" s="181" t="n"/>
      <c r="AE21" s="181" t="n"/>
      <c r="AF21" s="181" t="n"/>
      <c r="AG21" s="181" t="n"/>
      <c r="AH21" s="181" t="n"/>
      <c r="AI21" s="181" t="n"/>
      <c r="AJ21" s="181" t="n"/>
      <c r="AK21" s="181" t="n"/>
      <c r="AL21" s="181" t="n"/>
      <c r="AM21" s="181" t="n"/>
      <c r="AN21" s="181" t="n"/>
      <c r="AO21" s="181" t="n"/>
      <c r="AP21" s="181" t="n"/>
      <c r="AQ21" s="181" t="n"/>
    </row>
    <row r="22" ht="17.5" customHeight="1" s="12">
      <c r="A22" s="8" t="inlineStr">
        <is>
          <t>EBITDA</t>
        </is>
      </c>
      <c r="B22" s="199">
        <f>IF('AdTech Сентябрь'!C23="","",'AdTech Сентябрь'!C23)</f>
        <v>1126410532.38</v>
      </c>
      <c r="C22" s="109">
        <f>IF(B22="","",B22/B$4)</f>
        <v>0.952008993567722</v>
      </c>
      <c r="D22" s="199">
        <f>'AdTech Сентябрь'!E23</f>
        <v>620504646.64</v>
      </c>
      <c r="E22" s="109">
        <f>D22/D$4</f>
        <v>0.550971741082465</v>
      </c>
      <c r="F22" s="200">
        <f>IF(B22="","",B22-D22)</f>
        <v>505905885.74</v>
      </c>
      <c r="G22" s="111">
        <f>IF(B22="","",C22-E22)</f>
        <v>0.401037252485257</v>
      </c>
      <c r="H22" s="201" t="str">
        <f>IF('AdTech Октябрь'!C23="","",'AdTech Октябрь'!C23)</f>
        <v/>
      </c>
      <c r="I22" s="109" t="str">
        <f>IF(H22="","",H22/H$4)</f>
        <v/>
      </c>
      <c r="J22" s="201">
        <f>'AdTech Октябрь'!E23</f>
        <v>1007390351.99</v>
      </c>
      <c r="K22" s="109">
        <f>J22/J$4</f>
        <v>0.805845237511712</v>
      </c>
      <c r="L22" s="202" t="str">
        <f>IF(H22="","",H22-J22)</f>
        <v/>
      </c>
      <c r="M22" s="203" t="str">
        <f>IF(H22="","",I22-K22)</f>
        <v/>
      </c>
      <c r="N22" s="201">
        <f>N(B22)+N(H22)</f>
        <v>1126410532.38</v>
      </c>
      <c r="O22" s="109">
        <f>IF(N22="","",N22/N$4)</f>
        <v>0.952008993567722</v>
      </c>
      <c r="P22" s="201">
        <f>D22+IF(H22="",0,J22)</f>
        <v>620504646.64</v>
      </c>
      <c r="Q22" s="109">
        <f>P22/P$4</f>
        <v>0.550971741082465</v>
      </c>
      <c r="R22" s="202">
        <f>IF(N22="","",N22-P22)</f>
        <v>505905885.74</v>
      </c>
      <c r="S22" s="203">
        <f>IF(N22="","",O22-Q22)</f>
        <v>0.401037252485257</v>
      </c>
      <c r="T22" s="181" t="n"/>
      <c r="U22" s="181" t="n"/>
      <c r="V22" s="181" t="n"/>
      <c r="W22" s="181" t="n"/>
      <c r="X22" s="181" t="n"/>
      <c r="Y22" s="181" t="n"/>
      <c r="Z22" s="181" t="n"/>
      <c r="AA22" s="181" t="n"/>
      <c r="AB22" s="181" t="n"/>
      <c r="AC22" s="181" t="n"/>
      <c r="AD22" s="181" t="n"/>
      <c r="AE22" s="181" t="n"/>
      <c r="AF22" s="181" t="n"/>
      <c r="AG22" s="181" t="n"/>
      <c r="AH22" s="181" t="n"/>
      <c r="AI22" s="181" t="n"/>
      <c r="AJ22" s="181" t="n"/>
      <c r="AK22" s="181" t="n"/>
      <c r="AL22" s="181" t="n"/>
      <c r="AM22" s="181" t="n"/>
      <c r="AN22" s="181" t="n"/>
      <c r="AO22" s="181" t="n"/>
      <c r="AP22" s="181" t="n"/>
      <c r="AQ22" s="181" t="n"/>
    </row>
    <row r="23" ht="17.5" customHeight="1" s="12">
      <c r="A23" s="181" t="n"/>
      <c r="B23" s="181" t="n"/>
      <c r="C23" s="181" t="n"/>
      <c r="D23" s="181" t="n"/>
      <c r="E23" s="181" t="n"/>
      <c r="F23" s="181" t="n"/>
      <c r="G23" s="181" t="n"/>
      <c r="H23" s="181" t="n"/>
      <c r="I23" s="181" t="n"/>
      <c r="J23" s="181" t="n"/>
      <c r="K23" s="181" t="n"/>
      <c r="L23" s="181" t="n"/>
      <c r="M23" s="181" t="n"/>
      <c r="N23" s="181" t="n"/>
      <c r="O23" s="181" t="n"/>
      <c r="P23" s="181" t="n"/>
      <c r="Q23" s="181" t="n"/>
      <c r="R23" s="181" t="n"/>
      <c r="S23" s="181" t="n"/>
      <c r="T23" s="181" t="n"/>
      <c r="U23" s="181" t="n"/>
      <c r="V23" s="181" t="n"/>
      <c r="W23" s="181" t="n"/>
      <c r="X23" s="181" t="n"/>
      <c r="Y23" s="181" t="n"/>
      <c r="Z23" s="181" t="n"/>
      <c r="AA23" s="181" t="n"/>
      <c r="AB23" s="181" t="n"/>
      <c r="AC23" s="181" t="n"/>
      <c r="AD23" s="181" t="n"/>
      <c r="AE23" s="181" t="n"/>
      <c r="AF23" s="181" t="n"/>
      <c r="AG23" s="181" t="n"/>
      <c r="AH23" s="181" t="n"/>
      <c r="AI23" s="181" t="n"/>
      <c r="AJ23" s="181" t="n"/>
      <c r="AK23" s="181" t="n"/>
      <c r="AL23" s="181" t="n"/>
      <c r="AM23" s="181" t="n"/>
      <c r="AN23" s="181" t="n"/>
      <c r="AO23" s="181" t="n"/>
      <c r="AP23" s="181" t="n"/>
      <c r="AQ23" s="181" t="n"/>
    </row>
    <row r="24" ht="17.5" customHeight="1" s="12">
      <c r="A24" s="181" t="n"/>
      <c r="B24" s="181" t="n"/>
      <c r="C24" s="181" t="n"/>
      <c r="D24" s="181" t="n"/>
      <c r="E24" s="181" t="n"/>
      <c r="F24" s="181" t="n"/>
      <c r="G24" s="181" t="n"/>
      <c r="H24" s="181" t="n"/>
      <c r="I24" s="181" t="n"/>
      <c r="J24" s="181" t="n"/>
      <c r="K24" s="181" t="n"/>
      <c r="L24" s="181" t="n"/>
      <c r="M24" s="181" t="n"/>
      <c r="N24" s="181" t="n"/>
      <c r="O24" s="181" t="n"/>
      <c r="P24" s="181" t="n"/>
      <c r="Q24" s="181" t="n"/>
      <c r="R24" s="181" t="n"/>
      <c r="S24" s="181" t="n"/>
      <c r="T24" s="181" t="n"/>
      <c r="U24" s="181" t="n"/>
      <c r="V24" s="181" t="n"/>
      <c r="W24" s="181" t="n"/>
      <c r="X24" s="181" t="n"/>
      <c r="Y24" s="181" t="n"/>
      <c r="Z24" s="181" t="n"/>
      <c r="AA24" s="181" t="n"/>
      <c r="AB24" s="181" t="n"/>
      <c r="AC24" s="181" t="n"/>
      <c r="AD24" s="181" t="n"/>
      <c r="AE24" s="181" t="n"/>
      <c r="AF24" s="181" t="n"/>
      <c r="AG24" s="181" t="n"/>
      <c r="AH24" s="181" t="n"/>
      <c r="AI24" s="181" t="n"/>
      <c r="AJ24" s="181" t="n"/>
      <c r="AK24" s="181" t="n"/>
      <c r="AL24" s="181" t="n"/>
      <c r="AM24" s="181" t="n"/>
      <c r="AN24" s="181" t="n"/>
      <c r="AO24" s="181" t="n"/>
      <c r="AP24" s="181" t="n"/>
      <c r="AQ24" s="181" t="n"/>
    </row>
    <row r="25" ht="17.5" customHeight="1" s="12">
      <c r="A25" s="181" t="n"/>
      <c r="B25" s="181" t="n"/>
      <c r="C25" s="181" t="n"/>
      <c r="D25" s="181" t="n"/>
      <c r="E25" s="181" t="n"/>
      <c r="F25" s="181" t="n"/>
      <c r="G25" s="181" t="n"/>
      <c r="H25" s="181" t="n"/>
      <c r="I25" s="181" t="n"/>
      <c r="J25" s="181" t="n"/>
      <c r="K25" s="181" t="n"/>
      <c r="L25" s="181" t="n"/>
      <c r="M25" s="181" t="n"/>
      <c r="N25" s="181" t="n"/>
      <c r="O25" s="181" t="n"/>
      <c r="P25" s="181" t="n"/>
      <c r="Q25" s="181" t="n"/>
      <c r="R25" s="181" t="n"/>
      <c r="S25" s="181" t="n"/>
      <c r="T25" s="181" t="n"/>
      <c r="U25" s="181" t="n"/>
      <c r="V25" s="181" t="n"/>
      <c r="W25" s="181" t="n"/>
      <c r="X25" s="181" t="n"/>
      <c r="Y25" s="181" t="n"/>
      <c r="Z25" s="181" t="n"/>
      <c r="AA25" s="181" t="n"/>
      <c r="AB25" s="181" t="n"/>
      <c r="AC25" s="181" t="n"/>
      <c r="AD25" s="181" t="n"/>
      <c r="AE25" s="181" t="n"/>
      <c r="AF25" s="181" t="n"/>
      <c r="AG25" s="181" t="n"/>
      <c r="AH25" s="181" t="n"/>
      <c r="AI25" s="181" t="n"/>
      <c r="AJ25" s="181" t="n"/>
      <c r="AK25" s="181" t="n"/>
      <c r="AL25" s="181" t="n"/>
      <c r="AM25" s="181" t="n"/>
      <c r="AN25" s="181" t="n"/>
      <c r="AO25" s="181" t="n"/>
      <c r="AP25" s="181" t="n"/>
      <c r="AQ25" s="181" t="n"/>
    </row>
    <row r="26">
      <c r="A26" s="181" t="n"/>
      <c r="B26" s="181" t="n"/>
      <c r="C26" s="181" t="n"/>
      <c r="D26" s="181" t="n"/>
      <c r="E26" s="181" t="n"/>
      <c r="F26" s="181" t="n"/>
      <c r="G26" s="181" t="n"/>
      <c r="H26" s="181" t="n"/>
      <c r="I26" s="181" t="n"/>
      <c r="J26" s="181" t="n"/>
      <c r="K26" s="181" t="n"/>
      <c r="L26" s="181" t="n"/>
      <c r="M26" s="181" t="n"/>
      <c r="N26" s="181" t="n"/>
      <c r="O26" s="181" t="n"/>
      <c r="P26" s="181" t="n"/>
      <c r="Q26" s="181" t="n"/>
      <c r="R26" s="181" t="n"/>
      <c r="S26" s="181" t="n"/>
      <c r="T26" s="181" t="n"/>
      <c r="U26" s="181" t="n"/>
      <c r="V26" s="181" t="n"/>
      <c r="W26" s="181" t="n"/>
      <c r="X26" s="181" t="n"/>
      <c r="Y26" s="181" t="n"/>
      <c r="Z26" s="181" t="n"/>
      <c r="AA26" s="181" t="n"/>
      <c r="AB26" s="181" t="n"/>
      <c r="AC26" s="181" t="n"/>
      <c r="AD26" s="181" t="n"/>
      <c r="AE26" s="181" t="n"/>
      <c r="AF26" s="181" t="n"/>
      <c r="AG26" s="181" t="n"/>
      <c r="AH26" s="181" t="n"/>
      <c r="AI26" s="181" t="n"/>
      <c r="AJ26" s="181" t="n"/>
      <c r="AK26" s="181" t="n"/>
      <c r="AL26" s="181" t="n"/>
      <c r="AM26" s="181" t="n"/>
      <c r="AN26" s="181" t="n"/>
      <c r="AO26" s="181" t="n"/>
      <c r="AP26" s="181" t="n"/>
      <c r="AQ26" s="181" t="n"/>
    </row>
    <row r="27">
      <c r="A27" s="181" t="n"/>
      <c r="B27" s="181" t="n"/>
      <c r="C27" s="181" t="n"/>
      <c r="D27" s="181" t="n"/>
      <c r="E27" s="181" t="n"/>
      <c r="F27" s="181" t="n"/>
      <c r="G27" s="181" t="n"/>
      <c r="H27" s="181" t="n"/>
      <c r="I27" s="181" t="n"/>
      <c r="J27" s="181" t="n"/>
      <c r="K27" s="181" t="n"/>
      <c r="L27" s="181" t="n"/>
      <c r="M27" s="181" t="n"/>
      <c r="N27" s="181" t="n"/>
      <c r="O27" s="181" t="n"/>
      <c r="P27" s="181" t="n"/>
      <c r="Q27" s="181" t="n"/>
      <c r="R27" s="181" t="n"/>
      <c r="S27" s="181" t="n"/>
      <c r="T27" s="181" t="n"/>
      <c r="U27" s="181" t="n"/>
      <c r="V27" s="181" t="n"/>
      <c r="W27" s="181" t="n"/>
      <c r="X27" s="181" t="n"/>
      <c r="Y27" s="181" t="n"/>
      <c r="Z27" s="181" t="n"/>
      <c r="AA27" s="181" t="n"/>
      <c r="AB27" s="181" t="n"/>
      <c r="AC27" s="181" t="n"/>
      <c r="AD27" s="181" t="n"/>
      <c r="AE27" s="181" t="n"/>
      <c r="AF27" s="181" t="n"/>
      <c r="AG27" s="181" t="n"/>
      <c r="AH27" s="181" t="n"/>
      <c r="AI27" s="181" t="n"/>
      <c r="AJ27" s="181" t="n"/>
      <c r="AK27" s="181" t="n"/>
      <c r="AL27" s="181" t="n"/>
      <c r="AM27" s="181" t="n"/>
      <c r="AN27" s="181" t="n"/>
      <c r="AO27" s="181" t="n"/>
      <c r="AP27" s="181" t="n"/>
      <c r="AQ27" s="181" t="n"/>
    </row>
    <row r="28">
      <c r="A28" s="204" t="n"/>
      <c r="B28" s="204">
        <f>D22</f>
        <v>620504646.64</v>
      </c>
      <c r="C28" s="204" t="n"/>
      <c r="D28" s="204" t="n"/>
      <c r="E28" s="204" t="n"/>
      <c r="F28" s="204" t="n"/>
      <c r="G28" s="204" t="n"/>
      <c r="H28" s="204">
        <f>J22</f>
        <v>1007390351.99</v>
      </c>
      <c r="I28" s="204" t="n"/>
      <c r="J28" s="204" t="n"/>
      <c r="K28" s="204" t="n"/>
      <c r="L28" s="204" t="n"/>
      <c r="M28" s="204" t="n"/>
      <c r="N28" s="204" t="n"/>
      <c r="O28" s="204" t="n"/>
      <c r="P28" s="204" t="n"/>
      <c r="Q28" s="204" t="n"/>
      <c r="R28" s="204" t="n"/>
      <c r="S28" s="204" t="n"/>
      <c r="T28" s="181" t="n"/>
      <c r="U28" s="181" t="n"/>
      <c r="V28" s="181" t="n"/>
      <c r="W28" s="181" t="n"/>
      <c r="X28" s="181" t="n"/>
      <c r="Y28" s="181" t="n"/>
      <c r="Z28" s="181" t="n"/>
      <c r="AA28" s="181" t="n"/>
      <c r="AB28" s="181" t="n"/>
      <c r="AC28" s="181" t="n"/>
      <c r="AD28" s="181" t="n"/>
      <c r="AE28" s="181" t="n"/>
      <c r="AF28" s="181" t="n"/>
      <c r="AG28" s="181" t="n"/>
      <c r="AH28" s="181" t="n"/>
      <c r="AI28" s="181" t="n"/>
      <c r="AJ28" s="181" t="n"/>
      <c r="AK28" s="181" t="n"/>
      <c r="AL28" s="181" t="n"/>
      <c r="AM28" s="181" t="n"/>
      <c r="AN28" s="181" t="n"/>
      <c r="AO28" s="181" t="n"/>
      <c r="AP28" s="181" t="n"/>
      <c r="AQ28" s="181" t="n"/>
    </row>
    <row r="29">
      <c r="A29" s="204" t="n"/>
      <c r="B29" s="204">
        <f>IF(B4="","",F4*E22)</f>
        <v>31401350.4590566</v>
      </c>
      <c r="C29" s="204" t="n"/>
      <c r="D29" s="204" t="n"/>
      <c r="E29" s="204" t="n"/>
      <c r="F29" s="204" t="n"/>
      <c r="G29" s="204" t="n"/>
      <c r="H29" s="204" t="str">
        <f>IF(H4="","",L4*K22)</f>
        <v/>
      </c>
      <c r="I29" s="204" t="n"/>
      <c r="J29" s="204" t="n"/>
      <c r="K29" s="204" t="n"/>
      <c r="L29" s="204" t="n"/>
      <c r="M29" s="204" t="n"/>
      <c r="N29" s="204" t="n"/>
      <c r="O29" s="204" t="n"/>
      <c r="P29" s="204" t="n"/>
      <c r="Q29" s="204" t="n"/>
      <c r="R29" s="204" t="n"/>
      <c r="S29" s="204" t="n"/>
      <c r="T29" s="181" t="n"/>
      <c r="U29" s="181" t="n"/>
      <c r="V29" s="181" t="n"/>
      <c r="W29" s="181" t="n"/>
      <c r="X29" s="181" t="n"/>
      <c r="Y29" s="181" t="n"/>
      <c r="Z29" s="181" t="n"/>
      <c r="AA29" s="181" t="n"/>
      <c r="AB29" s="181" t="n"/>
      <c r="AC29" s="181" t="n"/>
      <c r="AD29" s="181" t="n"/>
      <c r="AE29" s="181" t="n"/>
      <c r="AF29" s="181" t="n"/>
      <c r="AG29" s="181" t="n"/>
      <c r="AH29" s="181" t="n"/>
      <c r="AI29" s="181" t="n"/>
      <c r="AJ29" s="181" t="n"/>
      <c r="AK29" s="181" t="n"/>
      <c r="AL29" s="181" t="n"/>
      <c r="AM29" s="181" t="n"/>
      <c r="AN29" s="181" t="n"/>
      <c r="AO29" s="181" t="n"/>
      <c r="AP29" s="181" t="n"/>
      <c r="AQ29" s="181" t="n"/>
    </row>
    <row r="30">
      <c r="A30" s="204" t="n"/>
      <c r="B30" s="204">
        <f>IF(B4="","",G5*B$4)</f>
        <v>-336531175.007532</v>
      </c>
      <c r="C30" s="204" t="n"/>
      <c r="D30" s="204" t="n"/>
      <c r="E30" s="204" t="n"/>
      <c r="F30" s="204" t="n"/>
      <c r="G30" s="204" t="n"/>
      <c r="H30" s="204" t="str">
        <f>IF(H4="","",M5*H$4)</f>
        <v/>
      </c>
      <c r="I30" s="204" t="n"/>
      <c r="J30" s="204" t="n"/>
      <c r="K30" s="204" t="n"/>
      <c r="L30" s="204" t="n"/>
      <c r="M30" s="204" t="n"/>
      <c r="N30" s="204" t="n"/>
      <c r="O30" s="204" t="n"/>
      <c r="P30" s="204" t="n"/>
      <c r="Q30" s="204" t="n"/>
      <c r="R30" s="204" t="n"/>
      <c r="S30" s="204" t="n"/>
      <c r="T30" s="181" t="n"/>
      <c r="U30" s="181" t="n"/>
      <c r="V30" s="181" t="n"/>
      <c r="W30" s="181" t="n"/>
      <c r="X30" s="181" t="n"/>
      <c r="Y30" s="181" t="n"/>
      <c r="Z30" s="181" t="n"/>
      <c r="AA30" s="181" t="n"/>
      <c r="AB30" s="181" t="n"/>
      <c r="AC30" s="181" t="n"/>
      <c r="AD30" s="181" t="n"/>
      <c r="AE30" s="181" t="n"/>
      <c r="AF30" s="181" t="n"/>
      <c r="AG30" s="181" t="n"/>
      <c r="AH30" s="181" t="n"/>
      <c r="AI30" s="181" t="n"/>
      <c r="AJ30" s="181" t="n"/>
      <c r="AK30" s="181" t="n"/>
      <c r="AL30" s="181" t="n"/>
      <c r="AM30" s="181" t="n"/>
      <c r="AN30" s="181" t="n"/>
      <c r="AO30" s="181" t="n"/>
      <c r="AP30" s="181" t="n"/>
      <c r="AQ30" s="181" t="n"/>
    </row>
    <row r="31">
      <c r="A31" s="204" t="n"/>
      <c r="B31" s="204">
        <f>IF(B4="","",G6*B$4)</f>
        <v>-884263.046869816</v>
      </c>
      <c r="C31" s="204" t="n"/>
      <c r="D31" s="204" t="n"/>
      <c r="E31" s="204" t="n"/>
      <c r="F31" s="204" t="n"/>
      <c r="G31" s="204" t="n"/>
      <c r="H31" s="204" t="str">
        <f>IF(H4="","",M6*H$4)</f>
        <v/>
      </c>
      <c r="I31" s="204" t="n"/>
      <c r="J31" s="204" t="n"/>
      <c r="K31" s="204" t="n"/>
      <c r="L31" s="204" t="n"/>
      <c r="M31" s="204" t="n"/>
      <c r="N31" s="204" t="n"/>
      <c r="O31" s="204" t="n"/>
      <c r="P31" s="204" t="n"/>
      <c r="Q31" s="204" t="n"/>
      <c r="R31" s="204" t="n"/>
      <c r="S31" s="204" t="n"/>
      <c r="T31" s="181" t="n"/>
      <c r="U31" s="181" t="n"/>
      <c r="V31" s="181" t="n"/>
      <c r="W31" s="181" t="n"/>
      <c r="X31" s="181" t="n"/>
      <c r="Y31" s="181" t="n"/>
      <c r="Z31" s="181" t="n"/>
      <c r="AA31" s="181" t="n"/>
      <c r="AB31" s="181" t="n"/>
      <c r="AC31" s="181" t="n"/>
      <c r="AD31" s="181" t="n"/>
      <c r="AE31" s="181" t="n"/>
      <c r="AF31" s="181" t="n"/>
      <c r="AG31" s="181" t="n"/>
      <c r="AH31" s="181" t="n"/>
      <c r="AI31" s="181" t="n"/>
      <c r="AJ31" s="181" t="n"/>
      <c r="AK31" s="181" t="n"/>
      <c r="AL31" s="181" t="n"/>
      <c r="AM31" s="181" t="n"/>
      <c r="AN31" s="181" t="n"/>
      <c r="AO31" s="181" t="n"/>
      <c r="AP31" s="181" t="n"/>
      <c r="AQ31" s="181" t="n"/>
    </row>
    <row r="32">
      <c r="A32" s="204" t="n"/>
      <c r="B32" s="204">
        <f>IF(B4="","",G7*B$4)</f>
        <v>-486861.605521777</v>
      </c>
      <c r="C32" s="204" t="n"/>
      <c r="D32" s="204" t="n"/>
      <c r="E32" s="204" t="n"/>
      <c r="F32" s="204" t="n"/>
      <c r="G32" s="204" t="n"/>
      <c r="H32" s="204" t="str">
        <f>IF(H4="","",M7*H$4)</f>
        <v/>
      </c>
      <c r="I32" s="204" t="n"/>
      <c r="J32" s="204" t="n"/>
      <c r="K32" s="204" t="n"/>
      <c r="L32" s="204" t="n"/>
      <c r="M32" s="204" t="n"/>
      <c r="N32" s="204" t="n"/>
      <c r="O32" s="204" t="n"/>
      <c r="P32" s="204" t="n"/>
      <c r="Q32" s="204" t="n"/>
      <c r="R32" s="204" t="n"/>
      <c r="S32" s="204" t="n"/>
      <c r="T32" s="181" t="n"/>
      <c r="U32" s="181" t="n"/>
      <c r="V32" s="181" t="n"/>
      <c r="W32" s="181" t="n"/>
      <c r="X32" s="181" t="n"/>
      <c r="Y32" s="181" t="n"/>
      <c r="Z32" s="181" t="n"/>
      <c r="AA32" s="181" t="n"/>
      <c r="AB32" s="181" t="n"/>
      <c r="AC32" s="181" t="n"/>
      <c r="AD32" s="181" t="n"/>
      <c r="AE32" s="181" t="n"/>
      <c r="AF32" s="181" t="n"/>
      <c r="AG32" s="181" t="n"/>
      <c r="AH32" s="181" t="n"/>
      <c r="AI32" s="181" t="n"/>
      <c r="AJ32" s="181" t="n"/>
      <c r="AK32" s="181" t="n"/>
      <c r="AL32" s="181" t="n"/>
      <c r="AM32" s="181" t="n"/>
      <c r="AN32" s="181" t="n"/>
      <c r="AO32" s="181" t="n"/>
      <c r="AP32" s="181" t="n"/>
      <c r="AQ32" s="181" t="n"/>
    </row>
    <row r="33">
      <c r="A33" s="204" t="n"/>
      <c r="B33" s="204">
        <f>IF(B4="","",G8*B$4)</f>
        <v>-2675498.89589178</v>
      </c>
      <c r="C33" s="204" t="n"/>
      <c r="D33" s="204" t="n"/>
      <c r="E33" s="204" t="n"/>
      <c r="F33" s="204" t="n"/>
      <c r="G33" s="204" t="n"/>
      <c r="H33" s="204" t="str">
        <f>IF(H4="","",M8*H$4)</f>
        <v/>
      </c>
      <c r="I33" s="204" t="n"/>
      <c r="J33" s="204" t="n"/>
      <c r="K33" s="204" t="n"/>
      <c r="L33" s="204" t="n"/>
      <c r="M33" s="204" t="n"/>
      <c r="N33" s="204" t="n"/>
      <c r="O33" s="204" t="n"/>
      <c r="P33" s="204" t="n"/>
      <c r="Q33" s="204" t="n"/>
      <c r="R33" s="204" t="n"/>
      <c r="S33" s="204" t="n"/>
      <c r="T33" s="181" t="n"/>
      <c r="U33" s="181" t="n"/>
      <c r="V33" s="181" t="n"/>
      <c r="W33" s="181" t="n"/>
      <c r="X33" s="181" t="n"/>
      <c r="Y33" s="181" t="n"/>
      <c r="Z33" s="181" t="n"/>
      <c r="AA33" s="181" t="n"/>
      <c r="AB33" s="181" t="n"/>
      <c r="AC33" s="181" t="n"/>
      <c r="AD33" s="181" t="n"/>
      <c r="AE33" s="181" t="n"/>
      <c r="AF33" s="181" t="n"/>
      <c r="AG33" s="181" t="n"/>
      <c r="AH33" s="181" t="n"/>
      <c r="AI33" s="181" t="n"/>
      <c r="AJ33" s="181" t="n"/>
      <c r="AK33" s="181" t="n"/>
      <c r="AL33" s="181" t="n"/>
      <c r="AM33" s="181" t="n"/>
      <c r="AN33" s="181" t="n"/>
      <c r="AO33" s="181" t="n"/>
      <c r="AP33" s="181" t="n"/>
      <c r="AQ33" s="181" t="n"/>
    </row>
    <row r="34">
      <c r="A34" s="204" t="n"/>
      <c r="B34" s="204">
        <f>IF(B4="","",G9*B$4)</f>
        <v>128674023.79738</v>
      </c>
      <c r="C34" s="204" t="n"/>
      <c r="D34" s="204" t="n"/>
      <c r="E34" s="204" t="n"/>
      <c r="F34" s="204" t="n"/>
      <c r="G34" s="204" t="n"/>
      <c r="H34" s="204" t="str">
        <f>IF(H4="","",M9*H$4)</f>
        <v/>
      </c>
      <c r="I34" s="204" t="n"/>
      <c r="J34" s="204" t="n"/>
      <c r="K34" s="204" t="n"/>
      <c r="L34" s="204" t="n"/>
      <c r="M34" s="204" t="n"/>
      <c r="N34" s="204" t="n"/>
      <c r="O34" s="204" t="n"/>
      <c r="P34" s="204" t="n"/>
      <c r="Q34" s="204" t="n"/>
      <c r="R34" s="204" t="n"/>
      <c r="S34" s="204" t="n"/>
      <c r="T34" s="181" t="n"/>
      <c r="U34" s="181" t="n"/>
      <c r="V34" s="181" t="n"/>
      <c r="W34" s="181" t="n"/>
      <c r="X34" s="181" t="n"/>
      <c r="Y34" s="181" t="n"/>
      <c r="Z34" s="181" t="n"/>
      <c r="AA34" s="181" t="n"/>
      <c r="AB34" s="181" t="n"/>
      <c r="AC34" s="181" t="n"/>
      <c r="AD34" s="181" t="n"/>
      <c r="AE34" s="181" t="n"/>
      <c r="AF34" s="181" t="n"/>
      <c r="AG34" s="181" t="n"/>
      <c r="AH34" s="181" t="n"/>
      <c r="AI34" s="181" t="n"/>
      <c r="AJ34" s="181" t="n"/>
      <c r="AK34" s="181" t="n"/>
      <c r="AL34" s="181" t="n"/>
      <c r="AM34" s="181" t="n"/>
      <c r="AN34" s="181" t="n"/>
      <c r="AO34" s="181" t="n"/>
      <c r="AP34" s="181" t="n"/>
      <c r="AQ34" s="181" t="n"/>
    </row>
    <row r="35">
      <c r="A35" s="204" t="n"/>
      <c r="B35" s="204">
        <f>IF(B4="","",G10*B$4)</f>
        <v>243926011.04365</v>
      </c>
      <c r="C35" s="204" t="n"/>
      <c r="D35" s="204" t="n"/>
      <c r="E35" s="204" t="n"/>
      <c r="F35" s="204" t="n"/>
      <c r="G35" s="204" t="n"/>
      <c r="H35" s="204" t="str">
        <f>IF(H4="","",M10*H$4)</f>
        <v/>
      </c>
      <c r="I35" s="204" t="n"/>
      <c r="J35" s="204" t="n"/>
      <c r="K35" s="204" t="n"/>
      <c r="L35" s="204" t="n"/>
      <c r="M35" s="204" t="n"/>
      <c r="N35" s="204" t="n"/>
      <c r="O35" s="204" t="n"/>
      <c r="P35" s="204" t="n"/>
      <c r="Q35" s="204" t="n"/>
      <c r="R35" s="204" t="n"/>
      <c r="S35" s="204" t="n"/>
      <c r="T35" s="181" t="n"/>
      <c r="U35" s="181" t="n"/>
      <c r="V35" s="181" t="n"/>
      <c r="W35" s="181" t="n"/>
      <c r="X35" s="181" t="n"/>
      <c r="Y35" s="181" t="n"/>
      <c r="Z35" s="181" t="n"/>
      <c r="AA35" s="181" t="n"/>
      <c r="AB35" s="181" t="n"/>
      <c r="AC35" s="181" t="n"/>
      <c r="AD35" s="181" t="n"/>
      <c r="AE35" s="181" t="n"/>
      <c r="AF35" s="181" t="n"/>
      <c r="AG35" s="181" t="n"/>
      <c r="AH35" s="181" t="n"/>
      <c r="AI35" s="181" t="n"/>
      <c r="AJ35" s="181" t="n"/>
      <c r="AK35" s="181" t="n"/>
      <c r="AL35" s="181" t="n"/>
      <c r="AM35" s="181" t="n"/>
      <c r="AN35" s="181" t="n"/>
      <c r="AO35" s="181" t="n"/>
      <c r="AP35" s="181" t="n"/>
      <c r="AQ35" s="181" t="n"/>
    </row>
    <row r="36">
      <c r="A36" s="204" t="n"/>
      <c r="B36" s="204">
        <f>IF(B4="","",G11*B$4)</f>
        <v>-127472358.294732</v>
      </c>
      <c r="C36" s="204" t="n"/>
      <c r="D36" s="204" t="n"/>
      <c r="E36" s="204" t="n"/>
      <c r="F36" s="204" t="n"/>
      <c r="G36" s="204" t="n"/>
      <c r="H36" s="204" t="str">
        <f>IF(H4="","",M11*H$4)</f>
        <v/>
      </c>
      <c r="I36" s="204" t="n"/>
      <c r="J36" s="204" t="n"/>
      <c r="K36" s="204" t="n"/>
      <c r="L36" s="204" t="n"/>
      <c r="M36" s="204" t="n"/>
      <c r="N36" s="204" t="n"/>
      <c r="O36" s="204" t="n"/>
      <c r="P36" s="204" t="n"/>
      <c r="Q36" s="204" t="n"/>
      <c r="R36" s="204" t="n"/>
      <c r="S36" s="204" t="n"/>
      <c r="T36" s="181" t="n"/>
      <c r="U36" s="181" t="n"/>
      <c r="V36" s="181" t="n"/>
      <c r="W36" s="181" t="n"/>
      <c r="X36" s="181" t="n"/>
      <c r="Y36" s="181" t="n"/>
      <c r="Z36" s="181" t="n"/>
      <c r="AA36" s="181" t="n"/>
      <c r="AB36" s="181" t="n"/>
      <c r="AC36" s="181" t="n"/>
      <c r="AD36" s="181" t="n"/>
      <c r="AE36" s="181" t="n"/>
      <c r="AF36" s="181" t="n"/>
      <c r="AG36" s="181" t="n"/>
      <c r="AH36" s="181" t="n"/>
      <c r="AI36" s="181" t="n"/>
      <c r="AJ36" s="181" t="n"/>
      <c r="AK36" s="181" t="n"/>
      <c r="AL36" s="181" t="n"/>
      <c r="AM36" s="181" t="n"/>
      <c r="AN36" s="181" t="n"/>
      <c r="AO36" s="181" t="n"/>
      <c r="AP36" s="181" t="n"/>
      <c r="AQ36" s="181" t="n"/>
    </row>
    <row r="37">
      <c r="A37" s="204" t="n"/>
      <c r="B37" s="204">
        <f>IF(B4="","",G12*B$4)</f>
        <v>-2189044.63048418</v>
      </c>
      <c r="C37" s="204" t="n"/>
      <c r="D37" s="204" t="n"/>
      <c r="E37" s="204" t="n"/>
      <c r="F37" s="204" t="n"/>
      <c r="G37" s="204" t="n"/>
      <c r="H37" s="204" t="str">
        <f>IF(H4="","",M12*H$4)</f>
        <v/>
      </c>
      <c r="I37" s="204" t="n"/>
      <c r="J37" s="204" t="n"/>
      <c r="K37" s="204" t="n"/>
      <c r="L37" s="204" t="n"/>
      <c r="M37" s="204" t="n"/>
      <c r="N37" s="204" t="n"/>
      <c r="O37" s="204" t="n"/>
      <c r="P37" s="204" t="n"/>
      <c r="Q37" s="204" t="n"/>
      <c r="R37" s="204" t="n"/>
      <c r="S37" s="204" t="n"/>
      <c r="T37" s="181" t="n"/>
      <c r="U37" s="181" t="n"/>
      <c r="V37" s="181" t="n"/>
      <c r="W37" s="181" t="n"/>
      <c r="X37" s="181" t="n"/>
      <c r="Y37" s="181" t="n"/>
      <c r="Z37" s="181" t="n"/>
      <c r="AA37" s="181" t="n"/>
      <c r="AB37" s="181" t="n"/>
      <c r="AC37" s="181" t="n"/>
      <c r="AD37" s="181" t="n"/>
      <c r="AE37" s="181" t="n"/>
      <c r="AF37" s="181" t="n"/>
      <c r="AG37" s="181" t="n"/>
      <c r="AH37" s="181" t="n"/>
      <c r="AI37" s="181" t="n"/>
      <c r="AJ37" s="181" t="n"/>
      <c r="AK37" s="181" t="n"/>
      <c r="AL37" s="181" t="n"/>
      <c r="AM37" s="181" t="n"/>
      <c r="AN37" s="181" t="n"/>
      <c r="AO37" s="181" t="n"/>
      <c r="AP37" s="181" t="n"/>
      <c r="AQ37" s="181" t="n"/>
    </row>
    <row r="38">
      <c r="A38" s="204" t="n"/>
      <c r="B38" s="204">
        <f>IF(B4="","",G13*B$4)</f>
        <v>94811797.5</v>
      </c>
      <c r="C38" s="204" t="n"/>
      <c r="D38" s="204" t="n"/>
      <c r="E38" s="204" t="n"/>
      <c r="F38" s="204" t="n"/>
      <c r="G38" s="204" t="n"/>
      <c r="H38" s="204" t="str">
        <f>IF(H4="","",M13*H$4)</f>
        <v/>
      </c>
      <c r="I38" s="204" t="n"/>
      <c r="J38" s="204" t="n"/>
      <c r="K38" s="204" t="n"/>
      <c r="L38" s="204" t="n"/>
      <c r="M38" s="204" t="n"/>
      <c r="N38" s="204" t="n"/>
      <c r="O38" s="204" t="n"/>
      <c r="P38" s="204" t="n"/>
      <c r="Q38" s="204" t="n"/>
      <c r="R38" s="204" t="n"/>
      <c r="S38" s="204" t="n"/>
      <c r="T38" s="181" t="n"/>
      <c r="U38" s="181" t="n"/>
      <c r="V38" s="181" t="n"/>
      <c r="W38" s="181" t="n"/>
      <c r="X38" s="181" t="n"/>
      <c r="Y38" s="181" t="n"/>
      <c r="Z38" s="181" t="n"/>
      <c r="AA38" s="181" t="n"/>
      <c r="AB38" s="181" t="n"/>
      <c r="AC38" s="181" t="n"/>
      <c r="AD38" s="181" t="n"/>
      <c r="AE38" s="181" t="n"/>
      <c r="AF38" s="181" t="n"/>
      <c r="AG38" s="181" t="n"/>
      <c r="AH38" s="181" t="n"/>
      <c r="AI38" s="181" t="n"/>
      <c r="AJ38" s="181" t="n"/>
      <c r="AK38" s="181" t="n"/>
      <c r="AL38" s="181" t="n"/>
      <c r="AM38" s="181" t="n"/>
      <c r="AN38" s="181" t="n"/>
      <c r="AO38" s="181" t="n"/>
      <c r="AP38" s="181" t="n"/>
      <c r="AQ38" s="181" t="n"/>
    </row>
    <row r="39">
      <c r="A39" s="204" t="n"/>
      <c r="B39" s="204">
        <f>IF(B4="","",G14*B$4)</f>
        <v>2827369.14</v>
      </c>
      <c r="C39" s="204" t="n"/>
      <c r="D39" s="204" t="n"/>
      <c r="E39" s="204" t="n"/>
      <c r="F39" s="204" t="n"/>
      <c r="G39" s="204" t="n"/>
      <c r="H39" s="204" t="str">
        <f>IF(H4="","",M14*H$4)</f>
        <v/>
      </c>
      <c r="I39" s="204" t="n"/>
      <c r="J39" s="204" t="n"/>
      <c r="K39" s="204" t="n"/>
      <c r="L39" s="204" t="n"/>
      <c r="M39" s="204" t="n"/>
      <c r="N39" s="204" t="n"/>
      <c r="O39" s="204" t="n"/>
      <c r="P39" s="204" t="n"/>
      <c r="Q39" s="204" t="n"/>
      <c r="R39" s="204" t="n"/>
      <c r="S39" s="204" t="n"/>
      <c r="T39" s="181" t="n"/>
      <c r="U39" s="181" t="n"/>
      <c r="V39" s="181" t="n"/>
      <c r="W39" s="181" t="n"/>
      <c r="X39" s="181" t="n"/>
      <c r="Y39" s="181" t="n"/>
      <c r="Z39" s="181" t="n"/>
      <c r="AA39" s="181" t="n"/>
      <c r="AB39" s="181" t="n"/>
      <c r="AC39" s="181" t="n"/>
      <c r="AD39" s="181" t="n"/>
      <c r="AE39" s="181" t="n"/>
      <c r="AF39" s="181" t="n"/>
      <c r="AG39" s="181" t="n"/>
      <c r="AH39" s="181" t="n"/>
      <c r="AI39" s="181" t="n"/>
      <c r="AJ39" s="181" t="n"/>
      <c r="AK39" s="181" t="n"/>
      <c r="AL39" s="181" t="n"/>
      <c r="AM39" s="181" t="n"/>
      <c r="AN39" s="181" t="n"/>
      <c r="AO39" s="181" t="n"/>
      <c r="AP39" s="181" t="n"/>
      <c r="AQ39" s="181" t="n"/>
    </row>
    <row r="40">
      <c r="A40" s="204" t="n"/>
      <c r="B40" s="204">
        <f>IF(B4="","",G15*B$4)</f>
        <v>0</v>
      </c>
      <c r="C40" s="204" t="n"/>
      <c r="D40" s="204" t="n"/>
      <c r="E40" s="204" t="n"/>
      <c r="F40" s="204" t="n"/>
      <c r="G40" s="204" t="n"/>
      <c r="H40" s="204" t="str">
        <f>IF(H4="","",M15*H$4)</f>
        <v/>
      </c>
      <c r="I40" s="204" t="n"/>
      <c r="J40" s="204" t="n"/>
      <c r="K40" s="204" t="n"/>
      <c r="L40" s="204" t="n"/>
      <c r="M40" s="204" t="n"/>
      <c r="N40" s="204" t="n"/>
      <c r="O40" s="204" t="n"/>
      <c r="P40" s="204" t="n"/>
      <c r="Q40" s="204" t="n"/>
      <c r="R40" s="204" t="n"/>
      <c r="S40" s="204" t="n"/>
      <c r="T40" s="181" t="n"/>
      <c r="U40" s="181" t="n"/>
      <c r="V40" s="181" t="n"/>
      <c r="W40" s="181" t="n"/>
      <c r="X40" s="181" t="n"/>
      <c r="Y40" s="181" t="n"/>
      <c r="Z40" s="181" t="n"/>
      <c r="AA40" s="181" t="n"/>
      <c r="AB40" s="181" t="n"/>
      <c r="AC40" s="181" t="n"/>
      <c r="AD40" s="181" t="n"/>
      <c r="AE40" s="181" t="n"/>
      <c r="AF40" s="181" t="n"/>
      <c r="AG40" s="181" t="n"/>
      <c r="AH40" s="181" t="n"/>
      <c r="AI40" s="181" t="n"/>
      <c r="AJ40" s="181" t="n"/>
      <c r="AK40" s="181" t="n"/>
      <c r="AL40" s="181" t="n"/>
      <c r="AM40" s="181" t="n"/>
      <c r="AN40" s="181" t="n"/>
      <c r="AO40" s="181" t="n"/>
      <c r="AP40" s="181" t="n"/>
      <c r="AQ40" s="181" t="n"/>
    </row>
    <row r="41">
      <c r="A41" s="204" t="n"/>
      <c r="B41" s="204">
        <f>IF(B4="","",G16*B$4)</f>
        <v>35597311.648718</v>
      </c>
      <c r="C41" s="204" t="n"/>
      <c r="D41" s="204" t="n"/>
      <c r="E41" s="204" t="n"/>
      <c r="F41" s="204" t="n"/>
      <c r="G41" s="204" t="n"/>
      <c r="H41" s="204" t="str">
        <f>IF(H4="","",M16*H$4)</f>
        <v/>
      </c>
      <c r="I41" s="204" t="n"/>
      <c r="J41" s="204" t="n"/>
      <c r="K41" s="204" t="n"/>
      <c r="L41" s="204" t="n"/>
      <c r="M41" s="204" t="n"/>
      <c r="N41" s="204" t="n"/>
      <c r="O41" s="204" t="n"/>
      <c r="P41" s="204" t="n"/>
      <c r="Q41" s="204" t="n"/>
      <c r="R41" s="204" t="n"/>
      <c r="S41" s="204" t="n"/>
      <c r="T41" s="181" t="n"/>
      <c r="U41" s="181" t="n"/>
      <c r="V41" s="181" t="n"/>
      <c r="W41" s="181" t="n"/>
      <c r="X41" s="181" t="n"/>
      <c r="Y41" s="181" t="n"/>
      <c r="Z41" s="181" t="n"/>
      <c r="AA41" s="181" t="n"/>
      <c r="AB41" s="181" t="n"/>
      <c r="AC41" s="181" t="n"/>
      <c r="AD41" s="181" t="n"/>
      <c r="AE41" s="181" t="n"/>
      <c r="AF41" s="181" t="n"/>
      <c r="AG41" s="181" t="n"/>
      <c r="AH41" s="181" t="n"/>
      <c r="AI41" s="181" t="n"/>
      <c r="AJ41" s="181" t="n"/>
      <c r="AK41" s="181" t="n"/>
      <c r="AL41" s="181" t="n"/>
      <c r="AM41" s="181" t="n"/>
      <c r="AN41" s="181" t="n"/>
      <c r="AO41" s="181" t="n"/>
      <c r="AP41" s="181" t="n"/>
      <c r="AQ41" s="181" t="n"/>
    </row>
    <row r="42">
      <c r="A42" s="204" t="n"/>
      <c r="B42" s="204">
        <f>IF(B4="","",G17*B$4)</f>
        <v>179609794.408001</v>
      </c>
      <c r="C42" s="204" t="n"/>
      <c r="D42" s="204" t="n"/>
      <c r="E42" s="204" t="n"/>
      <c r="F42" s="204" t="n"/>
      <c r="G42" s="204" t="n"/>
      <c r="H42" s="204" t="str">
        <f>IF(H4="","",M17*H$4)</f>
        <v/>
      </c>
      <c r="I42" s="204" t="n"/>
      <c r="J42" s="204" t="n"/>
      <c r="K42" s="204" t="n"/>
      <c r="L42" s="204" t="n"/>
      <c r="M42" s="204" t="n"/>
      <c r="N42" s="204" t="n"/>
      <c r="O42" s="204" t="n"/>
      <c r="P42" s="204" t="n"/>
      <c r="Q42" s="204" t="n"/>
      <c r="R42" s="204" t="n"/>
      <c r="S42" s="204" t="n"/>
      <c r="T42" s="181" t="n"/>
      <c r="U42" s="181" t="n"/>
      <c r="V42" s="181" t="n"/>
      <c r="W42" s="181" t="n"/>
      <c r="X42" s="181" t="n"/>
      <c r="Y42" s="181" t="n"/>
      <c r="Z42" s="181" t="n"/>
      <c r="AA42" s="181" t="n"/>
      <c r="AB42" s="181" t="n"/>
      <c r="AC42" s="181" t="n"/>
      <c r="AD42" s="181" t="n"/>
      <c r="AE42" s="181" t="n"/>
      <c r="AF42" s="181" t="n"/>
      <c r="AG42" s="181" t="n"/>
      <c r="AH42" s="181" t="n"/>
      <c r="AI42" s="181" t="n"/>
      <c r="AJ42" s="181" t="n"/>
      <c r="AK42" s="181" t="n"/>
      <c r="AL42" s="181" t="n"/>
      <c r="AM42" s="181" t="n"/>
      <c r="AN42" s="181" t="n"/>
      <c r="AO42" s="181" t="n"/>
      <c r="AP42" s="181" t="n"/>
      <c r="AQ42" s="181" t="n"/>
    </row>
    <row r="43">
      <c r="A43" s="204" t="n"/>
      <c r="B43" s="204">
        <f>IF(B4="","",G18*B$4)</f>
        <v>4346889.30309905</v>
      </c>
      <c r="C43" s="204" t="n"/>
      <c r="D43" s="204" t="n"/>
      <c r="E43" s="204" t="n"/>
      <c r="F43" s="204" t="n"/>
      <c r="G43" s="204" t="n"/>
      <c r="H43" s="204" t="str">
        <f>IF(H4="","",M18*H$4)</f>
        <v/>
      </c>
      <c r="I43" s="204" t="n"/>
      <c r="J43" s="204" t="n"/>
      <c r="K43" s="204" t="n"/>
      <c r="L43" s="204" t="n"/>
      <c r="M43" s="204" t="n"/>
      <c r="N43" s="204" t="n"/>
      <c r="O43" s="204" t="n"/>
      <c r="P43" s="204" t="n"/>
      <c r="Q43" s="204" t="n"/>
      <c r="R43" s="204" t="n"/>
      <c r="S43" s="204" t="n"/>
      <c r="T43" s="181" t="n"/>
      <c r="U43" s="181" t="n"/>
      <c r="V43" s="181" t="n"/>
      <c r="W43" s="181" t="n"/>
      <c r="X43" s="181" t="n"/>
      <c r="Y43" s="181" t="n"/>
      <c r="Z43" s="181" t="n"/>
      <c r="AA43" s="181" t="n"/>
      <c r="AB43" s="181" t="n"/>
      <c r="AC43" s="181" t="n"/>
      <c r="AD43" s="181" t="n"/>
      <c r="AE43" s="181" t="n"/>
      <c r="AF43" s="181" t="n"/>
      <c r="AG43" s="181" t="n"/>
      <c r="AH43" s="181" t="n"/>
      <c r="AI43" s="181" t="n"/>
      <c r="AJ43" s="181" t="n"/>
      <c r="AK43" s="181" t="n"/>
      <c r="AL43" s="181" t="n"/>
      <c r="AM43" s="181" t="n"/>
      <c r="AN43" s="181" t="n"/>
      <c r="AO43" s="181" t="n"/>
      <c r="AP43" s="181" t="n"/>
      <c r="AQ43" s="181" t="n"/>
    </row>
    <row r="44">
      <c r="A44" s="204" t="n"/>
      <c r="B44" s="204">
        <f>IF(B4="","",G19*B$4)</f>
        <v>261310061.634779</v>
      </c>
      <c r="C44" s="204" t="n"/>
      <c r="D44" s="204" t="n"/>
      <c r="E44" s="204" t="n"/>
      <c r="F44" s="204" t="n"/>
      <c r="G44" s="204" t="n"/>
      <c r="H44" s="204" t="str">
        <f>IF(H4="","",M19*H$4)</f>
        <v/>
      </c>
      <c r="I44" s="204" t="n"/>
      <c r="J44" s="204" t="n"/>
      <c r="K44" s="204" t="n"/>
      <c r="L44" s="204" t="n"/>
      <c r="M44" s="204" t="n"/>
      <c r="N44" s="204" t="n"/>
      <c r="O44" s="204" t="n"/>
      <c r="P44" s="204" t="n"/>
      <c r="Q44" s="204" t="n"/>
      <c r="R44" s="204" t="n"/>
      <c r="S44" s="204" t="n"/>
      <c r="T44" s="181" t="n"/>
      <c r="U44" s="181" t="n"/>
      <c r="V44" s="181" t="n"/>
      <c r="W44" s="181" t="n"/>
      <c r="X44" s="181" t="n"/>
      <c r="Y44" s="181" t="n"/>
      <c r="Z44" s="181" t="n"/>
      <c r="AA44" s="181" t="n"/>
      <c r="AB44" s="181" t="n"/>
      <c r="AC44" s="181" t="n"/>
      <c r="AD44" s="181" t="n"/>
      <c r="AE44" s="181" t="n"/>
      <c r="AF44" s="181" t="n"/>
      <c r="AG44" s="181" t="n"/>
      <c r="AH44" s="181" t="n"/>
      <c r="AI44" s="181" t="n"/>
      <c r="AJ44" s="181" t="n"/>
      <c r="AK44" s="181" t="n"/>
      <c r="AL44" s="181" t="n"/>
      <c r="AM44" s="181" t="n"/>
      <c r="AN44" s="181" t="n"/>
      <c r="AO44" s="181" t="n"/>
      <c r="AP44" s="181" t="n"/>
      <c r="AQ44" s="181" t="n"/>
    </row>
    <row r="45">
      <c r="A45" s="204" t="n"/>
      <c r="B45" s="204">
        <f>IF(B4="","",G20*B$4)</f>
        <v>-2539054.10166784</v>
      </c>
      <c r="C45" s="204" t="n"/>
      <c r="D45" s="204" t="n"/>
      <c r="E45" s="204" t="n"/>
      <c r="F45" s="204" t="n"/>
      <c r="G45" s="204" t="n"/>
      <c r="H45" s="204" t="str">
        <f>IF(H4="","",M20*H$4)</f>
        <v/>
      </c>
      <c r="I45" s="204" t="n"/>
      <c r="J45" s="204" t="n"/>
      <c r="K45" s="204" t="n"/>
      <c r="L45" s="204" t="n"/>
      <c r="M45" s="204" t="n"/>
      <c r="N45" s="204" t="n"/>
      <c r="O45" s="204" t="n"/>
      <c r="P45" s="204" t="n"/>
      <c r="Q45" s="204" t="n"/>
      <c r="R45" s="204" t="n"/>
      <c r="S45" s="204" t="n"/>
      <c r="T45" s="181" t="n"/>
      <c r="U45" s="181" t="n"/>
      <c r="V45" s="181" t="n"/>
      <c r="W45" s="181" t="n"/>
      <c r="X45" s="181" t="n"/>
      <c r="Y45" s="181" t="n"/>
      <c r="Z45" s="181" t="n"/>
      <c r="AA45" s="181" t="n"/>
      <c r="AB45" s="181" t="n"/>
      <c r="AC45" s="181" t="n"/>
      <c r="AD45" s="181" t="n"/>
      <c r="AE45" s="181" t="n"/>
      <c r="AF45" s="181" t="n"/>
      <c r="AG45" s="181" t="n"/>
      <c r="AH45" s="181" t="n"/>
      <c r="AI45" s="181" t="n"/>
      <c r="AJ45" s="181" t="n"/>
      <c r="AK45" s="181" t="n"/>
      <c r="AL45" s="181" t="n"/>
      <c r="AM45" s="181" t="n"/>
      <c r="AN45" s="181" t="n"/>
      <c r="AO45" s="181" t="n"/>
      <c r="AP45" s="181" t="n"/>
      <c r="AQ45" s="181" t="n"/>
    </row>
    <row r="46">
      <c r="A46" s="204" t="n"/>
      <c r="B46" s="204">
        <f>IF(B4="","",G21*B$4)</f>
        <v>-3820467.61198563</v>
      </c>
      <c r="C46" s="204" t="n"/>
      <c r="D46" s="204" t="n"/>
      <c r="E46" s="204" t="n"/>
      <c r="F46" s="204" t="n"/>
      <c r="G46" s="204" t="n"/>
      <c r="H46" s="204" t="str">
        <f>IF(H4="","",M21*H$4)</f>
        <v/>
      </c>
      <c r="I46" s="204" t="n"/>
      <c r="J46" s="204" t="n"/>
      <c r="K46" s="204" t="n"/>
      <c r="L46" s="204" t="n"/>
      <c r="M46" s="204" t="n"/>
      <c r="N46" s="204" t="n"/>
      <c r="O46" s="204" t="n"/>
      <c r="P46" s="204" t="n"/>
      <c r="Q46" s="204" t="n"/>
      <c r="R46" s="204" t="n"/>
      <c r="S46" s="204" t="n"/>
      <c r="T46" s="181" t="n"/>
      <c r="U46" s="181" t="n"/>
      <c r="V46" s="181" t="n"/>
      <c r="W46" s="181" t="n"/>
      <c r="X46" s="181" t="n"/>
      <c r="Y46" s="181" t="n"/>
      <c r="Z46" s="181" t="n"/>
      <c r="AA46" s="181" t="n"/>
      <c r="AB46" s="181" t="n"/>
      <c r="AC46" s="181" t="n"/>
      <c r="AD46" s="181" t="n"/>
      <c r="AE46" s="181" t="n"/>
      <c r="AF46" s="181" t="n"/>
      <c r="AG46" s="181" t="n"/>
      <c r="AH46" s="181" t="n"/>
      <c r="AI46" s="181" t="n"/>
      <c r="AJ46" s="181" t="n"/>
      <c r="AK46" s="181" t="n"/>
      <c r="AL46" s="181" t="n"/>
      <c r="AM46" s="181" t="n"/>
      <c r="AN46" s="181" t="n"/>
      <c r="AO46" s="181" t="n"/>
      <c r="AP46" s="181" t="n"/>
      <c r="AQ46" s="181" t="n"/>
    </row>
  </sheetData>
  <mergeCells count="12">
    <mergeCell ref="L2:M2"/>
    <mergeCell ref="B1:G1"/>
    <mergeCell ref="N1:S1"/>
    <mergeCell ref="B2:C2"/>
    <mergeCell ref="D2:E2"/>
    <mergeCell ref="N2:O2"/>
    <mergeCell ref="P2:Q2"/>
    <mergeCell ref="F2:G2"/>
    <mergeCell ref="H2:I2"/>
    <mergeCell ref="H1:M1"/>
    <mergeCell ref="J2:K2"/>
    <mergeCell ref="R2:S2"/>
  </mergeCells>
  <conditionalFormatting sqref="L5:L14 L18:L20">
    <cfRule type="dataBar" priority="19">
      <dataBar>
        <cfvo type="min"/>
        <cfvo type="max"/>
        <color rgb="FF63C384"/>
      </dataBar>
    </cfRule>
  </conditionalFormatting>
  <conditionalFormatting sqref="F5:F14">
    <cfRule type="dataBar" priority="18">
      <dataBar>
        <cfvo type="min"/>
        <cfvo type="max"/>
        <color rgb="FF63C384"/>
      </dataBar>
    </cfRule>
  </conditionalFormatting>
  <conditionalFormatting sqref="F18:F20">
    <cfRule type="dataBar" priority="17">
      <dataBar>
        <cfvo type="min"/>
        <cfvo type="max"/>
        <color rgb="FF63C384"/>
      </dataBar>
    </cfRule>
  </conditionalFormatting>
  <conditionalFormatting sqref="R5:R10">
    <cfRule type="dataBar" priority="14">
      <dataBar>
        <cfvo type="min"/>
        <cfvo type="max"/>
        <color rgb="FF63C384"/>
      </dataBar>
    </cfRule>
  </conditionalFormatting>
  <conditionalFormatting sqref="R11:R14">
    <cfRule type="dataBar" priority="13">
      <dataBar>
        <cfvo type="min"/>
        <cfvo type="max"/>
        <color rgb="FF63C384"/>
      </dataBar>
    </cfRule>
  </conditionalFormatting>
  <conditionalFormatting sqref="R18:R20">
    <cfRule type="dataBar" priority="12">
      <dataBar>
        <cfvo type="min"/>
        <cfvo type="max"/>
        <color rgb="FF63C384"/>
      </dataBar>
    </cfRule>
  </conditionalFormatting>
  <conditionalFormatting sqref="AP5:AP10">
    <cfRule type="dataBar" priority="11">
      <dataBar>
        <cfvo type="min"/>
        <cfvo type="max"/>
        <color rgb="FF63C384"/>
      </dataBar>
    </cfRule>
  </conditionalFormatting>
  <conditionalFormatting sqref="AP11:AP20">
    <cfRule type="dataBar" priority="10">
      <dataBar>
        <cfvo type="min"/>
        <cfvo type="max"/>
        <color rgb="FF63C384"/>
      </dataBar>
    </cfRule>
  </conditionalFormatting>
  <conditionalFormatting sqref="L15:L17">
    <cfRule type="dataBar" priority="8">
      <dataBar>
        <cfvo type="min"/>
        <cfvo type="max"/>
        <color rgb="FF63C384"/>
      </dataBar>
    </cfRule>
  </conditionalFormatting>
  <conditionalFormatting sqref="F15:F17">
    <cfRule type="dataBar" priority="7">
      <dataBar>
        <cfvo type="min"/>
        <cfvo type="max"/>
        <color rgb="FF63C384"/>
      </dataBar>
    </cfRule>
  </conditionalFormatting>
  <conditionalFormatting sqref="R15:R17">
    <cfRule type="dataBar" priority="6">
      <dataBar>
        <cfvo type="min"/>
        <cfvo type="max"/>
        <color rgb="FF63C384"/>
      </dataBar>
    </cfRule>
  </conditionalFormatting>
  <conditionalFormatting sqref="X5:X20">
    <cfRule type="dataBar" priority="4">
      <dataBar>
        <cfvo type="min"/>
        <cfvo type="max"/>
        <color rgb="FF63C384"/>
      </dataBar>
    </cfRule>
  </conditionalFormatting>
  <conditionalFormatting sqref="AD5:AD20">
    <cfRule type="dataBar" priority="2">
      <dataBar>
        <cfvo type="min"/>
        <cfvo type="max"/>
        <color rgb="FF63C384"/>
      </dataBar>
    </cfRule>
  </conditionalFormatting>
  <conditionalFormatting sqref="AJ5:AJ20">
    <cfRule type="dataBar" priority="1">
      <dataBar>
        <cfvo type="min"/>
        <cfvo type="max"/>
        <color rgb="FF63C384"/>
      </dataBar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31"/>
  <sheetViews>
    <sheetView workbookViewId="0">
      <selection activeCell="A1" sqref="A1"/>
    </sheetView>
  </sheetViews>
  <sheetFormatPr baseColWidth="8" defaultColWidth="9.08984375" defaultRowHeight="14.5" outlineLevelRow="1"/>
  <cols>
    <col width="9.08984375" customWidth="1" style="161" min="1" max="1"/>
    <col width="23.54296875" bestFit="1" customWidth="1" style="161" min="2" max="2"/>
    <col width="7.1796875" customWidth="1" style="161" min="3" max="3"/>
    <col width="9.08984375" customWidth="1" style="161" min="4" max="4"/>
    <col width="7.36328125" customWidth="1" style="161" min="5" max="5"/>
    <col width="9.08984375" customWidth="1" style="161" min="6" max="6"/>
    <col width="9.1796875" customWidth="1" style="161" min="7" max="7"/>
    <col width="9.08984375" customWidth="1" style="161" min="8" max="8"/>
    <col width="58.81640625" bestFit="1" customWidth="1" style="161" min="9" max="9"/>
    <col width="9.08984375" customWidth="1" style="161" min="10" max="16384"/>
  </cols>
  <sheetData>
    <row r="2">
      <c r="C2" s="179" t="inlineStr">
        <is>
          <t>Октябрь</t>
        </is>
      </c>
      <c r="D2" s="180" t="n"/>
      <c r="E2" s="180" t="n"/>
      <c r="F2" s="180" t="n"/>
    </row>
    <row r="3">
      <c r="B3" s="83" t="n"/>
      <c r="C3" s="182" t="inlineStr">
        <is>
          <t>ACT 2026</t>
        </is>
      </c>
      <c r="D3" s="183" t="n"/>
      <c r="E3" s="184" t="inlineStr">
        <is>
          <t>CTRL 2026</t>
        </is>
      </c>
      <c r="F3" s="183" t="n"/>
      <c r="G3" s="178" t="inlineStr">
        <is>
          <t>ACT VS CTRL</t>
        </is>
      </c>
      <c r="H3" s="183" t="n"/>
    </row>
    <row r="4">
      <c r="B4" s="85" t="n"/>
      <c r="C4" s="86" t="inlineStr">
        <is>
          <t>ABC</t>
        </is>
      </c>
      <c r="D4" s="86" t="inlineStr">
        <is>
          <t>% GR</t>
        </is>
      </c>
      <c r="E4" s="87" t="inlineStr">
        <is>
          <t>ABS</t>
        </is>
      </c>
      <c r="F4" s="87" t="inlineStr">
        <is>
          <t>% GR</t>
        </is>
      </c>
      <c r="G4" s="88" t="inlineStr">
        <is>
          <t>ABS</t>
        </is>
      </c>
      <c r="H4" s="88" t="inlineStr">
        <is>
          <t>% GR</t>
        </is>
      </c>
    </row>
    <row r="5">
      <c r="B5" s="134" t="inlineStr">
        <is>
          <t>Gross Revenue</t>
        </is>
      </c>
      <c r="C5" s="205" t="n"/>
      <c r="D5" s="136" t="str">
        <f>IF(C5="","",C5/C$5)</f>
        <v/>
      </c>
      <c r="E5" s="205" t="n">
        <v>1250103996.52</v>
      </c>
      <c r="F5" s="136">
        <f>E5/E$5</f>
        <v>1</v>
      </c>
      <c r="G5" s="206" t="str">
        <f>IF(C5="","",C5-E5)</f>
        <v/>
      </c>
      <c r="H5" s="207" t="str">
        <f>IF(C5="","",D5-F5)</f>
        <v/>
      </c>
      <c r="I5" s="94" t="n"/>
      <c r="J5" s="208" t="n"/>
    </row>
    <row r="6">
      <c r="B6" s="100" t="inlineStr">
        <is>
          <t>APP</t>
        </is>
      </c>
      <c r="C6" s="209" t="n"/>
      <c r="D6" s="210" t="str">
        <f>IF(C6="","",C6/C$5)</f>
        <v/>
      </c>
      <c r="E6" s="209" t="n">
        <v>561821896.05</v>
      </c>
      <c r="F6" s="210">
        <f>E6/E$5</f>
        <v>0.449420126336674</v>
      </c>
      <c r="G6" s="211" t="str">
        <f>IF(C6="","",C6-E6)</f>
        <v/>
      </c>
      <c r="H6" s="212" t="str">
        <f>IF(C6="","",D6-F6)</f>
        <v/>
      </c>
      <c r="I6" s="94" t="n"/>
    </row>
    <row r="7">
      <c r="B7" s="100" t="inlineStr">
        <is>
          <t>MIP</t>
        </is>
      </c>
      <c r="C7" s="209" t="n"/>
      <c r="D7" s="210" t="str">
        <f>IF(C7="","",C7/C$5)</f>
        <v/>
      </c>
      <c r="E7" s="209" t="n">
        <v>816164.27</v>
      </c>
      <c r="F7" s="210">
        <f>E7/E$5</f>
        <v>0.000652877098443019</v>
      </c>
      <c r="G7" s="211" t="str">
        <f>IF(C7="","",C7-E7)</f>
        <v/>
      </c>
      <c r="H7" s="212" t="str">
        <f>IF(C7="","",D7-F7)</f>
        <v/>
      </c>
      <c r="I7" s="105" t="n"/>
    </row>
    <row r="8" s="12">
      <c r="B8" s="100" t="inlineStr">
        <is>
          <t>Magnit Market</t>
        </is>
      </c>
      <c r="C8" s="209" t="n"/>
      <c r="D8" s="210" t="str">
        <f>IF(C8="","",C8/C$5)</f>
        <v/>
      </c>
      <c r="E8" s="209" t="n">
        <v>449367.47</v>
      </c>
      <c r="F8" s="210">
        <f>E8/E$5</f>
        <v>0.000359464069590158</v>
      </c>
      <c r="G8" s="211" t="str">
        <f>IF(C8="","",C8-E8)</f>
        <v/>
      </c>
      <c r="H8" s="212" t="str">
        <f>IF(C8="","",D8-F8)</f>
        <v/>
      </c>
      <c r="I8" s="143" t="n"/>
    </row>
    <row r="9">
      <c r="B9" s="144" t="inlineStr">
        <is>
          <t>DMP+ Analitycs</t>
        </is>
      </c>
      <c r="C9" s="209" t="n"/>
      <c r="D9" s="210" t="str">
        <f>IF(C9="","",C9/C$5)</f>
        <v/>
      </c>
      <c r="E9" s="209" t="n">
        <v>5009486.76</v>
      </c>
      <c r="F9" s="210">
        <f>E9/E$5</f>
        <v>0.00400725601545572</v>
      </c>
      <c r="G9" s="211" t="str">
        <f>IF(C9="","",C9-E9)</f>
        <v/>
      </c>
      <c r="H9" s="212" t="str">
        <f>IF(C9="","",D9-F9)</f>
        <v/>
      </c>
      <c r="I9" s="105" t="n"/>
    </row>
    <row r="10">
      <c r="B10" s="144" t="inlineStr">
        <is>
          <t>DMP+Online</t>
        </is>
      </c>
      <c r="C10" s="209" t="n"/>
      <c r="D10" s="210" t="str">
        <f>IF(C10="","",C10/C$5)</f>
        <v/>
      </c>
      <c r="E10" s="209" t="n">
        <v>91818953.3</v>
      </c>
      <c r="F10" s="210">
        <f>E10/E$5</f>
        <v>0.0734490518833655</v>
      </c>
      <c r="G10" s="211" t="str">
        <f>IF(C10="","",C10-E10)</f>
        <v/>
      </c>
      <c r="H10" s="212" t="str">
        <f>IF(C10="","",D10-F10)</f>
        <v/>
      </c>
      <c r="I10" s="105" t="n"/>
    </row>
    <row r="11">
      <c r="B11" s="100" t="inlineStr">
        <is>
          <t>Instore digital</t>
        </is>
      </c>
      <c r="C11" s="209" t="n"/>
      <c r="D11" s="210" t="str">
        <f>IF(C11="","",C11/C$5)</f>
        <v/>
      </c>
      <c r="E11" s="209" t="n">
        <v>262907784.37</v>
      </c>
      <c r="F11" s="210">
        <f>E11/E$5</f>
        <v>0.210308730395131</v>
      </c>
      <c r="G11" s="211" t="str">
        <f>IF(C11="","",C11-E11)</f>
        <v/>
      </c>
      <c r="H11" s="212" t="str">
        <f>IF(C11="","",D11-F11)</f>
        <v/>
      </c>
      <c r="I11" s="105" t="n"/>
    </row>
    <row r="12">
      <c r="B12" s="144" t="inlineStr">
        <is>
          <t>Instore digital_2.0</t>
        </is>
      </c>
      <c r="C12" s="209" t="n"/>
      <c r="D12" s="210" t="str">
        <f>IF(C12="","",C12/C$5)</f>
        <v/>
      </c>
      <c r="E12" s="209" t="n">
        <v>47092215.63</v>
      </c>
      <c r="F12" s="210">
        <f>E12/E$5</f>
        <v>0.0376706384117592</v>
      </c>
      <c r="G12" s="211" t="str">
        <f>IF(C12="","",C12-E12)</f>
        <v/>
      </c>
      <c r="H12" s="212" t="str">
        <f>IF(C12="","",D12-F12)</f>
        <v/>
      </c>
      <c r="I12" s="105" t="n"/>
    </row>
    <row r="13">
      <c r="B13" s="144" t="inlineStr">
        <is>
          <t>POSM</t>
        </is>
      </c>
      <c r="C13" s="209" t="n"/>
      <c r="D13" s="210" t="str">
        <f>IF(C13="","",C13/C$5)</f>
        <v/>
      </c>
      <c r="E13" s="209" t="n">
        <v>2669920.92</v>
      </c>
      <c r="F13" s="210">
        <f>E13/E$5</f>
        <v>0.00213575904679326</v>
      </c>
      <c r="G13" s="211" t="str">
        <f>IF(C13="","",C13-E13)</f>
        <v/>
      </c>
      <c r="H13" s="212" t="str">
        <f>IF(C13="","",D13-F13)</f>
        <v/>
      </c>
      <c r="I13" s="105" t="n"/>
    </row>
    <row r="14">
      <c r="B14" s="100" t="inlineStr">
        <is>
          <t>Other</t>
        </is>
      </c>
      <c r="C14" s="209" t="n"/>
      <c r="D14" s="210" t="str">
        <f>IF(C14="","",C14/C$5)</f>
        <v/>
      </c>
      <c r="E14" s="209" t="n">
        <v>0</v>
      </c>
      <c r="F14" s="210">
        <f>E14/E$5</f>
        <v>0</v>
      </c>
      <c r="G14" s="211" t="str">
        <f>IF(C14="","",C14-E14)</f>
        <v/>
      </c>
      <c r="H14" s="212" t="str">
        <f>IF(C14="","",D14-F14)</f>
        <v/>
      </c>
      <c r="I14" s="105" t="n"/>
    </row>
    <row r="15">
      <c r="B15" s="100" t="inlineStr">
        <is>
          <t>Кроссформатные пакеты</t>
        </is>
      </c>
      <c r="C15" s="209" t="n"/>
      <c r="D15" s="210" t="str">
        <f>IF(C15="","",C15/C$5)</f>
        <v/>
      </c>
      <c r="E15" s="209" t="n">
        <v>0</v>
      </c>
      <c r="F15" s="210">
        <f>E15/E$5</f>
        <v>0</v>
      </c>
      <c r="G15" s="211" t="str">
        <f>IF(C15="","",C15-E15)</f>
        <v/>
      </c>
      <c r="H15" s="212" t="str">
        <f>IF(C15="","",D15-F15)</f>
        <v/>
      </c>
      <c r="I15" s="105" t="n"/>
    </row>
    <row r="16" outlineLevel="1" s="12">
      <c r="B16" s="100" t="inlineStr">
        <is>
          <t>М+ и сверка со сплитом</t>
        </is>
      </c>
      <c r="C16" s="209" t="n"/>
      <c r="D16" s="210" t="str">
        <f>IF(C16="","",C16/C$5)</f>
        <v/>
      </c>
      <c r="E16" s="209" t="n">
        <v>277518207.76</v>
      </c>
      <c r="F16" s="210">
        <f>E16/E$5</f>
        <v>0.221996096750787</v>
      </c>
      <c r="G16" s="211" t="str">
        <f>IF(C16="","",C16-E16)</f>
        <v/>
      </c>
      <c r="H16" s="212" t="str">
        <f>IF(C16="","",D16-F16)</f>
        <v/>
      </c>
      <c r="I16" s="105" t="n"/>
    </row>
    <row r="17" outlineLevel="1" s="12">
      <c r="B17" s="100" t="inlineStr">
        <is>
          <t>Direct cost</t>
        </is>
      </c>
      <c r="C17" s="209" t="n"/>
      <c r="D17" s="210" t="str">
        <f>IF(C17="","",C17/C$5)</f>
        <v/>
      </c>
      <c r="E17" s="209" t="n">
        <v>-37791001.81</v>
      </c>
      <c r="F17" s="210">
        <f>E17/E$5</f>
        <v>-0.0302302863723349</v>
      </c>
      <c r="G17" s="211" t="str">
        <f>IF(C17="","",C17-E17)</f>
        <v/>
      </c>
      <c r="H17" s="212" t="str">
        <f>IF(C17="","",D17-F17)</f>
        <v/>
      </c>
      <c r="I17" s="105" t="n"/>
    </row>
    <row r="18" outlineLevel="1" s="12">
      <c r="B18" s="100" t="inlineStr">
        <is>
          <t>PEX</t>
        </is>
      </c>
      <c r="C18" s="209" t="n"/>
      <c r="D18" s="210" t="str">
        <f>IF(C18="","",C18/C$5)</f>
        <v/>
      </c>
      <c r="E18" s="209" t="n">
        <v>-89694325.25</v>
      </c>
      <c r="F18" s="210">
        <f>E18/E$5</f>
        <v>-0.0717494908421125</v>
      </c>
      <c r="G18" s="211" t="str">
        <f>IF(C18="","",C18-E18)</f>
        <v/>
      </c>
      <c r="H18" s="212" t="str">
        <f>IF(C18="","",D18-F18)</f>
        <v/>
      </c>
      <c r="I18" s="105" t="n"/>
    </row>
    <row r="19">
      <c r="B19" s="100" t="inlineStr">
        <is>
          <t>Other PEX</t>
        </is>
      </c>
      <c r="C19" s="209" t="n"/>
      <c r="D19" s="210" t="str">
        <f>IF(C19="","",C19/C$5)</f>
        <v/>
      </c>
      <c r="E19" s="209" t="n">
        <v>-5807323.07</v>
      </c>
      <c r="F19" s="210">
        <f>E19/E$5</f>
        <v>-0.00464547196566545</v>
      </c>
      <c r="G19" s="211" t="str">
        <f>IF(C19="","",C19-E19)</f>
        <v/>
      </c>
      <c r="H19" s="212" t="str">
        <f>IF(C19="","",D19-F19)</f>
        <v/>
      </c>
      <c r="I19" s="105" t="n"/>
    </row>
    <row r="20" s="12">
      <c r="B20" s="100" t="inlineStr">
        <is>
          <t>Marketing</t>
        </is>
      </c>
      <c r="C20" s="209" t="n"/>
      <c r="D20" s="210" t="str">
        <f>IF(C20="","",C20/C$5)</f>
        <v/>
      </c>
      <c r="E20" s="209" t="n">
        <v>-101647328.58</v>
      </c>
      <c r="F20" s="210">
        <f>E20/E$5</f>
        <v>-0.0813110980070159</v>
      </c>
      <c r="G20" s="211" t="str">
        <f>IF(C20="","",C20-E20)</f>
        <v/>
      </c>
      <c r="H20" s="212" t="str">
        <f>IF(C20="","",D20-F20)</f>
        <v/>
      </c>
      <c r="I20" s="105" t="n"/>
    </row>
    <row r="21">
      <c r="B21" s="100" t="inlineStr">
        <is>
          <t>IT</t>
        </is>
      </c>
      <c r="C21" s="209" t="n"/>
      <c r="D21" s="210" t="str">
        <f>IF(C21="","",C21/C$5)</f>
        <v/>
      </c>
      <c r="E21" s="209" t="n">
        <v>-1857987.23</v>
      </c>
      <c r="F21" s="210">
        <f>E21/E$5</f>
        <v>-0.00148626613079568</v>
      </c>
      <c r="G21" s="211" t="str">
        <f>IF(C21="","",C21-E21)</f>
        <v/>
      </c>
      <c r="H21" s="212" t="str">
        <f>IF(C21="","",D21-F21)</f>
        <v/>
      </c>
      <c r="I21" s="105" t="n"/>
    </row>
    <row r="22">
      <c r="B22" s="100" t="inlineStr">
        <is>
          <t>Other OPEX</t>
        </is>
      </c>
      <c r="C22" s="209" t="n"/>
      <c r="D22" s="210" t="str">
        <f>IF(C22="","",C22/C$5)</f>
        <v/>
      </c>
      <c r="E22" s="209" t="n">
        <v>-5915678.59</v>
      </c>
      <c r="F22" s="210">
        <f>E22/E$5</f>
        <v>-0.00473214917036333</v>
      </c>
      <c r="G22" s="211" t="str">
        <f>IF(C22="","",C22-E22)</f>
        <v/>
      </c>
      <c r="H22" s="212" t="str">
        <f>IF(C22="","",D22-F22)</f>
        <v/>
      </c>
      <c r="I22" s="105" t="n"/>
    </row>
    <row r="23" s="12">
      <c r="B23" s="146" t="inlineStr">
        <is>
          <t>EBITDA</t>
        </is>
      </c>
      <c r="C23" s="213" t="str">
        <f>IF(C5="","",C5+SUM(C17:C22))</f>
        <v/>
      </c>
      <c r="D23" s="214" t="str">
        <f>IF(C23="","",C23/C$5)</f>
        <v/>
      </c>
      <c r="E23" s="213">
        <f>IF(E5="","",E5+SUM(E17:E22))</f>
        <v>1007390351.99</v>
      </c>
      <c r="F23" s="214">
        <f>E23/E$5</f>
        <v>0.805845237511712</v>
      </c>
      <c r="G23" s="215" t="str">
        <f>IF(C23="","",C23-E23)</f>
        <v/>
      </c>
      <c r="H23" s="216" t="str">
        <f>IF(C23="","",D23-F23)</f>
        <v/>
      </c>
      <c r="I23" s="105" t="n"/>
    </row>
    <row r="24" outlineLevel="1" s="12">
      <c r="B24" s="181" t="n"/>
      <c r="C24" s="181" t="n"/>
      <c r="D24" s="181" t="n"/>
      <c r="E24" s="181" t="n"/>
      <c r="F24" s="181" t="n"/>
      <c r="G24" s="181" t="n"/>
      <c r="H24" s="181" t="n"/>
      <c r="I24" s="181" t="n"/>
    </row>
    <row r="25" outlineLevel="1" s="12">
      <c r="B25" s="181" t="n"/>
      <c r="C25" s="181" t="n"/>
      <c r="D25" s="181" t="n"/>
      <c r="E25" s="181" t="n"/>
      <c r="F25" s="181" t="n"/>
      <c r="G25" s="181" t="n"/>
      <c r="H25" s="181" t="n"/>
      <c r="I25" s="181" t="n"/>
    </row>
    <row r="26" outlineLevel="1" s="12">
      <c r="B26" s="181" t="n"/>
      <c r="C26" s="181" t="n"/>
      <c r="D26" s="181" t="n"/>
      <c r="E26" s="181" t="n"/>
      <c r="F26" s="181" t="n"/>
      <c r="G26" s="181" t="n"/>
      <c r="H26" s="181" t="n"/>
      <c r="I26" s="181" t="n"/>
    </row>
    <row r="27">
      <c r="B27" s="181" t="n"/>
      <c r="C27" s="181" t="n"/>
      <c r="D27" s="181" t="n"/>
      <c r="E27" s="181" t="n"/>
      <c r="F27" s="181" t="n"/>
      <c r="G27" s="181" t="n"/>
      <c r="H27" s="181" t="n"/>
      <c r="I27" s="181" t="n"/>
    </row>
    <row r="28"/>
    <row r="29"/>
    <row r="30"/>
    <row r="31"/>
  </sheetData>
  <mergeCells count="4">
    <mergeCell ref="C2:F2"/>
    <mergeCell ref="C3:D3"/>
    <mergeCell ref="G3:H3"/>
    <mergeCell ref="E3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31"/>
  <sheetViews>
    <sheetView showGridLines="0" tabSelected="1" zoomScale="80" zoomScaleNormal="80" workbookViewId="0">
      <selection activeCell="F32" sqref="F32"/>
    </sheetView>
  </sheetViews>
  <sheetFormatPr baseColWidth="8" defaultColWidth="9.08984375" defaultRowHeight="14.5" outlineLevelRow="1"/>
  <cols>
    <col width="9.08984375" customWidth="1" style="161" min="1" max="1"/>
    <col width="23.54296875" bestFit="1" customWidth="1" style="161" min="2" max="2"/>
    <col width="7.1796875" customWidth="1" style="161" min="3" max="3"/>
    <col width="9.08984375" customWidth="1" style="161" min="4" max="4"/>
    <col width="7.36328125" customWidth="1" style="161" min="5" max="5"/>
    <col width="9.08984375" customWidth="1" style="161" min="6" max="6"/>
    <col width="9.1796875" customWidth="1" style="161" min="7" max="7"/>
    <col width="9.08984375" customWidth="1" style="161" min="8" max="8"/>
    <col width="58.81640625" bestFit="1" customWidth="1" style="161" min="9" max="9"/>
    <col width="9.08984375" customWidth="1" style="161" min="10" max="16384"/>
  </cols>
  <sheetData>
    <row r="2">
      <c r="C2" s="179" t="inlineStr">
        <is>
          <t>Сентябрь</t>
        </is>
      </c>
      <c r="D2" s="180" t="n"/>
      <c r="E2" s="180" t="n"/>
      <c r="F2" s="180" t="n"/>
    </row>
    <row r="3">
      <c r="B3" s="83" t="n"/>
      <c r="C3" s="182" t="inlineStr">
        <is>
          <t>ACT 2026</t>
        </is>
      </c>
      <c r="D3" s="183" t="n"/>
      <c r="E3" s="184" t="inlineStr">
        <is>
          <t>CTRL 2026</t>
        </is>
      </c>
      <c r="F3" s="183" t="n"/>
      <c r="G3" s="178" t="inlineStr">
        <is>
          <t>ACT VS CTRL</t>
        </is>
      </c>
      <c r="H3" s="183" t="n"/>
    </row>
    <row r="4">
      <c r="B4" s="85" t="n"/>
      <c r="C4" s="86" t="inlineStr">
        <is>
          <t>ABC</t>
        </is>
      </c>
      <c r="D4" s="86" t="inlineStr">
        <is>
          <t>% GR</t>
        </is>
      </c>
      <c r="E4" s="87" t="inlineStr">
        <is>
          <t>ABS</t>
        </is>
      </c>
      <c r="F4" s="87" t="inlineStr">
        <is>
          <t>% GR</t>
        </is>
      </c>
      <c r="G4" s="88" t="inlineStr">
        <is>
          <t>ABS</t>
        </is>
      </c>
      <c r="H4" s="88" t="inlineStr">
        <is>
          <t>% GR</t>
        </is>
      </c>
    </row>
    <row r="5">
      <c r="B5" s="134" t="inlineStr">
        <is>
          <t>Gross Revenue</t>
        </is>
      </c>
      <c r="C5" s="205" t="n">
        <v>1183193163.08</v>
      </c>
      <c r="D5" s="136">
        <f>IF(C5="","",C5/C$5)</f>
        <v>1</v>
      </c>
      <c r="E5" s="205" t="n">
        <v>1126200493.37</v>
      </c>
      <c r="F5" s="136">
        <f>E5/E$5</f>
        <v>1</v>
      </c>
      <c r="G5" s="206">
        <f>IF(C5="","",C5-E5)</f>
        <v>56992669.71</v>
      </c>
      <c r="H5" s="207">
        <f>IF(C5="","",D5-F5)</f>
        <v>0</v>
      </c>
      <c r="I5" s="94" t="n"/>
      <c r="J5" s="208" t="n"/>
    </row>
    <row r="6">
      <c r="B6" s="100" t="inlineStr">
        <is>
          <t>APP</t>
        </is>
      </c>
      <c r="C6" s="209" t="n">
        <v>467525662.62</v>
      </c>
      <c r="D6" s="210">
        <f>IF(C6="","",C6/C$5)</f>
        <v>0.39513891493674</v>
      </c>
      <c r="E6" s="209" t="n">
        <v>765326605.5700001</v>
      </c>
      <c r="F6" s="210">
        <f>E6/E$5</f>
        <v>0.679565148546389</v>
      </c>
      <c r="G6" s="211">
        <f>IF(C6="","",C6-E6)</f>
        <v>-297800942.95</v>
      </c>
      <c r="H6" s="212">
        <f>IF(C6="","",D6-F6)</f>
        <v>-0.284426233609649</v>
      </c>
      <c r="I6" s="94" t="n"/>
    </row>
    <row r="7">
      <c r="B7" s="100" t="inlineStr">
        <is>
          <t>MIP</t>
        </is>
      </c>
      <c r="C7" s="209" t="n">
        <v>0</v>
      </c>
      <c r="D7" s="210">
        <f>IF(C7="","",C7/C$5)</f>
        <v>0</v>
      </c>
      <c r="E7" s="209" t="n">
        <v>841669.4</v>
      </c>
      <c r="F7" s="210">
        <f>E7/E$5</f>
        <v>0.000747353073413616</v>
      </c>
      <c r="G7" s="211">
        <f>IF(C7="","",C7-E7)</f>
        <v>-841669.4</v>
      </c>
      <c r="H7" s="212">
        <f>IF(C7="","",D7-F7)</f>
        <v>-0.000747353073413616</v>
      </c>
      <c r="I7" s="105" t="n"/>
    </row>
    <row r="8" s="12">
      <c r="B8" s="100" t="inlineStr">
        <is>
          <t>Magnit Market</t>
        </is>
      </c>
      <c r="C8" s="209" t="n">
        <v>0</v>
      </c>
      <c r="D8" s="210">
        <f>IF(C8="","",C8/C$5)</f>
        <v>0</v>
      </c>
      <c r="E8" s="209" t="n">
        <v>463410.2</v>
      </c>
      <c r="F8" s="210">
        <f>E8/E$5</f>
        <v>0.000411481084165848</v>
      </c>
      <c r="G8" s="211">
        <f>IF(C8="","",C8-E8)</f>
        <v>-463410.2</v>
      </c>
      <c r="H8" s="212">
        <f>IF(C8="","",D8-F8)</f>
        <v>-0.000411481084165848</v>
      </c>
      <c r="I8" s="143" t="n"/>
    </row>
    <row r="9">
      <c r="B9" s="144" t="inlineStr">
        <is>
          <t>DMP+ Analitycs</t>
        </is>
      </c>
      <c r="C9" s="209" t="n">
        <v>2432515.41</v>
      </c>
      <c r="D9" s="210">
        <f>IF(C9="","",C9/C$5)</f>
        <v>0.00205589035324364</v>
      </c>
      <c r="E9" s="209" t="n">
        <v>4861968.79</v>
      </c>
      <c r="F9" s="210">
        <f>E9/E$5</f>
        <v>0.00431714318953211</v>
      </c>
      <c r="G9" s="211">
        <f>IF(C9="","",C9-E9)</f>
        <v>-2429453.38</v>
      </c>
      <c r="H9" s="212">
        <f>IF(C9="","",D9-F9)</f>
        <v>-0.00226125283628847</v>
      </c>
      <c r="I9" s="105" t="n"/>
    </row>
    <row r="10">
      <c r="B10" s="144" t="inlineStr">
        <is>
          <t>DMP+Online</t>
        </is>
      </c>
      <c r="C10" s="209" t="n">
        <v>201669700.89</v>
      </c>
      <c r="D10" s="210">
        <f>IF(C10="","",C10/C$5)</f>
        <v>0.17044528922482</v>
      </c>
      <c r="E10" s="209" t="n">
        <v>69479582.98</v>
      </c>
      <c r="F10" s="210">
        <f>E10/E$5</f>
        <v>0.0616937955444256</v>
      </c>
      <c r="G10" s="211">
        <f>IF(C10="","",C10-E10)</f>
        <v>132190117.91</v>
      </c>
      <c r="H10" s="212">
        <f>IF(C10="","",D10-F10)</f>
        <v>0.108751493680394</v>
      </c>
      <c r="I10" s="105" t="n"/>
    </row>
    <row r="11">
      <c r="B11" s="100" t="inlineStr">
        <is>
          <t>Instore digital</t>
        </is>
      </c>
      <c r="C11" s="209" t="n">
        <v>413469896.39</v>
      </c>
      <c r="D11" s="210">
        <f>IF(C11="","",C11/C$5)</f>
        <v>0.349452574010558</v>
      </c>
      <c r="E11" s="209" t="n">
        <v>161377206.43</v>
      </c>
      <c r="F11" s="210">
        <f>E11/E$5</f>
        <v>0.143293496477791</v>
      </c>
      <c r="G11" s="211">
        <f>IF(C11="","",C11-E11)</f>
        <v>252092689.96</v>
      </c>
      <c r="H11" s="212">
        <f>IF(C11="","",D11-F11)</f>
        <v>0.206159077532768</v>
      </c>
      <c r="I11" s="105" t="n"/>
    </row>
    <row r="12">
      <c r="B12" s="144" t="inlineStr">
        <is>
          <t>Instore digital_2.0</t>
        </is>
      </c>
      <c r="C12" s="209" t="n">
        <v>0</v>
      </c>
      <c r="D12" s="210">
        <f>IF(C12="","",C12/C$5)</f>
        <v>0</v>
      </c>
      <c r="E12" s="209" t="n">
        <v>121332202.79</v>
      </c>
      <c r="F12" s="210">
        <f>E12/E$5</f>
        <v>0.107735881403257</v>
      </c>
      <c r="G12" s="211">
        <f>IF(C12="","",C12-E12)</f>
        <v>-121332202.79</v>
      </c>
      <c r="H12" s="212">
        <f>IF(C12="","",D12-F12)</f>
        <v>-0.107735881403257</v>
      </c>
      <c r="I12" s="105" t="n"/>
    </row>
    <row r="13">
      <c r="B13" s="144" t="inlineStr">
        <is>
          <t>POSM</t>
        </is>
      </c>
      <c r="C13" s="209" t="n">
        <v>456221.13</v>
      </c>
      <c r="D13" s="210">
        <f>IF(C13="","",C13/C$5)</f>
        <v>0.000385584657041458</v>
      </c>
      <c r="E13" s="209" t="n">
        <v>2517847.21</v>
      </c>
      <c r="F13" s="210">
        <f>E13/E$5</f>
        <v>0.00223570068102678</v>
      </c>
      <c r="G13" s="211">
        <f>IF(C13="","",C13-E13)</f>
        <v>-2061626.08</v>
      </c>
      <c r="H13" s="212">
        <f>IF(C13="","",D13-F13)</f>
        <v>-0.00185011602398532</v>
      </c>
      <c r="I13" s="105" t="n"/>
    </row>
    <row r="14">
      <c r="B14" s="100" t="inlineStr">
        <is>
          <t>Other</t>
        </is>
      </c>
      <c r="C14" s="209" t="n">
        <v>94811797.5</v>
      </c>
      <c r="D14" s="210">
        <f>IF(C14="","",C14/C$5)</f>
        <v>0.080132137725672</v>
      </c>
      <c r="E14" s="209" t="n">
        <v>0</v>
      </c>
      <c r="F14" s="210">
        <f>E14/E$5</f>
        <v>0</v>
      </c>
      <c r="G14" s="211">
        <f>IF(C14="","",C14-E14)</f>
        <v>94811797.5</v>
      </c>
      <c r="H14" s="212">
        <f>IF(C14="","",D14-F14)</f>
        <v>0.080132137725672</v>
      </c>
      <c r="I14" s="105" t="n"/>
    </row>
    <row r="15">
      <c r="B15" s="100" t="inlineStr">
        <is>
          <t>Кроссформатные пакеты</t>
        </is>
      </c>
      <c r="C15" s="209" t="n">
        <v>2827369.14</v>
      </c>
      <c r="D15" s="210">
        <f>IF(C15="","",C15/C$5)</f>
        <v>0.00238960909192545</v>
      </c>
      <c r="E15" s="209" t="n">
        <v>0</v>
      </c>
      <c r="F15" s="210">
        <f>E15/E$5</f>
        <v>0</v>
      </c>
      <c r="G15" s="211">
        <f>IF(C15="","",C15-E15)</f>
        <v>2827369.14</v>
      </c>
      <c r="H15" s="212">
        <f>IF(C15="","",D15-F15)</f>
        <v>0.00238960909192545</v>
      </c>
      <c r="I15" s="105" t="n"/>
    </row>
    <row r="16" outlineLevel="1" s="12">
      <c r="B16" s="100" t="inlineStr">
        <is>
          <t>М+ и сверка со сплитом</t>
        </is>
      </c>
      <c r="C16" s="209" t="n">
        <v>0</v>
      </c>
      <c r="D16" s="210">
        <f>IF(C16="","",C16/C$5)</f>
        <v>0</v>
      </c>
      <c r="E16" s="209" t="n">
        <v>0</v>
      </c>
      <c r="F16" s="210">
        <f>E16/E$5</f>
        <v>0</v>
      </c>
      <c r="G16" s="211">
        <f>IF(C16="","",C16-E16)</f>
        <v>0</v>
      </c>
      <c r="H16" s="212">
        <f>IF(C16="","",D16-F16)</f>
        <v>0</v>
      </c>
      <c r="I16" s="105" t="n"/>
    </row>
    <row r="17" outlineLevel="1" s="12">
      <c r="B17" s="100" t="inlineStr">
        <is>
          <t>Direct cost</t>
        </is>
      </c>
      <c r="C17" s="209" t="n">
        <v>-927852.26</v>
      </c>
      <c r="D17" s="210">
        <f>IF(C17="","",C17/C$5)</f>
        <v>-0.000784193392044867</v>
      </c>
      <c r="E17" s="209" t="n">
        <v>-34765800.63</v>
      </c>
      <c r="F17" s="210">
        <f>E17/E$5</f>
        <v>-0.0308699923634096</v>
      </c>
      <c r="G17" s="211">
        <f>IF(C17="","",C17-E17)</f>
        <v>33837948.37</v>
      </c>
      <c r="H17" s="212">
        <f>IF(C17="","",D17-F17)</f>
        <v>0.0300857989713647</v>
      </c>
      <c r="I17" s="105" t="n"/>
    </row>
    <row r="18" outlineLevel="1" s="12">
      <c r="B18" s="100" t="inlineStr">
        <is>
          <t>PEX</t>
        </is>
      </c>
      <c r="C18" s="209" t="n">
        <v>62456405.7</v>
      </c>
      <c r="D18" s="210">
        <f>IF(C18="","",C18/C$5)</f>
        <v>0.052786313890978</v>
      </c>
      <c r="E18" s="209" t="n">
        <v>-111510282.75</v>
      </c>
      <c r="F18" s="210">
        <f>E18/E$5</f>
        <v>-0.0990145923452056</v>
      </c>
      <c r="G18" s="211">
        <f>IF(C18="","",C18-E18)</f>
        <v>173966688.45</v>
      </c>
      <c r="H18" s="212">
        <f>IF(C18="","",D18-F18)</f>
        <v>0.151800906236184</v>
      </c>
      <c r="I18" s="105" t="n"/>
    </row>
    <row r="19">
      <c r="B19" s="100" t="inlineStr">
        <is>
          <t>Other PEX</t>
        </is>
      </c>
      <c r="C19" s="209" t="n">
        <v>-211306.16</v>
      </c>
      <c r="D19" s="210">
        <f>IF(C19="","",C19/C$5)</f>
        <v>-0.00017858974053733</v>
      </c>
      <c r="E19" s="209" t="n">
        <v>-4338633.91</v>
      </c>
      <c r="F19" s="210">
        <f>E19/E$5</f>
        <v>-0.00385245250338795</v>
      </c>
      <c r="G19" s="211">
        <f>IF(C19="","",C19-E19)</f>
        <v>4127327.75</v>
      </c>
      <c r="H19" s="212">
        <f>IF(C19="","",D19-F19)</f>
        <v>0.00367386276285062</v>
      </c>
      <c r="I19" s="105" t="n"/>
    </row>
    <row r="20" s="12">
      <c r="B20" s="100" t="inlineStr">
        <is>
          <t>Marketing</t>
        </is>
      </c>
      <c r="C20" s="209" t="n">
        <v>-105089188</v>
      </c>
      <c r="D20" s="210">
        <f>IF(C20="","",C20/C$5)</f>
        <v>-0.0888182853646988</v>
      </c>
      <c r="E20" s="209" t="n">
        <v>-348750338.14</v>
      </c>
      <c r="F20" s="210">
        <f>E20/E$5</f>
        <v>-0.309669850255892</v>
      </c>
      <c r="G20" s="211">
        <f>IF(C20="","",C20-E20)</f>
        <v>243661150.14</v>
      </c>
      <c r="H20" s="212">
        <f>IF(C20="","",D20-F20)</f>
        <v>0.220851564891194</v>
      </c>
      <c r="I20" s="105" t="n"/>
    </row>
    <row r="21">
      <c r="B21" s="100" t="inlineStr">
        <is>
          <t>IT</t>
        </is>
      </c>
      <c r="C21" s="209" t="n">
        <v>-3887514.7</v>
      </c>
      <c r="D21" s="210">
        <f>IF(C21="","",C21/C$5)</f>
        <v>-0.00328561288325933</v>
      </c>
      <c r="E21" s="209" t="n">
        <v>-1283507.24</v>
      </c>
      <c r="F21" s="210">
        <f>E21/E$5</f>
        <v>-0.0011396791668589</v>
      </c>
      <c r="G21" s="211">
        <f>IF(C21="","",C21-E21)</f>
        <v>-2604007.46</v>
      </c>
      <c r="H21" s="212">
        <f>IF(C21="","",D21-F21)</f>
        <v>-0.00214593371640043</v>
      </c>
      <c r="I21" s="105" t="n"/>
    </row>
    <row r="22">
      <c r="B22" s="100" t="inlineStr">
        <is>
          <t>Other OPEX</t>
        </is>
      </c>
      <c r="C22" s="209" t="n">
        <v>-9123175.279999999</v>
      </c>
      <c r="D22" s="210">
        <f>IF(C22="","",C22/C$5)</f>
        <v>-0.00771063894271603</v>
      </c>
      <c r="E22" s="209" t="n">
        <v>-5047284.06</v>
      </c>
      <c r="F22" s="210">
        <f>E22/E$5</f>
        <v>-0.00448169228278057</v>
      </c>
      <c r="G22" s="211">
        <f>IF(C22="","",C22-E22)</f>
        <v>-4075891.22</v>
      </c>
      <c r="H22" s="212">
        <f>IF(C22="","",D22-F22)</f>
        <v>-0.00322894665993545</v>
      </c>
      <c r="I22" s="105" t="n"/>
    </row>
    <row r="23" s="12">
      <c r="B23" s="146" t="inlineStr">
        <is>
          <t>EBITDA</t>
        </is>
      </c>
      <c r="C23" s="213">
        <f>IF(C5="","",C5+SUM(C17:C22))</f>
        <v>1126410532.38</v>
      </c>
      <c r="D23" s="214">
        <f>IF(C23="","",C23/C$5)</f>
        <v>0.952008993567722</v>
      </c>
      <c r="E23" s="213">
        <f>IF(E5="","",E5+SUM(E17:E22))</f>
        <v>620504646.64</v>
      </c>
      <c r="F23" s="214">
        <f>E23/E$5</f>
        <v>0.550971741082465</v>
      </c>
      <c r="G23" s="215">
        <f>IF(C23="","",C23-E23)</f>
        <v>505905885.74</v>
      </c>
      <c r="H23" s="216">
        <f>IF(C23="","",D23-F23)</f>
        <v>0.401037252485257</v>
      </c>
      <c r="I23" s="105" t="n"/>
    </row>
    <row r="24" outlineLevel="1" s="12">
      <c r="B24" s="181" t="n"/>
      <c r="C24" s="181" t="n"/>
      <c r="D24" s="181" t="n"/>
      <c r="E24" s="181" t="n"/>
      <c r="F24" s="181" t="n"/>
      <c r="G24" s="181" t="n"/>
      <c r="H24" s="181" t="n"/>
      <c r="I24" s="181" t="n"/>
    </row>
    <row r="25" outlineLevel="1" s="12">
      <c r="B25" s="181" t="n"/>
      <c r="C25" s="181" t="n"/>
      <c r="D25" s="181" t="n"/>
      <c r="E25" s="181" t="n"/>
      <c r="F25" s="181" t="n"/>
      <c r="G25" s="181" t="n"/>
      <c r="H25" s="181" t="n"/>
      <c r="I25" s="181" t="n"/>
    </row>
    <row r="26" outlineLevel="1" s="12">
      <c r="B26" s="181" t="n"/>
      <c r="C26" s="181" t="n"/>
      <c r="D26" s="181" t="n"/>
      <c r="E26" s="181" t="n"/>
      <c r="F26" s="181" t="n"/>
      <c r="G26" s="181" t="n"/>
      <c r="H26" s="181" t="n"/>
      <c r="I26" s="181" t="n"/>
    </row>
    <row r="27">
      <c r="B27" s="181" t="n"/>
      <c r="C27" s="181" t="n"/>
      <c r="D27" s="181" t="n"/>
      <c r="E27" s="181" t="n"/>
      <c r="F27" s="181" t="n"/>
      <c r="G27" s="181" t="n"/>
      <c r="H27" s="181" t="n"/>
      <c r="I27" s="181" t="n"/>
    </row>
    <row r="28"/>
    <row r="29"/>
    <row r="30"/>
    <row r="31"/>
  </sheetData>
  <mergeCells count="4">
    <mergeCell ref="C2:F2"/>
    <mergeCell ref="C3:D3"/>
    <mergeCell ref="G3:H3"/>
    <mergeCell ref="E3:F3"/>
  </mergeCells>
  <conditionalFormatting sqref="G6:G21">
    <cfRule type="dataBar" priority="1">
      <dataBar>
        <cfvo type="min"/>
        <cfvo type="max"/>
        <color rgb="FF63C384"/>
      </dataBar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="46" zoomScaleNormal="60" workbookViewId="0">
      <selection activeCell="AH41" sqref="AH41"/>
    </sheetView>
  </sheetViews>
  <sheetFormatPr baseColWidth="8" defaultRowHeight="14.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ColWidth="8.7265625" defaultRowHeight="14.5"/>
  <cols>
    <col width="28.36328125" bestFit="1" customWidth="1" style="13" min="1" max="1"/>
    <col width="14.26953125" bestFit="1" customWidth="1" style="13" min="2" max="2"/>
    <col width="13.54296875" bestFit="1" customWidth="1" style="161" min="3" max="3"/>
    <col width="3" customWidth="1" style="161" min="4" max="4"/>
    <col width="15" customWidth="1" style="161" min="5" max="5"/>
    <col width="8.7265625" customWidth="1" style="161" min="6" max="16384"/>
  </cols>
  <sheetData>
    <row r="1" ht="15.5" customHeight="1" s="12" thickBot="1" thickTop="1">
      <c r="B1" s="29" t="inlineStr">
        <is>
          <t>ACT</t>
        </is>
      </c>
      <c r="C1" s="29" t="inlineStr">
        <is>
          <t>9+3</t>
        </is>
      </c>
      <c r="E1" s="32" t="inlineStr">
        <is>
          <t>ACT VS 9+3</t>
        </is>
      </c>
    </row>
    <row r="2" ht="15.5" customHeight="1" s="12" thickBot="1" thickTop="1">
      <c r="A2" s="14" t="inlineStr">
        <is>
          <t>P&amp;L, RUB</t>
        </is>
      </c>
      <c r="B2" s="29" t="inlineStr">
        <is>
          <t>Oct 26</t>
        </is>
      </c>
      <c r="C2" s="29" t="inlineStr">
        <is>
          <t>Oct 26</t>
        </is>
      </c>
      <c r="E2" s="29" t="inlineStr">
        <is>
          <t>Oct 26</t>
        </is>
      </c>
    </row>
    <row r="3" ht="15" customHeight="1" s="12" thickTop="1">
      <c r="A3" s="15" t="inlineStr">
        <is>
          <t>APP</t>
        </is>
      </c>
      <c r="B3" s="217" t="n"/>
      <c r="C3" s="217" t="n">
        <v>561821896.05</v>
      </c>
      <c r="E3" s="218" t="str">
        <f>IF(B3="","",B3-C3)</f>
        <v/>
      </c>
      <c r="F3" s="116" t="n"/>
    </row>
    <row r="4">
      <c r="A4" s="15" t="inlineStr">
        <is>
          <t>MIP</t>
        </is>
      </c>
      <c r="B4" s="217" t="n"/>
      <c r="C4" s="217" t="n">
        <v>816164.27</v>
      </c>
      <c r="E4" s="218" t="str">
        <f>IF(B4="","",B4-C4)</f>
        <v/>
      </c>
      <c r="F4" s="116" t="n"/>
    </row>
    <row r="5">
      <c r="A5" s="15" t="inlineStr">
        <is>
          <t>Magnit Market</t>
        </is>
      </c>
      <c r="B5" s="217" t="n"/>
      <c r="C5" s="217" t="n">
        <v>449367.47</v>
      </c>
      <c r="E5" s="218" t="str">
        <f>IF(B5="","",B5-C5)</f>
        <v/>
      </c>
      <c r="F5" s="116" t="n"/>
    </row>
    <row r="6">
      <c r="A6" s="15" t="inlineStr">
        <is>
          <t>DMP+ Analitycs</t>
        </is>
      </c>
      <c r="B6" s="217" t="n"/>
      <c r="C6" s="217" t="n">
        <v>5009486.76</v>
      </c>
      <c r="E6" s="218" t="str">
        <f>IF(B6="","",B6-C6)</f>
        <v/>
      </c>
      <c r="F6" s="116" t="n"/>
    </row>
    <row r="7">
      <c r="A7" s="15" t="inlineStr">
        <is>
          <t>DMP+Online</t>
        </is>
      </c>
      <c r="B7" s="217" t="n"/>
      <c r="C7" s="217" t="n">
        <v>91818953.3</v>
      </c>
      <c r="E7" s="218" t="str">
        <f>IF(B7="","",B7-C7)</f>
        <v/>
      </c>
      <c r="F7" s="116" t="n"/>
    </row>
    <row r="8">
      <c r="A8" s="15" t="inlineStr">
        <is>
          <t>Instore digital</t>
        </is>
      </c>
      <c r="B8" s="217" t="n"/>
      <c r="C8" s="217" t="n">
        <v>262907784.37</v>
      </c>
      <c r="E8" s="218" t="str">
        <f>IF(B8="","",B8-C8)</f>
        <v/>
      </c>
      <c r="F8" s="116" t="n"/>
    </row>
    <row r="9">
      <c r="A9" s="15" t="inlineStr">
        <is>
          <t>Instore digital_2.0</t>
        </is>
      </c>
      <c r="B9" s="217" t="n"/>
      <c r="C9" s="217" t="n">
        <v>47092215.63</v>
      </c>
      <c r="E9" s="218" t="str">
        <f>IF(B9="","",B9-C9)</f>
        <v/>
      </c>
      <c r="F9" s="116" t="n"/>
    </row>
    <row r="10">
      <c r="A10" s="15" t="inlineStr">
        <is>
          <t>POSM</t>
        </is>
      </c>
      <c r="B10" s="217" t="n"/>
      <c r="C10" s="217" t="n">
        <v>2669920.92</v>
      </c>
      <c r="E10" s="218" t="str">
        <f>IF(B10="","",B10-C10)</f>
        <v/>
      </c>
      <c r="F10" s="116" t="n"/>
    </row>
    <row r="11">
      <c r="A11" s="15" t="inlineStr">
        <is>
          <t>Other</t>
        </is>
      </c>
      <c r="B11" s="217" t="n"/>
      <c r="C11" s="217" t="n">
        <v>0</v>
      </c>
      <c r="E11" s="218" t="str">
        <f>IF(B11="","",B11-C11)</f>
        <v/>
      </c>
      <c r="F11" s="116" t="n"/>
    </row>
    <row r="12">
      <c r="A12" s="15" t="inlineStr">
        <is>
          <t>Кроссформатные пакеты</t>
        </is>
      </c>
      <c r="B12" s="217" t="n"/>
      <c r="C12" s="217" t="n">
        <v>0</v>
      </c>
      <c r="E12" s="218" t="str">
        <f>IF(B12="","",B12-C12)</f>
        <v/>
      </c>
      <c r="F12" s="116" t="n"/>
    </row>
    <row r="13">
      <c r="A13" s="15" t="inlineStr">
        <is>
          <t>М+ и сверка со сплитом</t>
        </is>
      </c>
      <c r="B13" s="217" t="n"/>
      <c r="C13" s="217" t="n">
        <v>277518207.76</v>
      </c>
      <c r="E13" s="218" t="str">
        <f>IF(B13="","",B13-C13)</f>
        <v/>
      </c>
      <c r="F13" s="116" t="n"/>
    </row>
    <row r="14">
      <c r="A14" s="15" t="inlineStr">
        <is>
          <t>Gross Revenue</t>
        </is>
      </c>
      <c r="B14" s="219" t="n"/>
      <c r="C14" s="219" t="n">
        <v>1250103996.52</v>
      </c>
      <c r="E14" s="220" t="str">
        <f>IF(B14="","",B14-C14)</f>
        <v/>
      </c>
      <c r="F14" s="166" t="n"/>
      <c r="G14" s="166" t="n"/>
    </row>
    <row r="15">
      <c r="A15" s="15" t="inlineStr">
        <is>
          <t>Direct cost</t>
        </is>
      </c>
      <c r="B15" s="217" t="n"/>
      <c r="C15" s="217" t="n">
        <v>-37791001.81</v>
      </c>
      <c r="E15" s="218" t="str">
        <f>IF(B15="","",B15-C15)</f>
        <v/>
      </c>
      <c r="F15" s="116" t="n"/>
    </row>
    <row r="16">
      <c r="A16" s="19" t="inlineStr">
        <is>
          <t>Gross margin</t>
        </is>
      </c>
      <c r="B16" s="221" t="n"/>
      <c r="C16" s="221" t="n">
        <v>1212312994.71</v>
      </c>
      <c r="E16" s="222" t="str">
        <f>IF(B16="","",B16-C16)</f>
        <v/>
      </c>
    </row>
    <row r="17">
      <c r="A17" s="17" t="inlineStr">
        <is>
          <t>Gross margin %</t>
        </is>
      </c>
      <c r="B17" s="223" t="str">
        <f>IF(B14="","",B16/B14)</f>
        <v/>
      </c>
      <c r="C17" s="223">
        <f>IF(C14="","",C16/C14)</f>
        <v>0.969769713627665</v>
      </c>
      <c r="E17" s="224" t="str">
        <f>IF(B17="","",B17-C17)</f>
        <v/>
      </c>
    </row>
    <row r="18">
      <c r="A18" s="15" t="inlineStr">
        <is>
          <t>PEX</t>
        </is>
      </c>
      <c r="B18" s="217" t="n"/>
      <c r="C18" s="217" t="n">
        <v>-89694325.25</v>
      </c>
      <c r="E18" s="218" t="str">
        <f>IF(B18="","",B18-C18)</f>
        <v/>
      </c>
      <c r="F18" s="116" t="n"/>
    </row>
    <row r="19">
      <c r="A19" s="15" t="inlineStr">
        <is>
          <t>Other PEX</t>
        </is>
      </c>
      <c r="B19" s="217" t="n"/>
      <c r="C19" s="217" t="n">
        <v>-5807323.07</v>
      </c>
      <c r="E19" s="218" t="str">
        <f>IF(B19="","",B19-C19)</f>
        <v/>
      </c>
      <c r="F19" s="116" t="n"/>
    </row>
    <row r="20">
      <c r="A20" s="15" t="inlineStr">
        <is>
          <t>Marketing</t>
        </is>
      </c>
      <c r="B20" s="217" t="n"/>
      <c r="C20" s="217" t="n">
        <v>-101647328.58</v>
      </c>
      <c r="E20" s="218" t="str">
        <f>IF(B20="","",B20-C20)</f>
        <v/>
      </c>
      <c r="F20" s="116" t="n"/>
    </row>
    <row r="21">
      <c r="A21" s="15" t="inlineStr">
        <is>
          <t>IT</t>
        </is>
      </c>
      <c r="B21" s="217" t="n"/>
      <c r="C21" s="217" t="n">
        <v>-1857987.23</v>
      </c>
      <c r="E21" s="218" t="str">
        <f>IF(B21="","",B21-C21)</f>
        <v/>
      </c>
      <c r="F21" s="116" t="n"/>
    </row>
    <row r="22">
      <c r="A22" s="15" t="inlineStr">
        <is>
          <t>Other OPEX</t>
        </is>
      </c>
      <c r="B22" s="217" t="n"/>
      <c r="C22" s="217" t="n">
        <v>-5915678.59</v>
      </c>
      <c r="E22" s="218" t="str">
        <f>IF(B22="","",B22-C22)</f>
        <v/>
      </c>
      <c r="F22" s="116" t="n"/>
    </row>
    <row r="23">
      <c r="A23" s="21" t="inlineStr">
        <is>
          <t>Total OPEX</t>
        </is>
      </c>
      <c r="B23" s="225" t="n"/>
      <c r="C23" s="225" t="n">
        <v>-204922642.72</v>
      </c>
      <c r="E23" s="226" t="str">
        <f>IF(B23="","",B23-C23)</f>
        <v/>
      </c>
    </row>
    <row r="24">
      <c r="A24" s="19" t="inlineStr">
        <is>
          <t xml:space="preserve">EBITDA </t>
        </is>
      </c>
      <c r="B24" s="221" t="n"/>
      <c r="C24" s="221" t="n">
        <v>1007390351.99</v>
      </c>
      <c r="E24" s="222" t="str">
        <f>IF(B24="","",B24-C24)</f>
        <v/>
      </c>
    </row>
    <row r="25">
      <c r="A25" s="28" t="inlineStr">
        <is>
          <t>EBITDA, %</t>
        </is>
      </c>
      <c r="B25" s="227" t="str">
        <f>IF(B14="","",B24/B14)</f>
        <v/>
      </c>
      <c r="C25" s="227">
        <f>IF(C14="","",C24/C14)</f>
        <v>0.805845237511712</v>
      </c>
      <c r="D25" s="155" t="n"/>
      <c r="E25" s="228" t="str">
        <f>IF(B25="","",B25-C25)</f>
        <v/>
      </c>
      <c r="F25" s="155" t="n"/>
    </row>
    <row r="26">
      <c r="A26" s="15" t="inlineStr">
        <is>
          <t>Capex</t>
        </is>
      </c>
      <c r="B26" s="217" t="n"/>
      <c r="C26" s="217" t="n">
        <v>-31696052.06</v>
      </c>
      <c r="E26" s="218" t="str">
        <f>IF(B26="","",B26-C26)</f>
        <v/>
      </c>
      <c r="F26" s="116" t="n"/>
    </row>
    <row r="27">
      <c r="A27" s="21" t="inlineStr">
        <is>
          <t>FCF</t>
        </is>
      </c>
      <c r="B27" s="225" t="n"/>
      <c r="C27" s="225" t="n">
        <v>975694299.9299999</v>
      </c>
      <c r="E27" s="226" t="str">
        <f>IF(B27="","",B27-C27)</f>
        <v/>
      </c>
    </row>
    <row r="28">
      <c r="A28" s="181" t="n"/>
      <c r="B28" s="181" t="n"/>
      <c r="C28" s="181" t="n"/>
      <c r="D28" s="181" t="n"/>
      <c r="E28" s="181" t="n"/>
      <c r="F28" s="181" t="n"/>
      <c r="G28" s="181" t="n"/>
    </row>
    <row r="29">
      <c r="A29" s="181" t="n"/>
      <c r="B29" s="181" t="n"/>
      <c r="C29" s="181" t="n"/>
      <c r="D29" s="181" t="n"/>
      <c r="E29" s="181" t="n"/>
      <c r="F29" s="181" t="n"/>
      <c r="G29" s="181" t="n"/>
    </row>
    <row r="30">
      <c r="A30" s="181" t="n"/>
      <c r="B30" s="181" t="n"/>
      <c r="C30" s="181" t="n"/>
      <c r="D30" s="181" t="n"/>
      <c r="E30" s="181" t="n"/>
      <c r="F30" s="181" t="n"/>
      <c r="G30" s="181" t="n"/>
    </row>
    <row r="31">
      <c r="A31" s="181" t="n"/>
      <c r="B31" s="181" t="n"/>
      <c r="C31" s="181" t="n"/>
      <c r="D31" s="181" t="n"/>
      <c r="E31" s="181" t="n"/>
      <c r="F31" s="181" t="n"/>
      <c r="G31" s="181" t="n"/>
    </row>
    <row r="32">
      <c r="A32" s="181" t="n"/>
      <c r="B32" s="181" t="n"/>
      <c r="C32" s="181" t="n"/>
      <c r="D32" s="181" t="n"/>
      <c r="E32" s="181" t="n"/>
      <c r="F32" s="181" t="n"/>
      <c r="G32" s="181" t="n"/>
    </row>
    <row r="33">
      <c r="A33" s="181" t="n"/>
      <c r="B33" s="181" t="n"/>
      <c r="C33" s="181" t="n"/>
      <c r="D33" s="181" t="n"/>
      <c r="E33" s="181" t="n"/>
      <c r="F33" s="181" t="n"/>
      <c r="G33" s="181" t="n"/>
    </row>
    <row r="34">
      <c r="A34" s="181" t="n"/>
      <c r="B34" s="181" t="n"/>
      <c r="C34" s="181" t="n"/>
      <c r="D34" s="181" t="n"/>
      <c r="E34" s="181" t="n"/>
      <c r="F34" s="181" t="n"/>
      <c r="G34" s="181" t="n"/>
    </row>
    <row r="35">
      <c r="A35" s="181" t="n"/>
      <c r="B35" s="181" t="n"/>
      <c r="C35" s="181" t="n"/>
      <c r="D35" s="181" t="n"/>
      <c r="E35" s="181" t="n"/>
      <c r="F35" s="181" t="n"/>
      <c r="G35" s="181" t="n"/>
    </row>
    <row r="36">
      <c r="A36" s="181" t="n"/>
      <c r="B36" s="181" t="n"/>
      <c r="C36" s="181" t="n"/>
      <c r="D36" s="181" t="n"/>
      <c r="E36" s="181" t="n"/>
      <c r="F36" s="181" t="n"/>
      <c r="G36" s="181" t="n"/>
    </row>
    <row r="37">
      <c r="A37" s="181" t="n"/>
      <c r="B37" s="181" t="n"/>
      <c r="C37" s="181" t="n"/>
      <c r="D37" s="181" t="n"/>
      <c r="E37" s="181" t="n"/>
      <c r="F37" s="181" t="n"/>
      <c r="G37" s="181" t="n"/>
    </row>
    <row r="38">
      <c r="A38" s="181" t="n"/>
      <c r="B38" s="181" t="n"/>
      <c r="C38" s="181" t="n"/>
      <c r="D38" s="181" t="n"/>
      <c r="E38" s="181" t="n"/>
      <c r="F38" s="181" t="n"/>
      <c r="G38" s="181" t="n"/>
    </row>
    <row r="39">
      <c r="A39" s="181" t="n"/>
      <c r="B39" s="181" t="n"/>
      <c r="C39" s="181" t="n"/>
      <c r="D39" s="181" t="n"/>
      <c r="E39" s="181" t="n"/>
      <c r="F39" s="181" t="n"/>
      <c r="G39" s="181" t="n"/>
    </row>
    <row r="40">
      <c r="A40" s="181" t="n"/>
      <c r="B40" s="181" t="n"/>
      <c r="C40" s="181" t="n"/>
      <c r="D40" s="181" t="n"/>
      <c r="E40" s="181" t="n"/>
      <c r="F40" s="181" t="n"/>
      <c r="G40" s="181" t="n"/>
    </row>
    <row r="41">
      <c r="A41" s="181" t="n"/>
      <c r="B41" s="181" t="n"/>
      <c r="C41" s="181" t="n"/>
      <c r="D41" s="181" t="n"/>
      <c r="E41" s="181" t="n"/>
      <c r="F41" s="181" t="n"/>
      <c r="G41" s="181" t="n"/>
    </row>
    <row r="42">
      <c r="A42" s="181" t="n"/>
      <c r="B42" s="181" t="n"/>
      <c r="C42" s="181" t="n"/>
      <c r="D42" s="181" t="n"/>
      <c r="E42" s="181" t="n"/>
      <c r="F42" s="181" t="n"/>
      <c r="G42" s="181" t="n"/>
    </row>
    <row r="43">
      <c r="A43" s="181" t="n"/>
      <c r="B43" s="181" t="n"/>
      <c r="C43" s="181" t="n"/>
      <c r="D43" s="181" t="n"/>
      <c r="E43" s="181" t="n"/>
      <c r="F43" s="181" t="n"/>
      <c r="G43" s="181" t="n"/>
    </row>
    <row r="44">
      <c r="A44" s="181" t="n"/>
      <c r="B44" s="181" t="n"/>
      <c r="C44" s="181" t="n"/>
      <c r="D44" s="181" t="n"/>
      <c r="E44" s="181" t="n"/>
      <c r="F44" s="181" t="n"/>
      <c r="G44" s="181" t="n"/>
    </row>
    <row r="45">
      <c r="A45" s="181" t="n"/>
      <c r="B45" s="181" t="n"/>
      <c r="C45" s="181" t="n"/>
      <c r="D45" s="181" t="n"/>
      <c r="E45" s="181" t="n"/>
      <c r="F45" s="181" t="n"/>
      <c r="G45" s="181" t="n"/>
    </row>
    <row r="46">
      <c r="A46" s="181" t="n"/>
      <c r="B46" s="181" t="n"/>
      <c r="C46" s="181" t="n"/>
      <c r="D46" s="181" t="n"/>
      <c r="E46" s="181" t="n"/>
      <c r="F46" s="181" t="n"/>
      <c r="G46" s="181" t="n"/>
    </row>
    <row r="47">
      <c r="A47" s="181" t="n"/>
      <c r="B47" s="181" t="n"/>
      <c r="C47" s="181" t="n"/>
      <c r="D47" s="181" t="n"/>
      <c r="E47" s="181" t="n"/>
      <c r="F47" s="181" t="n"/>
      <c r="G47" s="181" t="n"/>
    </row>
    <row r="48">
      <c r="A48" s="181" t="n"/>
      <c r="B48" s="181" t="n"/>
      <c r="C48" s="181" t="n"/>
      <c r="D48" s="181" t="n"/>
      <c r="E48" s="181" t="n"/>
      <c r="F48" s="181" t="n"/>
      <c r="G48" s="181" t="n"/>
    </row>
    <row r="49">
      <c r="A49" s="181" t="n"/>
      <c r="B49" s="181" t="n"/>
      <c r="C49" s="181" t="n"/>
      <c r="D49" s="181" t="n"/>
      <c r="E49" s="181" t="n"/>
      <c r="F49" s="181" t="n"/>
      <c r="G49" s="181" t="n"/>
    </row>
    <row r="50">
      <c r="A50" s="181" t="n"/>
      <c r="B50" s="181" t="n"/>
      <c r="C50" s="181" t="n"/>
      <c r="D50" s="181" t="n"/>
      <c r="E50" s="181" t="n"/>
      <c r="F50" s="181" t="n"/>
      <c r="G50" s="181" t="n"/>
    </row>
    <row r="51">
      <c r="A51" s="181" t="n"/>
      <c r="B51" s="181" t="n"/>
      <c r="C51" s="181" t="n"/>
      <c r="D51" s="181" t="n"/>
      <c r="E51" s="181" t="n"/>
      <c r="F51" s="181" t="n"/>
      <c r="G51" s="181" t="n"/>
    </row>
    <row r="52">
      <c r="A52" s="181" t="n"/>
      <c r="B52" s="181" t="n"/>
      <c r="C52" s="181" t="n"/>
      <c r="D52" s="181" t="n"/>
      <c r="E52" s="181" t="n"/>
      <c r="F52" s="181" t="n"/>
      <c r="G52" s="181" t="n"/>
    </row>
    <row r="53">
      <c r="A53" s="181" t="n"/>
      <c r="B53" s="181" t="n"/>
      <c r="C53" s="181" t="n"/>
      <c r="D53" s="181" t="n"/>
      <c r="E53" s="181" t="n"/>
      <c r="F53" s="181" t="n"/>
      <c r="G53" s="181" t="n"/>
    </row>
    <row r="54">
      <c r="A54" s="181" t="n"/>
      <c r="B54" s="181" t="n"/>
      <c r="C54" s="181" t="n"/>
      <c r="D54" s="181" t="n"/>
      <c r="E54" s="181" t="n"/>
      <c r="F54" s="181" t="n"/>
      <c r="G54" s="181" t="n"/>
    </row>
    <row r="55">
      <c r="A55" s="181" t="n"/>
      <c r="B55" s="181" t="n"/>
      <c r="C55" s="181" t="n"/>
      <c r="D55" s="181" t="n"/>
      <c r="E55" s="181" t="n"/>
      <c r="F55" s="181" t="n"/>
      <c r="G55" s="181" t="n"/>
    </row>
    <row r="56">
      <c r="A56" s="181" t="n"/>
      <c r="B56" s="181" t="n"/>
      <c r="C56" s="181" t="n"/>
      <c r="D56" s="181" t="n"/>
      <c r="E56" s="181" t="n"/>
      <c r="F56" s="181" t="n"/>
      <c r="G56" s="181" t="n"/>
    </row>
    <row r="57">
      <c r="A57" s="181" t="n"/>
      <c r="B57" s="181" t="n"/>
      <c r="C57" s="181" t="n"/>
      <c r="D57" s="181" t="n"/>
      <c r="E57" s="181" t="n"/>
      <c r="F57" s="181" t="n"/>
      <c r="G57" s="181" t="n"/>
    </row>
    <row r="58">
      <c r="A58" s="181" t="n"/>
      <c r="B58" s="181" t="n"/>
      <c r="C58" s="181" t="n"/>
      <c r="D58" s="181" t="n"/>
      <c r="E58" s="181" t="n"/>
      <c r="F58" s="181" t="n"/>
      <c r="G58" s="181" t="n"/>
    </row>
    <row r="59">
      <c r="A59" s="181" t="n"/>
      <c r="B59" s="181" t="n"/>
      <c r="C59" s="181" t="n"/>
      <c r="D59" s="181" t="n"/>
      <c r="E59" s="181" t="n"/>
      <c r="F59" s="181" t="n"/>
      <c r="G59" s="181" t="n"/>
    </row>
    <row r="60">
      <c r="A60" s="181" t="n"/>
      <c r="B60" s="181" t="n"/>
      <c r="C60" s="181" t="n"/>
      <c r="D60" s="181" t="n"/>
      <c r="E60" s="181" t="n"/>
      <c r="F60" s="181" t="n"/>
      <c r="G60" s="181" t="n"/>
    </row>
    <row r="61">
      <c r="A61" s="181" t="n"/>
      <c r="B61" s="181" t="n"/>
      <c r="C61" s="181" t="n"/>
      <c r="D61" s="181" t="n"/>
      <c r="E61" s="181" t="n"/>
      <c r="F61" s="181" t="n"/>
      <c r="G61" s="181" t="n"/>
    </row>
    <row r="62">
      <c r="A62" s="181" t="n"/>
      <c r="B62" s="181" t="n"/>
      <c r="C62" s="181" t="n"/>
      <c r="D62" s="181" t="n"/>
      <c r="E62" s="181" t="n"/>
      <c r="F62" s="181" t="n"/>
      <c r="G62" s="181" t="n"/>
    </row>
    <row r="63">
      <c r="A63" s="181" t="n"/>
      <c r="B63" s="181" t="n"/>
      <c r="C63" s="181" t="n"/>
      <c r="D63" s="181" t="n"/>
      <c r="E63" s="181" t="n"/>
      <c r="F63" s="181" t="n"/>
      <c r="G63" s="181" t="n"/>
    </row>
    <row r="64">
      <c r="A64" s="181" t="n"/>
      <c r="B64" s="181" t="n"/>
      <c r="C64" s="181" t="n"/>
      <c r="D64" s="181" t="n"/>
      <c r="E64" s="181" t="n"/>
      <c r="F64" s="181" t="n"/>
      <c r="G64" s="181" t="n"/>
    </row>
    <row r="65">
      <c r="A65" s="181" t="n"/>
      <c r="B65" s="181" t="n"/>
      <c r="C65" s="181" t="n"/>
      <c r="D65" s="181" t="n"/>
      <c r="E65" s="181" t="n"/>
      <c r="F65" s="181" t="n"/>
      <c r="G65" s="181" t="n"/>
    </row>
    <row r="66">
      <c r="A66" s="181" t="n"/>
      <c r="B66" s="181" t="n"/>
      <c r="C66" s="181" t="n"/>
      <c r="D66" s="181" t="n"/>
      <c r="E66" s="181" t="n"/>
      <c r="F66" s="181" t="n"/>
      <c r="G66" s="181" t="n"/>
    </row>
    <row r="67">
      <c r="A67" s="181" t="n"/>
      <c r="B67" s="181" t="n"/>
      <c r="C67" s="181" t="n"/>
      <c r="D67" s="181" t="n"/>
      <c r="E67" s="181" t="n"/>
      <c r="F67" s="181" t="n"/>
      <c r="G67" s="181" t="n"/>
    </row>
    <row r="68">
      <c r="A68" s="181" t="n"/>
      <c r="B68" s="181" t="n"/>
      <c r="C68" s="181" t="n"/>
      <c r="D68" s="181" t="n"/>
      <c r="E68" s="181" t="n"/>
      <c r="F68" s="181" t="n"/>
      <c r="G68" s="181" t="n"/>
    </row>
    <row r="69">
      <c r="A69" s="181" t="n"/>
      <c r="B69" s="181" t="n"/>
      <c r="C69" s="181" t="n"/>
      <c r="D69" s="181" t="n"/>
      <c r="E69" s="181" t="n"/>
      <c r="F69" s="181" t="n"/>
      <c r="G69" s="181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9"/>
  <sheetViews>
    <sheetView zoomScale="70" zoomScaleNormal="70" workbookViewId="0">
      <selection activeCell="G15" sqref="G15"/>
    </sheetView>
  </sheetViews>
  <sheetFormatPr baseColWidth="8" defaultColWidth="8.7265625" defaultRowHeight="14.5"/>
  <cols>
    <col width="28.36328125" bestFit="1" customWidth="1" style="13" min="1" max="1"/>
    <col width="14.26953125" bestFit="1" customWidth="1" style="13" min="2" max="2"/>
    <col width="13.54296875" bestFit="1" customWidth="1" style="161" min="3" max="3"/>
    <col width="3" customWidth="1" style="161" min="4" max="4"/>
    <col width="15" customWidth="1" style="161" min="5" max="5"/>
    <col width="8.7265625" customWidth="1" style="161" min="6" max="16384"/>
  </cols>
  <sheetData>
    <row r="1" ht="15.5" customHeight="1" s="12" thickBot="1" thickTop="1">
      <c r="B1" s="29" t="inlineStr">
        <is>
          <t>ACT</t>
        </is>
      </c>
      <c r="C1" s="29" t="inlineStr">
        <is>
          <t>8+4</t>
        </is>
      </c>
      <c r="E1" s="32" t="inlineStr">
        <is>
          <t>ACT VS 8+4</t>
        </is>
      </c>
    </row>
    <row r="2" ht="15.5" customHeight="1" s="12" thickBot="1" thickTop="1">
      <c r="A2" s="14" t="inlineStr">
        <is>
          <t>P&amp;L, RUB</t>
        </is>
      </c>
      <c r="B2" s="29" t="inlineStr">
        <is>
          <t>Sep 26</t>
        </is>
      </c>
      <c r="C2" s="29" t="inlineStr">
        <is>
          <t>Sep 26</t>
        </is>
      </c>
      <c r="E2" s="29" t="inlineStr">
        <is>
          <t>Sep 26</t>
        </is>
      </c>
    </row>
    <row r="3" ht="15" customHeight="1" s="12" thickTop="1">
      <c r="A3" s="15" t="inlineStr">
        <is>
          <t>APP</t>
        </is>
      </c>
      <c r="B3" s="217" t="n">
        <v>467525662.62</v>
      </c>
      <c r="C3" s="217" t="n">
        <v>765326605.5700001</v>
      </c>
      <c r="E3" s="218">
        <f>IF(B3="","",B3-C3)</f>
        <v>-297800942.95</v>
      </c>
      <c r="F3" s="116" t="n"/>
    </row>
    <row r="4">
      <c r="A4" s="15" t="inlineStr">
        <is>
          <t>MIP</t>
        </is>
      </c>
      <c r="B4" s="217" t="n">
        <v>0</v>
      </c>
      <c r="C4" s="217" t="n">
        <v>841669.4</v>
      </c>
      <c r="E4" s="218">
        <f>IF(B4="","",B4-C4)</f>
        <v>-841669.4</v>
      </c>
      <c r="F4" s="116" t="n"/>
    </row>
    <row r="5">
      <c r="A5" s="15" t="inlineStr">
        <is>
          <t>Magnit Market</t>
        </is>
      </c>
      <c r="B5" s="217" t="n">
        <v>0</v>
      </c>
      <c r="C5" s="217" t="n">
        <v>463410.2</v>
      </c>
      <c r="E5" s="218">
        <f>IF(B5="","",B5-C5)</f>
        <v>-463410.2</v>
      </c>
      <c r="F5" s="116" t="n"/>
    </row>
    <row r="6">
      <c r="A6" s="15" t="inlineStr">
        <is>
          <t>DMP+ Analitycs</t>
        </is>
      </c>
      <c r="B6" s="217" t="n">
        <v>2432515.41</v>
      </c>
      <c r="C6" s="217" t="n">
        <v>4861968.79</v>
      </c>
      <c r="E6" s="218">
        <f>IF(B6="","",B6-C6)</f>
        <v>-2429453.38</v>
      </c>
      <c r="F6" s="116" t="n"/>
    </row>
    <row r="7">
      <c r="A7" s="15" t="inlineStr">
        <is>
          <t>DMP+Online</t>
        </is>
      </c>
      <c r="B7" s="217" t="n">
        <v>201669700.89</v>
      </c>
      <c r="C7" s="217" t="n">
        <v>69479582.98</v>
      </c>
      <c r="E7" s="218">
        <f>IF(B7="","",B7-C7)</f>
        <v>132190117.91</v>
      </c>
      <c r="F7" s="116" t="n"/>
    </row>
    <row r="8">
      <c r="A8" s="15" t="inlineStr">
        <is>
          <t>Instore digital</t>
        </is>
      </c>
      <c r="B8" s="217" t="n">
        <v>413469896.39</v>
      </c>
      <c r="C8" s="217" t="n">
        <v>161377206.43</v>
      </c>
      <c r="E8" s="218">
        <f>IF(B8="","",B8-C8)</f>
        <v>252092689.96</v>
      </c>
      <c r="F8" s="116" t="n"/>
    </row>
    <row r="9">
      <c r="A9" s="15" t="inlineStr">
        <is>
          <t>Instore digital_2.0</t>
        </is>
      </c>
      <c r="B9" s="217" t="n">
        <v>0</v>
      </c>
      <c r="C9" s="217" t="n">
        <v>121332202.79</v>
      </c>
      <c r="E9" s="218">
        <f>IF(B9="","",B9-C9)</f>
        <v>-121332202.79</v>
      </c>
      <c r="F9" s="116" t="n"/>
    </row>
    <row r="10">
      <c r="A10" s="15" t="inlineStr">
        <is>
          <t>POSM</t>
        </is>
      </c>
      <c r="B10" s="217" t="n">
        <v>456221.13</v>
      </c>
      <c r="C10" s="217" t="n">
        <v>2517847.21</v>
      </c>
      <c r="E10" s="218">
        <f>IF(B10="","",B10-C10)</f>
        <v>-2061626.08</v>
      </c>
      <c r="F10" s="116" t="n"/>
    </row>
    <row r="11">
      <c r="A11" s="15" t="inlineStr">
        <is>
          <t>Other</t>
        </is>
      </c>
      <c r="B11" s="217" t="n">
        <v>94811797.5</v>
      </c>
      <c r="C11" s="217" t="n">
        <v>0</v>
      </c>
      <c r="E11" s="218">
        <f>IF(B11="","",B11-C11)</f>
        <v>94811797.5</v>
      </c>
      <c r="F11" s="116" t="n"/>
    </row>
    <row r="12">
      <c r="A12" s="15" t="inlineStr">
        <is>
          <t>Кроссформатные пакеты</t>
        </is>
      </c>
      <c r="B12" s="217" t="n">
        <v>2827369.14</v>
      </c>
      <c r="C12" s="217" t="n">
        <v>0</v>
      </c>
      <c r="E12" s="218">
        <f>IF(B12="","",B12-C12)</f>
        <v>2827369.14</v>
      </c>
      <c r="F12" s="116" t="n"/>
    </row>
    <row r="13">
      <c r="A13" s="15" t="inlineStr">
        <is>
          <t>М+ и сверка со сплитом</t>
        </is>
      </c>
      <c r="B13" s="217" t="n">
        <v>0</v>
      </c>
      <c r="C13" s="217" t="n">
        <v>0</v>
      </c>
      <c r="E13" s="218">
        <f>IF(B13="","",B13-C13)</f>
        <v>0</v>
      </c>
      <c r="F13" s="116" t="n"/>
    </row>
    <row r="14">
      <c r="A14" s="15" t="inlineStr">
        <is>
          <t>Gross Revenue</t>
        </is>
      </c>
      <c r="B14" s="219" t="n">
        <v>1183193163.08</v>
      </c>
      <c r="C14" s="219" t="n">
        <v>1126200493.37</v>
      </c>
      <c r="E14" s="220">
        <f>IF(B14="","",B14-C14)</f>
        <v>56992669.71</v>
      </c>
      <c r="F14" s="166" t="n"/>
      <c r="G14" s="166" t="n"/>
    </row>
    <row r="15">
      <c r="A15" s="15" t="inlineStr">
        <is>
          <t>Direct cost</t>
        </is>
      </c>
      <c r="B15" s="217" t="n">
        <v>-927852.26</v>
      </c>
      <c r="C15" s="217" t="n">
        <v>-34765800.63</v>
      </c>
      <c r="E15" s="218">
        <f>IF(B15="","",B15-C15)</f>
        <v>33837948.37</v>
      </c>
      <c r="F15" s="116" t="n"/>
    </row>
    <row r="16">
      <c r="A16" s="19" t="inlineStr">
        <is>
          <t>Gross margin</t>
        </is>
      </c>
      <c r="B16" s="221" t="n">
        <v>1182265310.82</v>
      </c>
      <c r="C16" s="221" t="n">
        <v>1091434692.74</v>
      </c>
      <c r="E16" s="222">
        <f>IF(B16="","",B16-C16)</f>
        <v>90830618.0799999</v>
      </c>
    </row>
    <row r="17">
      <c r="A17" s="17" t="inlineStr">
        <is>
          <t>Gross margin %</t>
        </is>
      </c>
      <c r="B17" s="223">
        <f>IF(B14="","",B16/B14)</f>
        <v>0.999215806607955</v>
      </c>
      <c r="C17" s="223">
        <f>IF(C14="","",C16/C14)</f>
        <v>0.969130007636591</v>
      </c>
      <c r="E17" s="224">
        <f>IF(B17="","",B17-C17)</f>
        <v>0.0300857989713647</v>
      </c>
    </row>
    <row r="18">
      <c r="A18" s="15" t="inlineStr">
        <is>
          <t>PEX</t>
        </is>
      </c>
      <c r="B18" s="217" t="n">
        <v>62456405.7</v>
      </c>
      <c r="C18" s="217" t="n">
        <v>-111510282.75</v>
      </c>
      <c r="E18" s="218">
        <f>IF(B18="","",B18-C18)</f>
        <v>173966688.45</v>
      </c>
      <c r="F18" s="116" t="n"/>
    </row>
    <row r="19">
      <c r="A19" s="15" t="inlineStr">
        <is>
          <t>Other PEX</t>
        </is>
      </c>
      <c r="B19" s="217" t="n">
        <v>-211306.16</v>
      </c>
      <c r="C19" s="217" t="n">
        <v>-4338633.91</v>
      </c>
      <c r="E19" s="218">
        <f>IF(B19="","",B19-C19)</f>
        <v>4127327.75</v>
      </c>
      <c r="F19" s="116" t="n"/>
    </row>
    <row r="20">
      <c r="A20" s="15" t="inlineStr">
        <is>
          <t>Marketing</t>
        </is>
      </c>
      <c r="B20" s="217" t="n">
        <v>-105089188</v>
      </c>
      <c r="C20" s="217" t="n">
        <v>-348750338.14</v>
      </c>
      <c r="E20" s="218">
        <f>IF(B20="","",B20-C20)</f>
        <v>243661150.14</v>
      </c>
      <c r="F20" s="116" t="n"/>
    </row>
    <row r="21">
      <c r="A21" s="15" t="inlineStr">
        <is>
          <t>IT</t>
        </is>
      </c>
      <c r="B21" s="217" t="n">
        <v>-3887514.7</v>
      </c>
      <c r="C21" s="217" t="n">
        <v>-1283507.24</v>
      </c>
      <c r="E21" s="218">
        <f>IF(B21="","",B21-C21)</f>
        <v>-2604007.46</v>
      </c>
      <c r="F21" s="116" t="n"/>
    </row>
    <row r="22">
      <c r="A22" s="15" t="inlineStr">
        <is>
          <t>Other OPEX</t>
        </is>
      </c>
      <c r="B22" s="217" t="n">
        <v>-9123175.279999999</v>
      </c>
      <c r="C22" s="217" t="n">
        <v>-5047284.06</v>
      </c>
      <c r="E22" s="218">
        <f>IF(B22="","",B22-C22)</f>
        <v>-4075891.22</v>
      </c>
      <c r="F22" s="116" t="n"/>
    </row>
    <row r="23">
      <c r="A23" s="21" t="inlineStr">
        <is>
          <t>Total OPEX</t>
        </is>
      </c>
      <c r="B23" s="225" t="n">
        <v>-55854778.45</v>
      </c>
      <c r="C23" s="225" t="n">
        <v>-470930046.1</v>
      </c>
      <c r="E23" s="226">
        <f>IF(B23="","",B23-C23)</f>
        <v>415075267.65</v>
      </c>
    </row>
    <row r="24">
      <c r="A24" s="19" t="inlineStr">
        <is>
          <t xml:space="preserve">EBITDA </t>
        </is>
      </c>
      <c r="B24" s="221" t="n">
        <v>1126410532.37</v>
      </c>
      <c r="C24" s="221" t="n">
        <v>620504646.64</v>
      </c>
      <c r="E24" s="222">
        <f>IF(B24="","",B24-C24)</f>
        <v>505905885.73</v>
      </c>
    </row>
    <row r="25">
      <c r="A25" s="28" t="inlineStr">
        <is>
          <t>EBITDA, %</t>
        </is>
      </c>
      <c r="B25" s="227">
        <f>IF(B14="","",B24/B14)</f>
        <v>0.95200899355927</v>
      </c>
      <c r="C25" s="227">
        <f>IF(C14="","",C24/C14)</f>
        <v>0.550971741082465</v>
      </c>
      <c r="D25" s="155" t="n"/>
      <c r="E25" s="228">
        <f>IF(B25="","",B25-C25)</f>
        <v>0.401037252476805</v>
      </c>
      <c r="F25" s="155" t="n"/>
    </row>
    <row r="26">
      <c r="A26" s="15" t="inlineStr">
        <is>
          <t>Capex</t>
        </is>
      </c>
      <c r="B26" s="217" t="n">
        <v>-185765416.81</v>
      </c>
      <c r="C26" s="217" t="n">
        <v>-242709711.72</v>
      </c>
      <c r="E26" s="218">
        <f>IF(B26="","",B26-C26)</f>
        <v>56944294.91</v>
      </c>
      <c r="F26" s="116" t="n"/>
    </row>
    <row r="27">
      <c r="A27" s="21" t="inlineStr">
        <is>
          <t>FCF</t>
        </is>
      </c>
      <c r="B27" s="225" t="n">
        <v>940645115.5599999</v>
      </c>
      <c r="C27" s="225" t="n">
        <v>377794934.93</v>
      </c>
      <c r="E27" s="226">
        <f>IF(B27="","",B27-C27)</f>
        <v>562850180.63</v>
      </c>
    </row>
    <row r="28">
      <c r="A28" s="181" t="n"/>
      <c r="B28" s="181" t="n"/>
      <c r="C28" s="181" t="n"/>
      <c r="D28" s="181" t="n"/>
      <c r="E28" s="181" t="n"/>
      <c r="F28" s="181" t="n"/>
      <c r="G28" s="181" t="n"/>
    </row>
    <row r="29">
      <c r="A29" s="181" t="n"/>
      <c r="B29" s="181" t="n"/>
      <c r="C29" s="181" t="n"/>
      <c r="D29" s="181" t="n"/>
      <c r="E29" s="181" t="n"/>
      <c r="F29" s="181" t="n"/>
      <c r="G29" s="181" t="n"/>
    </row>
    <row r="30">
      <c r="A30" s="181" t="n"/>
      <c r="B30" s="181" t="n"/>
      <c r="C30" s="181" t="n"/>
      <c r="D30" s="181" t="n"/>
      <c r="E30" s="181" t="n"/>
      <c r="F30" s="181" t="n"/>
      <c r="G30" s="181" t="n"/>
    </row>
    <row r="31">
      <c r="A31" s="181" t="n"/>
      <c r="B31" s="181" t="n"/>
      <c r="C31" s="181" t="n"/>
      <c r="D31" s="181" t="n"/>
      <c r="E31" s="181" t="n"/>
      <c r="F31" s="181" t="n"/>
      <c r="G31" s="181" t="n"/>
    </row>
    <row r="32">
      <c r="A32" s="181" t="n"/>
      <c r="B32" s="181" t="n"/>
      <c r="C32" s="181" t="n"/>
      <c r="D32" s="181" t="n"/>
      <c r="E32" s="181" t="n"/>
      <c r="F32" s="181" t="n"/>
      <c r="G32" s="181" t="n"/>
    </row>
    <row r="33">
      <c r="A33" s="181" t="n"/>
      <c r="B33" s="181" t="n"/>
      <c r="C33" s="181" t="n"/>
      <c r="D33" s="181" t="n"/>
      <c r="E33" s="181" t="n"/>
      <c r="F33" s="181" t="n"/>
      <c r="G33" s="181" t="n"/>
    </row>
    <row r="34">
      <c r="A34" s="181" t="n"/>
      <c r="B34" s="181" t="n"/>
      <c r="C34" s="181" t="n"/>
      <c r="D34" s="181" t="n"/>
      <c r="E34" s="181" t="n"/>
      <c r="F34" s="181" t="n"/>
      <c r="G34" s="181" t="n"/>
    </row>
    <row r="35">
      <c r="A35" s="181" t="n"/>
      <c r="B35" s="181" t="n"/>
      <c r="C35" s="181" t="n"/>
      <c r="D35" s="181" t="n"/>
      <c r="E35" s="181" t="n"/>
      <c r="F35" s="181" t="n"/>
      <c r="G35" s="181" t="n"/>
    </row>
    <row r="36">
      <c r="A36" s="181" t="n"/>
      <c r="B36" s="181" t="n"/>
      <c r="C36" s="181" t="n"/>
      <c r="D36" s="181" t="n"/>
      <c r="E36" s="181" t="n"/>
      <c r="F36" s="181" t="n"/>
      <c r="G36" s="181" t="n"/>
    </row>
    <row r="37">
      <c r="A37" s="181" t="n"/>
      <c r="B37" s="181" t="n"/>
      <c r="C37" s="181" t="n"/>
      <c r="D37" s="181" t="n"/>
      <c r="E37" s="181" t="n"/>
      <c r="F37" s="181" t="n"/>
      <c r="G37" s="181" t="n"/>
    </row>
    <row r="38">
      <c r="A38" s="181" t="n"/>
      <c r="B38" s="181" t="n"/>
      <c r="C38" s="181" t="n"/>
      <c r="D38" s="181" t="n"/>
      <c r="E38" s="181" t="n"/>
      <c r="F38" s="181" t="n"/>
      <c r="G38" s="181" t="n"/>
    </row>
    <row r="39">
      <c r="A39" s="181" t="n"/>
      <c r="B39" s="181" t="n"/>
      <c r="C39" s="181" t="n"/>
      <c r="D39" s="181" t="n"/>
      <c r="E39" s="181" t="n"/>
      <c r="F39" s="181" t="n"/>
      <c r="G39" s="181" t="n"/>
    </row>
    <row r="40">
      <c r="A40" s="181" t="n"/>
      <c r="B40" s="181" t="n"/>
      <c r="C40" s="181" t="n"/>
      <c r="D40" s="181" t="n"/>
      <c r="E40" s="181" t="n"/>
      <c r="F40" s="181" t="n"/>
      <c r="G40" s="181" t="n"/>
    </row>
    <row r="41">
      <c r="A41" s="181" t="n"/>
      <c r="B41" s="181" t="n"/>
      <c r="C41" s="181" t="n"/>
      <c r="D41" s="181" t="n"/>
      <c r="E41" s="181" t="n"/>
      <c r="F41" s="181" t="n"/>
      <c r="G41" s="181" t="n"/>
    </row>
    <row r="42">
      <c r="A42" s="181" t="n"/>
      <c r="B42" s="181" t="n"/>
      <c r="C42" s="181" t="n"/>
      <c r="D42" s="181" t="n"/>
      <c r="E42" s="181" t="n"/>
      <c r="F42" s="181" t="n"/>
      <c r="G42" s="181" t="n"/>
    </row>
    <row r="43">
      <c r="A43" s="181" t="n"/>
      <c r="B43" s="181" t="n"/>
      <c r="C43" s="181" t="n"/>
      <c r="D43" s="181" t="n"/>
      <c r="E43" s="181" t="n"/>
      <c r="F43" s="181" t="n"/>
      <c r="G43" s="181" t="n"/>
    </row>
    <row r="44">
      <c r="A44" s="181" t="n"/>
      <c r="B44" s="181" t="n"/>
      <c r="C44" s="181" t="n"/>
      <c r="D44" s="181" t="n"/>
      <c r="E44" s="181" t="n"/>
      <c r="F44" s="181" t="n"/>
      <c r="G44" s="181" t="n"/>
    </row>
    <row r="45">
      <c r="A45" s="181" t="n"/>
      <c r="B45" s="181" t="n"/>
      <c r="C45" s="181" t="n"/>
      <c r="D45" s="181" t="n"/>
      <c r="E45" s="181" t="n"/>
      <c r="F45" s="181" t="n"/>
      <c r="G45" s="181" t="n"/>
    </row>
    <row r="46">
      <c r="A46" s="181" t="n"/>
      <c r="B46" s="181" t="n"/>
      <c r="C46" s="181" t="n"/>
      <c r="D46" s="181" t="n"/>
      <c r="E46" s="181" t="n"/>
      <c r="F46" s="181" t="n"/>
      <c r="G46" s="181" t="n"/>
    </row>
    <row r="47">
      <c r="A47" s="181" t="n"/>
      <c r="B47" s="181" t="n"/>
      <c r="C47" s="181" t="n"/>
      <c r="D47" s="181" t="n"/>
      <c r="E47" s="181" t="n"/>
      <c r="F47" s="181" t="n"/>
      <c r="G47" s="181" t="n"/>
    </row>
    <row r="48">
      <c r="A48" s="181" t="n"/>
      <c r="B48" s="181" t="n"/>
      <c r="C48" s="181" t="n"/>
      <c r="D48" s="181" t="n"/>
      <c r="E48" s="181" t="n"/>
      <c r="F48" s="181" t="n"/>
      <c r="G48" s="181" t="n"/>
    </row>
    <row r="49">
      <c r="A49" s="181" t="n"/>
      <c r="B49" s="181" t="n"/>
      <c r="C49" s="181" t="n"/>
      <c r="D49" s="181" t="n"/>
      <c r="E49" s="181" t="n"/>
      <c r="F49" s="181" t="n"/>
      <c r="G49" s="181" t="n"/>
    </row>
    <row r="50">
      <c r="A50" s="181" t="n"/>
      <c r="B50" s="181" t="n"/>
      <c r="C50" s="181" t="n"/>
      <c r="D50" s="181" t="n"/>
      <c r="E50" s="181" t="n"/>
      <c r="F50" s="181" t="n"/>
      <c r="G50" s="181" t="n"/>
    </row>
    <row r="51">
      <c r="A51" s="181" t="n"/>
      <c r="B51" s="181" t="n"/>
      <c r="C51" s="181" t="n"/>
      <c r="D51" s="181" t="n"/>
      <c r="E51" s="181" t="n"/>
      <c r="F51" s="181" t="n"/>
      <c r="G51" s="181" t="n"/>
    </row>
    <row r="52">
      <c r="A52" s="181" t="n"/>
      <c r="B52" s="181" t="n"/>
      <c r="C52" s="181" t="n"/>
      <c r="D52" s="181" t="n"/>
      <c r="E52" s="181" t="n"/>
      <c r="F52" s="181" t="n"/>
      <c r="G52" s="181" t="n"/>
    </row>
    <row r="53">
      <c r="A53" s="181" t="n"/>
      <c r="B53" s="181" t="n"/>
      <c r="C53" s="181" t="n"/>
      <c r="D53" s="181" t="n"/>
      <c r="E53" s="181" t="n"/>
      <c r="F53" s="181" t="n"/>
      <c r="G53" s="181" t="n"/>
    </row>
    <row r="54">
      <c r="A54" s="181" t="n"/>
      <c r="B54" s="181" t="n"/>
      <c r="C54" s="181" t="n"/>
      <c r="D54" s="181" t="n"/>
      <c r="E54" s="181" t="n"/>
      <c r="F54" s="181" t="n"/>
      <c r="G54" s="181" t="n"/>
    </row>
    <row r="55">
      <c r="A55" s="181" t="n"/>
      <c r="B55" s="181" t="n"/>
      <c r="C55" s="181" t="n"/>
      <c r="D55" s="181" t="n"/>
      <c r="E55" s="181" t="n"/>
      <c r="F55" s="181" t="n"/>
      <c r="G55" s="181" t="n"/>
    </row>
    <row r="56">
      <c r="A56" s="181" t="n"/>
      <c r="B56" s="181" t="n"/>
      <c r="C56" s="181" t="n"/>
      <c r="D56" s="181" t="n"/>
      <c r="E56" s="181" t="n"/>
      <c r="F56" s="181" t="n"/>
      <c r="G56" s="181" t="n"/>
    </row>
    <row r="57">
      <c r="A57" s="181" t="n"/>
      <c r="B57" s="181" t="n"/>
      <c r="C57" s="181" t="n"/>
      <c r="D57" s="181" t="n"/>
      <c r="E57" s="181" t="n"/>
      <c r="F57" s="181" t="n"/>
      <c r="G57" s="181" t="n"/>
    </row>
    <row r="58">
      <c r="A58" s="181" t="n"/>
      <c r="B58" s="181" t="n"/>
      <c r="C58" s="181" t="n"/>
      <c r="D58" s="181" t="n"/>
      <c r="E58" s="181" t="n"/>
      <c r="F58" s="181" t="n"/>
      <c r="G58" s="181" t="n"/>
    </row>
    <row r="59">
      <c r="A59" s="181" t="n"/>
      <c r="B59" s="181" t="n"/>
      <c r="C59" s="181" t="n"/>
      <c r="D59" s="181" t="n"/>
      <c r="E59" s="181" t="n"/>
      <c r="F59" s="181" t="n"/>
      <c r="G59" s="181" t="n"/>
    </row>
    <row r="60">
      <c r="A60" s="181" t="n"/>
      <c r="B60" s="181" t="n"/>
      <c r="C60" s="181" t="n"/>
      <c r="D60" s="181" t="n"/>
      <c r="E60" s="181" t="n"/>
      <c r="F60" s="181" t="n"/>
      <c r="G60" s="181" t="n"/>
    </row>
    <row r="61">
      <c r="A61" s="181" t="n"/>
      <c r="B61" s="181" t="n"/>
      <c r="C61" s="181" t="n"/>
      <c r="D61" s="181" t="n"/>
      <c r="E61" s="181" t="n"/>
      <c r="F61" s="181" t="n"/>
      <c r="G61" s="181" t="n"/>
    </row>
    <row r="62">
      <c r="A62" s="181" t="n"/>
      <c r="B62" s="181" t="n"/>
      <c r="C62" s="181" t="n"/>
      <c r="D62" s="181" t="n"/>
      <c r="E62" s="181" t="n"/>
      <c r="F62" s="181" t="n"/>
      <c r="G62" s="181" t="n"/>
    </row>
    <row r="63">
      <c r="A63" s="181" t="n"/>
      <c r="B63" s="181" t="n"/>
      <c r="C63" s="181" t="n"/>
      <c r="D63" s="181" t="n"/>
      <c r="E63" s="181" t="n"/>
      <c r="F63" s="181" t="n"/>
      <c r="G63" s="181" t="n"/>
    </row>
    <row r="64">
      <c r="A64" s="181" t="n"/>
      <c r="B64" s="181" t="n"/>
      <c r="C64" s="181" t="n"/>
      <c r="D64" s="181" t="n"/>
      <c r="E64" s="181" t="n"/>
      <c r="F64" s="181" t="n"/>
      <c r="G64" s="181" t="n"/>
    </row>
    <row r="65">
      <c r="A65" s="181" t="n"/>
      <c r="B65" s="181" t="n"/>
      <c r="C65" s="181" t="n"/>
      <c r="D65" s="181" t="n"/>
      <c r="E65" s="181" t="n"/>
      <c r="F65" s="181" t="n"/>
      <c r="G65" s="181" t="n"/>
    </row>
    <row r="66">
      <c r="A66" s="181" t="n"/>
      <c r="B66" s="181" t="n"/>
      <c r="C66" s="181" t="n"/>
      <c r="D66" s="181" t="n"/>
      <c r="E66" s="181" t="n"/>
      <c r="F66" s="181" t="n"/>
      <c r="G66" s="181" t="n"/>
    </row>
    <row r="67">
      <c r="A67" s="181" t="n"/>
      <c r="B67" s="181" t="n"/>
      <c r="C67" s="181" t="n"/>
      <c r="D67" s="181" t="n"/>
      <c r="E67" s="181" t="n"/>
      <c r="F67" s="181" t="n"/>
      <c r="G67" s="181" t="n"/>
    </row>
    <row r="68">
      <c r="A68" s="181" t="n"/>
      <c r="B68" s="181" t="n"/>
      <c r="C68" s="181" t="n"/>
      <c r="D68" s="181" t="n"/>
      <c r="E68" s="181" t="n"/>
      <c r="F68" s="181" t="n"/>
      <c r="G68" s="181" t="n"/>
    </row>
    <row r="69">
      <c r="A69" s="181" t="n"/>
      <c r="B69" s="181" t="n"/>
      <c r="C69" s="181" t="n"/>
      <c r="D69" s="181" t="n"/>
      <c r="E69" s="181" t="n"/>
      <c r="F69" s="181" t="n"/>
      <c r="G69" s="18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Грибанова Елизавета Дмитриевна</dc:creator>
  <dcterms:created xmlns:dcterms="http://purl.org/dc/terms/" xmlns:xsi="http://www.w3.org/2001/XMLSchema-instance" xsi:type="dcterms:W3CDTF">2026-06-10T13:49:22Z</dcterms:created>
  <dcterms:modified xmlns:dcterms="http://purl.org/dc/terms/" xmlns:xsi="http://www.w3.org/2001/XMLSchema-instance" xsi:type="dcterms:W3CDTF">2026-10-27T18:54:41Z</dcterms:modified>
  <cp:lastModifiedBy>Клаас Томас Артурович</cp:lastModifiedBy>
</cp:coreProperties>
</file>