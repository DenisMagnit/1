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AdTech 2026" sheetId="2" state="visible" r:id="rId2"/>
    <sheet xmlns:r="http://schemas.openxmlformats.org/officeDocument/2006/relationships" name="AdTech Октябрь" sheetId="3" state="visible" r:id="rId3"/>
    <sheet xmlns:r="http://schemas.openxmlformats.org/officeDocument/2006/relationships" name="AdTech Сентябрь" sheetId="4" state="visible" r:id="rId4"/>
    <sheet xmlns:r="http://schemas.openxmlformats.org/officeDocument/2006/relationships" name="CTRL Октябрь" sheetId="5" state="visible" r:id="rId5"/>
    <sheet xmlns:r="http://schemas.openxmlformats.org/officeDocument/2006/relationships" name="CTRL Сентябрь" sheetId="6" state="visible" r:id="rId6"/>
    <sheet xmlns:r="http://schemas.openxmlformats.org/officeDocument/2006/relationships" name="Журнал" sheetId="7" state="visible" r:id="rId7"/>
    <sheet xmlns:r="http://schemas.openxmlformats.org/officeDocument/2006/relationships" name="Расчёт" sheetId="8" state="visible" r:id="rId8"/>
  </sheets>
  <definedNames>
    <definedName name="_xlnm.Print_Area" localSheetId="0">'Как пользоваться'!$A$1:$H$36</definedName>
    <definedName name="_xlnm.Print_Area" localSheetId="1">'AdTech 2026'!$B$1:$AF$34</definedName>
    <definedName name="_xlnm.Print_Area" localSheetId="2">'AdTech Октябрь'!$B$1:$K$58</definedName>
    <definedName name="_xlnm.Print_Area" localSheetId="3">'AdTech Сентябрь'!$B$1:$K$58</definedName>
    <definedName name="_xlnm.Print_Area" localSheetId="4">'CTRL Октябрь'!$B$1:$H$45</definedName>
    <definedName name="_xlnm.Print_Area" localSheetId="5">'CTRL Сентябрь'!$B$1:$H$45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;-#,##0.0;&quot;–&quot;"/>
    <numFmt numFmtId="165" formatCode="0.0%;-0.0%;&quot;–&quot;"/>
    <numFmt numFmtId="166" formatCode="0.0"/>
    <numFmt numFmtId="167" formatCode="+#,##0.0;-#,##0.0;&quot;–&quot;"/>
    <numFmt numFmtId="168" formatCode="+0.0%;-0.0%;&quot;–&quot;"/>
    <numFmt numFmtId="169" formatCode="#,##0;-#,##0;;"/>
    <numFmt numFmtId="170" formatCode="+#,##0;+#,##0;;"/>
    <numFmt numFmtId="171" formatCode="-#,##0;-#,##0;;"/>
  </numFmts>
  <fonts count="20">
    <font>
      <name val="Calibri"/>
      <family val="2"/>
      <color theme="1"/>
      <sz val="11"/>
      <scheme val="minor"/>
    </font>
    <font>
      <name val="Arial"/>
      <b val="1"/>
      <color rgb="00000000"/>
      <sz val="12"/>
    </font>
    <font>
      <name val="Arial"/>
      <color rgb="007F7F7F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7F7F7F"/>
      <sz val="8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0000"/>
      <sz val="14"/>
    </font>
    <font>
      <name val="Arial"/>
      <b val="1"/>
      <color rgb="000000FF"/>
      <sz val="10"/>
    </font>
    <font>
      <name val="Arial"/>
      <b val="1"/>
      <color rgb="000000FF"/>
      <sz val="12"/>
    </font>
    <font>
      <name val="Arial"/>
      <b val="1"/>
      <color rgb="007F7F7F"/>
      <sz val="9"/>
    </font>
    <font>
      <name val="Arial"/>
      <color rgb="00C00000"/>
      <sz val="10"/>
    </font>
    <font>
      <name val="Arial"/>
      <color rgb="007F7F7F"/>
      <sz val="9"/>
    </font>
    <font>
      <name val="Arial"/>
      <i val="1"/>
      <color rgb="00000000"/>
      <sz val="10"/>
    </font>
    <font>
      <name val="Arial"/>
      <i val="1"/>
      <color rgb="007F7F7F"/>
      <sz val="9"/>
    </font>
    <font>
      <name val="Arial"/>
      <color rgb="00C00000"/>
      <sz val="9"/>
    </font>
    <font>
      <name val="Arial"/>
      <i val="1"/>
      <color rgb="007F7F7F"/>
      <sz val="10"/>
    </font>
  </fonts>
  <fills count="8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FFFBEA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bottom style="thin">
        <color rgb="00BFBFBF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0" fillId="0" borderId="0" pivotButton="0" quotePrefix="0" xfId="0"/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8" fillId="0" borderId="0" pivotButton="0" quotePrefix="0" xfId="0"/>
    <xf numFmtId="166" fontId="11" fillId="4" borderId="0" applyAlignment="1" pivotButton="0" quotePrefix="0" xfId="0">
      <alignment horizontal="center" vertical="center" wrapText="1"/>
    </xf>
    <xf numFmtId="9" fontId="1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6" fillId="5" borderId="0" pivotButton="0" quotePrefix="0" xfId="0"/>
    <xf numFmtId="0" fontId="6" fillId="6" borderId="1" pivotButton="0" quotePrefix="0" xfId="0"/>
    <xf numFmtId="164" fontId="6" fillId="6" borderId="1" pivotButton="0" quotePrefix="0" xfId="0"/>
    <xf numFmtId="165" fontId="13" fillId="6" borderId="1" pivotButton="0" quotePrefix="0" xfId="0"/>
    <xf numFmtId="167" fontId="6" fillId="6" borderId="1" pivotButton="0" quotePrefix="0" xfId="0"/>
    <xf numFmtId="168" fontId="13" fillId="6" borderId="1" pivotButton="0" quotePrefix="0" xfId="0"/>
    <xf numFmtId="164" fontId="8" fillId="0" borderId="0" pivotButton="0" quotePrefix="0" xfId="0"/>
    <xf numFmtId="165" fontId="15" fillId="0" borderId="0" pivotButton="0" quotePrefix="0" xfId="0"/>
    <xf numFmtId="167" fontId="8" fillId="0" borderId="0" pivotButton="0" quotePrefix="0" xfId="0"/>
    <xf numFmtId="168" fontId="15" fillId="0" borderId="0" pivotButton="0" quotePrefix="0" xfId="0"/>
    <xf numFmtId="0" fontId="8" fillId="5" borderId="0" pivotButton="0" quotePrefix="0" xfId="0"/>
    <xf numFmtId="0" fontId="6" fillId="6" borderId="0" pivotButton="0" quotePrefix="0" xfId="0"/>
    <xf numFmtId="164" fontId="6" fillId="6" borderId="0" pivotButton="0" quotePrefix="0" xfId="0"/>
    <xf numFmtId="165" fontId="13" fillId="6" borderId="0" pivotButton="0" quotePrefix="0" xfId="0"/>
    <xf numFmtId="167" fontId="6" fillId="6" borderId="0" pivotButton="0" quotePrefix="0" xfId="0"/>
    <xf numFmtId="168" fontId="13" fillId="6" borderId="0" pivotButton="0" quotePrefix="0" xfId="0"/>
    <xf numFmtId="0" fontId="16" fillId="0" borderId="0" pivotButton="0" quotePrefix="0" xfId="0"/>
    <xf numFmtId="164" fontId="16" fillId="0" borderId="0" pivotButton="0" quotePrefix="0" xfId="0"/>
    <xf numFmtId="165" fontId="6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1" fontId="12" fillId="4" borderId="0" applyAlignment="1" pivotButton="0" quotePrefix="0" xfId="0">
      <alignment horizontal="center" vertical="center" wrapText="1"/>
    </xf>
    <xf numFmtId="168" fontId="6" fillId="6" borderId="1" pivotButton="0" quotePrefix="0" xfId="0"/>
    <xf numFmtId="0" fontId="8" fillId="7" borderId="0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center" vertical="center" wrapText="1"/>
    </xf>
    <xf numFmtId="168" fontId="8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168" fontId="6" fillId="6" borderId="0" pivotButton="0" quotePrefix="0" xfId="0"/>
    <xf numFmtId="0" fontId="14" fillId="6" borderId="0" applyAlignment="1" pivotButton="0" quotePrefix="0" xfId="0">
      <alignment horizontal="center" vertical="center" wrapText="1"/>
    </xf>
    <xf numFmtId="165" fontId="17" fillId="0" borderId="0" pivotButton="0" quotePrefix="0" xfId="0"/>
    <xf numFmtId="167" fontId="16" fillId="0" borderId="0" pivotButton="0" quotePrefix="0" xfId="0"/>
    <xf numFmtId="0" fontId="1" fillId="0" borderId="0" pivotButton="0" quotePrefix="0" xfId="0"/>
    <xf numFmtId="164" fontId="6" fillId="0" borderId="0" applyAlignment="1" pivotButton="0" quotePrefix="0" xfId="0">
      <alignment horizontal="center" vertical="center" wrapText="1"/>
    </xf>
    <xf numFmtId="164" fontId="7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171" fontId="7" fillId="0" borderId="0" pivotButton="0" quotePrefix="0" xfId="0"/>
    <xf numFmtId="167" fontId="8" fillId="0" borderId="0" applyAlignment="1" pivotButton="0" quotePrefix="0" xfId="0">
      <alignment horizontal="center" vertical="center" wrapText="1"/>
    </xf>
    <xf numFmtId="166" fontId="15" fillId="0" borderId="0" applyAlignment="1" pivotButton="0" quotePrefix="0" xfId="0">
      <alignment horizontal="center" vertical="center" wrapText="1"/>
    </xf>
    <xf numFmtId="0" fontId="6" fillId="0" borderId="2" pivotButton="0" quotePrefix="0" xfId="0"/>
    <xf numFmtId="0" fontId="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164" fontId="8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0" fontId="6" fillId="5" borderId="1" pivotButton="0" quotePrefix="0" xfId="0"/>
    <xf numFmtId="164" fontId="6" fillId="5" borderId="1" applyAlignment="1" pivotButton="0" quotePrefix="0" xfId="0">
      <alignment horizontal="center" vertical="center" wrapText="1"/>
    </xf>
    <xf numFmtId="167" fontId="6" fillId="5" borderId="1" applyAlignment="1" pivotButton="0" quotePrefix="0" xfId="0">
      <alignment horizontal="center" vertical="center" wrapText="1"/>
    </xf>
    <xf numFmtId="168" fontId="13" fillId="5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164" fontId="6" fillId="5" borderId="0" applyAlignment="1" pivotButton="0" quotePrefix="0" xfId="0">
      <alignment horizontal="center" vertical="center" wrapText="1"/>
    </xf>
    <xf numFmtId="167" fontId="6" fillId="5" borderId="0" applyAlignment="1" pivotButton="0" quotePrefix="0" xfId="0">
      <alignment horizontal="center" vertical="center" wrapText="1"/>
    </xf>
    <xf numFmtId="168" fontId="13" fillId="5" borderId="0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 wrapText="1"/>
    </xf>
    <xf numFmtId="0" fontId="14" fillId="0" borderId="0" pivotButton="0" quotePrefix="0" xfId="0"/>
    <xf numFmtId="165" fontId="14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164" fontId="9" fillId="0" borderId="0" pivotButton="0" quotePrefix="0" xfId="0"/>
    <xf numFmtId="164" fontId="2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'AdTech Октябрь'!N36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'AdTech Октябрь'!$B$37:$B$51</f>
            </numRef>
          </cat>
          <val>
            <numRef>
              <f>'AdTech Октябрь'!$N$37:$N$51</f>
            </numRef>
          </val>
        </ser>
        <ser>
          <idx val="1"/>
          <order val="1"/>
          <tx>
            <strRef>
              <f>'AdTech Октябрь'!O36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dLbls>
            <numFmt formatCode="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Октябрь'!$B$37:$B$51</f>
            </numRef>
          </cat>
          <val>
            <numRef>
              <f>'AdTech Октябрь'!$O$37:$O$51</f>
            </numRef>
          </val>
        </ser>
        <ser>
          <idx val="2"/>
          <order val="2"/>
          <tx>
            <strRef>
              <f>'AdTech Октябрь'!P36</f>
            </strRef>
          </tx>
          <spPr>
            <a:solidFill xmlns:a="http://schemas.openxmlformats.org/drawingml/2006/main">
              <a:srgbClr val="1AA06D"/>
            </a:solidFill>
            <a:ln xmlns:a="http://schemas.openxmlformats.org/drawingml/2006/main">
              <a:solidFill>
                <a:srgbClr val="1AA06D"/>
              </a:solidFill>
              <a:prstDash val="solid"/>
            </a:ln>
          </spPr>
          <dLbls>
            <numFmt formatCode="+#,##0;+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Октябрь'!$B$37:$B$51</f>
            </numRef>
          </cat>
          <val>
            <numRef>
              <f>'AdTech Октябрь'!$P$37:$P$51</f>
            </numRef>
          </val>
        </ser>
        <ser>
          <idx val="3"/>
          <order val="3"/>
          <tx>
            <strRef>
              <f>'AdTech Октябрь'!Q36</f>
            </strRef>
          </tx>
          <spPr>
            <a:solidFill xmlns:a="http://schemas.openxmlformats.org/drawingml/2006/main">
              <a:srgbClr val="1AA06D"/>
            </a:solidFill>
            <a:ln xmlns:a="http://schemas.openxmlformats.org/drawingml/2006/main">
              <a:solidFill>
                <a:srgbClr val="1AA06D"/>
              </a:solidFill>
              <a:prstDash val="solid"/>
            </a:ln>
          </spPr>
          <dLbls>
            <numFmt formatCode="+#,##0;+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Октябрь'!$B$37:$B$51</f>
            </numRef>
          </cat>
          <val>
            <numRef>
              <f>'AdTech Октябрь'!$Q$37:$Q$51</f>
            </numRef>
          </val>
        </ser>
        <ser>
          <idx val="4"/>
          <order val="4"/>
          <tx>
            <strRef>
              <f>'AdTech Октябрь'!R36</f>
            </strRef>
          </tx>
          <spPr>
            <a:solidFill xmlns:a="http://schemas.openxmlformats.org/drawingml/2006/main">
              <a:srgbClr val="D9002B"/>
            </a:solidFill>
            <a:ln xmlns:a="http://schemas.openxmlformats.org/drawingml/2006/main">
              <a:solidFill>
                <a:srgbClr val="D9002B"/>
              </a:solidFill>
              <a:prstDash val="solid"/>
            </a:ln>
          </spPr>
          <dLbls>
            <numFmt formatCode="-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Октябрь'!$B$37:$B$51</f>
            </numRef>
          </cat>
          <val>
            <numRef>
              <f>'AdTech Октябрь'!$R$37:$R$51</f>
            </numRef>
          </val>
        </ser>
        <ser>
          <idx val="5"/>
          <order val="5"/>
          <tx>
            <strRef>
              <f>'AdTech Октябрь'!S36</f>
            </strRef>
          </tx>
          <spPr>
            <a:solidFill xmlns:a="http://schemas.openxmlformats.org/drawingml/2006/main">
              <a:srgbClr val="D9002B"/>
            </a:solidFill>
            <a:ln xmlns:a="http://schemas.openxmlformats.org/drawingml/2006/main">
              <a:solidFill>
                <a:srgbClr val="D9002B"/>
              </a:solidFill>
              <a:prstDash val="solid"/>
            </a:ln>
          </spPr>
          <dLbls>
            <numFmt formatCode="-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Октябрь'!$B$37:$B$51</f>
            </numRef>
          </cat>
          <val>
            <numRef>
              <f>'AdTech Октябрь'!$S$37:$S$51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262626"/>
                </a:solidFill>
                <a:latin typeface="Arial"/>
                <a:cs typeface="Arial"/>
              </a:defRPr>
            </a:pPr>
            <a:r>
              <a:t/>
            </a:r>
            <a:endParaRPr sz="800" b="0">
              <a:solidFill>
                <a:srgbClr val="262626"/>
              </a:solidFill>
              <a:latin typeface="Arial"/>
              <a:cs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262626"/>
                </a:solidFill>
                <a:latin typeface="Arial"/>
                <a:cs typeface="Arial"/>
              </a:defRPr>
            </a:pPr>
            <a:r>
              <a:t/>
            </a:r>
            <a:endParaRPr sz="800" b="0">
              <a:solidFill>
                <a:srgbClr val="262626"/>
              </a:solidFill>
              <a:latin typeface="Arial"/>
              <a:cs typeface="Arial"/>
            </a:endParaRPr>
          </a:p>
        </txPr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barChart>
        <barDir val="col"/>
        <grouping val="stacked"/>
        <ser>
          <idx val="0"/>
          <order val="0"/>
          <tx>
            <strRef>
              <f>'AdTech Сентябрь'!N36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'AdTech Сентябрь'!$B$37:$B$51</f>
            </numRef>
          </cat>
          <val>
            <numRef>
              <f>'AdTech Сентябрь'!$N$37:$N$51</f>
            </numRef>
          </val>
        </ser>
        <ser>
          <idx val="1"/>
          <order val="1"/>
          <tx>
            <strRef>
              <f>'AdTech Сентябрь'!O36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dLbls>
            <numFmt formatCode="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Сентябрь'!$B$37:$B$51</f>
            </numRef>
          </cat>
          <val>
            <numRef>
              <f>'AdTech Сентябрь'!$O$37:$O$51</f>
            </numRef>
          </val>
        </ser>
        <ser>
          <idx val="2"/>
          <order val="2"/>
          <tx>
            <strRef>
              <f>'AdTech Сентябрь'!P36</f>
            </strRef>
          </tx>
          <spPr>
            <a:solidFill xmlns:a="http://schemas.openxmlformats.org/drawingml/2006/main">
              <a:srgbClr val="1AA06D"/>
            </a:solidFill>
            <a:ln xmlns:a="http://schemas.openxmlformats.org/drawingml/2006/main">
              <a:solidFill>
                <a:srgbClr val="1AA06D"/>
              </a:solidFill>
              <a:prstDash val="solid"/>
            </a:ln>
          </spPr>
          <dLbls>
            <numFmt formatCode="+#,##0;+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Сентябрь'!$B$37:$B$51</f>
            </numRef>
          </cat>
          <val>
            <numRef>
              <f>'AdTech Сентябрь'!$P$37:$P$51</f>
            </numRef>
          </val>
        </ser>
        <ser>
          <idx val="3"/>
          <order val="3"/>
          <tx>
            <strRef>
              <f>'AdTech Сентябрь'!Q36</f>
            </strRef>
          </tx>
          <spPr>
            <a:solidFill xmlns:a="http://schemas.openxmlformats.org/drawingml/2006/main">
              <a:srgbClr val="1AA06D"/>
            </a:solidFill>
            <a:ln xmlns:a="http://schemas.openxmlformats.org/drawingml/2006/main">
              <a:solidFill>
                <a:srgbClr val="1AA06D"/>
              </a:solidFill>
              <a:prstDash val="solid"/>
            </a:ln>
          </spPr>
          <dLbls>
            <numFmt formatCode="+#,##0;+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Сентябрь'!$B$37:$B$51</f>
            </numRef>
          </cat>
          <val>
            <numRef>
              <f>'AdTech Сентябрь'!$Q$37:$Q$51</f>
            </numRef>
          </val>
        </ser>
        <ser>
          <idx val="4"/>
          <order val="4"/>
          <tx>
            <strRef>
              <f>'AdTech Сентябрь'!R36</f>
            </strRef>
          </tx>
          <spPr>
            <a:solidFill xmlns:a="http://schemas.openxmlformats.org/drawingml/2006/main">
              <a:srgbClr val="D9002B"/>
            </a:solidFill>
            <a:ln xmlns:a="http://schemas.openxmlformats.org/drawingml/2006/main">
              <a:solidFill>
                <a:srgbClr val="D9002B"/>
              </a:solidFill>
              <a:prstDash val="solid"/>
            </a:ln>
          </spPr>
          <dLbls>
            <numFmt formatCode="-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Сентябрь'!$B$37:$B$51</f>
            </numRef>
          </cat>
          <val>
            <numRef>
              <f>'AdTech Сентябрь'!$R$37:$R$51</f>
            </numRef>
          </val>
        </ser>
        <ser>
          <idx val="5"/>
          <order val="5"/>
          <tx>
            <strRef>
              <f>'AdTech Сентябрь'!S36</f>
            </strRef>
          </tx>
          <spPr>
            <a:solidFill xmlns:a="http://schemas.openxmlformats.org/drawingml/2006/main">
              <a:srgbClr val="D9002B"/>
            </a:solidFill>
            <a:ln xmlns:a="http://schemas.openxmlformats.org/drawingml/2006/main">
              <a:solidFill>
                <a:srgbClr val="D9002B"/>
              </a:solidFill>
              <a:prstDash val="solid"/>
            </a:ln>
          </spPr>
          <dLbls>
            <numFmt formatCode="-#,##0;-#,##0;;" sourceLinked="0"/>
            <txPr>
              <a:bodyPr xmlns:a="http://schemas.openxmlformats.org/drawingml/2006/main"/>
              <a:p xmlns:a="http://schemas.openxmlformats.org/drawingml/2006/main">
                <a:pPr>
                  <a:defRPr sz="800" b="1">
                    <a:solidFill>
                      <a:srgbClr val="262626"/>
                    </a:solidFill>
                    <a:latin typeface="Arial"/>
                    <a:cs typeface="Arial"/>
                  </a:defRPr>
                </a:pPr>
                <a:r>
                  <a:t/>
                </a:r>
                <a:endParaRPr sz="800" b="1">
                  <a:solidFill>
                    <a:srgbClr val="262626"/>
                  </a:solidFill>
                  <a:latin typeface="Arial"/>
                  <a:cs typeface="Arial"/>
                </a:endParaRPr>
              </a:p>
            </txPr>
            <dLblPos val="ctr"/>
            <showLegendKey val="0"/>
            <showVal val="1"/>
            <showCatName val="0"/>
            <showSerName val="0"/>
          </dLbls>
          <cat>
            <numRef>
              <f>'AdTech Сентябрь'!$B$37:$B$51</f>
            </numRef>
          </cat>
          <val>
            <numRef>
              <f>'AdTech Сентябрь'!$S$37:$S$51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262626"/>
                </a:solidFill>
                <a:latin typeface="Arial"/>
                <a:cs typeface="Arial"/>
              </a:defRPr>
            </a:pPr>
            <a:r>
              <a:t/>
            </a:r>
            <a:endParaRPr sz="800" b="0">
              <a:solidFill>
                <a:srgbClr val="262626"/>
              </a:solidFill>
              <a:latin typeface="Arial"/>
              <a:cs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262626"/>
                </a:solidFill>
                <a:latin typeface="Arial"/>
                <a:cs typeface="Arial"/>
              </a:defRPr>
            </a:pPr>
            <a:r>
              <a:t/>
            </a:r>
            <a:endParaRPr sz="800" b="0">
              <a:solidFill>
                <a:srgbClr val="262626"/>
              </a:solidFill>
              <a:latin typeface="Arial"/>
              <a:cs typeface="Arial"/>
            </a:endParaRP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35</row>
      <rowOff>0</rowOff>
    </from>
    <ext cx="84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35</row>
      <rowOff>0</rowOff>
    </from>
    <ext cx="84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Контроль точности прогноза AdTech: факт против прогноза (ACT vs CTRL), 2026</t>
        </is>
      </c>
    </row>
    <row r="3" ht="42" customHeight="1">
      <c r="A3" s="2" t="inlineStr">
        <is>
          <t>Что сравниваем</t>
        </is>
      </c>
      <c r="B3" s="3" t="inlineStr">
        <is>
          <t>Факт месяца (ACT) против прогноза на этот месяц, сделанного после закрытия предыдущего месяца (CTRL): факт сентября — против прогноза 8+4, факт октября — против 9+3 и так далее. Учёт ведётся с сентября 2026: прогнозы на более ранние месяцы не сохранились.</t>
        </is>
      </c>
    </row>
    <row r="4" ht="42" customHeight="1">
      <c r="A4" s="2" t="inlineStr">
        <is>
          <t>Источник</t>
        </is>
      </c>
      <c r="B4" s="3" t="inlineStr">
        <is>
          <t>Мастер-файл AdTech, лист «33 Версии прогноза»: блок текущей версии A8:O38 — 31 строка P&amp;L, млн руб. Версия = номер последнего закрытого месяца. Версия 8 (8+4) взята из журнала мастера, версия 9 (9+3) — из финального мастера Master_AT_Sep_vF.</t>
        </is>
      </c>
    </row>
    <row r="5" ht="42" customHeight="1">
      <c r="A5" s="2" t="inlineStr">
        <is>
          <t>Знак отклонения</t>
        </is>
      </c>
      <c r="B5" s="3" t="inlineStr">
        <is>
          <t>Δ = ACT − CTRL. Расходы в P&amp;L со знаком «−», поэтому Δ &gt; 0 по расходам означает расходы ниже прогноза (в плюс к EBITDA).</t>
        </is>
      </c>
    </row>
    <row r="6" ht="42" customHeight="1">
      <c r="A6" s="2" t="inlineStr">
        <is>
          <t>Точность</t>
        </is>
      </c>
      <c r="B6" s="3" t="inlineStr">
        <is>
          <t>1 − Σ|ACT − CTRL| / Σ|ACT| по строкам группы — та же методика, что на листе «33 Версии прогноза» мастера (F4:H4).</t>
        </is>
      </c>
    </row>
    <row r="7" ht="42" customHeight="1">
      <c r="A7" s="2" t="inlineStr">
        <is>
          <t>Бридж EBITDA</t>
        </is>
      </c>
      <c r="B7" s="3" t="inlineStr">
        <is>
          <t>Абсолютные отклонения по строкам P&amp;L: EBITDA CTRL + Σ Δ по выручке и расходам = EBITDA ACT. Выручка AdTech — 100% Gross Revenue, поэтому разложение «доля в выручке × выручка», как в файле OMNI, здесь не используется.</t>
        </is>
      </c>
    </row>
    <row r="9">
      <c r="A9" s="4" t="inlineStr">
        <is>
          <t>Ежемесячно</t>
        </is>
      </c>
    </row>
    <row r="10" ht="28" customHeight="1">
      <c r="A10" s="3" t="inlineStr">
        <is>
          <t>1. Закрыть месяц в мастере и сохранить версию на листе «33 Версии прогноза».</t>
        </is>
      </c>
    </row>
    <row r="11" ht="28" customHeight="1">
      <c r="A11" s="3" t="inlineStr">
        <is>
          <t>2. Скопировать '33 Версии прогноза'!A8:O38 значениями и вставить на лист «Журнал» в первую пустую строку (столбцы A:O).</t>
        </is>
      </c>
    </row>
    <row r="12" ht="28" customHeight="1">
      <c r="A12" s="3" t="inlineStr">
        <is>
          <t>3. Проверить статус версии в таблице ниже: 31 строка, «ОК».</t>
        </is>
      </c>
    </row>
    <row r="13" ht="28" customHeight="1">
      <c r="A13" s="3" t="inlineStr">
        <is>
          <t>4. Листы месяца заполнятся сами: внести комментарии в столбец «Комментарий» — в первую очередь по строкам с отметкой «да».</t>
        </is>
      </c>
    </row>
    <row r="14" ht="28" customHeight="1">
      <c r="A14" s="3" t="inlineStr">
        <is>
          <t>5. Новый месяц: скопировать листы «AdTech Октябрь» и «CTRL Октябрь», переименовать и поставить номер месяца в ячейке C2 на каждом. Лист «AdTech 2026» обновляется сам.</t>
        </is>
      </c>
    </row>
    <row r="16">
      <c r="A16" s="4" t="inlineStr">
        <is>
          <t>Параметры</t>
        </is>
      </c>
    </row>
    <row r="17">
      <c r="A17" s="5" t="inlineStr">
        <is>
          <t>Порог для отметки «нужен комментарий»: |Δ|, млн руб.</t>
        </is>
      </c>
      <c r="E17" s="6" t="n">
        <v>10</v>
      </c>
    </row>
    <row r="18">
      <c r="A18" s="5" t="inlineStr">
        <is>
          <t>Порог для отметки «нужен комментарий»: |Δ| к CTRL, %</t>
        </is>
      </c>
      <c r="E18" s="7" t="n">
        <v>0.1</v>
      </c>
    </row>
    <row r="19">
      <c r="A19" s="8" t="inlineStr">
        <is>
          <t>Отметка ставится, если выполнены оба условия; ввод — синий шрифт на жёлтом фоне, комментарии — светло-жёлтые ячейки.</t>
        </is>
      </c>
    </row>
    <row r="21">
      <c r="A21" s="4" t="inlineStr">
        <is>
          <t>Статус версий в журнале</t>
        </is>
      </c>
    </row>
    <row r="22">
      <c r="A22" s="9" t="inlineStr">
        <is>
          <t>Версия</t>
        </is>
      </c>
      <c r="B22" s="9" t="inlineStr">
        <is>
          <t>Прогноз</t>
        </is>
      </c>
      <c r="C22" s="9" t="inlineStr">
        <is>
          <t>Строк</t>
        </is>
      </c>
      <c r="D22" s="9" t="inlineStr">
        <is>
          <t>Статус</t>
        </is>
      </c>
    </row>
    <row r="23">
      <c r="A23" s="10" t="n">
        <v>8</v>
      </c>
      <c r="B23" s="10" t="inlineStr">
        <is>
          <t>8+4</t>
        </is>
      </c>
      <c r="C23" s="10">
        <f>COUNTIF(Журнал!$A$5:$A$1000,A23)</f>
        <v>31</v>
      </c>
      <c r="D23" s="5" t="str">
        <f>IF(C23=0,"не загружена",IF(AND(C23=31,SUMPRODUCT(--(COUNTIFS(Журнал!$A$5:$A$1000,A23,Журнал!$B$5:$B$1000,Расчёт!$A$6:$A$36)=1))=31),"ОК","проверить: строк "&amp;C23&amp;", найдено статей "&amp;SUMPRODUCT(--(COUNTIFS(Журнал!$A$5:$A$1000,A23,Журнал!$B$5:$B$1000,Расчёт!$A$6:$A$36)=1))&amp;" из 31"))</f>
        <v>ОК</v>
      </c>
    </row>
    <row r="24">
      <c r="A24" s="10" t="n">
        <v>9</v>
      </c>
      <c r="B24" s="10" t="inlineStr">
        <is>
          <t>9+3</t>
        </is>
      </c>
      <c r="C24" s="10">
        <f>COUNTIF(Журнал!$A$5:$A$1000,A24)</f>
        <v>31</v>
      </c>
      <c r="D24" s="5" t="str">
        <f>IF(C24=0,"не загружена",IF(AND(C24=31,SUMPRODUCT(--(COUNTIFS(Журнал!$A$5:$A$1000,A24,Журнал!$B$5:$B$1000,Расчёт!$A$6:$A$36)=1))=31),"ОК","проверить: строк "&amp;C24&amp;", найдено статей "&amp;SUMPRODUCT(--(COUNTIFS(Журнал!$A$5:$A$1000,A24,Журнал!$B$5:$B$1000,Расчёт!$A$6:$A$36)=1))&amp;" из 31"))</f>
        <v>ОК</v>
      </c>
    </row>
    <row r="25">
      <c r="A25" s="10" t="n">
        <v>10</v>
      </c>
      <c r="B25" s="10" t="inlineStr">
        <is>
          <t>10+2</t>
        </is>
      </c>
      <c r="C25" s="10">
        <f>COUNTIF(Журнал!$A$5:$A$1000,A25)</f>
        <v>0</v>
      </c>
      <c r="D25" s="5" t="str">
        <f>IF(C25=0,"не загружена",IF(AND(C25=31,SUMPRODUCT(--(COUNTIFS(Журнал!$A$5:$A$1000,A25,Журнал!$B$5:$B$1000,Расчёт!$A$6:$A$36)=1))=31),"ОК","проверить: строк "&amp;C25&amp;", найдено статей "&amp;SUMPRODUCT(--(COUNTIFS(Журнал!$A$5:$A$1000,A25,Журнал!$B$5:$B$1000,Расчёт!$A$6:$A$36)=1))&amp;" из 31"))</f>
        <v>не загружена</v>
      </c>
    </row>
    <row r="26">
      <c r="A26" s="10" t="n">
        <v>11</v>
      </c>
      <c r="B26" s="10" t="inlineStr">
        <is>
          <t>11+1</t>
        </is>
      </c>
      <c r="C26" s="10">
        <f>COUNTIF(Журнал!$A$5:$A$1000,A26)</f>
        <v>0</v>
      </c>
      <c r="D26" s="5" t="str">
        <f>IF(C26=0,"не загружена",IF(AND(C26=31,SUMPRODUCT(--(COUNTIFS(Журнал!$A$5:$A$1000,A26,Журнал!$B$5:$B$1000,Расчёт!$A$6:$A$36)=1))=31),"ОК","проверить: строк "&amp;C26&amp;", найдено статей "&amp;SUMPRODUCT(--(COUNTIFS(Журнал!$A$5:$A$1000,A26,Журнал!$B$5:$B$1000,Расчёт!$A$6:$A$36)=1))&amp;" из 31"))</f>
        <v>не загружена</v>
      </c>
    </row>
    <row r="27">
      <c r="A27" s="10" t="n">
        <v>12</v>
      </c>
      <c r="B27" s="10" t="inlineStr">
        <is>
          <t>12+0</t>
        </is>
      </c>
      <c r="C27" s="10">
        <f>COUNTIF(Журнал!$A$5:$A$1000,A27)</f>
        <v>0</v>
      </c>
      <c r="D27" s="5" t="str">
        <f>IF(C27=0,"не загружена",IF(AND(C27=31,SUMPRODUCT(--(COUNTIFS(Журнал!$A$5:$A$1000,A27,Журнал!$B$5:$B$1000,Расчёт!$A$6:$A$36)=1))=31),"ОК","проверить: строк "&amp;C27&amp;", найдено статей "&amp;SUMPRODUCT(--(COUNTIFS(Журнал!$A$5:$A$1000,A27,Журнал!$B$5:$B$1000,Расчёт!$A$6:$A$36)=1))&amp;" из 31"))</f>
        <v>не загружена</v>
      </c>
    </row>
    <row r="29">
      <c r="A29" s="4" t="inlineStr">
        <is>
          <t>Листы</t>
        </is>
      </c>
    </row>
    <row r="30">
      <c r="A30" s="11" t="inlineStr">
        <is>
          <t>AdTech 2026</t>
        </is>
      </c>
      <c r="B30" s="3" t="inlineStr">
        <is>
          <t>Свод по месяцам с сентября и накопленно по закрытым месяцам; точность прогноза по месяцам.</t>
        </is>
      </c>
    </row>
    <row r="31">
      <c r="A31" s="11" t="inlineStr">
        <is>
          <t>AdTech &lt;месяц&gt;</t>
        </is>
      </c>
      <c r="B31" s="3" t="inlineStr">
        <is>
          <t>Управленческий вид: ABS и % GR, отклонения, комментарии, точность, бридж EBITDA с графиком.</t>
        </is>
      </c>
    </row>
    <row r="32">
      <c r="A32" s="11" t="inlineStr">
        <is>
          <t>CTRL &lt;месяц&gt;</t>
        </is>
      </c>
      <c r="B32" s="3" t="inlineStr">
        <is>
          <t>Полный P&amp;L из журнала (31 строка): направления, расходы, КПЭ, сегменты выручки.</t>
        </is>
      </c>
    </row>
    <row r="33">
      <c r="A33" s="11" t="inlineStr">
        <is>
          <t>Журнал</t>
        </is>
      </c>
      <c r="B33" s="3" t="inlineStr">
        <is>
          <t>Версии прогноза из мастера (ввод).</t>
        </is>
      </c>
    </row>
    <row r="34">
      <c r="A34" s="11" t="inlineStr">
        <is>
          <t>Расчёт</t>
        </is>
      </c>
      <c r="B34" s="3" t="inlineStr">
        <is>
          <t>Служебный: факт и CTRL по месяцам, суммы для точности.</t>
        </is>
      </c>
    </row>
    <row r="36" ht="42" customHeight="1">
      <c r="A36" s="2" t="inlineStr">
        <is>
          <t>Примечание</t>
        </is>
      </c>
      <c r="B36" s="3" t="inlineStr">
        <is>
          <t>В журнале мастера версия 9 сохранена до финальных правок (EBITDA 2026 — 8 220,1 млн руб. против 8 333,2 в финальном мастере). Здесь версия 9 взята из финального мастера. До закрытия октября версию 9 в журнале мастера стоит пересохранить, чтобы точность на листе «33» считалась от той же версии.</t>
        </is>
      </c>
    </row>
  </sheetData>
  <mergeCells count="28">
    <mergeCell ref="A9:H9"/>
    <mergeCell ref="A17:D17"/>
    <mergeCell ref="B6:H6"/>
    <mergeCell ref="B30:H30"/>
    <mergeCell ref="A11:H11"/>
    <mergeCell ref="B33:H33"/>
    <mergeCell ref="B5:H5"/>
    <mergeCell ref="B36:H36"/>
    <mergeCell ref="B32:H32"/>
    <mergeCell ref="B4:H4"/>
    <mergeCell ref="A16:H16"/>
    <mergeCell ref="D27:H27"/>
    <mergeCell ref="B7:H7"/>
    <mergeCell ref="B3:H3"/>
    <mergeCell ref="B31:H31"/>
    <mergeCell ref="A12:H12"/>
    <mergeCell ref="A21:H21"/>
    <mergeCell ref="A14:H14"/>
    <mergeCell ref="A18:D18"/>
    <mergeCell ref="D25:H25"/>
    <mergeCell ref="A29:H29"/>
    <mergeCell ref="D24:H24"/>
    <mergeCell ref="A10:H10"/>
    <mergeCell ref="A13:H13"/>
    <mergeCell ref="A19:H19"/>
    <mergeCell ref="D23:H23"/>
    <mergeCell ref="B34:H34"/>
    <mergeCell ref="D26:H26"/>
  </mergeCell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34"/>
  <sheetViews>
    <sheetView showGridLines="0" zoomScale="85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2" customWidth="1" min="2" max="2"/>
    <col width="9" customWidth="1" min="3" max="3"/>
    <col width="7.5" customWidth="1" min="4" max="4"/>
    <col width="9" customWidth="1" min="5" max="5"/>
    <col width="7.5" customWidth="1" min="6" max="6"/>
    <col width="9" customWidth="1" min="7" max="7"/>
    <col width="7.5" customWidth="1" min="8" max="8"/>
    <col width="9" customWidth="1" min="9" max="9"/>
    <col width="7.5" customWidth="1" min="10" max="10"/>
    <col width="9" customWidth="1" min="11" max="11"/>
    <col width="7.5" customWidth="1" min="12" max="12"/>
    <col width="9" customWidth="1" min="13" max="13"/>
    <col width="7.5" customWidth="1" min="14" max="14"/>
    <col width="9" customWidth="1" min="15" max="15"/>
    <col width="7.5" customWidth="1" min="16" max="16"/>
    <col width="9" customWidth="1" min="17" max="17"/>
    <col width="7.5" customWidth="1" min="18" max="18"/>
    <col width="9" customWidth="1" min="19" max="19"/>
    <col width="7.5" customWidth="1" min="20" max="20"/>
    <col width="9" customWidth="1" min="21" max="21"/>
    <col width="7.5" customWidth="1" min="22" max="22"/>
    <col width="9" customWidth="1" min="23" max="23"/>
    <col width="7.5" customWidth="1" min="24" max="24"/>
    <col width="9" customWidth="1" min="25" max="25"/>
    <col width="7.5" customWidth="1" min="26" max="26"/>
    <col width="9" customWidth="1" min="27" max="27"/>
    <col width="7.5" customWidth="1" min="28" max="28"/>
    <col width="9" customWidth="1" min="29" max="29"/>
    <col width="7.5" customWidth="1" min="30" max="30"/>
    <col width="9" customWidth="1" min="31" max="31"/>
    <col width="7.5" customWidth="1" min="32" max="32"/>
  </cols>
  <sheetData>
    <row r="1">
      <c r="B1" s="1" t="inlineStr">
        <is>
          <t>AdTech | 2026 | факт против прогноза (ACT vs CTRL) по месяцам, млн руб.</t>
        </is>
      </c>
    </row>
    <row r="2">
      <c r="B2" s="12" t="inlineStr">
        <is>
          <t>№ месяца / флаги: факт, прогноз, оба</t>
        </is>
      </c>
      <c r="C2" s="13" t="n">
        <v>9</v>
      </c>
      <c r="D2" s="13" t="b">
        <f>INDEX(Расчёт!$D$4:$O$4,1,C$2)</f>
        <v>1</v>
      </c>
      <c r="E2" s="13" t="b">
        <f>INDEX(Расчёт!$Q$4:$AB$4,1,C$2)</f>
        <v>1</v>
      </c>
      <c r="F2" s="13" t="b">
        <f>AND(D2,E2)</f>
        <v>1</v>
      </c>
      <c r="I2" s="13" t="n">
        <v>10</v>
      </c>
      <c r="J2" s="13" t="b">
        <f>INDEX(Расчёт!$D$4:$O$4,1,I$2)</f>
        <v>0</v>
      </c>
      <c r="K2" s="13" t="b">
        <f>INDEX(Расчёт!$Q$4:$AB$4,1,I$2)</f>
        <v>1</v>
      </c>
      <c r="L2" s="13" t="b">
        <f>AND(J2,K2)</f>
        <v>0</v>
      </c>
      <c r="O2" s="13" t="n">
        <v>11</v>
      </c>
      <c r="P2" s="13" t="b">
        <f>INDEX(Расчёт!$D$4:$O$4,1,O$2)</f>
        <v>0</v>
      </c>
      <c r="Q2" s="13" t="b">
        <f>INDEX(Расчёт!$Q$4:$AB$4,1,O$2)</f>
        <v>0</v>
      </c>
      <c r="R2" s="13" t="b">
        <f>AND(P2,Q2)</f>
        <v>0</v>
      </c>
      <c r="U2" s="13" t="n">
        <v>12</v>
      </c>
      <c r="V2" s="13" t="b">
        <f>INDEX(Расчёт!$D$4:$O$4,1,U$2)</f>
        <v>0</v>
      </c>
      <c r="W2" s="13" t="b">
        <f>INDEX(Расчёт!$Q$4:$AB$4,1,U$2)</f>
        <v>0</v>
      </c>
      <c r="X2" s="13" t="b">
        <f>AND(V2,W2)</f>
        <v>0</v>
      </c>
    </row>
    <row r="3">
      <c r="C3" s="14" t="str">
        <f>"Сентябрь"&amp;IF(D$2,""," — факт ожидается")</f>
        <v>Сентябрь</v>
      </c>
      <c r="I3" s="14" t="str">
        <f>"Октябрь"&amp;IF(J$2,""," — факт ожидается")</f>
        <v>Октябрь — факт ожидается</v>
      </c>
      <c r="O3" s="14" t="str">
        <f>"Ноябрь"&amp;IF(P$2,""," — факт ожидается")</f>
        <v>Ноябрь — факт ожидается</v>
      </c>
      <c r="U3" s="14" t="str">
        <f>"Декабрь"&amp;IF(V$2,""," — факт ожидается")</f>
        <v>Декабрь — факт ожидается</v>
      </c>
      <c r="AA3" s="14" t="inlineStr">
        <is>
          <t>С сентября: закрытые месяцы</t>
        </is>
      </c>
    </row>
    <row r="4">
      <c r="C4" s="9" t="inlineStr">
        <is>
          <t>ACT 2026</t>
        </is>
      </c>
      <c r="E4" s="9" t="str">
        <f>"CTRL 2026 ("&amp;(C$2-1)&amp;"+"&amp;(13-C$2)&amp;")"</f>
        <v>CTRL 2026 (8+4)</v>
      </c>
      <c r="G4" s="9" t="inlineStr">
        <is>
          <t>ACT vs CTRL</t>
        </is>
      </c>
      <c r="I4" s="9" t="inlineStr">
        <is>
          <t>ACT 2026</t>
        </is>
      </c>
      <c r="K4" s="9" t="str">
        <f>"CTRL 2026 ("&amp;(I$2-1)&amp;"+"&amp;(13-I$2)&amp;")"</f>
        <v>CTRL 2026 (9+3)</v>
      </c>
      <c r="M4" s="9" t="inlineStr">
        <is>
          <t>ACT vs CTRL</t>
        </is>
      </c>
      <c r="O4" s="9" t="inlineStr">
        <is>
          <t>ACT 2026</t>
        </is>
      </c>
      <c r="Q4" s="9" t="str">
        <f>"CTRL 2026 ("&amp;(O$2-1)&amp;"+"&amp;(13-O$2)&amp;")"</f>
        <v>CTRL 2026 (10+2)</v>
      </c>
      <c r="S4" s="9" t="inlineStr">
        <is>
          <t>ACT vs CTRL</t>
        </is>
      </c>
      <c r="U4" s="9" t="inlineStr">
        <is>
          <t>ACT 2026</t>
        </is>
      </c>
      <c r="W4" s="9" t="str">
        <f>"CTRL 2026 ("&amp;(U$2-1)&amp;"+"&amp;(13-U$2)&amp;")"</f>
        <v>CTRL 2026 (11+1)</v>
      </c>
      <c r="Y4" s="9" t="inlineStr">
        <is>
          <t>ACT vs CTRL</t>
        </is>
      </c>
      <c r="AA4" s="9" t="inlineStr">
        <is>
          <t>ACT 2026</t>
        </is>
      </c>
      <c r="AC4" s="9" t="inlineStr">
        <is>
          <t>CTRL 2026</t>
        </is>
      </c>
      <c r="AE4" s="9" t="inlineStr">
        <is>
          <t>ACT vs CTRL</t>
        </is>
      </c>
    </row>
    <row r="5">
      <c r="B5" s="15" t="inlineStr">
        <is>
          <t>млн руб.</t>
        </is>
      </c>
      <c r="C5" s="9" t="inlineStr">
        <is>
          <t>ABS</t>
        </is>
      </c>
      <c r="D5" s="9" t="inlineStr">
        <is>
          <t>% GR</t>
        </is>
      </c>
      <c r="E5" s="9" t="inlineStr">
        <is>
          <t>ABS</t>
        </is>
      </c>
      <c r="F5" s="9" t="inlineStr">
        <is>
          <t>% GR</t>
        </is>
      </c>
      <c r="G5" s="9" t="inlineStr">
        <is>
          <t>ABS</t>
        </is>
      </c>
      <c r="H5" s="9" t="inlineStr">
        <is>
          <t>п.п. GR</t>
        </is>
      </c>
      <c r="I5" s="9" t="inlineStr">
        <is>
          <t>ABS</t>
        </is>
      </c>
      <c r="J5" s="9" t="inlineStr">
        <is>
          <t>% GR</t>
        </is>
      </c>
      <c r="K5" s="9" t="inlineStr">
        <is>
          <t>ABS</t>
        </is>
      </c>
      <c r="L5" s="9" t="inlineStr">
        <is>
          <t>% GR</t>
        </is>
      </c>
      <c r="M5" s="9" t="inlineStr">
        <is>
          <t>ABS</t>
        </is>
      </c>
      <c r="N5" s="9" t="inlineStr">
        <is>
          <t>п.п. GR</t>
        </is>
      </c>
      <c r="O5" s="9" t="inlineStr">
        <is>
          <t>ABS</t>
        </is>
      </c>
      <c r="P5" s="9" t="inlineStr">
        <is>
          <t>% GR</t>
        </is>
      </c>
      <c r="Q5" s="9" t="inlineStr">
        <is>
          <t>ABS</t>
        </is>
      </c>
      <c r="R5" s="9" t="inlineStr">
        <is>
          <t>% GR</t>
        </is>
      </c>
      <c r="S5" s="9" t="inlineStr">
        <is>
          <t>ABS</t>
        </is>
      </c>
      <c r="T5" s="9" t="inlineStr">
        <is>
          <t>п.п. GR</t>
        </is>
      </c>
      <c r="U5" s="9" t="inlineStr">
        <is>
          <t>ABS</t>
        </is>
      </c>
      <c r="V5" s="9" t="inlineStr">
        <is>
          <t>% GR</t>
        </is>
      </c>
      <c r="W5" s="9" t="inlineStr">
        <is>
          <t>ABS</t>
        </is>
      </c>
      <c r="X5" s="9" t="inlineStr">
        <is>
          <t>% GR</t>
        </is>
      </c>
      <c r="Y5" s="9" t="inlineStr">
        <is>
          <t>ABS</t>
        </is>
      </c>
      <c r="Z5" s="9" t="inlineStr">
        <is>
          <t>п.п. GR</t>
        </is>
      </c>
      <c r="AA5" s="9" t="inlineStr">
        <is>
          <t>ABS</t>
        </is>
      </c>
      <c r="AB5" s="9" t="inlineStr">
        <is>
          <t>% GR</t>
        </is>
      </c>
      <c r="AC5" s="9" t="inlineStr">
        <is>
          <t>ABS</t>
        </is>
      </c>
      <c r="AD5" s="9" t="inlineStr">
        <is>
          <t>% GR</t>
        </is>
      </c>
      <c r="AE5" s="9" t="inlineStr">
        <is>
          <t>ABS</t>
        </is>
      </c>
      <c r="AF5" s="9" t="inlineStr">
        <is>
          <t>п.п. GR</t>
        </is>
      </c>
    </row>
    <row r="6">
      <c r="A6" t="inlineStr">
        <is>
          <t>Gross Revenue</t>
        </is>
      </c>
      <c r="B6" s="16" t="inlineStr">
        <is>
          <t>Gross Revenue</t>
        </is>
      </c>
      <c r="C6" s="17">
        <f>IF(D$2,SUMIFS(INDEX(Расчёт!$D$6:$O$36,0,C$2),Расчёт!$B$6:$B$36,$A6),"")</f>
        <v>1183.19316312549</v>
      </c>
      <c r="D6" s="18">
        <f>IF(AND(ISNUMBER(C6),ISNUMBER(C$6)),IF(C$6=0,"",C6/C$6),"")</f>
        <v>1</v>
      </c>
      <c r="E6" s="17">
        <f>IF(E$2,SUMIFS(INDEX(Расчёт!$Q$6:$AB$36,0,C$2),Расчёт!$B$6:$B$36,$A6),"")</f>
        <v>1126.20049337253</v>
      </c>
      <c r="F6" s="18">
        <f>IF(AND(ISNUMBER(E6),ISNUMBER(E$6)),IF(E$6=0,"",E6/E$6),"")</f>
        <v>1</v>
      </c>
      <c r="G6" s="19">
        <f>IF(AND(ISNUMBER(C6),ISNUMBER(E6)),C6-E6,"")</f>
        <v>56.99266975296</v>
      </c>
      <c r="H6" s="20">
        <f>IF(AND(ISNUMBER(D6),ISNUMBER(F6)),D6-F6,"")</f>
        <v>0</v>
      </c>
      <c r="I6" s="17" t="str">
        <f>IF(J$2,SUMIFS(INDEX(Расчёт!$D$6:$O$36,0,I$2),Расчёт!$B$6:$B$36,$A6),"")</f>
        <v/>
      </c>
      <c r="J6" s="18" t="str">
        <f>IF(AND(ISNUMBER(I6),ISNUMBER(I$6)),IF(I$6=0,"",I6/I$6),"")</f>
        <v/>
      </c>
      <c r="K6" s="17">
        <f>IF(K$2,SUMIFS(INDEX(Расчёт!$Q$6:$AB$36,0,I$2),Расчёт!$B$6:$B$36,$A6),"")</f>
        <v>971.690946047959</v>
      </c>
      <c r="L6" s="18">
        <f>IF(AND(ISNUMBER(K6),ISNUMBER(K$6)),IF(K$6=0,"",K6/K$6),"")</f>
        <v>1</v>
      </c>
      <c r="M6" s="19" t="str">
        <f>IF(AND(ISNUMBER(I6),ISNUMBER(K6)),I6-K6,"")</f>
        <v/>
      </c>
      <c r="N6" s="20" t="str">
        <f>IF(AND(ISNUMBER(J6),ISNUMBER(L6)),J6-L6,"")</f>
        <v/>
      </c>
      <c r="O6" s="17" t="str">
        <f>IF(P$2,SUMIFS(INDEX(Расчёт!$D$6:$O$36,0,O$2),Расчёт!$B$6:$B$36,$A6),"")</f>
        <v/>
      </c>
      <c r="P6" s="18" t="str">
        <f>IF(AND(ISNUMBER(O6),ISNUMBER(O$6)),IF(O$6=0,"",O6/O$6),"")</f>
        <v/>
      </c>
      <c r="Q6" s="17" t="str">
        <f>IF(Q$2,SUMIFS(INDEX(Расчёт!$Q$6:$AB$36,0,O$2),Расчёт!$B$6:$B$36,$A6),"")</f>
        <v/>
      </c>
      <c r="R6" s="18" t="str">
        <f>IF(AND(ISNUMBER(Q6),ISNUMBER(Q$6)),IF(Q$6=0,"",Q6/Q$6),"")</f>
        <v/>
      </c>
      <c r="S6" s="19" t="str">
        <f>IF(AND(ISNUMBER(O6),ISNUMBER(Q6)),O6-Q6,"")</f>
        <v/>
      </c>
      <c r="T6" s="20" t="str">
        <f>IF(AND(ISNUMBER(P6),ISNUMBER(R6)),P6-R6,"")</f>
        <v/>
      </c>
      <c r="U6" s="17" t="str">
        <f>IF(V$2,SUMIFS(INDEX(Расчёт!$D$6:$O$36,0,U$2),Расчёт!$B$6:$B$36,$A6),"")</f>
        <v/>
      </c>
      <c r="V6" s="18" t="str">
        <f>IF(AND(ISNUMBER(U6),ISNUMBER(U$6)),IF(U$6=0,"",U6/U$6),"")</f>
        <v/>
      </c>
      <c r="W6" s="17" t="str">
        <f>IF(W$2,SUMIFS(INDEX(Расчёт!$Q$6:$AB$36,0,U$2),Расчёт!$B$6:$B$36,$A6),"")</f>
        <v/>
      </c>
      <c r="X6" s="18" t="str">
        <f>IF(AND(ISNUMBER(W6),ISNUMBER(W$6)),IF(W$6=0,"",W6/W$6),"")</f>
        <v/>
      </c>
      <c r="Y6" s="19" t="str">
        <f>IF(AND(ISNUMBER(U6),ISNUMBER(W6)),U6-W6,"")</f>
        <v/>
      </c>
      <c r="Z6" s="20" t="str">
        <f>IF(AND(ISNUMBER(V6),ISNUMBER(X6)),V6-X6,"")</f>
        <v/>
      </c>
      <c r="AA6" s="17">
        <f>IF(OR(F$2,L$2,R$2,X$2),IF(F$2,C6,0)+IF(L$2,I6,0)+IF(R$2,O6,0)+IF(X$2,U6,0),"")</f>
        <v>1183.19316312549</v>
      </c>
      <c r="AB6" s="18">
        <f>IF(AND(ISNUMBER(AA6),ISNUMBER(AA$6)),IF(AA$6=0,"",AA6/AA$6),"")</f>
        <v>1</v>
      </c>
      <c r="AC6" s="17">
        <f>IF(OR(F$2,L$2,R$2,X$2),IF(F$2,E6,0)+IF(L$2,K6,0)+IF(R$2,Q6,0)+IF(X$2,W6,0),"")</f>
        <v>1126.20049337253</v>
      </c>
      <c r="AD6" s="18">
        <f>IF(AND(ISNUMBER(AC6),ISNUMBER(AC$6)),IF(AC$6=0,"",AC6/AC$6),"")</f>
        <v>1</v>
      </c>
      <c r="AE6" s="19">
        <f>IF(AND(ISNUMBER(AA6),ISNUMBER(AC6)),AA6-AC6,"")</f>
        <v>56.99266975296</v>
      </c>
      <c r="AF6" s="20">
        <f>IF(AND(ISNUMBER(AB6),ISNUMBER(AD6)),AB6-AD6,"")</f>
        <v>0</v>
      </c>
    </row>
    <row r="7">
      <c r="A7" t="inlineStr">
        <is>
          <t>APP</t>
        </is>
      </c>
      <c r="B7" s="5" t="inlineStr">
        <is>
          <t xml:space="preserve">    APP</t>
        </is>
      </c>
      <c r="C7" s="21">
        <f>IF(D$2,SUMIFS(INDEX(Расчёт!$D$6:$O$36,0,C$2),Расчёт!$B$6:$B$36,$A7),"")</f>
        <v>457.989994883026</v>
      </c>
      <c r="D7" s="22">
        <f>IF(AND(ISNUMBER(C7),ISNUMBER(C$6)),IF(C$6=0,"",C7/C$6),"")</f>
        <v>0.387079649508127</v>
      </c>
      <c r="E7" s="21">
        <f>IF(E$2,SUMIFS(INDEX(Расчёт!$Q$6:$AB$36,0,C$2),Расчёт!$B$6:$B$36,$A7),"")</f>
        <v>765.326605574604</v>
      </c>
      <c r="F7" s="22">
        <f>IF(AND(ISNUMBER(E7),ISNUMBER(E$6)),IF(E$6=0,"",E7/E$6),"")</f>
        <v>0.679565148548951</v>
      </c>
      <c r="G7" s="23">
        <f>IF(AND(ISNUMBER(C7),ISNUMBER(E7)),C7-E7,"")</f>
        <v>-307.336610691578</v>
      </c>
      <c r="H7" s="24">
        <f>IF(AND(ISNUMBER(D7),ISNUMBER(F7)),D7-F7,"")</f>
        <v>-0.292485499040824</v>
      </c>
      <c r="I7" s="21" t="str">
        <f>IF(J$2,SUMIFS(INDEX(Расчёт!$D$6:$O$36,0,I$2),Расчёт!$B$6:$B$36,$A7),"")</f>
        <v/>
      </c>
      <c r="J7" s="22" t="str">
        <f>IF(AND(ISNUMBER(I7),ISNUMBER(I$6)),IF(I$6=0,"",I7/I$6),"")</f>
        <v/>
      </c>
      <c r="K7" s="21">
        <f>IF(K$2,SUMIFS(INDEX(Расчёт!$Q$6:$AB$36,0,I$2),Расчёт!$B$6:$B$36,$A7),"")</f>
        <v>560.927053331784</v>
      </c>
      <c r="L7" s="22">
        <f>IF(AND(ISNUMBER(K7),ISNUMBER(K$6)),IF(K$6=0,"",K7/K$6),"")</f>
        <v>0.577268992381965</v>
      </c>
      <c r="M7" s="23" t="str">
        <f>IF(AND(ISNUMBER(I7),ISNUMBER(K7)),I7-K7,"")</f>
        <v/>
      </c>
      <c r="N7" s="24" t="str">
        <f>IF(AND(ISNUMBER(J7),ISNUMBER(L7)),J7-L7,"")</f>
        <v/>
      </c>
      <c r="O7" s="21" t="str">
        <f>IF(P$2,SUMIFS(INDEX(Расчёт!$D$6:$O$36,0,O$2),Расчёт!$B$6:$B$36,$A7),"")</f>
        <v/>
      </c>
      <c r="P7" s="22" t="str">
        <f>IF(AND(ISNUMBER(O7),ISNUMBER(O$6)),IF(O$6=0,"",O7/O$6),"")</f>
        <v/>
      </c>
      <c r="Q7" s="21" t="str">
        <f>IF(Q$2,SUMIFS(INDEX(Расчёт!$Q$6:$AB$36,0,O$2),Расчёт!$B$6:$B$36,$A7),"")</f>
        <v/>
      </c>
      <c r="R7" s="22" t="str">
        <f>IF(AND(ISNUMBER(Q7),ISNUMBER(Q$6)),IF(Q$6=0,"",Q7/Q$6),"")</f>
        <v/>
      </c>
      <c r="S7" s="23" t="str">
        <f>IF(AND(ISNUMBER(O7),ISNUMBER(Q7)),O7-Q7,"")</f>
        <v/>
      </c>
      <c r="T7" s="24" t="str">
        <f>IF(AND(ISNUMBER(P7),ISNUMBER(R7)),P7-R7,"")</f>
        <v/>
      </c>
      <c r="U7" s="21" t="str">
        <f>IF(V$2,SUMIFS(INDEX(Расчёт!$D$6:$O$36,0,U$2),Расчёт!$B$6:$B$36,$A7),"")</f>
        <v/>
      </c>
      <c r="V7" s="22" t="str">
        <f>IF(AND(ISNUMBER(U7),ISNUMBER(U$6)),IF(U$6=0,"",U7/U$6),"")</f>
        <v/>
      </c>
      <c r="W7" s="21" t="str">
        <f>IF(W$2,SUMIFS(INDEX(Расчёт!$Q$6:$AB$36,0,U$2),Расчёт!$B$6:$B$36,$A7),"")</f>
        <v/>
      </c>
      <c r="X7" s="22" t="str">
        <f>IF(AND(ISNUMBER(W7),ISNUMBER(W$6)),IF(W$6=0,"",W7/W$6),"")</f>
        <v/>
      </c>
      <c r="Y7" s="23" t="str">
        <f>IF(AND(ISNUMBER(U7),ISNUMBER(W7)),U7-W7,"")</f>
        <v/>
      </c>
      <c r="Z7" s="24" t="str">
        <f>IF(AND(ISNUMBER(V7),ISNUMBER(X7)),V7-X7,"")</f>
        <v/>
      </c>
      <c r="AA7" s="21">
        <f>IF(OR(F$2,L$2,R$2,X$2),IF(F$2,C7,0)+IF(L$2,I7,0)+IF(R$2,O7,0)+IF(X$2,U7,0),"")</f>
        <v>457.989994883026</v>
      </c>
      <c r="AB7" s="22">
        <f>IF(AND(ISNUMBER(AA7),ISNUMBER(AA$6)),IF(AA$6=0,"",AA7/AA$6),"")</f>
        <v>0.387079649508127</v>
      </c>
      <c r="AC7" s="21">
        <f>IF(OR(F$2,L$2,R$2,X$2),IF(F$2,E7,0)+IF(L$2,K7,0)+IF(R$2,Q7,0)+IF(X$2,W7,0),"")</f>
        <v>765.326605574604</v>
      </c>
      <c r="AD7" s="22">
        <f>IF(AND(ISNUMBER(AC7),ISNUMBER(AC$6)),IF(AC$6=0,"",AC7/AC$6),"")</f>
        <v>0.679565148548951</v>
      </c>
      <c r="AE7" s="23">
        <f>IF(AND(ISNUMBER(AA7),ISNUMBER(AC7)),AA7-AC7,"")</f>
        <v>-307.336610691578</v>
      </c>
      <c r="AF7" s="24">
        <f>IF(AND(ISNUMBER(AB7),ISNUMBER(AD7)),AB7-AD7,"")</f>
        <v>-0.292485499040824</v>
      </c>
    </row>
    <row r="8">
      <c r="A8" t="inlineStr">
        <is>
          <t>DMP+Online</t>
        </is>
      </c>
      <c r="B8" s="5" t="inlineStr">
        <is>
          <t xml:space="preserve">    DMP+Online</t>
        </is>
      </c>
      <c r="C8" s="21">
        <f>IF(D$2,SUMIFS(INDEX(Расчёт!$D$6:$O$36,0,C$2),Расчёт!$B$6:$B$36,$A8),"")</f>
        <v>201.669700888808</v>
      </c>
      <c r="D8" s="22">
        <f>IF(AND(ISNUMBER(C8),ISNUMBER(C$6)),IF(C$6=0,"",C8/C$6),"")</f>
        <v>0.17044528921726</v>
      </c>
      <c r="E8" s="21">
        <f>IF(E$2,SUMIFS(INDEX(Расчёт!$Q$6:$AB$36,0,C$2),Расчёт!$B$6:$B$36,$A8),"")</f>
        <v>69.4795829801901</v>
      </c>
      <c r="F8" s="22">
        <f>IF(AND(ISNUMBER(E8),ISNUMBER(E$6)),IF(E$6=0,"",E8/E$6),"")</f>
        <v>0.0616937955444559</v>
      </c>
      <c r="G8" s="23">
        <f>IF(AND(ISNUMBER(C8),ISNUMBER(E8)),C8-E8,"")</f>
        <v>132.190117908618</v>
      </c>
      <c r="H8" s="24">
        <f>IF(AND(ISNUMBER(D8),ISNUMBER(F8)),D8-F8,"")</f>
        <v>0.108751493672804</v>
      </c>
      <c r="I8" s="21" t="str">
        <f>IF(J$2,SUMIFS(INDEX(Расчёт!$D$6:$O$36,0,I$2),Расчёт!$B$6:$B$36,$A8),"")</f>
        <v/>
      </c>
      <c r="J8" s="22" t="str">
        <f>IF(AND(ISNUMBER(I8),ISNUMBER(I$6)),IF(I$6=0,"",I8/I$6),"")</f>
        <v/>
      </c>
      <c r="K8" s="21">
        <f>IF(K$2,SUMIFS(INDEX(Расчёт!$Q$6:$AB$36,0,I$2),Расчёт!$B$6:$B$36,$A8),"")</f>
        <v>91.8189533006459</v>
      </c>
      <c r="L8" s="22">
        <f>IF(AND(ISNUMBER(K8),ISNUMBER(K$6)),IF(K$6=0,"",K8/K$6),"")</f>
        <v>0.0944939887256231</v>
      </c>
      <c r="M8" s="23" t="str">
        <f>IF(AND(ISNUMBER(I8),ISNUMBER(K8)),I8-K8,"")</f>
        <v/>
      </c>
      <c r="N8" s="24" t="str">
        <f>IF(AND(ISNUMBER(J8),ISNUMBER(L8)),J8-L8,"")</f>
        <v/>
      </c>
      <c r="O8" s="21" t="str">
        <f>IF(P$2,SUMIFS(INDEX(Расчёт!$D$6:$O$36,0,O$2),Расчёт!$B$6:$B$36,$A8),"")</f>
        <v/>
      </c>
      <c r="P8" s="22" t="str">
        <f>IF(AND(ISNUMBER(O8),ISNUMBER(O$6)),IF(O$6=0,"",O8/O$6),"")</f>
        <v/>
      </c>
      <c r="Q8" s="21" t="str">
        <f>IF(Q$2,SUMIFS(INDEX(Расчёт!$Q$6:$AB$36,0,O$2),Расчёт!$B$6:$B$36,$A8),"")</f>
        <v/>
      </c>
      <c r="R8" s="22" t="str">
        <f>IF(AND(ISNUMBER(Q8),ISNUMBER(Q$6)),IF(Q$6=0,"",Q8/Q$6),"")</f>
        <v/>
      </c>
      <c r="S8" s="23" t="str">
        <f>IF(AND(ISNUMBER(O8),ISNUMBER(Q8)),O8-Q8,"")</f>
        <v/>
      </c>
      <c r="T8" s="24" t="str">
        <f>IF(AND(ISNUMBER(P8),ISNUMBER(R8)),P8-R8,"")</f>
        <v/>
      </c>
      <c r="U8" s="21" t="str">
        <f>IF(V$2,SUMIFS(INDEX(Расчёт!$D$6:$O$36,0,U$2),Расчёт!$B$6:$B$36,$A8),"")</f>
        <v/>
      </c>
      <c r="V8" s="22" t="str">
        <f>IF(AND(ISNUMBER(U8),ISNUMBER(U$6)),IF(U$6=0,"",U8/U$6),"")</f>
        <v/>
      </c>
      <c r="W8" s="21" t="str">
        <f>IF(W$2,SUMIFS(INDEX(Расчёт!$Q$6:$AB$36,0,U$2),Расчёт!$B$6:$B$36,$A8),"")</f>
        <v/>
      </c>
      <c r="X8" s="22" t="str">
        <f>IF(AND(ISNUMBER(W8),ISNUMBER(W$6)),IF(W$6=0,"",W8/W$6),"")</f>
        <v/>
      </c>
      <c r="Y8" s="23" t="str">
        <f>IF(AND(ISNUMBER(U8),ISNUMBER(W8)),U8-W8,"")</f>
        <v/>
      </c>
      <c r="Z8" s="24" t="str">
        <f>IF(AND(ISNUMBER(V8),ISNUMBER(X8)),V8-X8,"")</f>
        <v/>
      </c>
      <c r="AA8" s="21">
        <f>IF(OR(F$2,L$2,R$2,X$2),IF(F$2,C8,0)+IF(L$2,I8,0)+IF(R$2,O8,0)+IF(X$2,U8,0),"")</f>
        <v>201.669700888808</v>
      </c>
      <c r="AB8" s="22">
        <f>IF(AND(ISNUMBER(AA8),ISNUMBER(AA$6)),IF(AA$6=0,"",AA8/AA$6),"")</f>
        <v>0.17044528921726</v>
      </c>
      <c r="AC8" s="21">
        <f>IF(OR(F$2,L$2,R$2,X$2),IF(F$2,E8,0)+IF(L$2,K8,0)+IF(R$2,Q8,0)+IF(X$2,W8,0),"")</f>
        <v>69.4795829801901</v>
      </c>
      <c r="AD8" s="22">
        <f>IF(AND(ISNUMBER(AC8),ISNUMBER(AC$6)),IF(AC$6=0,"",AC8/AC$6),"")</f>
        <v>0.0616937955444559</v>
      </c>
      <c r="AE8" s="23">
        <f>IF(AND(ISNUMBER(AA8),ISNUMBER(AC8)),AA8-AC8,"")</f>
        <v>132.190117908618</v>
      </c>
      <c r="AF8" s="24">
        <f>IF(AND(ISNUMBER(AB8),ISNUMBER(AD8)),AB8-AD8,"")</f>
        <v>0.108751493672804</v>
      </c>
    </row>
    <row r="9">
      <c r="A9" t="inlineStr">
        <is>
          <t>Instore digital</t>
        </is>
      </c>
      <c r="B9" s="5" t="inlineStr">
        <is>
          <t xml:space="preserve">    Instore digital</t>
        </is>
      </c>
      <c r="C9" s="21">
        <f>IF(D$2,SUMIFS(INDEX(Расчёт!$D$6:$O$36,0,C$2),Расчёт!$B$6:$B$36,$A9),"")</f>
        <v>421.805564119309</v>
      </c>
      <c r="D9" s="22">
        <f>IF(AND(ISNUMBER(C9),ISNUMBER(C$6)),IF(C$6=0,"",C9/C$6),"")</f>
        <v>0.356497634760735</v>
      </c>
      <c r="E9" s="21">
        <f>IF(E$2,SUMIFS(INDEX(Расчёт!$Q$6:$AB$36,0,C$2),Расчёт!$B$6:$B$36,$A9),"")</f>
        <v>161.377206429419</v>
      </c>
      <c r="F9" s="22">
        <f>IF(AND(ISNUMBER(E9),ISNUMBER(E$6)),IF(E$6=0,"",E9/E$6),"")</f>
        <v>0.143293496476953</v>
      </c>
      <c r="G9" s="23">
        <f>IF(AND(ISNUMBER(C9),ISNUMBER(E9)),C9-E9,"")</f>
        <v>260.428357689891</v>
      </c>
      <c r="H9" s="24">
        <f>IF(AND(ISNUMBER(D9),ISNUMBER(F9)),D9-F9,"")</f>
        <v>0.213204138283783</v>
      </c>
      <c r="I9" s="21" t="str">
        <f>IF(J$2,SUMIFS(INDEX(Расчёт!$D$6:$O$36,0,I$2),Расчёт!$B$6:$B$36,$A9),"")</f>
        <v/>
      </c>
      <c r="J9" s="22" t="str">
        <f>IF(AND(ISNUMBER(I9),ISNUMBER(I$6)),IF(I$6=0,"",I9/I$6),"")</f>
        <v/>
      </c>
      <c r="K9" s="21">
        <f>IF(K$2,SUMIFS(INDEX(Расчёт!$Q$6:$AB$36,0,I$2),Расчёт!$B$6:$B$36,$A9),"")</f>
        <v>262.907784367151</v>
      </c>
      <c r="L9" s="22">
        <f>IF(AND(ISNUMBER(K9),ISNUMBER(K$6)),IF(K$6=0,"",K9/K$6),"")</f>
        <v>0.270567288330146</v>
      </c>
      <c r="M9" s="23" t="str">
        <f>IF(AND(ISNUMBER(I9),ISNUMBER(K9)),I9-K9,"")</f>
        <v/>
      </c>
      <c r="N9" s="24" t="str">
        <f>IF(AND(ISNUMBER(J9),ISNUMBER(L9)),J9-L9,"")</f>
        <v/>
      </c>
      <c r="O9" s="21" t="str">
        <f>IF(P$2,SUMIFS(INDEX(Расчёт!$D$6:$O$36,0,O$2),Расчёт!$B$6:$B$36,$A9),"")</f>
        <v/>
      </c>
      <c r="P9" s="22" t="str">
        <f>IF(AND(ISNUMBER(O9),ISNUMBER(O$6)),IF(O$6=0,"",O9/O$6),"")</f>
        <v/>
      </c>
      <c r="Q9" s="21" t="str">
        <f>IF(Q$2,SUMIFS(INDEX(Расчёт!$Q$6:$AB$36,0,O$2),Расчёт!$B$6:$B$36,$A9),"")</f>
        <v/>
      </c>
      <c r="R9" s="22" t="str">
        <f>IF(AND(ISNUMBER(Q9),ISNUMBER(Q$6)),IF(Q$6=0,"",Q9/Q$6),"")</f>
        <v/>
      </c>
      <c r="S9" s="23" t="str">
        <f>IF(AND(ISNUMBER(O9),ISNUMBER(Q9)),O9-Q9,"")</f>
        <v/>
      </c>
      <c r="T9" s="24" t="str">
        <f>IF(AND(ISNUMBER(P9),ISNUMBER(R9)),P9-R9,"")</f>
        <v/>
      </c>
      <c r="U9" s="21" t="str">
        <f>IF(V$2,SUMIFS(INDEX(Расчёт!$D$6:$O$36,0,U$2),Расчёт!$B$6:$B$36,$A9),"")</f>
        <v/>
      </c>
      <c r="V9" s="22" t="str">
        <f>IF(AND(ISNUMBER(U9),ISNUMBER(U$6)),IF(U$6=0,"",U9/U$6),"")</f>
        <v/>
      </c>
      <c r="W9" s="21" t="str">
        <f>IF(W$2,SUMIFS(INDEX(Расчёт!$Q$6:$AB$36,0,U$2),Расчёт!$B$6:$B$36,$A9),"")</f>
        <v/>
      </c>
      <c r="X9" s="22" t="str">
        <f>IF(AND(ISNUMBER(W9),ISNUMBER(W$6)),IF(W$6=0,"",W9/W$6),"")</f>
        <v/>
      </c>
      <c r="Y9" s="23" t="str">
        <f>IF(AND(ISNUMBER(U9),ISNUMBER(W9)),U9-W9,"")</f>
        <v/>
      </c>
      <c r="Z9" s="24" t="str">
        <f>IF(AND(ISNUMBER(V9),ISNUMBER(X9)),V9-X9,"")</f>
        <v/>
      </c>
      <c r="AA9" s="21">
        <f>IF(OR(F$2,L$2,R$2,X$2),IF(F$2,C9,0)+IF(L$2,I9,0)+IF(R$2,O9,0)+IF(X$2,U9,0),"")</f>
        <v>421.805564119309</v>
      </c>
      <c r="AB9" s="22">
        <f>IF(AND(ISNUMBER(AA9),ISNUMBER(AA$6)),IF(AA$6=0,"",AA9/AA$6),"")</f>
        <v>0.356497634760735</v>
      </c>
      <c r="AC9" s="21">
        <f>IF(OR(F$2,L$2,R$2,X$2),IF(F$2,E9,0)+IF(L$2,K9,0)+IF(R$2,Q9,0)+IF(X$2,W9,0),"")</f>
        <v>161.377206429419</v>
      </c>
      <c r="AD9" s="22">
        <f>IF(AND(ISNUMBER(AC9),ISNUMBER(AC$6)),IF(AC$6=0,"",AC9/AC$6),"")</f>
        <v>0.143293496476953</v>
      </c>
      <c r="AE9" s="23">
        <f>IF(AND(ISNUMBER(AA9),ISNUMBER(AC9)),AA9-AC9,"")</f>
        <v>260.428357689891</v>
      </c>
      <c r="AF9" s="24">
        <f>IF(AND(ISNUMBER(AB9),ISNUMBER(AD9)),AB9-AD9,"")</f>
        <v>0.213204138283783</v>
      </c>
    </row>
    <row r="10">
      <c r="A10" t="inlineStr">
        <is>
          <t>Instore digital_2.0</t>
        </is>
      </c>
      <c r="B10" s="5" t="inlineStr">
        <is>
          <t xml:space="preserve">    Instore digital_2.0</t>
        </is>
      </c>
      <c r="C10" s="21">
        <f>IF(D$2,SUMIFS(INDEX(Расчёт!$D$6:$O$36,0,C$2),Расчёт!$B$6:$B$36,$A10),"")</f>
        <v>0</v>
      </c>
      <c r="D10" s="22">
        <f>IF(AND(ISNUMBER(C10),ISNUMBER(C$6)),IF(C$6=0,"",C10/C$6),"")</f>
        <v>0</v>
      </c>
      <c r="E10" s="21">
        <f>IF(E$2,SUMIFS(INDEX(Расчёт!$Q$6:$AB$36,0,C$2),Расчёт!$B$6:$B$36,$A10),"")</f>
        <v>121.332202786227</v>
      </c>
      <c r="F10" s="22">
        <f>IF(AND(ISNUMBER(E10),ISNUMBER(E$6)),IF(E$6=0,"",E10/E$6),"")</f>
        <v>0.107735881399665</v>
      </c>
      <c r="G10" s="23">
        <f>IF(AND(ISNUMBER(C10),ISNUMBER(E10)),C10-E10,"")</f>
        <v>-121.332202786227</v>
      </c>
      <c r="H10" s="24">
        <f>IF(AND(ISNUMBER(D10),ISNUMBER(F10)),D10-F10,"")</f>
        <v>-0.107735881399665</v>
      </c>
      <c r="I10" s="21" t="str">
        <f>IF(J$2,SUMIFS(INDEX(Расчёт!$D$6:$O$36,0,I$2),Расчёт!$B$6:$B$36,$A10),"")</f>
        <v/>
      </c>
      <c r="J10" s="22" t="str">
        <f>IF(AND(ISNUMBER(I10),ISNUMBER(I$6)),IF(I$6=0,"",I10/I$6),"")</f>
        <v/>
      </c>
      <c r="K10" s="21">
        <f>IF(K$2,SUMIFS(INDEX(Расчёт!$Q$6:$AB$36,0,I$2),Расчёт!$B$6:$B$36,$A10),"")</f>
        <v>47.0922156328493</v>
      </c>
      <c r="L10" s="22">
        <f>IF(AND(ISNUMBER(K10),ISNUMBER(K$6)),IF(K$6=0,"",K10/K$6),"")</f>
        <v>0.0484641910315021</v>
      </c>
      <c r="M10" s="23" t="str">
        <f>IF(AND(ISNUMBER(I10),ISNUMBER(K10)),I10-K10,"")</f>
        <v/>
      </c>
      <c r="N10" s="24" t="str">
        <f>IF(AND(ISNUMBER(J10),ISNUMBER(L10)),J10-L10,"")</f>
        <v/>
      </c>
      <c r="O10" s="21" t="str">
        <f>IF(P$2,SUMIFS(INDEX(Расчёт!$D$6:$O$36,0,O$2),Расчёт!$B$6:$B$36,$A10),"")</f>
        <v/>
      </c>
      <c r="P10" s="22" t="str">
        <f>IF(AND(ISNUMBER(O10),ISNUMBER(O$6)),IF(O$6=0,"",O10/O$6),"")</f>
        <v/>
      </c>
      <c r="Q10" s="21" t="str">
        <f>IF(Q$2,SUMIFS(INDEX(Расчёт!$Q$6:$AB$36,0,O$2),Расчёт!$B$6:$B$36,$A10),"")</f>
        <v/>
      </c>
      <c r="R10" s="22" t="str">
        <f>IF(AND(ISNUMBER(Q10),ISNUMBER(Q$6)),IF(Q$6=0,"",Q10/Q$6),"")</f>
        <v/>
      </c>
      <c r="S10" s="23" t="str">
        <f>IF(AND(ISNUMBER(O10),ISNUMBER(Q10)),O10-Q10,"")</f>
        <v/>
      </c>
      <c r="T10" s="24" t="str">
        <f>IF(AND(ISNUMBER(P10),ISNUMBER(R10)),P10-R10,"")</f>
        <v/>
      </c>
      <c r="U10" s="21" t="str">
        <f>IF(V$2,SUMIFS(INDEX(Расчёт!$D$6:$O$36,0,U$2),Расчёт!$B$6:$B$36,$A10),"")</f>
        <v/>
      </c>
      <c r="V10" s="22" t="str">
        <f>IF(AND(ISNUMBER(U10),ISNUMBER(U$6)),IF(U$6=0,"",U10/U$6),"")</f>
        <v/>
      </c>
      <c r="W10" s="21" t="str">
        <f>IF(W$2,SUMIFS(INDEX(Расчёт!$Q$6:$AB$36,0,U$2),Расчёт!$B$6:$B$36,$A10),"")</f>
        <v/>
      </c>
      <c r="X10" s="22" t="str">
        <f>IF(AND(ISNUMBER(W10),ISNUMBER(W$6)),IF(W$6=0,"",W10/W$6),"")</f>
        <v/>
      </c>
      <c r="Y10" s="23" t="str">
        <f>IF(AND(ISNUMBER(U10),ISNUMBER(W10)),U10-W10,"")</f>
        <v/>
      </c>
      <c r="Z10" s="24" t="str">
        <f>IF(AND(ISNUMBER(V10),ISNUMBER(X10)),V10-X10,"")</f>
        <v/>
      </c>
      <c r="AA10" s="21">
        <f>IF(OR(F$2,L$2,R$2,X$2),IF(F$2,C10,0)+IF(L$2,I10,0)+IF(R$2,O10,0)+IF(X$2,U10,0),"")</f>
        <v>0</v>
      </c>
      <c r="AB10" s="22">
        <f>IF(AND(ISNUMBER(AA10),ISNUMBER(AA$6)),IF(AA$6=0,"",AA10/AA$6),"")</f>
        <v>0</v>
      </c>
      <c r="AC10" s="21">
        <f>IF(OR(F$2,L$2,R$2,X$2),IF(F$2,E10,0)+IF(L$2,K10,0)+IF(R$2,Q10,0)+IF(X$2,W10,0),"")</f>
        <v>121.332202786227</v>
      </c>
      <c r="AD10" s="22">
        <f>IF(AND(ISNUMBER(AC10),ISNUMBER(AC$6)),IF(AC$6=0,"",AC10/AC$6),"")</f>
        <v>0.107735881399665</v>
      </c>
      <c r="AE10" s="23">
        <f>IF(AND(ISNUMBER(AA10),ISNUMBER(AC10)),AA10-AC10,"")</f>
        <v>-121.332202786227</v>
      </c>
      <c r="AF10" s="24">
        <f>IF(AND(ISNUMBER(AB10),ISNUMBER(AD10)),AB10-AD10,"")</f>
        <v>-0.107735881399665</v>
      </c>
    </row>
    <row r="11">
      <c r="A11" t="inlineStr">
        <is>
          <t>Other и POSM</t>
        </is>
      </c>
      <c r="B11" s="5" t="inlineStr">
        <is>
          <t xml:space="preserve">    Other и POSM</t>
        </is>
      </c>
      <c r="C11" s="21">
        <f>IF(D$2,SUMIFS(INDEX(Расчёт!$D$6:$O$36,0,C$2),Расчёт!$B$6:$B$36,$A11),"")</f>
        <v>95.2680186249673</v>
      </c>
      <c r="D11" s="22">
        <f>IF(AND(ISNUMBER(C11),ISNUMBER(C$6)),IF(C$6=0,"",C11/C$6),"")</f>
        <v>0.0805177223753644</v>
      </c>
      <c r="E11" s="21">
        <f>IF(E$2,SUMIFS(INDEX(Расчёт!$Q$6:$AB$36,0,C$2),Расчёт!$B$6:$B$36,$A11),"")</f>
        <v>2.51784720765027</v>
      </c>
      <c r="F11" s="22">
        <f>IF(AND(ISNUMBER(E11),ISNUMBER(E$6)),IF(E$6=0,"",E11/E$6),"")</f>
        <v>0.00223570067893533</v>
      </c>
      <c r="G11" s="23">
        <f>IF(AND(ISNUMBER(C11),ISNUMBER(E11)),C11-E11,"")</f>
        <v>92.7501714173171</v>
      </c>
      <c r="H11" s="24">
        <f>IF(AND(ISNUMBER(D11),ISNUMBER(F11)),D11-F11,"")</f>
        <v>0.0782820216964291</v>
      </c>
      <c r="I11" s="21" t="str">
        <f>IF(J$2,SUMIFS(INDEX(Расчёт!$D$6:$O$36,0,I$2),Расчёт!$B$6:$B$36,$A11),"")</f>
        <v/>
      </c>
      <c r="J11" s="22" t="str">
        <f>IF(AND(ISNUMBER(I11),ISNUMBER(I$6)),IF(I$6=0,"",I11/I$6),"")</f>
        <v/>
      </c>
      <c r="K11" s="21">
        <f>IF(K$2,SUMIFS(INDEX(Расчёт!$Q$6:$AB$36,0,I$2),Расчёт!$B$6:$B$36,$A11),"")</f>
        <v>2.66992091641693</v>
      </c>
      <c r="L11" s="22">
        <f>IF(AND(ISNUMBER(K11),ISNUMBER(K$6)),IF(K$6=0,"",K11/K$6),"")</f>
        <v>0.00274770587013904</v>
      </c>
      <c r="M11" s="23" t="str">
        <f>IF(AND(ISNUMBER(I11),ISNUMBER(K11)),I11-K11,"")</f>
        <v/>
      </c>
      <c r="N11" s="24" t="str">
        <f>IF(AND(ISNUMBER(J11),ISNUMBER(L11)),J11-L11,"")</f>
        <v/>
      </c>
      <c r="O11" s="21" t="str">
        <f>IF(P$2,SUMIFS(INDEX(Расчёт!$D$6:$O$36,0,O$2),Расчёт!$B$6:$B$36,$A11),"")</f>
        <v/>
      </c>
      <c r="P11" s="22" t="str">
        <f>IF(AND(ISNUMBER(O11),ISNUMBER(O$6)),IF(O$6=0,"",O11/O$6),"")</f>
        <v/>
      </c>
      <c r="Q11" s="21" t="str">
        <f>IF(Q$2,SUMIFS(INDEX(Расчёт!$Q$6:$AB$36,0,O$2),Расчёт!$B$6:$B$36,$A11),"")</f>
        <v/>
      </c>
      <c r="R11" s="22" t="str">
        <f>IF(AND(ISNUMBER(Q11),ISNUMBER(Q$6)),IF(Q$6=0,"",Q11/Q$6),"")</f>
        <v/>
      </c>
      <c r="S11" s="23" t="str">
        <f>IF(AND(ISNUMBER(O11),ISNUMBER(Q11)),O11-Q11,"")</f>
        <v/>
      </c>
      <c r="T11" s="24" t="str">
        <f>IF(AND(ISNUMBER(P11),ISNUMBER(R11)),P11-R11,"")</f>
        <v/>
      </c>
      <c r="U11" s="21" t="str">
        <f>IF(V$2,SUMIFS(INDEX(Расчёт!$D$6:$O$36,0,U$2),Расчёт!$B$6:$B$36,$A11),"")</f>
        <v/>
      </c>
      <c r="V11" s="22" t="str">
        <f>IF(AND(ISNUMBER(U11),ISNUMBER(U$6)),IF(U$6=0,"",U11/U$6),"")</f>
        <v/>
      </c>
      <c r="W11" s="21" t="str">
        <f>IF(W$2,SUMIFS(INDEX(Расчёт!$Q$6:$AB$36,0,U$2),Расчёт!$B$6:$B$36,$A11),"")</f>
        <v/>
      </c>
      <c r="X11" s="22" t="str">
        <f>IF(AND(ISNUMBER(W11),ISNUMBER(W$6)),IF(W$6=0,"",W11/W$6),"")</f>
        <v/>
      </c>
      <c r="Y11" s="23" t="str">
        <f>IF(AND(ISNUMBER(U11),ISNUMBER(W11)),U11-W11,"")</f>
        <v/>
      </c>
      <c r="Z11" s="24" t="str">
        <f>IF(AND(ISNUMBER(V11),ISNUMBER(X11)),V11-X11,"")</f>
        <v/>
      </c>
      <c r="AA11" s="21">
        <f>IF(OR(F$2,L$2,R$2,X$2),IF(F$2,C11,0)+IF(L$2,I11,0)+IF(R$2,O11,0)+IF(X$2,U11,0),"")</f>
        <v>95.2680186249673</v>
      </c>
      <c r="AB11" s="22">
        <f>IF(AND(ISNUMBER(AA11),ISNUMBER(AA$6)),IF(AA$6=0,"",AA11/AA$6),"")</f>
        <v>0.0805177223753644</v>
      </c>
      <c r="AC11" s="21">
        <f>IF(OR(F$2,L$2,R$2,X$2),IF(F$2,E11,0)+IF(L$2,K11,0)+IF(R$2,Q11,0)+IF(X$2,W11,0),"")</f>
        <v>2.51784720765027</v>
      </c>
      <c r="AD11" s="22">
        <f>IF(AND(ISNUMBER(AC11),ISNUMBER(AC$6)),IF(AC$6=0,"",AC11/AC$6),"")</f>
        <v>0.00223570067893533</v>
      </c>
      <c r="AE11" s="23">
        <f>IF(AND(ISNUMBER(AA11),ISNUMBER(AC11)),AA11-AC11,"")</f>
        <v>92.7501714173171</v>
      </c>
      <c r="AF11" s="24">
        <f>IF(AND(ISNUMBER(AB11),ISNUMBER(AD11)),AB11-AD11,"")</f>
        <v>0.0782820216964291</v>
      </c>
    </row>
    <row r="12">
      <c r="A12" t="inlineStr">
        <is>
          <t>Кроссформатные пакеты</t>
        </is>
      </c>
      <c r="B12" s="5" t="inlineStr">
        <is>
          <t xml:space="preserve">    Кроссформатные пакеты</t>
        </is>
      </c>
      <c r="C12" s="21">
        <f>IF(D$2,SUMIFS(INDEX(Расчёт!$D$6:$O$36,0,C$2),Расчёт!$B$6:$B$36,$A12),"")</f>
        <v>4.0273691471999</v>
      </c>
      <c r="D12" s="22">
        <f>IF(AND(ISNUMBER(C12),ISNUMBER(C$6)),IF(C$6=0,"",C12/C$6),"")</f>
        <v>0.00340381374125026</v>
      </c>
      <c r="E12" s="21">
        <f>IF(E$2,SUMIFS(INDEX(Расчёт!$Q$6:$AB$36,0,C$2),Расчёт!$B$6:$B$36,$A12),"")</f>
        <v>0</v>
      </c>
      <c r="F12" s="22">
        <f>IF(AND(ISNUMBER(E12),ISNUMBER(E$6)),IF(E$6=0,"",E12/E$6),"")</f>
        <v>0</v>
      </c>
      <c r="G12" s="23">
        <f>IF(AND(ISNUMBER(C12),ISNUMBER(E12)),C12-E12,"")</f>
        <v>4.0273691471999</v>
      </c>
      <c r="H12" s="24">
        <f>IF(AND(ISNUMBER(D12),ISNUMBER(F12)),D12-F12,"")</f>
        <v>0.00340381374125026</v>
      </c>
      <c r="I12" s="21" t="str">
        <f>IF(J$2,SUMIFS(INDEX(Расчёт!$D$6:$O$36,0,I$2),Расчёт!$B$6:$B$36,$A12),"")</f>
        <v/>
      </c>
      <c r="J12" s="22" t="str">
        <f>IF(AND(ISNUMBER(I12),ISNUMBER(I$6)),IF(I$6=0,"",I12/I$6),"")</f>
        <v/>
      </c>
      <c r="K12" s="21">
        <f>IF(K$2,SUMIFS(INDEX(Расчёт!$Q$6:$AB$36,0,I$2),Расчёт!$B$6:$B$36,$A12),"")</f>
        <v>0</v>
      </c>
      <c r="L12" s="22">
        <f>IF(AND(ISNUMBER(K12),ISNUMBER(K$6)),IF(K$6=0,"",K12/K$6),"")</f>
        <v>0</v>
      </c>
      <c r="M12" s="23" t="str">
        <f>IF(AND(ISNUMBER(I12),ISNUMBER(K12)),I12-K12,"")</f>
        <v/>
      </c>
      <c r="N12" s="24" t="str">
        <f>IF(AND(ISNUMBER(J12),ISNUMBER(L12)),J12-L12,"")</f>
        <v/>
      </c>
      <c r="O12" s="21" t="str">
        <f>IF(P$2,SUMIFS(INDEX(Расчёт!$D$6:$O$36,0,O$2),Расчёт!$B$6:$B$36,$A12),"")</f>
        <v/>
      </c>
      <c r="P12" s="22" t="str">
        <f>IF(AND(ISNUMBER(O12),ISNUMBER(O$6)),IF(O$6=0,"",O12/O$6),"")</f>
        <v/>
      </c>
      <c r="Q12" s="21" t="str">
        <f>IF(Q$2,SUMIFS(INDEX(Расчёт!$Q$6:$AB$36,0,O$2),Расчёт!$B$6:$B$36,$A12),"")</f>
        <v/>
      </c>
      <c r="R12" s="22" t="str">
        <f>IF(AND(ISNUMBER(Q12),ISNUMBER(Q$6)),IF(Q$6=0,"",Q12/Q$6),"")</f>
        <v/>
      </c>
      <c r="S12" s="23" t="str">
        <f>IF(AND(ISNUMBER(O12),ISNUMBER(Q12)),O12-Q12,"")</f>
        <v/>
      </c>
      <c r="T12" s="24" t="str">
        <f>IF(AND(ISNUMBER(P12),ISNUMBER(R12)),P12-R12,"")</f>
        <v/>
      </c>
      <c r="U12" s="21" t="str">
        <f>IF(V$2,SUMIFS(INDEX(Расчёт!$D$6:$O$36,0,U$2),Расчёт!$B$6:$B$36,$A12),"")</f>
        <v/>
      </c>
      <c r="V12" s="22" t="str">
        <f>IF(AND(ISNUMBER(U12),ISNUMBER(U$6)),IF(U$6=0,"",U12/U$6),"")</f>
        <v/>
      </c>
      <c r="W12" s="21" t="str">
        <f>IF(W$2,SUMIFS(INDEX(Расчёт!$Q$6:$AB$36,0,U$2),Расчёт!$B$6:$B$36,$A12),"")</f>
        <v/>
      </c>
      <c r="X12" s="22" t="str">
        <f>IF(AND(ISNUMBER(W12),ISNUMBER(W$6)),IF(W$6=0,"",W12/W$6),"")</f>
        <v/>
      </c>
      <c r="Y12" s="23" t="str">
        <f>IF(AND(ISNUMBER(U12),ISNUMBER(W12)),U12-W12,"")</f>
        <v/>
      </c>
      <c r="Z12" s="24" t="str">
        <f>IF(AND(ISNUMBER(V12),ISNUMBER(X12)),V12-X12,"")</f>
        <v/>
      </c>
      <c r="AA12" s="21">
        <f>IF(OR(F$2,L$2,R$2,X$2),IF(F$2,C12,0)+IF(L$2,I12,0)+IF(R$2,O12,0)+IF(X$2,U12,0),"")</f>
        <v>4.0273691471999</v>
      </c>
      <c r="AB12" s="22">
        <f>IF(AND(ISNUMBER(AA12),ISNUMBER(AA$6)),IF(AA$6=0,"",AA12/AA$6),"")</f>
        <v>0.00340381374125026</v>
      </c>
      <c r="AC12" s="21">
        <f>IF(OR(F$2,L$2,R$2,X$2),IF(F$2,E12,0)+IF(L$2,K12,0)+IF(R$2,Q12,0)+IF(X$2,W12,0),"")</f>
        <v>0</v>
      </c>
      <c r="AD12" s="22">
        <f>IF(AND(ISNUMBER(AC12),ISNUMBER(AC$6)),IF(AC$6=0,"",AC12/AC$6),"")</f>
        <v>0</v>
      </c>
      <c r="AE12" s="23">
        <f>IF(AND(ISNUMBER(AA12),ISNUMBER(AC12)),AA12-AC12,"")</f>
        <v>4.0273691471999</v>
      </c>
      <c r="AF12" s="24">
        <f>IF(AND(ISNUMBER(AB12),ISNUMBER(AD12)),AB12-AD12,"")</f>
        <v>0.00340381374125026</v>
      </c>
    </row>
    <row r="13">
      <c r="A13" t="inlineStr">
        <is>
          <t>Прочие направления</t>
        </is>
      </c>
      <c r="B13" s="5" t="inlineStr">
        <is>
          <t xml:space="preserve">    Прочие (MIP, Magnit Market, DMP+ Analytics)</t>
        </is>
      </c>
      <c r="C13" s="21">
        <f>IF(ISNUMBER(C6),C6-SUM(C7,C8,C9,C10,C11,C12),"")</f>
        <v>2.43251546217789</v>
      </c>
      <c r="D13" s="22">
        <f>IF(AND(ISNUMBER(C13),ISNUMBER(C$6)),IF(C$6=0,"",C13/C$6),"")</f>
        <v>0.00205589039726382</v>
      </c>
      <c r="E13" s="21">
        <f>IF(ISNUMBER(E6),E6-SUM(E7,E8,E9,E10,E11,E12),"")</f>
        <v>6.16704839443787</v>
      </c>
      <c r="F13" s="22">
        <f>IF(AND(ISNUMBER(E13),ISNUMBER(E$6)),IF(E$6=0,"",E13/E$6),"")</f>
        <v>0.00547597735103985</v>
      </c>
      <c r="G13" s="23">
        <f>IF(AND(ISNUMBER(C13),ISNUMBER(E13)),C13-E13,"")</f>
        <v>-3.73453293225998</v>
      </c>
      <c r="H13" s="24">
        <f>IF(AND(ISNUMBER(D13),ISNUMBER(F13)),D13-F13,"")</f>
        <v>-0.00342008695377604</v>
      </c>
      <c r="I13" s="21" t="str">
        <f>IF(ISNUMBER(I6),I6-SUM(I7,I8,I9,I10,I11,I12),"")</f>
        <v/>
      </c>
      <c r="J13" s="22" t="str">
        <f>IF(AND(ISNUMBER(I13),ISNUMBER(I$6)),IF(I$6=0,"",I13/I$6),"")</f>
        <v/>
      </c>
      <c r="K13" s="21">
        <f>IF(ISNUMBER(K6),K6-SUM(K7,K8,K9,K10,K11,K12),"")</f>
        <v>6.275018499113</v>
      </c>
      <c r="L13" s="22">
        <f>IF(AND(ISNUMBER(K13),ISNUMBER(K$6)),IF(K$6=0,"",K13/K$6),"")</f>
        <v>0.00645783366062494</v>
      </c>
      <c r="M13" s="23" t="str">
        <f>IF(AND(ISNUMBER(I13),ISNUMBER(K13)),I13-K13,"")</f>
        <v/>
      </c>
      <c r="N13" s="24" t="str">
        <f>IF(AND(ISNUMBER(J13),ISNUMBER(L13)),J13-L13,"")</f>
        <v/>
      </c>
      <c r="O13" s="21" t="str">
        <f>IF(ISNUMBER(O6),O6-SUM(O7,O8,O9,O10,O11,O12),"")</f>
        <v/>
      </c>
      <c r="P13" s="22" t="str">
        <f>IF(AND(ISNUMBER(O13),ISNUMBER(O$6)),IF(O$6=0,"",O13/O$6),"")</f>
        <v/>
      </c>
      <c r="Q13" s="21" t="str">
        <f>IF(ISNUMBER(Q6),Q6-SUM(Q7,Q8,Q9,Q10,Q11,Q12),"")</f>
        <v/>
      </c>
      <c r="R13" s="22" t="str">
        <f>IF(AND(ISNUMBER(Q13),ISNUMBER(Q$6)),IF(Q$6=0,"",Q13/Q$6),"")</f>
        <v/>
      </c>
      <c r="S13" s="23" t="str">
        <f>IF(AND(ISNUMBER(O13),ISNUMBER(Q13)),O13-Q13,"")</f>
        <v/>
      </c>
      <c r="T13" s="24" t="str">
        <f>IF(AND(ISNUMBER(P13),ISNUMBER(R13)),P13-R13,"")</f>
        <v/>
      </c>
      <c r="U13" s="21" t="str">
        <f>IF(ISNUMBER(U6),U6-SUM(U7,U8,U9,U10,U11,U12),"")</f>
        <v/>
      </c>
      <c r="V13" s="22" t="str">
        <f>IF(AND(ISNUMBER(U13),ISNUMBER(U$6)),IF(U$6=0,"",U13/U$6),"")</f>
        <v/>
      </c>
      <c r="W13" s="21" t="str">
        <f>IF(ISNUMBER(W6),W6-SUM(W7,W8,W9,W10,W11,W12),"")</f>
        <v/>
      </c>
      <c r="X13" s="22" t="str">
        <f>IF(AND(ISNUMBER(W13),ISNUMBER(W$6)),IF(W$6=0,"",W13/W$6),"")</f>
        <v/>
      </c>
      <c r="Y13" s="23" t="str">
        <f>IF(AND(ISNUMBER(U13),ISNUMBER(W13)),U13-W13,"")</f>
        <v/>
      </c>
      <c r="Z13" s="24" t="str">
        <f>IF(AND(ISNUMBER(V13),ISNUMBER(X13)),V13-X13,"")</f>
        <v/>
      </c>
      <c r="AA13" s="21">
        <f>IF(OR(F$2,L$2,R$2,X$2),IF(F$2,C13,0)+IF(L$2,I13,0)+IF(R$2,O13,0)+IF(X$2,U13,0),"")</f>
        <v>2.43251546217789</v>
      </c>
      <c r="AB13" s="22">
        <f>IF(AND(ISNUMBER(AA13),ISNUMBER(AA$6)),IF(AA$6=0,"",AA13/AA$6),"")</f>
        <v>0.00205589039726382</v>
      </c>
      <c r="AC13" s="21">
        <f>IF(OR(F$2,L$2,R$2,X$2),IF(F$2,E13,0)+IF(L$2,K13,0)+IF(R$2,Q13,0)+IF(X$2,W13,0),"")</f>
        <v>6.16704839443787</v>
      </c>
      <c r="AD13" s="22">
        <f>IF(AND(ISNUMBER(AC13),ISNUMBER(AC$6)),IF(AC$6=0,"",AC13/AC$6),"")</f>
        <v>0.00547597735103985</v>
      </c>
      <c r="AE13" s="23">
        <f>IF(AND(ISNUMBER(AA13),ISNUMBER(AC13)),AA13-AC13,"")</f>
        <v>-3.73453293225998</v>
      </c>
      <c r="AF13" s="24">
        <f>IF(AND(ISNUMBER(AB13),ISNUMBER(AD13)),AB13-AD13,"")</f>
        <v>-0.00342008695377604</v>
      </c>
    </row>
    <row r="14">
      <c r="A14" t="inlineStr">
        <is>
          <t>Direct cost</t>
        </is>
      </c>
      <c r="B14" s="25" t="inlineStr">
        <is>
          <t>Direct cost (вознаграждения РА и блогерам)</t>
        </is>
      </c>
      <c r="C14" s="21">
        <f>IF(D$2,SUMIFS(INDEX(Расчёт!$D$6:$O$36,0,C$2),Расчёт!$B$6:$B$36,$A14),"")</f>
        <v>-0.92785226</v>
      </c>
      <c r="D14" s="22">
        <f>IF(AND(ISNUMBER(C14),ISNUMBER(C$6)),IF(C$6=0,"",C14/C$6),"")</f>
        <v>-0.000784193392014718</v>
      </c>
      <c r="E14" s="21">
        <f>IF(E$2,SUMIFS(INDEX(Расчёт!$Q$6:$AB$36,0,C$2),Расчёт!$B$6:$B$36,$A14),"")</f>
        <v>-34.7658006279034</v>
      </c>
      <c r="F14" s="22">
        <f>IF(AND(ISNUMBER(E14),ISNUMBER(E$6)),IF(E$6=0,"",E14/E$6),"")</f>
        <v>-0.0308699923614786</v>
      </c>
      <c r="G14" s="23">
        <f>IF(AND(ISNUMBER(C14),ISNUMBER(E14)),C14-E14,"")</f>
        <v>33.8379483679034</v>
      </c>
      <c r="H14" s="24">
        <f>IF(AND(ISNUMBER(D14),ISNUMBER(F14)),D14-F14,"")</f>
        <v>0.0300857989694639</v>
      </c>
      <c r="I14" s="21" t="str">
        <f>IF(J$2,SUMIFS(INDEX(Расчёт!$D$6:$O$36,0,I$2),Расчёт!$B$6:$B$36,$A14),"")</f>
        <v/>
      </c>
      <c r="J14" s="22" t="str">
        <f>IF(AND(ISNUMBER(I14),ISNUMBER(I$6)),IF(I$6=0,"",I14/I$6),"")</f>
        <v/>
      </c>
      <c r="K14" s="21">
        <f>IF(K$2,SUMIFS(INDEX(Расчёт!$Q$6:$AB$36,0,I$2),Расчёт!$B$6:$B$36,$A14),"")</f>
        <v>-37.708031149277</v>
      </c>
      <c r="L14" s="22">
        <f>IF(AND(ISNUMBER(K14),ISNUMBER(K$6)),IF(K$6=0,"",K14/K$6),"")</f>
        <v>-0.038806609552803</v>
      </c>
      <c r="M14" s="23" t="str">
        <f>IF(AND(ISNUMBER(I14),ISNUMBER(K14)),I14-K14,"")</f>
        <v/>
      </c>
      <c r="N14" s="24" t="str">
        <f>IF(AND(ISNUMBER(J14),ISNUMBER(L14)),J14-L14,"")</f>
        <v/>
      </c>
      <c r="O14" s="21" t="str">
        <f>IF(P$2,SUMIFS(INDEX(Расчёт!$D$6:$O$36,0,O$2),Расчёт!$B$6:$B$36,$A14),"")</f>
        <v/>
      </c>
      <c r="P14" s="22" t="str">
        <f>IF(AND(ISNUMBER(O14),ISNUMBER(O$6)),IF(O$6=0,"",O14/O$6),"")</f>
        <v/>
      </c>
      <c r="Q14" s="21" t="str">
        <f>IF(Q$2,SUMIFS(INDEX(Расчёт!$Q$6:$AB$36,0,O$2),Расчёт!$B$6:$B$36,$A14),"")</f>
        <v/>
      </c>
      <c r="R14" s="22" t="str">
        <f>IF(AND(ISNUMBER(Q14),ISNUMBER(Q$6)),IF(Q$6=0,"",Q14/Q$6),"")</f>
        <v/>
      </c>
      <c r="S14" s="23" t="str">
        <f>IF(AND(ISNUMBER(O14),ISNUMBER(Q14)),O14-Q14,"")</f>
        <v/>
      </c>
      <c r="T14" s="24" t="str">
        <f>IF(AND(ISNUMBER(P14),ISNUMBER(R14)),P14-R14,"")</f>
        <v/>
      </c>
      <c r="U14" s="21" t="str">
        <f>IF(V$2,SUMIFS(INDEX(Расчёт!$D$6:$O$36,0,U$2),Расчёт!$B$6:$B$36,$A14),"")</f>
        <v/>
      </c>
      <c r="V14" s="22" t="str">
        <f>IF(AND(ISNUMBER(U14),ISNUMBER(U$6)),IF(U$6=0,"",U14/U$6),"")</f>
        <v/>
      </c>
      <c r="W14" s="21" t="str">
        <f>IF(W$2,SUMIFS(INDEX(Расчёт!$Q$6:$AB$36,0,U$2),Расчёт!$B$6:$B$36,$A14),"")</f>
        <v/>
      </c>
      <c r="X14" s="22" t="str">
        <f>IF(AND(ISNUMBER(W14),ISNUMBER(W$6)),IF(W$6=0,"",W14/W$6),"")</f>
        <v/>
      </c>
      <c r="Y14" s="23" t="str">
        <f>IF(AND(ISNUMBER(U14),ISNUMBER(W14)),U14-W14,"")</f>
        <v/>
      </c>
      <c r="Z14" s="24" t="str">
        <f>IF(AND(ISNUMBER(V14),ISNUMBER(X14)),V14-X14,"")</f>
        <v/>
      </c>
      <c r="AA14" s="21">
        <f>IF(OR(F$2,L$2,R$2,X$2),IF(F$2,C14,0)+IF(L$2,I14,0)+IF(R$2,O14,0)+IF(X$2,U14,0),"")</f>
        <v>-0.92785226</v>
      </c>
      <c r="AB14" s="22">
        <f>IF(AND(ISNUMBER(AA14),ISNUMBER(AA$6)),IF(AA$6=0,"",AA14/AA$6),"")</f>
        <v>-0.000784193392014718</v>
      </c>
      <c r="AC14" s="21">
        <f>IF(OR(F$2,L$2,R$2,X$2),IF(F$2,E14,0)+IF(L$2,K14,0)+IF(R$2,Q14,0)+IF(X$2,W14,0),"")</f>
        <v>-34.7658006279034</v>
      </c>
      <c r="AD14" s="22">
        <f>IF(AND(ISNUMBER(AC14),ISNUMBER(AC$6)),IF(AC$6=0,"",AC14/AC$6),"")</f>
        <v>-0.0308699923614786</v>
      </c>
      <c r="AE14" s="23">
        <f>IF(AND(ISNUMBER(AA14),ISNUMBER(AC14)),AA14-AC14,"")</f>
        <v>33.8379483679034</v>
      </c>
      <c r="AF14" s="24">
        <f>IF(AND(ISNUMBER(AB14),ISNUMBER(AD14)),AB14-AD14,"")</f>
        <v>0.0300857989694639</v>
      </c>
    </row>
    <row r="15">
      <c r="A15" t="inlineStr">
        <is>
          <t>Gross Margin</t>
        </is>
      </c>
      <c r="B15" s="26" t="inlineStr">
        <is>
          <t>Gross Margin</t>
        </is>
      </c>
      <c r="C15" s="27">
        <f>IF(AND(ISNUMBER(C6),ISNUMBER(C14)),C6+C14,"")</f>
        <v>1182.26531086549</v>
      </c>
      <c r="D15" s="28">
        <f>IF(AND(ISNUMBER(C15),ISNUMBER(C$6)),IF(C$6=0,"",C15/C$6),"")</f>
        <v>0.999215806607985</v>
      </c>
      <c r="E15" s="27">
        <f>IF(AND(ISNUMBER(E6),ISNUMBER(E14)),E6+E14,"")</f>
        <v>1091.43469274462</v>
      </c>
      <c r="F15" s="28">
        <f>IF(AND(ISNUMBER(E15),ISNUMBER(E$6)),IF(E$6=0,"",E15/E$6),"")</f>
        <v>0.969130007638521</v>
      </c>
      <c r="G15" s="29">
        <f>IF(AND(ISNUMBER(C15),ISNUMBER(E15)),C15-E15,"")</f>
        <v>90.8306181208634</v>
      </c>
      <c r="H15" s="30">
        <f>IF(AND(ISNUMBER(D15),ISNUMBER(F15)),D15-F15,"")</f>
        <v>0.030085798969464</v>
      </c>
      <c r="I15" s="27" t="str">
        <f>IF(AND(ISNUMBER(I6),ISNUMBER(I14)),I6+I14,"")</f>
        <v/>
      </c>
      <c r="J15" s="28" t="str">
        <f>IF(AND(ISNUMBER(I15),ISNUMBER(I$6)),IF(I$6=0,"",I15/I$6),"")</f>
        <v/>
      </c>
      <c r="K15" s="27">
        <f>IF(AND(ISNUMBER(K6),ISNUMBER(K14)),K6+K14,"")</f>
        <v>933.982914898683</v>
      </c>
      <c r="L15" s="28">
        <f>IF(AND(ISNUMBER(K15),ISNUMBER(K$6)),IF(K$6=0,"",K15/K$6),"")</f>
        <v>0.961193390447197</v>
      </c>
      <c r="M15" s="29" t="str">
        <f>IF(AND(ISNUMBER(I15),ISNUMBER(K15)),I15-K15,"")</f>
        <v/>
      </c>
      <c r="N15" s="30" t="str">
        <f>IF(AND(ISNUMBER(J15),ISNUMBER(L15)),J15-L15,"")</f>
        <v/>
      </c>
      <c r="O15" s="27" t="str">
        <f>IF(AND(ISNUMBER(O6),ISNUMBER(O14)),O6+O14,"")</f>
        <v/>
      </c>
      <c r="P15" s="28" t="str">
        <f>IF(AND(ISNUMBER(O15),ISNUMBER(O$6)),IF(O$6=0,"",O15/O$6),"")</f>
        <v/>
      </c>
      <c r="Q15" s="27" t="str">
        <f>IF(AND(ISNUMBER(Q6),ISNUMBER(Q14)),Q6+Q14,"")</f>
        <v/>
      </c>
      <c r="R15" s="28" t="str">
        <f>IF(AND(ISNUMBER(Q15),ISNUMBER(Q$6)),IF(Q$6=0,"",Q15/Q$6),"")</f>
        <v/>
      </c>
      <c r="S15" s="29" t="str">
        <f>IF(AND(ISNUMBER(O15),ISNUMBER(Q15)),O15-Q15,"")</f>
        <v/>
      </c>
      <c r="T15" s="30" t="str">
        <f>IF(AND(ISNUMBER(P15),ISNUMBER(R15)),P15-R15,"")</f>
        <v/>
      </c>
      <c r="U15" s="27" t="str">
        <f>IF(AND(ISNUMBER(U6),ISNUMBER(U14)),U6+U14,"")</f>
        <v/>
      </c>
      <c r="V15" s="28" t="str">
        <f>IF(AND(ISNUMBER(U15),ISNUMBER(U$6)),IF(U$6=0,"",U15/U$6),"")</f>
        <v/>
      </c>
      <c r="W15" s="27" t="str">
        <f>IF(AND(ISNUMBER(W6),ISNUMBER(W14)),W6+W14,"")</f>
        <v/>
      </c>
      <c r="X15" s="28" t="str">
        <f>IF(AND(ISNUMBER(W15),ISNUMBER(W$6)),IF(W$6=0,"",W15/W$6),"")</f>
        <v/>
      </c>
      <c r="Y15" s="29" t="str">
        <f>IF(AND(ISNUMBER(U15),ISNUMBER(W15)),U15-W15,"")</f>
        <v/>
      </c>
      <c r="Z15" s="30" t="str">
        <f>IF(AND(ISNUMBER(V15),ISNUMBER(X15)),V15-X15,"")</f>
        <v/>
      </c>
      <c r="AA15" s="27">
        <f>IF(OR(F$2,L$2,R$2,X$2),IF(F$2,C15,0)+IF(L$2,I15,0)+IF(R$2,O15,0)+IF(X$2,U15,0),"")</f>
        <v>1182.26531086549</v>
      </c>
      <c r="AB15" s="28">
        <f>IF(AND(ISNUMBER(AA15),ISNUMBER(AA$6)),IF(AA$6=0,"",AA15/AA$6),"")</f>
        <v>0.999215806607985</v>
      </c>
      <c r="AC15" s="27">
        <f>IF(OR(F$2,L$2,R$2,X$2),IF(F$2,E15,0)+IF(L$2,K15,0)+IF(R$2,Q15,0)+IF(X$2,W15,0),"")</f>
        <v>1091.43469274462</v>
      </c>
      <c r="AD15" s="28">
        <f>IF(AND(ISNUMBER(AC15),ISNUMBER(AC$6)),IF(AC$6=0,"",AC15/AC$6),"")</f>
        <v>0.969130007638521</v>
      </c>
      <c r="AE15" s="29">
        <f>IF(AND(ISNUMBER(AA15),ISNUMBER(AC15)),AA15-AC15,"")</f>
        <v>90.8306181208634</v>
      </c>
      <c r="AF15" s="30">
        <f>IF(AND(ISNUMBER(AB15),ISNUMBER(AD15)),AB15-AD15,"")</f>
        <v>0.030085798969464</v>
      </c>
    </row>
    <row r="16">
      <c r="A16" t="inlineStr">
        <is>
          <t>PEX</t>
        </is>
      </c>
      <c r="B16" s="25" t="inlineStr">
        <is>
          <t>PEX</t>
        </is>
      </c>
      <c r="C16" s="21">
        <f>IF(D$2,SUMIFS(INDEX(Расчёт!$D$6:$O$36,0,C$2),Расчёт!$B$6:$B$36,$A16),"")</f>
        <v>62.4564056952867</v>
      </c>
      <c r="D16" s="22">
        <f>IF(AND(ISNUMBER(C16),ISNUMBER(C$6)),IF(C$6=0,"",C16/C$6),"")</f>
        <v>0.0527863138849651</v>
      </c>
      <c r="E16" s="21">
        <f>IF(E$2,SUMIFS(INDEX(Расчёт!$Q$6:$AB$36,0,C$2),Расчёт!$B$6:$B$36,$A16),"")</f>
        <v>-111.51028275114</v>
      </c>
      <c r="F16" s="22">
        <f>IF(AND(ISNUMBER(E16),ISNUMBER(E$6)),IF(E$6=0,"",E16/E$6),"")</f>
        <v>-0.0990145923459954</v>
      </c>
      <c r="G16" s="23">
        <f>IF(AND(ISNUMBER(C16),ISNUMBER(E16)),C16-E16,"")</f>
        <v>173.966688446426</v>
      </c>
      <c r="H16" s="24">
        <f>IF(AND(ISNUMBER(D16),ISNUMBER(F16)),D16-F16,"")</f>
        <v>0.151800906230961</v>
      </c>
      <c r="I16" s="21" t="str">
        <f>IF(J$2,SUMIFS(INDEX(Расчёт!$D$6:$O$36,0,I$2),Расчёт!$B$6:$B$36,$A16),"")</f>
        <v/>
      </c>
      <c r="J16" s="22" t="str">
        <f>IF(AND(ISNUMBER(I16),ISNUMBER(I$6)),IF(I$6=0,"",I16/I$6),"")</f>
        <v/>
      </c>
      <c r="K16" s="21">
        <f>IF(K$2,SUMIFS(INDEX(Расчёт!$Q$6:$AB$36,0,I$2),Расчёт!$B$6:$B$36,$A16),"")</f>
        <v>-89.6943252451799</v>
      </c>
      <c r="L16" s="22">
        <f>IF(AND(ISNUMBER(K16),ISNUMBER(K$6)),IF(K$6=0,"",K16/K$6),"")</f>
        <v>-0.0923074621719825</v>
      </c>
      <c r="M16" s="23" t="str">
        <f>IF(AND(ISNUMBER(I16),ISNUMBER(K16)),I16-K16,"")</f>
        <v/>
      </c>
      <c r="N16" s="24" t="str">
        <f>IF(AND(ISNUMBER(J16),ISNUMBER(L16)),J16-L16,"")</f>
        <v/>
      </c>
      <c r="O16" s="21" t="str">
        <f>IF(P$2,SUMIFS(INDEX(Расчёт!$D$6:$O$36,0,O$2),Расчёт!$B$6:$B$36,$A16),"")</f>
        <v/>
      </c>
      <c r="P16" s="22" t="str">
        <f>IF(AND(ISNUMBER(O16),ISNUMBER(O$6)),IF(O$6=0,"",O16/O$6),"")</f>
        <v/>
      </c>
      <c r="Q16" s="21" t="str">
        <f>IF(Q$2,SUMIFS(INDEX(Расчёт!$Q$6:$AB$36,0,O$2),Расчёт!$B$6:$B$36,$A16),"")</f>
        <v/>
      </c>
      <c r="R16" s="22" t="str">
        <f>IF(AND(ISNUMBER(Q16),ISNUMBER(Q$6)),IF(Q$6=0,"",Q16/Q$6),"")</f>
        <v/>
      </c>
      <c r="S16" s="23" t="str">
        <f>IF(AND(ISNUMBER(O16),ISNUMBER(Q16)),O16-Q16,"")</f>
        <v/>
      </c>
      <c r="T16" s="24" t="str">
        <f>IF(AND(ISNUMBER(P16),ISNUMBER(R16)),P16-R16,"")</f>
        <v/>
      </c>
      <c r="U16" s="21" t="str">
        <f>IF(V$2,SUMIFS(INDEX(Расчёт!$D$6:$O$36,0,U$2),Расчёт!$B$6:$B$36,$A16),"")</f>
        <v/>
      </c>
      <c r="V16" s="22" t="str">
        <f>IF(AND(ISNUMBER(U16),ISNUMBER(U$6)),IF(U$6=0,"",U16/U$6),"")</f>
        <v/>
      </c>
      <c r="W16" s="21" t="str">
        <f>IF(W$2,SUMIFS(INDEX(Расчёт!$Q$6:$AB$36,0,U$2),Расчёт!$B$6:$B$36,$A16),"")</f>
        <v/>
      </c>
      <c r="X16" s="22" t="str">
        <f>IF(AND(ISNUMBER(W16),ISNUMBER(W$6)),IF(W$6=0,"",W16/W$6),"")</f>
        <v/>
      </c>
      <c r="Y16" s="23" t="str">
        <f>IF(AND(ISNUMBER(U16),ISNUMBER(W16)),U16-W16,"")</f>
        <v/>
      </c>
      <c r="Z16" s="24" t="str">
        <f>IF(AND(ISNUMBER(V16),ISNUMBER(X16)),V16-X16,"")</f>
        <v/>
      </c>
      <c r="AA16" s="21">
        <f>IF(OR(F$2,L$2,R$2,X$2),IF(F$2,C16,0)+IF(L$2,I16,0)+IF(R$2,O16,0)+IF(X$2,U16,0),"")</f>
        <v>62.4564056952867</v>
      </c>
      <c r="AB16" s="22">
        <f>IF(AND(ISNUMBER(AA16),ISNUMBER(AA$6)),IF(AA$6=0,"",AA16/AA$6),"")</f>
        <v>0.0527863138849651</v>
      </c>
      <c r="AC16" s="21">
        <f>IF(OR(F$2,L$2,R$2,X$2),IF(F$2,E16,0)+IF(L$2,K16,0)+IF(R$2,Q16,0)+IF(X$2,W16,0),"")</f>
        <v>-111.51028275114</v>
      </c>
      <c r="AD16" s="22">
        <f>IF(AND(ISNUMBER(AC16),ISNUMBER(AC$6)),IF(AC$6=0,"",AC16/AC$6),"")</f>
        <v>-0.0990145923459954</v>
      </c>
      <c r="AE16" s="23">
        <f>IF(AND(ISNUMBER(AA16),ISNUMBER(AC16)),AA16-AC16,"")</f>
        <v>173.966688446426</v>
      </c>
      <c r="AF16" s="24">
        <f>IF(AND(ISNUMBER(AB16),ISNUMBER(AD16)),AB16-AD16,"")</f>
        <v>0.151800906230961</v>
      </c>
    </row>
    <row r="17">
      <c r="A17" t="inlineStr">
        <is>
          <t>Other PEX</t>
        </is>
      </c>
      <c r="B17" s="25" t="inlineStr">
        <is>
          <t>Other PEX</t>
        </is>
      </c>
      <c r="C17" s="21">
        <f>IF(D$2,SUMIFS(INDEX(Расчёт!$D$6:$O$36,0,C$2),Расчёт!$B$6:$B$36,$A17),"")</f>
        <v>-0.211306162631583</v>
      </c>
      <c r="D17" s="22">
        <f>IF(AND(ISNUMBER(C17),ISNUMBER(C$6)),IF(C$6=0,"",C17/C$6),"")</f>
        <v>-0.000178589742754601</v>
      </c>
      <c r="E17" s="21">
        <f>IF(E$2,SUMIFS(INDEX(Расчёт!$Q$6:$AB$36,0,C$2),Расчёт!$B$6:$B$36,$A17),"")</f>
        <v>-4.33863391461458</v>
      </c>
      <c r="F17" s="22">
        <f>IF(AND(ISNUMBER(E17),ISNUMBER(E$6)),IF(E$6=0,"",E17/E$6),"")</f>
        <v>-0.00385245250747678</v>
      </c>
      <c r="G17" s="23">
        <f>IF(AND(ISNUMBER(C17),ISNUMBER(E17)),C17-E17,"")</f>
        <v>4.127327751983</v>
      </c>
      <c r="H17" s="24">
        <f>IF(AND(ISNUMBER(D17),ISNUMBER(F17)),D17-F17,"")</f>
        <v>0.00367386276472218</v>
      </c>
      <c r="I17" s="21" t="str">
        <f>IF(J$2,SUMIFS(INDEX(Расчёт!$D$6:$O$36,0,I$2),Расчёт!$B$6:$B$36,$A17),"")</f>
        <v/>
      </c>
      <c r="J17" s="22" t="str">
        <f>IF(AND(ISNUMBER(I17),ISNUMBER(I$6)),IF(I$6=0,"",I17/I$6),"")</f>
        <v/>
      </c>
      <c r="K17" s="21">
        <f>IF(K$2,SUMIFS(INDEX(Расчёт!$Q$6:$AB$36,0,I$2),Расчёт!$B$6:$B$36,$A17),"")</f>
        <v>-5.80732307423639</v>
      </c>
      <c r="L17" s="22">
        <f>IF(AND(ISNUMBER(K17),ISNUMBER(K$6)),IF(K$6=0,"",K17/K$6),"")</f>
        <v>-0.00597651248872474</v>
      </c>
      <c r="M17" s="23" t="str">
        <f>IF(AND(ISNUMBER(I17),ISNUMBER(K17)),I17-K17,"")</f>
        <v/>
      </c>
      <c r="N17" s="24" t="str">
        <f>IF(AND(ISNUMBER(J17),ISNUMBER(L17)),J17-L17,"")</f>
        <v/>
      </c>
      <c r="O17" s="21" t="str">
        <f>IF(P$2,SUMIFS(INDEX(Расчёт!$D$6:$O$36,0,O$2),Расчёт!$B$6:$B$36,$A17),"")</f>
        <v/>
      </c>
      <c r="P17" s="22" t="str">
        <f>IF(AND(ISNUMBER(O17),ISNUMBER(O$6)),IF(O$6=0,"",O17/O$6),"")</f>
        <v/>
      </c>
      <c r="Q17" s="21" t="str">
        <f>IF(Q$2,SUMIFS(INDEX(Расчёт!$Q$6:$AB$36,0,O$2),Расчёт!$B$6:$B$36,$A17),"")</f>
        <v/>
      </c>
      <c r="R17" s="22" t="str">
        <f>IF(AND(ISNUMBER(Q17),ISNUMBER(Q$6)),IF(Q$6=0,"",Q17/Q$6),"")</f>
        <v/>
      </c>
      <c r="S17" s="23" t="str">
        <f>IF(AND(ISNUMBER(O17),ISNUMBER(Q17)),O17-Q17,"")</f>
        <v/>
      </c>
      <c r="T17" s="24" t="str">
        <f>IF(AND(ISNUMBER(P17),ISNUMBER(R17)),P17-R17,"")</f>
        <v/>
      </c>
      <c r="U17" s="21" t="str">
        <f>IF(V$2,SUMIFS(INDEX(Расчёт!$D$6:$O$36,0,U$2),Расчёт!$B$6:$B$36,$A17),"")</f>
        <v/>
      </c>
      <c r="V17" s="22" t="str">
        <f>IF(AND(ISNUMBER(U17),ISNUMBER(U$6)),IF(U$6=0,"",U17/U$6),"")</f>
        <v/>
      </c>
      <c r="W17" s="21" t="str">
        <f>IF(W$2,SUMIFS(INDEX(Расчёт!$Q$6:$AB$36,0,U$2),Расчёт!$B$6:$B$36,$A17),"")</f>
        <v/>
      </c>
      <c r="X17" s="22" t="str">
        <f>IF(AND(ISNUMBER(W17),ISNUMBER(W$6)),IF(W$6=0,"",W17/W$6),"")</f>
        <v/>
      </c>
      <c r="Y17" s="23" t="str">
        <f>IF(AND(ISNUMBER(U17),ISNUMBER(W17)),U17-W17,"")</f>
        <v/>
      </c>
      <c r="Z17" s="24" t="str">
        <f>IF(AND(ISNUMBER(V17),ISNUMBER(X17)),V17-X17,"")</f>
        <v/>
      </c>
      <c r="AA17" s="21">
        <f>IF(OR(F$2,L$2,R$2,X$2),IF(F$2,C17,0)+IF(L$2,I17,0)+IF(R$2,O17,0)+IF(X$2,U17,0),"")</f>
        <v>-0.211306162631583</v>
      </c>
      <c r="AB17" s="22">
        <f>IF(AND(ISNUMBER(AA17),ISNUMBER(AA$6)),IF(AA$6=0,"",AA17/AA$6),"")</f>
        <v>-0.000178589742754601</v>
      </c>
      <c r="AC17" s="21">
        <f>IF(OR(F$2,L$2,R$2,X$2),IF(F$2,E17,0)+IF(L$2,K17,0)+IF(R$2,Q17,0)+IF(X$2,W17,0),"")</f>
        <v>-4.33863391461458</v>
      </c>
      <c r="AD17" s="22">
        <f>IF(AND(ISNUMBER(AC17),ISNUMBER(AC$6)),IF(AC$6=0,"",AC17/AC$6),"")</f>
        <v>-0.00385245250747678</v>
      </c>
      <c r="AE17" s="23">
        <f>IF(AND(ISNUMBER(AA17),ISNUMBER(AC17)),AA17-AC17,"")</f>
        <v>4.127327751983</v>
      </c>
      <c r="AF17" s="24">
        <f>IF(AND(ISNUMBER(AB17),ISNUMBER(AD17)),AB17-AD17,"")</f>
        <v>0.00367386276472218</v>
      </c>
    </row>
    <row r="18">
      <c r="A18" t="inlineStr">
        <is>
          <t>Marketing</t>
        </is>
      </c>
      <c r="B18" s="25" t="inlineStr">
        <is>
          <t>Marketing</t>
        </is>
      </c>
      <c r="C18" s="21">
        <f>IF(D$2,SUMIFS(INDEX(Расчёт!$D$6:$O$36,0,C$2),Расчёт!$B$6:$B$36,$A18),"")</f>
        <v>-105.089188</v>
      </c>
      <c r="D18" s="22">
        <f>IF(AND(ISNUMBER(C18),ISNUMBER(C$6)),IF(C$6=0,"",C18/C$6),"")</f>
        <v>-0.0888182853612841</v>
      </c>
      <c r="E18" s="21">
        <f>IF(E$2,SUMIFS(INDEX(Расчёт!$Q$6:$AB$36,0,C$2),Расчёт!$B$6:$B$36,$A18),"")</f>
        <v>-348.750338137281</v>
      </c>
      <c r="F18" s="22">
        <f>IF(AND(ISNUMBER(E18),ISNUMBER(E$6)),IF(E$6=0,"",E18/E$6),"")</f>
        <v>-0.309669850252783</v>
      </c>
      <c r="G18" s="23">
        <f>IF(AND(ISNUMBER(C18),ISNUMBER(E18)),C18-E18,"")</f>
        <v>243.661150137281</v>
      </c>
      <c r="H18" s="24">
        <f>IF(AND(ISNUMBER(D18),ISNUMBER(F18)),D18-F18,"")</f>
        <v>0.220851564891498</v>
      </c>
      <c r="I18" s="21" t="str">
        <f>IF(J$2,SUMIFS(INDEX(Расчёт!$D$6:$O$36,0,I$2),Расчёт!$B$6:$B$36,$A18),"")</f>
        <v/>
      </c>
      <c r="J18" s="22" t="str">
        <f>IF(AND(ISNUMBER(I18),ISNUMBER(I$6)),IF(I$6=0,"",I18/I$6),"")</f>
        <v/>
      </c>
      <c r="K18" s="21">
        <f>IF(K$2,SUMIFS(INDEX(Расчёт!$Q$6:$AB$36,0,I$2),Расчёт!$B$6:$B$36,$A18),"")</f>
        <v>-101.49894799297</v>
      </c>
      <c r="L18" s="22">
        <f>IF(AND(ISNUMBER(K18),ISNUMBER(K$6)),IF(K$6=0,"",K18/K$6),"")</f>
        <v>-0.104455998489833</v>
      </c>
      <c r="M18" s="23" t="str">
        <f>IF(AND(ISNUMBER(I18),ISNUMBER(K18)),I18-K18,"")</f>
        <v/>
      </c>
      <c r="N18" s="24" t="str">
        <f>IF(AND(ISNUMBER(J18),ISNUMBER(L18)),J18-L18,"")</f>
        <v/>
      </c>
      <c r="O18" s="21" t="str">
        <f>IF(P$2,SUMIFS(INDEX(Расчёт!$D$6:$O$36,0,O$2),Расчёт!$B$6:$B$36,$A18),"")</f>
        <v/>
      </c>
      <c r="P18" s="22" t="str">
        <f>IF(AND(ISNUMBER(O18),ISNUMBER(O$6)),IF(O$6=0,"",O18/O$6),"")</f>
        <v/>
      </c>
      <c r="Q18" s="21" t="str">
        <f>IF(Q$2,SUMIFS(INDEX(Расчёт!$Q$6:$AB$36,0,O$2),Расчёт!$B$6:$B$36,$A18),"")</f>
        <v/>
      </c>
      <c r="R18" s="22" t="str">
        <f>IF(AND(ISNUMBER(Q18),ISNUMBER(Q$6)),IF(Q$6=0,"",Q18/Q$6),"")</f>
        <v/>
      </c>
      <c r="S18" s="23" t="str">
        <f>IF(AND(ISNUMBER(O18),ISNUMBER(Q18)),O18-Q18,"")</f>
        <v/>
      </c>
      <c r="T18" s="24" t="str">
        <f>IF(AND(ISNUMBER(P18),ISNUMBER(R18)),P18-R18,"")</f>
        <v/>
      </c>
      <c r="U18" s="21" t="str">
        <f>IF(V$2,SUMIFS(INDEX(Расчёт!$D$6:$O$36,0,U$2),Расчёт!$B$6:$B$36,$A18),"")</f>
        <v/>
      </c>
      <c r="V18" s="22" t="str">
        <f>IF(AND(ISNUMBER(U18),ISNUMBER(U$6)),IF(U$6=0,"",U18/U$6),"")</f>
        <v/>
      </c>
      <c r="W18" s="21" t="str">
        <f>IF(W$2,SUMIFS(INDEX(Расчёт!$Q$6:$AB$36,0,U$2),Расчёт!$B$6:$B$36,$A18),"")</f>
        <v/>
      </c>
      <c r="X18" s="22" t="str">
        <f>IF(AND(ISNUMBER(W18),ISNUMBER(W$6)),IF(W$6=0,"",W18/W$6),"")</f>
        <v/>
      </c>
      <c r="Y18" s="23" t="str">
        <f>IF(AND(ISNUMBER(U18),ISNUMBER(W18)),U18-W18,"")</f>
        <v/>
      </c>
      <c r="Z18" s="24" t="str">
        <f>IF(AND(ISNUMBER(V18),ISNUMBER(X18)),V18-X18,"")</f>
        <v/>
      </c>
      <c r="AA18" s="21">
        <f>IF(OR(F$2,L$2,R$2,X$2),IF(F$2,C18,0)+IF(L$2,I18,0)+IF(R$2,O18,0)+IF(X$2,U18,0),"")</f>
        <v>-105.089188</v>
      </c>
      <c r="AB18" s="22">
        <f>IF(AND(ISNUMBER(AA18),ISNUMBER(AA$6)),IF(AA$6=0,"",AA18/AA$6),"")</f>
        <v>-0.0888182853612841</v>
      </c>
      <c r="AC18" s="21">
        <f>IF(OR(F$2,L$2,R$2,X$2),IF(F$2,E18,0)+IF(L$2,K18,0)+IF(R$2,Q18,0)+IF(X$2,W18,0),"")</f>
        <v>-348.750338137281</v>
      </c>
      <c r="AD18" s="22">
        <f>IF(AND(ISNUMBER(AC18),ISNUMBER(AC$6)),IF(AC$6=0,"",AC18/AC$6),"")</f>
        <v>-0.309669850252783</v>
      </c>
      <c r="AE18" s="23">
        <f>IF(AND(ISNUMBER(AA18),ISNUMBER(AC18)),AA18-AC18,"")</f>
        <v>243.661150137281</v>
      </c>
      <c r="AF18" s="24">
        <f>IF(AND(ISNUMBER(AB18),ISNUMBER(AD18)),AB18-AD18,"")</f>
        <v>0.220851564891498</v>
      </c>
    </row>
    <row r="19">
      <c r="A19" t="inlineStr">
        <is>
          <t>IT</t>
        </is>
      </c>
      <c r="B19" s="25" t="inlineStr">
        <is>
          <t>IT</t>
        </is>
      </c>
      <c r="C19" s="21">
        <f>IF(D$2,SUMIFS(INDEX(Расчёт!$D$6:$O$36,0,C$2),Расчёт!$B$6:$B$36,$A19),"")</f>
        <v>-3.8875147</v>
      </c>
      <c r="D19" s="22">
        <f>IF(AND(ISNUMBER(C19),ISNUMBER(C$6)),IF(C$6=0,"",C19/C$6),"")</f>
        <v>-0.00328561288313301</v>
      </c>
      <c r="E19" s="21">
        <f>IF(E$2,SUMIFS(INDEX(Расчёт!$Q$6:$AB$36,0,C$2),Расчёт!$B$6:$B$36,$A19),"")</f>
        <v>-1.28350724</v>
      </c>
      <c r="F19" s="22">
        <f>IF(AND(ISNUMBER(E19),ISNUMBER(E$6)),IF(E$6=0,"",E19/E$6),"")</f>
        <v>-0.00113967916685634</v>
      </c>
      <c r="G19" s="23">
        <f>IF(AND(ISNUMBER(C19),ISNUMBER(E19)),C19-E19,"")</f>
        <v>-2.60400746</v>
      </c>
      <c r="H19" s="24">
        <f>IF(AND(ISNUMBER(D19),ISNUMBER(F19)),D19-F19,"")</f>
        <v>-0.00214593371627667</v>
      </c>
      <c r="I19" s="21" t="str">
        <f>IF(J$2,SUMIFS(INDEX(Расчёт!$D$6:$O$36,0,I$2),Расчёт!$B$6:$B$36,$A19),"")</f>
        <v/>
      </c>
      <c r="J19" s="22" t="str">
        <f>IF(AND(ISNUMBER(I19),ISNUMBER(I$6)),IF(I$6=0,"",I19/I$6),"")</f>
        <v/>
      </c>
      <c r="K19" s="21">
        <f>IF(K$2,SUMIFS(INDEX(Расчёт!$Q$6:$AB$36,0,I$2),Расчёт!$B$6:$B$36,$A19),"")</f>
        <v>-1.85798722666667</v>
      </c>
      <c r="L19" s="22">
        <f>IF(AND(ISNUMBER(K19),ISNUMBER(K$6)),IF(K$6=0,"",K19/K$6),"")</f>
        <v>-0.00191211746309198</v>
      </c>
      <c r="M19" s="23" t="str">
        <f>IF(AND(ISNUMBER(I19),ISNUMBER(K19)),I19-K19,"")</f>
        <v/>
      </c>
      <c r="N19" s="24" t="str">
        <f>IF(AND(ISNUMBER(J19),ISNUMBER(L19)),J19-L19,"")</f>
        <v/>
      </c>
      <c r="O19" s="21" t="str">
        <f>IF(P$2,SUMIFS(INDEX(Расчёт!$D$6:$O$36,0,O$2),Расчёт!$B$6:$B$36,$A19),"")</f>
        <v/>
      </c>
      <c r="P19" s="22" t="str">
        <f>IF(AND(ISNUMBER(O19),ISNUMBER(O$6)),IF(O$6=0,"",O19/O$6),"")</f>
        <v/>
      </c>
      <c r="Q19" s="21" t="str">
        <f>IF(Q$2,SUMIFS(INDEX(Расчёт!$Q$6:$AB$36,0,O$2),Расчёт!$B$6:$B$36,$A19),"")</f>
        <v/>
      </c>
      <c r="R19" s="22" t="str">
        <f>IF(AND(ISNUMBER(Q19),ISNUMBER(Q$6)),IF(Q$6=0,"",Q19/Q$6),"")</f>
        <v/>
      </c>
      <c r="S19" s="23" t="str">
        <f>IF(AND(ISNUMBER(O19),ISNUMBER(Q19)),O19-Q19,"")</f>
        <v/>
      </c>
      <c r="T19" s="24" t="str">
        <f>IF(AND(ISNUMBER(P19),ISNUMBER(R19)),P19-R19,"")</f>
        <v/>
      </c>
      <c r="U19" s="21" t="str">
        <f>IF(V$2,SUMIFS(INDEX(Расчёт!$D$6:$O$36,0,U$2),Расчёт!$B$6:$B$36,$A19),"")</f>
        <v/>
      </c>
      <c r="V19" s="22" t="str">
        <f>IF(AND(ISNUMBER(U19),ISNUMBER(U$6)),IF(U$6=0,"",U19/U$6),"")</f>
        <v/>
      </c>
      <c r="W19" s="21" t="str">
        <f>IF(W$2,SUMIFS(INDEX(Расчёт!$Q$6:$AB$36,0,U$2),Расчёт!$B$6:$B$36,$A19),"")</f>
        <v/>
      </c>
      <c r="X19" s="22" t="str">
        <f>IF(AND(ISNUMBER(W19),ISNUMBER(W$6)),IF(W$6=0,"",W19/W$6),"")</f>
        <v/>
      </c>
      <c r="Y19" s="23" t="str">
        <f>IF(AND(ISNUMBER(U19),ISNUMBER(W19)),U19-W19,"")</f>
        <v/>
      </c>
      <c r="Z19" s="24" t="str">
        <f>IF(AND(ISNUMBER(V19),ISNUMBER(X19)),V19-X19,"")</f>
        <v/>
      </c>
      <c r="AA19" s="21">
        <f>IF(OR(F$2,L$2,R$2,X$2),IF(F$2,C19,0)+IF(L$2,I19,0)+IF(R$2,O19,0)+IF(X$2,U19,0),"")</f>
        <v>-3.8875147</v>
      </c>
      <c r="AB19" s="22">
        <f>IF(AND(ISNUMBER(AA19),ISNUMBER(AA$6)),IF(AA$6=0,"",AA19/AA$6),"")</f>
        <v>-0.00328561288313301</v>
      </c>
      <c r="AC19" s="21">
        <f>IF(OR(F$2,L$2,R$2,X$2),IF(F$2,E19,0)+IF(L$2,K19,0)+IF(R$2,Q19,0)+IF(X$2,W19,0),"")</f>
        <v>-1.28350724</v>
      </c>
      <c r="AD19" s="22">
        <f>IF(AND(ISNUMBER(AC19),ISNUMBER(AC$6)),IF(AC$6=0,"",AC19/AC$6),"")</f>
        <v>-0.00113967916685634</v>
      </c>
      <c r="AE19" s="23">
        <f>IF(AND(ISNUMBER(AA19),ISNUMBER(AC19)),AA19-AC19,"")</f>
        <v>-2.60400746</v>
      </c>
      <c r="AF19" s="24">
        <f>IF(AND(ISNUMBER(AB19),ISNUMBER(AD19)),AB19-AD19,"")</f>
        <v>-0.00214593371627667</v>
      </c>
    </row>
    <row r="20">
      <c r="A20" t="inlineStr">
        <is>
          <t>Other OPEX</t>
        </is>
      </c>
      <c r="B20" s="25" t="inlineStr">
        <is>
          <t>Other OPEX</t>
        </is>
      </c>
      <c r="C20" s="21">
        <f>IF(D$2,SUMIFS(INDEX(Расчёт!$D$6:$O$36,0,C$2),Расчёт!$B$6:$B$36,$A20),"")</f>
        <v>-9.12317528</v>
      </c>
      <c r="D20" s="22">
        <f>IF(AND(ISNUMBER(C20),ISNUMBER(C$6)),IF(C$6=0,"",C20/C$6),"")</f>
        <v>-0.00771063894241959</v>
      </c>
      <c r="E20" s="21">
        <f>IF(E$2,SUMIFS(INDEX(Расчёт!$Q$6:$AB$36,0,C$2),Расчёт!$B$6:$B$36,$A20),"")</f>
        <v>-5.04728405703625</v>
      </c>
      <c r="F20" s="22">
        <f>IF(AND(ISNUMBER(E20),ISNUMBER(E$6)),IF(E$6=0,"",E20/E$6),"")</f>
        <v>-0.00448169228013887</v>
      </c>
      <c r="G20" s="23">
        <f>IF(AND(ISNUMBER(C20),ISNUMBER(E20)),C20-E20,"")</f>
        <v>-4.07589122296375</v>
      </c>
      <c r="H20" s="24">
        <f>IF(AND(ISNUMBER(D20),ISNUMBER(F20)),D20-F20,"")</f>
        <v>-0.00322894666228071</v>
      </c>
      <c r="I20" s="21" t="str">
        <f>IF(J$2,SUMIFS(INDEX(Расчёт!$D$6:$O$36,0,I$2),Расчёт!$B$6:$B$36,$A20),"")</f>
        <v/>
      </c>
      <c r="J20" s="22" t="str">
        <f>IF(AND(ISNUMBER(I20),ISNUMBER(I$6)),IF(I$6=0,"",I20/I$6),"")</f>
        <v/>
      </c>
      <c r="K20" s="21">
        <f>IF(K$2,SUMIFS(INDEX(Расчёт!$Q$6:$AB$36,0,I$2),Расчёт!$B$6:$B$36,$A20),"")</f>
        <v>-5.64965270667597</v>
      </c>
      <c r="L20" s="22">
        <f>IF(AND(ISNUMBER(K20),ISNUMBER(K$6)),IF(K$6=0,"",K20/K$6),"")</f>
        <v>-0.00581424858351734</v>
      </c>
      <c r="M20" s="23" t="str">
        <f>IF(AND(ISNUMBER(I20),ISNUMBER(K20)),I20-K20,"")</f>
        <v/>
      </c>
      <c r="N20" s="24" t="str">
        <f>IF(AND(ISNUMBER(J20),ISNUMBER(L20)),J20-L20,"")</f>
        <v/>
      </c>
      <c r="O20" s="21" t="str">
        <f>IF(P$2,SUMIFS(INDEX(Расчёт!$D$6:$O$36,0,O$2),Расчёт!$B$6:$B$36,$A20),"")</f>
        <v/>
      </c>
      <c r="P20" s="22" t="str">
        <f>IF(AND(ISNUMBER(O20),ISNUMBER(O$6)),IF(O$6=0,"",O20/O$6),"")</f>
        <v/>
      </c>
      <c r="Q20" s="21" t="str">
        <f>IF(Q$2,SUMIFS(INDEX(Расчёт!$Q$6:$AB$36,0,O$2),Расчёт!$B$6:$B$36,$A20),"")</f>
        <v/>
      </c>
      <c r="R20" s="22" t="str">
        <f>IF(AND(ISNUMBER(Q20),ISNUMBER(Q$6)),IF(Q$6=0,"",Q20/Q$6),"")</f>
        <v/>
      </c>
      <c r="S20" s="23" t="str">
        <f>IF(AND(ISNUMBER(O20),ISNUMBER(Q20)),O20-Q20,"")</f>
        <v/>
      </c>
      <c r="T20" s="24" t="str">
        <f>IF(AND(ISNUMBER(P20),ISNUMBER(R20)),P20-R20,"")</f>
        <v/>
      </c>
      <c r="U20" s="21" t="str">
        <f>IF(V$2,SUMIFS(INDEX(Расчёт!$D$6:$O$36,0,U$2),Расчёт!$B$6:$B$36,$A20),"")</f>
        <v/>
      </c>
      <c r="V20" s="22" t="str">
        <f>IF(AND(ISNUMBER(U20),ISNUMBER(U$6)),IF(U$6=0,"",U20/U$6),"")</f>
        <v/>
      </c>
      <c r="W20" s="21" t="str">
        <f>IF(W$2,SUMIFS(INDEX(Расчёт!$Q$6:$AB$36,0,U$2),Расчёт!$B$6:$B$36,$A20),"")</f>
        <v/>
      </c>
      <c r="X20" s="22" t="str">
        <f>IF(AND(ISNUMBER(W20),ISNUMBER(W$6)),IF(W$6=0,"",W20/W$6),"")</f>
        <v/>
      </c>
      <c r="Y20" s="23" t="str">
        <f>IF(AND(ISNUMBER(U20),ISNUMBER(W20)),U20-W20,"")</f>
        <v/>
      </c>
      <c r="Z20" s="24" t="str">
        <f>IF(AND(ISNUMBER(V20),ISNUMBER(X20)),V20-X20,"")</f>
        <v/>
      </c>
      <c r="AA20" s="21">
        <f>IF(OR(F$2,L$2,R$2,X$2),IF(F$2,C20,0)+IF(L$2,I20,0)+IF(R$2,O20,0)+IF(X$2,U20,0),"")</f>
        <v>-9.12317528</v>
      </c>
      <c r="AB20" s="22">
        <f>IF(AND(ISNUMBER(AA20),ISNUMBER(AA$6)),IF(AA$6=0,"",AA20/AA$6),"")</f>
        <v>-0.00771063894241959</v>
      </c>
      <c r="AC20" s="21">
        <f>IF(OR(F$2,L$2,R$2,X$2),IF(F$2,E20,0)+IF(L$2,K20,0)+IF(R$2,Q20,0)+IF(X$2,W20,0),"")</f>
        <v>-5.04728405703625</v>
      </c>
      <c r="AD20" s="22">
        <f>IF(AND(ISNUMBER(AC20),ISNUMBER(AC$6)),IF(AC$6=0,"",AC20/AC$6),"")</f>
        <v>-0.00448169228013887</v>
      </c>
      <c r="AE20" s="23">
        <f>IF(AND(ISNUMBER(AA20),ISNUMBER(AC20)),AA20-AC20,"")</f>
        <v>-4.07589122296375</v>
      </c>
      <c r="AF20" s="24">
        <f>IF(AND(ISNUMBER(AB20),ISNUMBER(AD20)),AB20-AD20,"")</f>
        <v>-0.00322894666228071</v>
      </c>
    </row>
    <row r="21">
      <c r="A21" t="inlineStr">
        <is>
          <t>OPEX</t>
        </is>
      </c>
      <c r="B21" s="16" t="inlineStr">
        <is>
          <t>OPEX</t>
        </is>
      </c>
      <c r="C21" s="17">
        <f>IF(D$2,SUMIFS(INDEX(Расчёт!$D$6:$O$36,0,C$2),Расчёт!$B$6:$B$36,$A21),"")</f>
        <v>-55.8547784473449</v>
      </c>
      <c r="D21" s="18">
        <f>IF(AND(ISNUMBER(C21),ISNUMBER(C$6)),IF(C$6=0,"",C21/C$6),"")</f>
        <v>-0.0472068130446263</v>
      </c>
      <c r="E21" s="17">
        <f>IF(E$2,SUMIFS(INDEX(Расчёт!$Q$6:$AB$36,0,C$2),Расчёт!$B$6:$B$36,$A21),"")</f>
        <v>-470.930046100071</v>
      </c>
      <c r="F21" s="18">
        <f>IF(AND(ISNUMBER(E21),ISNUMBER(E$6)),IF(E$6=0,"",E21/E$6),"")</f>
        <v>-0.41815826655325</v>
      </c>
      <c r="G21" s="19">
        <f>IF(AND(ISNUMBER(C21),ISNUMBER(E21)),C21-E21,"")</f>
        <v>415.075267652726</v>
      </c>
      <c r="H21" s="20">
        <f>IF(AND(ISNUMBER(D21),ISNUMBER(F21)),D21-F21,"")</f>
        <v>0.370951453508624</v>
      </c>
      <c r="I21" s="17" t="str">
        <f>IF(J$2,SUMIFS(INDEX(Расчёт!$D$6:$O$36,0,I$2),Расчёт!$B$6:$B$36,$A21),"")</f>
        <v/>
      </c>
      <c r="J21" s="18" t="str">
        <f>IF(AND(ISNUMBER(I21),ISNUMBER(I$6)),IF(I$6=0,"",I21/I$6),"")</f>
        <v/>
      </c>
      <c r="K21" s="17">
        <f>IF(K$2,SUMIFS(INDEX(Расчёт!$Q$6:$AB$36,0,I$2),Расчёт!$B$6:$B$36,$A21),"")</f>
        <v>-204.508236245729</v>
      </c>
      <c r="L21" s="18">
        <f>IF(AND(ISNUMBER(K21),ISNUMBER(K$6)),IF(K$6=0,"",K21/K$6),"")</f>
        <v>-0.210466339197149</v>
      </c>
      <c r="M21" s="19" t="str">
        <f>IF(AND(ISNUMBER(I21),ISNUMBER(K21)),I21-K21,"")</f>
        <v/>
      </c>
      <c r="N21" s="20" t="str">
        <f>IF(AND(ISNUMBER(J21),ISNUMBER(L21)),J21-L21,"")</f>
        <v/>
      </c>
      <c r="O21" s="17" t="str">
        <f>IF(P$2,SUMIFS(INDEX(Расчёт!$D$6:$O$36,0,O$2),Расчёт!$B$6:$B$36,$A21),"")</f>
        <v/>
      </c>
      <c r="P21" s="18" t="str">
        <f>IF(AND(ISNUMBER(O21),ISNUMBER(O$6)),IF(O$6=0,"",O21/O$6),"")</f>
        <v/>
      </c>
      <c r="Q21" s="17" t="str">
        <f>IF(Q$2,SUMIFS(INDEX(Расчёт!$Q$6:$AB$36,0,O$2),Расчёт!$B$6:$B$36,$A21),"")</f>
        <v/>
      </c>
      <c r="R21" s="18" t="str">
        <f>IF(AND(ISNUMBER(Q21),ISNUMBER(Q$6)),IF(Q$6=0,"",Q21/Q$6),"")</f>
        <v/>
      </c>
      <c r="S21" s="19" t="str">
        <f>IF(AND(ISNUMBER(O21),ISNUMBER(Q21)),O21-Q21,"")</f>
        <v/>
      </c>
      <c r="T21" s="20" t="str">
        <f>IF(AND(ISNUMBER(P21),ISNUMBER(R21)),P21-R21,"")</f>
        <v/>
      </c>
      <c r="U21" s="17" t="str">
        <f>IF(V$2,SUMIFS(INDEX(Расчёт!$D$6:$O$36,0,U$2),Расчёт!$B$6:$B$36,$A21),"")</f>
        <v/>
      </c>
      <c r="V21" s="18" t="str">
        <f>IF(AND(ISNUMBER(U21),ISNUMBER(U$6)),IF(U$6=0,"",U21/U$6),"")</f>
        <v/>
      </c>
      <c r="W21" s="17" t="str">
        <f>IF(W$2,SUMIFS(INDEX(Расчёт!$Q$6:$AB$36,0,U$2),Расчёт!$B$6:$B$36,$A21),"")</f>
        <v/>
      </c>
      <c r="X21" s="18" t="str">
        <f>IF(AND(ISNUMBER(W21),ISNUMBER(W$6)),IF(W$6=0,"",W21/W$6),"")</f>
        <v/>
      </c>
      <c r="Y21" s="19" t="str">
        <f>IF(AND(ISNUMBER(U21),ISNUMBER(W21)),U21-W21,"")</f>
        <v/>
      </c>
      <c r="Z21" s="20" t="str">
        <f>IF(AND(ISNUMBER(V21),ISNUMBER(X21)),V21-X21,"")</f>
        <v/>
      </c>
      <c r="AA21" s="17">
        <f>IF(OR(F$2,L$2,R$2,X$2),IF(F$2,C21,0)+IF(L$2,I21,0)+IF(R$2,O21,0)+IF(X$2,U21,0),"")</f>
        <v>-55.8547784473449</v>
      </c>
      <c r="AB21" s="18">
        <f>IF(AND(ISNUMBER(AA21),ISNUMBER(AA$6)),IF(AA$6=0,"",AA21/AA$6),"")</f>
        <v>-0.0472068130446263</v>
      </c>
      <c r="AC21" s="17">
        <f>IF(OR(F$2,L$2,R$2,X$2),IF(F$2,E21,0)+IF(L$2,K21,0)+IF(R$2,Q21,0)+IF(X$2,W21,0),"")</f>
        <v>-470.930046100071</v>
      </c>
      <c r="AD21" s="18">
        <f>IF(AND(ISNUMBER(AC21),ISNUMBER(AC$6)),IF(AC$6=0,"",AC21/AC$6),"")</f>
        <v>-0.41815826655325</v>
      </c>
      <c r="AE21" s="19">
        <f>IF(AND(ISNUMBER(AA21),ISNUMBER(AC21)),AA21-AC21,"")</f>
        <v>415.075267652726</v>
      </c>
      <c r="AF21" s="20">
        <f>IF(AND(ISNUMBER(AB21),ISNUMBER(AD21)),AB21-AD21,"")</f>
        <v>0.370951453508624</v>
      </c>
    </row>
    <row r="22">
      <c r="A22" t="inlineStr">
        <is>
          <t>EBITDA</t>
        </is>
      </c>
      <c r="B22" s="16" t="inlineStr">
        <is>
          <t>EBITDA</t>
        </is>
      </c>
      <c r="C22" s="17">
        <f>IF(D$2,SUMIFS(INDEX(Расчёт!$D$6:$O$36,0,C$2),Расчёт!$B$6:$B$36,$A22),"")</f>
        <v>1126.41053241814</v>
      </c>
      <c r="D22" s="18">
        <f>IF(AND(ISNUMBER(C22),ISNUMBER(C$6)),IF(C$6=0,"",C22/C$6),"")</f>
        <v>0.952008993563359</v>
      </c>
      <c r="E22" s="17">
        <f>IF(E$2,SUMIFS(INDEX(Расчёт!$Q$6:$AB$36,0,C$2),Расчёт!$B$6:$B$36,$A22),"")</f>
        <v>620.504646644553</v>
      </c>
      <c r="F22" s="18">
        <f>IF(AND(ISNUMBER(E22),ISNUMBER(E$6)),IF(E$6=0,"",E22/E$6),"")</f>
        <v>0.550971741085271</v>
      </c>
      <c r="G22" s="19">
        <f>IF(AND(ISNUMBER(C22),ISNUMBER(E22)),C22-E22,"")</f>
        <v>505.90588577359</v>
      </c>
      <c r="H22" s="20">
        <f>IF(AND(ISNUMBER(D22),ISNUMBER(F22)),D22-F22,"")</f>
        <v>0.401037252478088</v>
      </c>
      <c r="I22" s="17" t="str">
        <f>IF(J$2,SUMIFS(INDEX(Расчёт!$D$6:$O$36,0,I$2),Расчёт!$B$6:$B$36,$A22),"")</f>
        <v/>
      </c>
      <c r="J22" s="18" t="str">
        <f>IF(AND(ISNUMBER(I22),ISNUMBER(I$6)),IF(I$6=0,"",I22/I$6),"")</f>
        <v/>
      </c>
      <c r="K22" s="17">
        <f>IF(K$2,SUMIFS(INDEX(Расчёт!$Q$6:$AB$36,0,I$2),Расчёт!$B$6:$B$36,$A22),"")</f>
        <v>729.474678652954</v>
      </c>
      <c r="L22" s="18">
        <f>IF(AND(ISNUMBER(K22),ISNUMBER(K$6)),IF(K$6=0,"",K22/K$6),"")</f>
        <v>0.750727051250048</v>
      </c>
      <c r="M22" s="19" t="str">
        <f>IF(AND(ISNUMBER(I22),ISNUMBER(K22)),I22-K22,"")</f>
        <v/>
      </c>
      <c r="N22" s="20" t="str">
        <f>IF(AND(ISNUMBER(J22),ISNUMBER(L22)),J22-L22,"")</f>
        <v/>
      </c>
      <c r="O22" s="17" t="str">
        <f>IF(P$2,SUMIFS(INDEX(Расчёт!$D$6:$O$36,0,O$2),Расчёт!$B$6:$B$36,$A22),"")</f>
        <v/>
      </c>
      <c r="P22" s="18" t="str">
        <f>IF(AND(ISNUMBER(O22),ISNUMBER(O$6)),IF(O$6=0,"",O22/O$6),"")</f>
        <v/>
      </c>
      <c r="Q22" s="17" t="str">
        <f>IF(Q$2,SUMIFS(INDEX(Расчёт!$Q$6:$AB$36,0,O$2),Расчёт!$B$6:$B$36,$A22),"")</f>
        <v/>
      </c>
      <c r="R22" s="18" t="str">
        <f>IF(AND(ISNUMBER(Q22),ISNUMBER(Q$6)),IF(Q$6=0,"",Q22/Q$6),"")</f>
        <v/>
      </c>
      <c r="S22" s="19" t="str">
        <f>IF(AND(ISNUMBER(O22),ISNUMBER(Q22)),O22-Q22,"")</f>
        <v/>
      </c>
      <c r="T22" s="20" t="str">
        <f>IF(AND(ISNUMBER(P22),ISNUMBER(R22)),P22-R22,"")</f>
        <v/>
      </c>
      <c r="U22" s="17" t="str">
        <f>IF(V$2,SUMIFS(INDEX(Расчёт!$D$6:$O$36,0,U$2),Расчёт!$B$6:$B$36,$A22),"")</f>
        <v/>
      </c>
      <c r="V22" s="18" t="str">
        <f>IF(AND(ISNUMBER(U22),ISNUMBER(U$6)),IF(U$6=0,"",U22/U$6),"")</f>
        <v/>
      </c>
      <c r="W22" s="17" t="str">
        <f>IF(W$2,SUMIFS(INDEX(Расчёт!$Q$6:$AB$36,0,U$2),Расчёт!$B$6:$B$36,$A22),"")</f>
        <v/>
      </c>
      <c r="X22" s="18" t="str">
        <f>IF(AND(ISNUMBER(W22),ISNUMBER(W$6)),IF(W$6=0,"",W22/W$6),"")</f>
        <v/>
      </c>
      <c r="Y22" s="19" t="str">
        <f>IF(AND(ISNUMBER(U22),ISNUMBER(W22)),U22-W22,"")</f>
        <v/>
      </c>
      <c r="Z22" s="20" t="str">
        <f>IF(AND(ISNUMBER(V22),ISNUMBER(X22)),V22-X22,"")</f>
        <v/>
      </c>
      <c r="AA22" s="17">
        <f>IF(OR(F$2,L$2,R$2,X$2),IF(F$2,C22,0)+IF(L$2,I22,0)+IF(R$2,O22,0)+IF(X$2,U22,0),"")</f>
        <v>1126.41053241814</v>
      </c>
      <c r="AB22" s="18">
        <f>IF(AND(ISNUMBER(AA22),ISNUMBER(AA$6)),IF(AA$6=0,"",AA22/AA$6),"")</f>
        <v>0.952008993563359</v>
      </c>
      <c r="AC22" s="17">
        <f>IF(OR(F$2,L$2,R$2,X$2),IF(F$2,E22,0)+IF(L$2,K22,0)+IF(R$2,Q22,0)+IF(X$2,W22,0),"")</f>
        <v>620.504646644553</v>
      </c>
      <c r="AD22" s="18">
        <f>IF(AND(ISNUMBER(AC22),ISNUMBER(AC$6)),IF(AC$6=0,"",AC22/AC$6),"")</f>
        <v>0.550971741085271</v>
      </c>
      <c r="AE22" s="19">
        <f>IF(AND(ISNUMBER(AA22),ISNUMBER(AC22)),AA22-AC22,"")</f>
        <v>505.90588577359</v>
      </c>
      <c r="AF22" s="20">
        <f>IF(AND(ISNUMBER(AB22),ISNUMBER(AD22)),AB22-AD22,"")</f>
        <v>0.401037252478088</v>
      </c>
    </row>
    <row r="23">
      <c r="A23" t="inlineStr">
        <is>
          <t>Capex</t>
        </is>
      </c>
      <c r="B23" s="25" t="inlineStr">
        <is>
          <t>Capex</t>
        </is>
      </c>
      <c r="C23" s="21">
        <f>IF(D$2,SUMIFS(INDEX(Расчёт!$D$6:$O$36,0,C$2),Расчёт!$B$6:$B$36,$A23),"")</f>
        <v>-185.76541681</v>
      </c>
      <c r="D23" s="22">
        <f>IF(AND(ISNUMBER(C23),ISNUMBER(C$6)),IF(C$6=0,"",C23/C$6),"")</f>
        <v>-0.157003456915934</v>
      </c>
      <c r="E23" s="21">
        <f>IF(E$2,SUMIFS(INDEX(Расчёт!$Q$6:$AB$36,0,C$2),Расчёт!$B$6:$B$36,$A23),"")</f>
        <v>-242.709711716802</v>
      </c>
      <c r="F23" s="22">
        <f>IF(AND(ISNUMBER(E23),ISNUMBER(E$6)),IF(E$6=0,"",E23/E$6),"")</f>
        <v>-0.215511991998851</v>
      </c>
      <c r="G23" s="23">
        <f>IF(AND(ISNUMBER(C23),ISNUMBER(E23)),C23-E23,"")</f>
        <v>56.9442949068023</v>
      </c>
      <c r="H23" s="24">
        <f>IF(AND(ISNUMBER(D23),ISNUMBER(F23)),D23-F23,"")</f>
        <v>0.0585085350829172</v>
      </c>
      <c r="I23" s="21" t="str">
        <f>IF(J$2,SUMIFS(INDEX(Расчёт!$D$6:$O$36,0,I$2),Расчёт!$B$6:$B$36,$A23),"")</f>
        <v/>
      </c>
      <c r="J23" s="22" t="str">
        <f>IF(AND(ISNUMBER(I23),ISNUMBER(I$6)),IF(I$6=0,"",I23/I$6),"")</f>
        <v/>
      </c>
      <c r="K23" s="21">
        <f>IF(K$2,SUMIFS(INDEX(Расчёт!$Q$6:$AB$36,0,I$2),Расчёт!$B$6:$B$36,$A23),"")</f>
        <v>-31.6960520599198</v>
      </c>
      <c r="L23" s="22">
        <f>IF(AND(ISNUMBER(K23),ISNUMBER(K$6)),IF(K$6=0,"",K23/K$6),"")</f>
        <v>-0.0326194786406453</v>
      </c>
      <c r="M23" s="23" t="str">
        <f>IF(AND(ISNUMBER(I23),ISNUMBER(K23)),I23-K23,"")</f>
        <v/>
      </c>
      <c r="N23" s="24" t="str">
        <f>IF(AND(ISNUMBER(J23),ISNUMBER(L23)),J23-L23,"")</f>
        <v/>
      </c>
      <c r="O23" s="21" t="str">
        <f>IF(P$2,SUMIFS(INDEX(Расчёт!$D$6:$O$36,0,O$2),Расчёт!$B$6:$B$36,$A23),"")</f>
        <v/>
      </c>
      <c r="P23" s="22" t="str">
        <f>IF(AND(ISNUMBER(O23),ISNUMBER(O$6)),IF(O$6=0,"",O23/O$6),"")</f>
        <v/>
      </c>
      <c r="Q23" s="21" t="str">
        <f>IF(Q$2,SUMIFS(INDEX(Расчёт!$Q$6:$AB$36,0,O$2),Расчёт!$B$6:$B$36,$A23),"")</f>
        <v/>
      </c>
      <c r="R23" s="22" t="str">
        <f>IF(AND(ISNUMBER(Q23),ISNUMBER(Q$6)),IF(Q$6=0,"",Q23/Q$6),"")</f>
        <v/>
      </c>
      <c r="S23" s="23" t="str">
        <f>IF(AND(ISNUMBER(O23),ISNUMBER(Q23)),O23-Q23,"")</f>
        <v/>
      </c>
      <c r="T23" s="24" t="str">
        <f>IF(AND(ISNUMBER(P23),ISNUMBER(R23)),P23-R23,"")</f>
        <v/>
      </c>
      <c r="U23" s="21" t="str">
        <f>IF(V$2,SUMIFS(INDEX(Расчёт!$D$6:$O$36,0,U$2),Расчёт!$B$6:$B$36,$A23),"")</f>
        <v/>
      </c>
      <c r="V23" s="22" t="str">
        <f>IF(AND(ISNUMBER(U23),ISNUMBER(U$6)),IF(U$6=0,"",U23/U$6),"")</f>
        <v/>
      </c>
      <c r="W23" s="21" t="str">
        <f>IF(W$2,SUMIFS(INDEX(Расчёт!$Q$6:$AB$36,0,U$2),Расчёт!$B$6:$B$36,$A23),"")</f>
        <v/>
      </c>
      <c r="X23" s="22" t="str">
        <f>IF(AND(ISNUMBER(W23),ISNUMBER(W$6)),IF(W$6=0,"",W23/W$6),"")</f>
        <v/>
      </c>
      <c r="Y23" s="23" t="str">
        <f>IF(AND(ISNUMBER(U23),ISNUMBER(W23)),U23-W23,"")</f>
        <v/>
      </c>
      <c r="Z23" s="24" t="str">
        <f>IF(AND(ISNUMBER(V23),ISNUMBER(X23)),V23-X23,"")</f>
        <v/>
      </c>
      <c r="AA23" s="21">
        <f>IF(OR(F$2,L$2,R$2,X$2),IF(F$2,C23,0)+IF(L$2,I23,0)+IF(R$2,O23,0)+IF(X$2,U23,0),"")</f>
        <v>-185.76541681</v>
      </c>
      <c r="AB23" s="22">
        <f>IF(AND(ISNUMBER(AA23),ISNUMBER(AA$6)),IF(AA$6=0,"",AA23/AA$6),"")</f>
        <v>-0.157003456915934</v>
      </c>
      <c r="AC23" s="21">
        <f>IF(OR(F$2,L$2,R$2,X$2),IF(F$2,E23,0)+IF(L$2,K23,0)+IF(R$2,Q23,0)+IF(X$2,W23,0),"")</f>
        <v>-242.709711716802</v>
      </c>
      <c r="AD23" s="22">
        <f>IF(AND(ISNUMBER(AC23),ISNUMBER(AC$6)),IF(AC$6=0,"",AC23/AC$6),"")</f>
        <v>-0.215511991998851</v>
      </c>
      <c r="AE23" s="23">
        <f>IF(AND(ISNUMBER(AA23),ISNUMBER(AC23)),AA23-AC23,"")</f>
        <v>56.9442949068023</v>
      </c>
      <c r="AF23" s="24">
        <f>IF(AND(ISNUMBER(AB23),ISNUMBER(AD23)),AB23-AD23,"")</f>
        <v>0.0585085350829172</v>
      </c>
    </row>
    <row r="24">
      <c r="A24" t="inlineStr">
        <is>
          <t>FCF</t>
        </is>
      </c>
      <c r="B24" s="16" t="inlineStr">
        <is>
          <t>FCF</t>
        </is>
      </c>
      <c r="C24" s="17">
        <f>IF(D$2,SUMIFS(INDEX(Расчёт!$D$6:$O$36,0,C$2),Расчёт!$B$6:$B$36,$A24),"")</f>
        <v>940.645115608143</v>
      </c>
      <c r="D24" s="18">
        <f>IF(AND(ISNUMBER(C24),ISNUMBER(C$6)),IF(C$6=0,"",C24/C$6),"")</f>
        <v>0.795005536647425</v>
      </c>
      <c r="E24" s="17">
        <f>IF(E$2,SUMIFS(INDEX(Расчёт!$Q$6:$AB$36,0,C$2),Расчёт!$B$6:$B$36,$A24),"")</f>
        <v>377.794934927751</v>
      </c>
      <c r="F24" s="18">
        <f>IF(AND(ISNUMBER(E24),ISNUMBER(E$6)),IF(E$6=0,"",E24/E$6),"")</f>
        <v>0.33545974908642</v>
      </c>
      <c r="G24" s="19">
        <f>IF(AND(ISNUMBER(C24),ISNUMBER(E24)),C24-E24,"")</f>
        <v>562.850180680392</v>
      </c>
      <c r="H24" s="20">
        <f>IF(AND(ISNUMBER(D24),ISNUMBER(F24)),D24-F24,"")</f>
        <v>0.459545787561005</v>
      </c>
      <c r="I24" s="17" t="str">
        <f>IF(J$2,SUMIFS(INDEX(Расчёт!$D$6:$O$36,0,I$2),Расчёт!$B$6:$B$36,$A24),"")</f>
        <v/>
      </c>
      <c r="J24" s="18" t="str">
        <f>IF(AND(ISNUMBER(I24),ISNUMBER(I$6)),IF(I$6=0,"",I24/I$6),"")</f>
        <v/>
      </c>
      <c r="K24" s="17">
        <f>IF(K$2,SUMIFS(INDEX(Расчёт!$Q$6:$AB$36,0,I$2),Расчёт!$B$6:$B$36,$A24),"")</f>
        <v>697.778626593034</v>
      </c>
      <c r="L24" s="18">
        <f>IF(AND(ISNUMBER(K24),ISNUMBER(K$6)),IF(K$6=0,"",K24/K$6),"")</f>
        <v>0.718107572609402</v>
      </c>
      <c r="M24" s="19" t="str">
        <f>IF(AND(ISNUMBER(I24),ISNUMBER(K24)),I24-K24,"")</f>
        <v/>
      </c>
      <c r="N24" s="20" t="str">
        <f>IF(AND(ISNUMBER(J24),ISNUMBER(L24)),J24-L24,"")</f>
        <v/>
      </c>
      <c r="O24" s="17" t="str">
        <f>IF(P$2,SUMIFS(INDEX(Расчёт!$D$6:$O$36,0,O$2),Расчёт!$B$6:$B$36,$A24),"")</f>
        <v/>
      </c>
      <c r="P24" s="18" t="str">
        <f>IF(AND(ISNUMBER(O24),ISNUMBER(O$6)),IF(O$6=0,"",O24/O$6),"")</f>
        <v/>
      </c>
      <c r="Q24" s="17" t="str">
        <f>IF(Q$2,SUMIFS(INDEX(Расчёт!$Q$6:$AB$36,0,O$2),Расчёт!$B$6:$B$36,$A24),"")</f>
        <v/>
      </c>
      <c r="R24" s="18" t="str">
        <f>IF(AND(ISNUMBER(Q24),ISNUMBER(Q$6)),IF(Q$6=0,"",Q24/Q$6),"")</f>
        <v/>
      </c>
      <c r="S24" s="19" t="str">
        <f>IF(AND(ISNUMBER(O24),ISNUMBER(Q24)),O24-Q24,"")</f>
        <v/>
      </c>
      <c r="T24" s="20" t="str">
        <f>IF(AND(ISNUMBER(P24),ISNUMBER(R24)),P24-R24,"")</f>
        <v/>
      </c>
      <c r="U24" s="17" t="str">
        <f>IF(V$2,SUMIFS(INDEX(Расчёт!$D$6:$O$36,0,U$2),Расчёт!$B$6:$B$36,$A24),"")</f>
        <v/>
      </c>
      <c r="V24" s="18" t="str">
        <f>IF(AND(ISNUMBER(U24),ISNUMBER(U$6)),IF(U$6=0,"",U24/U$6),"")</f>
        <v/>
      </c>
      <c r="W24" s="17" t="str">
        <f>IF(W$2,SUMIFS(INDEX(Расчёт!$Q$6:$AB$36,0,U$2),Расчёт!$B$6:$B$36,$A24),"")</f>
        <v/>
      </c>
      <c r="X24" s="18" t="str">
        <f>IF(AND(ISNUMBER(W24),ISNUMBER(W$6)),IF(W$6=0,"",W24/W$6),"")</f>
        <v/>
      </c>
      <c r="Y24" s="19" t="str">
        <f>IF(AND(ISNUMBER(U24),ISNUMBER(W24)),U24-W24,"")</f>
        <v/>
      </c>
      <c r="Z24" s="20" t="str">
        <f>IF(AND(ISNUMBER(V24),ISNUMBER(X24)),V24-X24,"")</f>
        <v/>
      </c>
      <c r="AA24" s="17">
        <f>IF(OR(F$2,L$2,R$2,X$2),IF(F$2,C24,0)+IF(L$2,I24,0)+IF(R$2,O24,0)+IF(X$2,U24,0),"")</f>
        <v>940.645115608143</v>
      </c>
      <c r="AB24" s="18">
        <f>IF(AND(ISNUMBER(AA24),ISNUMBER(AA$6)),IF(AA$6=0,"",AA24/AA$6),"")</f>
        <v>0.795005536647425</v>
      </c>
      <c r="AC24" s="17">
        <f>IF(OR(F$2,L$2,R$2,X$2),IF(F$2,E24,0)+IF(L$2,K24,0)+IF(R$2,Q24,0)+IF(X$2,W24,0),"")</f>
        <v>377.794934927751</v>
      </c>
      <c r="AD24" s="18">
        <f>IF(AND(ISNUMBER(AC24),ISNUMBER(AC$6)),IF(AC$6=0,"",AC24/AC$6),"")</f>
        <v>0.33545974908642</v>
      </c>
      <c r="AE24" s="19">
        <f>IF(AND(ISNUMBER(AA24),ISNUMBER(AC24)),AA24-AC24,"")</f>
        <v>562.850180680392</v>
      </c>
      <c r="AF24" s="20">
        <f>IF(AND(ISNUMBER(AB24),ISNUMBER(AD24)),AB24-AD24,"")</f>
        <v>0.459545787561005</v>
      </c>
    </row>
    <row r="26">
      <c r="A26" t="inlineStr">
        <is>
          <t>EBITDA для КПЭ</t>
        </is>
      </c>
      <c r="B26" s="31" t="inlineStr">
        <is>
          <t>EBITDA для КПЭ</t>
        </is>
      </c>
      <c r="C26" s="32">
        <f>IF(D$2,SUMIFS(INDEX(Расчёт!$D$6:$O$36,0,C$2),Расчёт!$B$6:$B$36,$A26),"")</f>
        <v>803.396833788006</v>
      </c>
      <c r="D26" s="22">
        <f>IF(AND(ISNUMBER(C26),ISNUMBER(C$6)),IF(C$6=0,"",C26/C$6),"")</f>
        <v>0.679007332721376</v>
      </c>
      <c r="E26" s="32">
        <f>IF(E$2,SUMIFS(INDEX(Расчёт!$Q$6:$AB$36,0,C$2),Расчёт!$B$6:$B$36,$A26),"")</f>
        <v>111.253210695852</v>
      </c>
      <c r="F26" s="22">
        <f>IF(AND(ISNUMBER(E26),ISNUMBER(E$6)),IF(E$6=0,"",E26/E$6),"")</f>
        <v>0.0987863274350842</v>
      </c>
      <c r="G26" s="23">
        <f>IF(AND(ISNUMBER(C26),ISNUMBER(E26)),C26-E26,"")</f>
        <v>692.143623092154</v>
      </c>
      <c r="H26" s="24">
        <f>IF(AND(ISNUMBER(D26),ISNUMBER(F26)),D26-F26,"")</f>
        <v>0.580221005286292</v>
      </c>
      <c r="I26" s="32" t="str">
        <f>IF(J$2,SUMIFS(INDEX(Расчёт!$D$6:$O$36,0,I$2),Расчёт!$B$6:$B$36,$A26),"")</f>
        <v/>
      </c>
      <c r="J26" s="22" t="str">
        <f>IF(AND(ISNUMBER(I26),ISNUMBER(I$6)),IF(I$6=0,"",I26/I$6),"")</f>
        <v/>
      </c>
      <c r="K26" s="32">
        <f>IF(K$2,SUMIFS(INDEX(Расчёт!$Q$6:$AB$36,0,I$2),Расчёт!$B$6:$B$36,$A26),"")</f>
        <v>395.693856735145</v>
      </c>
      <c r="L26" s="22">
        <f>IF(AND(ISNUMBER(K26),ISNUMBER(K$6)),IF(K$6=0,"",K26/K$6),"")</f>
        <v>0.407221924156547</v>
      </c>
      <c r="M26" s="23" t="str">
        <f>IF(AND(ISNUMBER(I26),ISNUMBER(K26)),I26-K26,"")</f>
        <v/>
      </c>
      <c r="N26" s="24" t="str">
        <f>IF(AND(ISNUMBER(J26),ISNUMBER(L26)),J26-L26,"")</f>
        <v/>
      </c>
      <c r="O26" s="32" t="str">
        <f>IF(P$2,SUMIFS(INDEX(Расчёт!$D$6:$O$36,0,O$2),Расчёт!$B$6:$B$36,$A26),"")</f>
        <v/>
      </c>
      <c r="P26" s="22" t="str">
        <f>IF(AND(ISNUMBER(O26),ISNUMBER(O$6)),IF(O$6=0,"",O26/O$6),"")</f>
        <v/>
      </c>
      <c r="Q26" s="32" t="str">
        <f>IF(Q$2,SUMIFS(INDEX(Расчёт!$Q$6:$AB$36,0,O$2),Расчёт!$B$6:$B$36,$A26),"")</f>
        <v/>
      </c>
      <c r="R26" s="22" t="str">
        <f>IF(AND(ISNUMBER(Q26),ISNUMBER(Q$6)),IF(Q$6=0,"",Q26/Q$6),"")</f>
        <v/>
      </c>
      <c r="S26" s="23" t="str">
        <f>IF(AND(ISNUMBER(O26),ISNUMBER(Q26)),O26-Q26,"")</f>
        <v/>
      </c>
      <c r="T26" s="24" t="str">
        <f>IF(AND(ISNUMBER(P26),ISNUMBER(R26)),P26-R26,"")</f>
        <v/>
      </c>
      <c r="U26" s="32" t="str">
        <f>IF(V$2,SUMIFS(INDEX(Расчёт!$D$6:$O$36,0,U$2),Расчёт!$B$6:$B$36,$A26),"")</f>
        <v/>
      </c>
      <c r="V26" s="22" t="str">
        <f>IF(AND(ISNUMBER(U26),ISNUMBER(U$6)),IF(U$6=0,"",U26/U$6),"")</f>
        <v/>
      </c>
      <c r="W26" s="32" t="str">
        <f>IF(W$2,SUMIFS(INDEX(Расчёт!$Q$6:$AB$36,0,U$2),Расчёт!$B$6:$B$36,$A26),"")</f>
        <v/>
      </c>
      <c r="X26" s="22" t="str">
        <f>IF(AND(ISNUMBER(W26),ISNUMBER(W$6)),IF(W$6=0,"",W26/W$6),"")</f>
        <v/>
      </c>
      <c r="Y26" s="23" t="str">
        <f>IF(AND(ISNUMBER(U26),ISNUMBER(W26)),U26-W26,"")</f>
        <v/>
      </c>
      <c r="Z26" s="24" t="str">
        <f>IF(AND(ISNUMBER(V26),ISNUMBER(X26)),V26-X26,"")</f>
        <v/>
      </c>
      <c r="AA26" s="32">
        <f>IF(OR(F$2,L$2,R$2,X$2),IF(F$2,C26,0)+IF(L$2,I26,0)+IF(R$2,O26,0)+IF(X$2,U26,0),"")</f>
        <v>803.396833788006</v>
      </c>
      <c r="AB26" s="22">
        <f>IF(AND(ISNUMBER(AA26),ISNUMBER(AA$6)),IF(AA$6=0,"",AA26/AA$6),"")</f>
        <v>0.679007332721376</v>
      </c>
      <c r="AC26" s="32">
        <f>IF(OR(F$2,L$2,R$2,X$2),IF(F$2,E26,0)+IF(L$2,K26,0)+IF(R$2,Q26,0)+IF(X$2,W26,0),"")</f>
        <v>111.253210695852</v>
      </c>
      <c r="AD26" s="22">
        <f>IF(AND(ISNUMBER(AC26),ISNUMBER(AC$6)),IF(AC$6=0,"",AC26/AC$6),"")</f>
        <v>0.0987863274350842</v>
      </c>
      <c r="AE26" s="23">
        <f>IF(AND(ISNUMBER(AA26),ISNUMBER(AC26)),AA26-AC26,"")</f>
        <v>692.143623092154</v>
      </c>
      <c r="AF26" s="24">
        <f>IF(AND(ISNUMBER(AB26),ISNUMBER(AD26)),AB26-AD26,"")</f>
        <v>0.580221005286292</v>
      </c>
    </row>
    <row r="28">
      <c r="B28" s="4" t="inlineStr">
        <is>
          <t>Точность прогноза (1 − Σ|ACT − CTRL| / Σ|ACT|)</t>
        </is>
      </c>
    </row>
    <row r="29">
      <c r="B29" s="5" t="inlineStr">
        <is>
          <t>Gross Revenue итого</t>
        </is>
      </c>
      <c r="C29" s="33">
        <f>INDEX(Расчёт!$D$50:$O$50,1,C$2)</f>
        <v>0.951831474750573</v>
      </c>
      <c r="I29" s="33" t="str">
        <f>INDEX(Расчёт!$D$50:$O$50,1,I$2)</f>
        <v/>
      </c>
      <c r="O29" s="33" t="str">
        <f>INDEX(Расчёт!$D$50:$O$50,1,O$2)</f>
        <v/>
      </c>
      <c r="U29" s="33" t="str">
        <f>INDEX(Расчёт!$D$50:$O$50,1,U$2)</f>
        <v/>
      </c>
      <c r="AA29" s="33">
        <f>IFERROR(1-SUM(Расчёт!$D$39:$O$39)/SUM(Расчёт!$D$40:$O$40),"")</f>
        <v>0.951831474750573</v>
      </c>
    </row>
    <row r="30">
      <c r="B30" s="5" t="inlineStr">
        <is>
          <t>Выручка по направлениям</t>
        </is>
      </c>
      <c r="C30" s="33">
        <f>INDEX(Расчёт!$D$51:$O$51,1,C$2)</f>
        <v>0.217437487233645</v>
      </c>
      <c r="I30" s="33" t="str">
        <f>INDEX(Расчёт!$D$51:$O$51,1,I$2)</f>
        <v/>
      </c>
      <c r="O30" s="33" t="str">
        <f>INDEX(Расчёт!$D$51:$O$51,1,O$2)</f>
        <v/>
      </c>
      <c r="U30" s="33" t="str">
        <f>INDEX(Расчёт!$D$51:$O$51,1,U$2)</f>
        <v/>
      </c>
      <c r="AA30" s="33">
        <f>IFERROR(1-SUM(Расчёт!$D$41:$O$41)/SUM(Расчёт!$D$42:$O$42),"")</f>
        <v>0.217437487233645</v>
      </c>
    </row>
    <row r="31">
      <c r="B31" s="5" t="inlineStr">
        <is>
          <t>Все статьи (выручка + расходы + Capex)</t>
        </is>
      </c>
      <c r="C31" s="33">
        <f>INDEX(Расчёт!$D$52:$O$52,1,C$2)</f>
        <v>0.0680449006741576</v>
      </c>
      <c r="I31" s="33" t="str">
        <f>INDEX(Расчёт!$D$52:$O$52,1,I$2)</f>
        <v/>
      </c>
      <c r="O31" s="33" t="str">
        <f>INDEX(Расчёт!$D$52:$O$52,1,O$2)</f>
        <v/>
      </c>
      <c r="U31" s="33" t="str">
        <f>INDEX(Расчёт!$D$52:$O$52,1,U$2)</f>
        <v/>
      </c>
      <c r="AA31" s="33">
        <f>IFERROR(1-SUM(Расчёт!$D$43:$O$43)/SUM(Расчёт!$D$44:$O$44),"")</f>
        <v>0.0680449006741576</v>
      </c>
    </row>
    <row r="32">
      <c r="B32" s="5" t="inlineStr">
        <is>
          <t>Сегменты выручки</t>
        </is>
      </c>
      <c r="C32" s="33">
        <f>INDEX(Расчёт!$D$53:$O$53,1,C$2)</f>
        <v>0.432327778701947</v>
      </c>
      <c r="I32" s="33" t="str">
        <f>INDEX(Расчёт!$D$53:$O$53,1,I$2)</f>
        <v/>
      </c>
      <c r="O32" s="33" t="str">
        <f>INDEX(Расчёт!$D$53:$O$53,1,O$2)</f>
        <v/>
      </c>
      <c r="U32" s="33" t="str">
        <f>INDEX(Расчёт!$D$53:$O$53,1,U$2)</f>
        <v/>
      </c>
      <c r="AA32" s="33">
        <f>IFERROR(1-SUM(Расчёт!$D$45:$O$45)/SUM(Расчёт!$D$46:$O$46),"")</f>
        <v>0.432327778701947</v>
      </c>
    </row>
    <row r="33">
      <c r="B33" s="5" t="inlineStr">
        <is>
          <t>EBITDA</t>
        </is>
      </c>
      <c r="C33" s="33">
        <f>INDEX(Расчёт!$D$54:$O$54,1,C$2)</f>
        <v>0.550869002718283</v>
      </c>
      <c r="I33" s="33" t="str">
        <f>INDEX(Расчёт!$D$54:$O$54,1,I$2)</f>
        <v/>
      </c>
      <c r="O33" s="33" t="str">
        <f>INDEX(Расчёт!$D$54:$O$54,1,O$2)</f>
        <v/>
      </c>
      <c r="U33" s="33" t="str">
        <f>INDEX(Расчёт!$D$54:$O$54,1,U$2)</f>
        <v/>
      </c>
      <c r="AA33" s="33">
        <f>IFERROR(1-SUM(Расчёт!$D$47:$O$47)/SUM(Расчёт!$D$48:$O$48),"")</f>
        <v>0.550869002718283</v>
      </c>
    </row>
    <row r="34">
      <c r="B34" s="34" t="inlineStr">
        <is>
          <t>Накопленная точность — по сумме отклонений всех закрытых месяцев с сентября.</t>
        </is>
      </c>
    </row>
  </sheetData>
  <mergeCells count="20">
    <mergeCell ref="W4:X4"/>
    <mergeCell ref="Y4:Z4"/>
    <mergeCell ref="I3:N3"/>
    <mergeCell ref="U3:Z3"/>
    <mergeCell ref="C4:D4"/>
    <mergeCell ref="E4:F4"/>
    <mergeCell ref="AA3:AF3"/>
    <mergeCell ref="O4:P4"/>
    <mergeCell ref="AA4:AB4"/>
    <mergeCell ref="Q4:R4"/>
    <mergeCell ref="AC4:AD4"/>
    <mergeCell ref="C3:H3"/>
    <mergeCell ref="O3:T3"/>
    <mergeCell ref="G4:H4"/>
    <mergeCell ref="I4:J4"/>
    <mergeCell ref="K4:L4"/>
    <mergeCell ref="M4:N4"/>
    <mergeCell ref="S4:T4"/>
    <mergeCell ref="AE4:AF4"/>
    <mergeCell ref="U4:V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52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2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9" customWidth="1" min="9" max="9"/>
    <col width="60" customWidth="1" min="10" max="10"/>
    <col width="9" customWidth="1" min="11" max="11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B1" s="1" t="str">
        <f>"AdTech | "&amp;CHOOSE($C$2,"Январь","Февраль","Март","Апрель","Май","Июнь","Июль","Август","Сентябрь","Октябрь","Ноябрь","Декабрь")&amp;" 2026 | факт против прогноза (ACT vs CTRL), млн руб."</f>
        <v>AdTech | Октябрь 2026 | факт против прогноза (ACT vs CTRL), млн руб.</v>
      </c>
      <c r="M1" s="12" t="inlineStr">
        <is>
          <t>факт есть</t>
        </is>
      </c>
      <c r="N1" s="12" t="inlineStr">
        <is>
          <t>прогноз есть</t>
        </is>
      </c>
    </row>
    <row r="2">
      <c r="B2" s="11" t="inlineStr">
        <is>
          <t>Месяц, №</t>
        </is>
      </c>
      <c r="C2" s="35" t="n">
        <v>10</v>
      </c>
      <c r="D2" s="8" t="str">
        <f>"ACT — версия "&amp;$C$2&amp;" (факт: "&amp;IF($M$2,"загружен","ожидается — загрузите версию "&amp;$C$2&amp;" в «Журнал»")&amp;");  CTRL — версия "&amp;($C$2-1)&amp;" ("&amp;($C$2-1)&amp;"+"&amp;(13-$C$2)&amp;"): "&amp;IF($N$2,"загружен","нет в журнале")</f>
        <v>ACT — версия 10 (факт: ожидается — загрузите версию 10 в «Журнал»);  CTRL — версия 9 (9+3): загружен</v>
      </c>
      <c r="M2" s="12" t="b">
        <f>INDEX(Расчёт!$D$4:$O$4,1,$C$2)</f>
        <v>0</v>
      </c>
      <c r="N2" s="12" t="b">
        <f>INDEX(Расчёт!$Q$4:$AB$4,1,$C$2)</f>
        <v>1</v>
      </c>
    </row>
    <row r="4">
      <c r="C4" s="9" t="inlineStr">
        <is>
          <t>ACT 2026</t>
        </is>
      </c>
      <c r="E4" s="9" t="str">
        <f>"CTRL 2026 ("&amp;($C$2-1)&amp;"+"&amp;(13-$C$2)&amp;")"</f>
        <v>CTRL 2026 (9+3)</v>
      </c>
      <c r="G4" s="9" t="inlineStr">
        <is>
          <t>ACT vs CTRL</t>
        </is>
      </c>
      <c r="J4" s="9" t="inlineStr">
        <is>
          <t>Комментарий</t>
        </is>
      </c>
      <c r="K4" s="9" t="inlineStr">
        <is>
          <t>Нужен комм.</t>
        </is>
      </c>
    </row>
    <row r="5">
      <c r="B5" s="15" t="inlineStr">
        <is>
          <t>млн руб.</t>
        </is>
      </c>
      <c r="C5" s="9" t="inlineStr">
        <is>
          <t>ABS</t>
        </is>
      </c>
      <c r="D5" s="9" t="inlineStr">
        <is>
          <t>% GR</t>
        </is>
      </c>
      <c r="E5" s="9" t="inlineStr">
        <is>
          <t>ABS</t>
        </is>
      </c>
      <c r="F5" s="9" t="inlineStr">
        <is>
          <t>% GR</t>
        </is>
      </c>
      <c r="G5" s="9" t="inlineStr">
        <is>
          <t>ABS</t>
        </is>
      </c>
      <c r="H5" s="9" t="inlineStr">
        <is>
          <t>п.п. GR</t>
        </is>
      </c>
      <c r="I5" s="9" t="inlineStr">
        <is>
          <t>% к CTRL</t>
        </is>
      </c>
    </row>
    <row r="6">
      <c r="A6" t="inlineStr">
        <is>
          <t>Gross Revenue</t>
        </is>
      </c>
      <c r="B6" s="16" t="inlineStr">
        <is>
          <t>Gross Revenue</t>
        </is>
      </c>
      <c r="C6" s="17" t="str">
        <f>IF($M$2,SUMIFS(INDEX(Расчёт!$D$6:$O$36,0,$C$2),Расчёт!$B$6:$B$36,$A6),"")</f>
        <v/>
      </c>
      <c r="D6" s="18" t="str">
        <f>IF(AND(ISNUMBER(C6),ISNUMBER(C$6)),IF(C$6=0,"",C6/C$6),"")</f>
        <v/>
      </c>
      <c r="E6" s="17">
        <f>IF($N$2,SUMIFS(INDEX(Расчёт!$Q$6:$AB$36,0,$C$2),Расчёт!$B$6:$B$36,$A6),"")</f>
        <v>971.690946047959</v>
      </c>
      <c r="F6" s="18">
        <f>IF(AND(ISNUMBER(E6),ISNUMBER(E$6)),IF(E$6=0,"",E6/E$6),"")</f>
        <v>1</v>
      </c>
      <c r="G6" s="19" t="str">
        <f>IF(AND(ISNUMBER(C6),ISNUMBER(E6)),C6-E6,"")</f>
        <v/>
      </c>
      <c r="H6" s="20" t="str">
        <f>IF(AND(ISNUMBER(D6),ISNUMBER(F6)),D6-F6,"")</f>
        <v/>
      </c>
      <c r="I6" s="36" t="str">
        <f>IF(ISNUMBER(G6),IF(E6=0,"",G6/ABS(E6)),"")</f>
        <v/>
      </c>
      <c r="J6" s="37" t="n"/>
      <c r="K6" s="38" t="str">
        <f>IF(ISNUMBER(G6),IF(ABS(G6)&gt;='Как пользоваться'!$E$17,IF(E6=0,"да",IF(ABS(G6)/ABS(E6)&gt;='Как пользоваться'!$E$18,"да","")),""),"")</f>
        <v/>
      </c>
    </row>
    <row r="7">
      <c r="A7" t="inlineStr">
        <is>
          <t>APP</t>
        </is>
      </c>
      <c r="B7" s="5" t="inlineStr">
        <is>
          <t xml:space="preserve">    APP</t>
        </is>
      </c>
      <c r="C7" s="21" t="str">
        <f>IF($M$2,SUMIFS(INDEX(Расчёт!$D$6:$O$36,0,$C$2),Расчёт!$B$6:$B$36,$A7),"")</f>
        <v/>
      </c>
      <c r="D7" s="22" t="str">
        <f>IF(AND(ISNUMBER(C7),ISNUMBER(C$6)),IF(C$6=0,"",C7/C$6),"")</f>
        <v/>
      </c>
      <c r="E7" s="21">
        <f>IF($N$2,SUMIFS(INDEX(Расчёт!$Q$6:$AB$36,0,$C$2),Расчёт!$B$6:$B$36,$A7),"")</f>
        <v>560.927053331784</v>
      </c>
      <c r="F7" s="22">
        <f>IF(AND(ISNUMBER(E7),ISNUMBER(E$6)),IF(E$6=0,"",E7/E$6),"")</f>
        <v>0.577268992381965</v>
      </c>
      <c r="G7" s="23" t="str">
        <f>IF(AND(ISNUMBER(C7),ISNUMBER(E7)),C7-E7,"")</f>
        <v/>
      </c>
      <c r="H7" s="24" t="str">
        <f>IF(AND(ISNUMBER(D7),ISNUMBER(F7)),D7-F7,"")</f>
        <v/>
      </c>
      <c r="I7" s="39" t="str">
        <f>IF(ISNUMBER(G7),IF(E7=0,"",G7/ABS(E7)),"")</f>
        <v/>
      </c>
      <c r="J7" s="37" t="n"/>
      <c r="K7" s="40" t="str">
        <f>IF(ISNUMBER(G7),IF(ABS(G7)&gt;='Как пользоваться'!$E$17,IF(E7=0,"да",IF(ABS(G7)/ABS(E7)&gt;='Как пользоваться'!$E$18,"да","")),""),"")</f>
        <v/>
      </c>
    </row>
    <row r="8">
      <c r="A8" t="inlineStr">
        <is>
          <t>DMP+Online</t>
        </is>
      </c>
      <c r="B8" s="5" t="inlineStr">
        <is>
          <t xml:space="preserve">    DMP+Online</t>
        </is>
      </c>
      <c r="C8" s="21" t="str">
        <f>IF($M$2,SUMIFS(INDEX(Расчёт!$D$6:$O$36,0,$C$2),Расчёт!$B$6:$B$36,$A8),"")</f>
        <v/>
      </c>
      <c r="D8" s="22" t="str">
        <f>IF(AND(ISNUMBER(C8),ISNUMBER(C$6)),IF(C$6=0,"",C8/C$6),"")</f>
        <v/>
      </c>
      <c r="E8" s="21">
        <f>IF($N$2,SUMIFS(INDEX(Расчёт!$Q$6:$AB$36,0,$C$2),Расчёт!$B$6:$B$36,$A8),"")</f>
        <v>91.8189533006459</v>
      </c>
      <c r="F8" s="22">
        <f>IF(AND(ISNUMBER(E8),ISNUMBER(E$6)),IF(E$6=0,"",E8/E$6),"")</f>
        <v>0.0944939887256231</v>
      </c>
      <c r="G8" s="23" t="str">
        <f>IF(AND(ISNUMBER(C8),ISNUMBER(E8)),C8-E8,"")</f>
        <v/>
      </c>
      <c r="H8" s="24" t="str">
        <f>IF(AND(ISNUMBER(D8),ISNUMBER(F8)),D8-F8,"")</f>
        <v/>
      </c>
      <c r="I8" s="39" t="str">
        <f>IF(ISNUMBER(G8),IF(E8=0,"",G8/ABS(E8)),"")</f>
        <v/>
      </c>
      <c r="J8" s="37" t="n"/>
      <c r="K8" s="40" t="str">
        <f>IF(ISNUMBER(G8),IF(ABS(G8)&gt;='Как пользоваться'!$E$17,IF(E8=0,"да",IF(ABS(G8)/ABS(E8)&gt;='Как пользоваться'!$E$18,"да","")),""),"")</f>
        <v/>
      </c>
    </row>
    <row r="9">
      <c r="A9" t="inlineStr">
        <is>
          <t>Instore digital</t>
        </is>
      </c>
      <c r="B9" s="5" t="inlineStr">
        <is>
          <t xml:space="preserve">    Instore digital</t>
        </is>
      </c>
      <c r="C9" s="21" t="str">
        <f>IF($M$2,SUMIFS(INDEX(Расчёт!$D$6:$O$36,0,$C$2),Расчёт!$B$6:$B$36,$A9),"")</f>
        <v/>
      </c>
      <c r="D9" s="22" t="str">
        <f>IF(AND(ISNUMBER(C9),ISNUMBER(C$6)),IF(C$6=0,"",C9/C$6),"")</f>
        <v/>
      </c>
      <c r="E9" s="21">
        <f>IF($N$2,SUMIFS(INDEX(Расчёт!$Q$6:$AB$36,0,$C$2),Расчёт!$B$6:$B$36,$A9),"")</f>
        <v>262.907784367151</v>
      </c>
      <c r="F9" s="22">
        <f>IF(AND(ISNUMBER(E9),ISNUMBER(E$6)),IF(E$6=0,"",E9/E$6),"")</f>
        <v>0.270567288330146</v>
      </c>
      <c r="G9" s="23" t="str">
        <f>IF(AND(ISNUMBER(C9),ISNUMBER(E9)),C9-E9,"")</f>
        <v/>
      </c>
      <c r="H9" s="24" t="str">
        <f>IF(AND(ISNUMBER(D9),ISNUMBER(F9)),D9-F9,"")</f>
        <v/>
      </c>
      <c r="I9" s="39" t="str">
        <f>IF(ISNUMBER(G9),IF(E9=0,"",G9/ABS(E9)),"")</f>
        <v/>
      </c>
      <c r="J9" s="37" t="n"/>
      <c r="K9" s="40" t="str">
        <f>IF(ISNUMBER(G9),IF(ABS(G9)&gt;='Как пользоваться'!$E$17,IF(E9=0,"да",IF(ABS(G9)/ABS(E9)&gt;='Как пользоваться'!$E$18,"да","")),""),"")</f>
        <v/>
      </c>
    </row>
    <row r="10">
      <c r="A10" t="inlineStr">
        <is>
          <t>Instore digital_2.0</t>
        </is>
      </c>
      <c r="B10" s="5" t="inlineStr">
        <is>
          <t xml:space="preserve">    Instore digital_2.0</t>
        </is>
      </c>
      <c r="C10" s="21" t="str">
        <f>IF($M$2,SUMIFS(INDEX(Расчёт!$D$6:$O$36,0,$C$2),Расчёт!$B$6:$B$36,$A10),"")</f>
        <v/>
      </c>
      <c r="D10" s="22" t="str">
        <f>IF(AND(ISNUMBER(C10),ISNUMBER(C$6)),IF(C$6=0,"",C10/C$6),"")</f>
        <v/>
      </c>
      <c r="E10" s="21">
        <f>IF($N$2,SUMIFS(INDEX(Расчёт!$Q$6:$AB$36,0,$C$2),Расчёт!$B$6:$B$36,$A10),"")</f>
        <v>47.0922156328493</v>
      </c>
      <c r="F10" s="22">
        <f>IF(AND(ISNUMBER(E10),ISNUMBER(E$6)),IF(E$6=0,"",E10/E$6),"")</f>
        <v>0.0484641910315021</v>
      </c>
      <c r="G10" s="23" t="str">
        <f>IF(AND(ISNUMBER(C10),ISNUMBER(E10)),C10-E10,"")</f>
        <v/>
      </c>
      <c r="H10" s="24" t="str">
        <f>IF(AND(ISNUMBER(D10),ISNUMBER(F10)),D10-F10,"")</f>
        <v/>
      </c>
      <c r="I10" s="39" t="str">
        <f>IF(ISNUMBER(G10),IF(E10=0,"",G10/ABS(E10)),"")</f>
        <v/>
      </c>
      <c r="J10" s="37" t="n"/>
      <c r="K10" s="40" t="str">
        <f>IF(ISNUMBER(G10),IF(ABS(G10)&gt;='Как пользоваться'!$E$17,IF(E10=0,"да",IF(ABS(G10)/ABS(E10)&gt;='Как пользоваться'!$E$18,"да","")),""),"")</f>
        <v/>
      </c>
    </row>
    <row r="11">
      <c r="A11" t="inlineStr">
        <is>
          <t>Other и POSM</t>
        </is>
      </c>
      <c r="B11" s="5" t="inlineStr">
        <is>
          <t xml:space="preserve">    Other и POSM</t>
        </is>
      </c>
      <c r="C11" s="21" t="str">
        <f>IF($M$2,SUMIFS(INDEX(Расчёт!$D$6:$O$36,0,$C$2),Расчёт!$B$6:$B$36,$A11),"")</f>
        <v/>
      </c>
      <c r="D11" s="22" t="str">
        <f>IF(AND(ISNUMBER(C11),ISNUMBER(C$6)),IF(C$6=0,"",C11/C$6),"")</f>
        <v/>
      </c>
      <c r="E11" s="21">
        <f>IF($N$2,SUMIFS(INDEX(Расчёт!$Q$6:$AB$36,0,$C$2),Расчёт!$B$6:$B$36,$A11),"")</f>
        <v>2.66992091641693</v>
      </c>
      <c r="F11" s="22">
        <f>IF(AND(ISNUMBER(E11),ISNUMBER(E$6)),IF(E$6=0,"",E11/E$6),"")</f>
        <v>0.00274770587013904</v>
      </c>
      <c r="G11" s="23" t="str">
        <f>IF(AND(ISNUMBER(C11),ISNUMBER(E11)),C11-E11,"")</f>
        <v/>
      </c>
      <c r="H11" s="24" t="str">
        <f>IF(AND(ISNUMBER(D11),ISNUMBER(F11)),D11-F11,"")</f>
        <v/>
      </c>
      <c r="I11" s="39" t="str">
        <f>IF(ISNUMBER(G11),IF(E11=0,"",G11/ABS(E11)),"")</f>
        <v/>
      </c>
      <c r="J11" s="37" t="n"/>
      <c r="K11" s="40" t="str">
        <f>IF(ISNUMBER(G11),IF(ABS(G11)&gt;='Как пользоваться'!$E$17,IF(E11=0,"да",IF(ABS(G11)/ABS(E11)&gt;='Как пользоваться'!$E$18,"да","")),""),"")</f>
        <v/>
      </c>
    </row>
    <row r="12">
      <c r="A12" t="inlineStr">
        <is>
          <t>Кроссформатные пакеты</t>
        </is>
      </c>
      <c r="B12" s="5" t="inlineStr">
        <is>
          <t xml:space="preserve">    Кроссформатные пакеты</t>
        </is>
      </c>
      <c r="C12" s="21" t="str">
        <f>IF($M$2,SUMIFS(INDEX(Расчёт!$D$6:$O$36,0,$C$2),Расчёт!$B$6:$B$36,$A12),"")</f>
        <v/>
      </c>
      <c r="D12" s="22" t="str">
        <f>IF(AND(ISNUMBER(C12),ISNUMBER(C$6)),IF(C$6=0,"",C12/C$6),"")</f>
        <v/>
      </c>
      <c r="E12" s="21">
        <f>IF($N$2,SUMIFS(INDEX(Расчёт!$Q$6:$AB$36,0,$C$2),Расчёт!$B$6:$B$36,$A12),"")</f>
        <v>0</v>
      </c>
      <c r="F12" s="22">
        <f>IF(AND(ISNUMBER(E12),ISNUMBER(E$6)),IF(E$6=0,"",E12/E$6),"")</f>
        <v>0</v>
      </c>
      <c r="G12" s="23" t="str">
        <f>IF(AND(ISNUMBER(C12),ISNUMBER(E12)),C12-E12,"")</f>
        <v/>
      </c>
      <c r="H12" s="24" t="str">
        <f>IF(AND(ISNUMBER(D12),ISNUMBER(F12)),D12-F12,"")</f>
        <v/>
      </c>
      <c r="I12" s="39" t="str">
        <f>IF(ISNUMBER(G12),IF(E12=0,"",G12/ABS(E12)),"")</f>
        <v/>
      </c>
      <c r="J12" s="37" t="n"/>
      <c r="K12" s="40" t="str">
        <f>IF(ISNUMBER(G12),IF(ABS(G12)&gt;='Как пользоваться'!$E$17,IF(E12=0,"да",IF(ABS(G12)/ABS(E12)&gt;='Как пользоваться'!$E$18,"да","")),""),"")</f>
        <v/>
      </c>
    </row>
    <row r="13">
      <c r="A13" t="inlineStr">
        <is>
          <t>Прочие направления</t>
        </is>
      </c>
      <c r="B13" s="5" t="inlineStr">
        <is>
          <t xml:space="preserve">    Прочие (MIP, Magnit Market, DMP+ Analytics)</t>
        </is>
      </c>
      <c r="C13" s="21" t="str">
        <f>IF(ISNUMBER(C6),C6-SUM(C7,C8,C9,C10,C11,C12),"")</f>
        <v/>
      </c>
      <c r="D13" s="22" t="str">
        <f>IF(AND(ISNUMBER(C13),ISNUMBER(C$6)),IF(C$6=0,"",C13/C$6),"")</f>
        <v/>
      </c>
      <c r="E13" s="21">
        <f>IF(ISNUMBER(E6),E6-SUM(E7,E8,E9,E10,E11,E12),"")</f>
        <v>6.275018499113</v>
      </c>
      <c r="F13" s="22">
        <f>IF(AND(ISNUMBER(E13),ISNUMBER(E$6)),IF(E$6=0,"",E13/E$6),"")</f>
        <v>0.00645783366062494</v>
      </c>
      <c r="G13" s="23" t="str">
        <f>IF(AND(ISNUMBER(C13),ISNUMBER(E13)),C13-E13,"")</f>
        <v/>
      </c>
      <c r="H13" s="24" t="str">
        <f>IF(AND(ISNUMBER(D13),ISNUMBER(F13)),D13-F13,"")</f>
        <v/>
      </c>
      <c r="I13" s="39" t="str">
        <f>IF(ISNUMBER(G13),IF(E13=0,"",G13/ABS(E13)),"")</f>
        <v/>
      </c>
      <c r="J13" s="37" t="n"/>
      <c r="K13" s="40" t="str">
        <f>IF(ISNUMBER(G13),IF(ABS(G13)&gt;='Как пользоваться'!$E$17,IF(E13=0,"да",IF(ABS(G13)/ABS(E13)&gt;='Как пользоваться'!$E$18,"да","")),""),"")</f>
        <v/>
      </c>
    </row>
    <row r="14">
      <c r="A14" t="inlineStr">
        <is>
          <t>Direct cost</t>
        </is>
      </c>
      <c r="B14" s="25" t="inlineStr">
        <is>
          <t>Direct cost (вознаграждения РА и блогерам)</t>
        </is>
      </c>
      <c r="C14" s="21" t="str">
        <f>IF($M$2,SUMIFS(INDEX(Расчёт!$D$6:$O$36,0,$C$2),Расчёт!$B$6:$B$36,$A14),"")</f>
        <v/>
      </c>
      <c r="D14" s="22" t="str">
        <f>IF(AND(ISNUMBER(C14),ISNUMBER(C$6)),IF(C$6=0,"",C14/C$6),"")</f>
        <v/>
      </c>
      <c r="E14" s="21">
        <f>IF($N$2,SUMIFS(INDEX(Расчёт!$Q$6:$AB$36,0,$C$2),Расчёт!$B$6:$B$36,$A14),"")</f>
        <v>-37.708031149277</v>
      </c>
      <c r="F14" s="22">
        <f>IF(AND(ISNUMBER(E14),ISNUMBER(E$6)),IF(E$6=0,"",E14/E$6),"")</f>
        <v>-0.038806609552803</v>
      </c>
      <c r="G14" s="23" t="str">
        <f>IF(AND(ISNUMBER(C14),ISNUMBER(E14)),C14-E14,"")</f>
        <v/>
      </c>
      <c r="H14" s="24" t="str">
        <f>IF(AND(ISNUMBER(D14),ISNUMBER(F14)),D14-F14,"")</f>
        <v/>
      </c>
      <c r="I14" s="39" t="str">
        <f>IF(ISNUMBER(G14),IF(E14=0,"",G14/ABS(E14)),"")</f>
        <v/>
      </c>
      <c r="J14" s="37" t="n"/>
      <c r="K14" s="40" t="str">
        <f>IF(ISNUMBER(G14),IF(ABS(G14)&gt;='Как пользоваться'!$E$17,IF(E14=0,"да",IF(ABS(G14)/ABS(E14)&gt;='Как пользоваться'!$E$18,"да","")),""),"")</f>
        <v/>
      </c>
    </row>
    <row r="15">
      <c r="A15" t="inlineStr">
        <is>
          <t>Gross Margin</t>
        </is>
      </c>
      <c r="B15" s="26" t="inlineStr">
        <is>
          <t>Gross Margin</t>
        </is>
      </c>
      <c r="C15" s="27" t="str">
        <f>IF(AND(ISNUMBER(C6),ISNUMBER(C14)),C6+C14,"")</f>
        <v/>
      </c>
      <c r="D15" s="28" t="str">
        <f>IF(AND(ISNUMBER(C15),ISNUMBER(C$6)),IF(C$6=0,"",C15/C$6),"")</f>
        <v/>
      </c>
      <c r="E15" s="27">
        <f>IF(AND(ISNUMBER(E6),ISNUMBER(E14)),E6+E14,"")</f>
        <v>933.982914898683</v>
      </c>
      <c r="F15" s="28">
        <f>IF(AND(ISNUMBER(E15),ISNUMBER(E$6)),IF(E$6=0,"",E15/E$6),"")</f>
        <v>0.961193390447197</v>
      </c>
      <c r="G15" s="29" t="str">
        <f>IF(AND(ISNUMBER(C15),ISNUMBER(E15)),C15-E15,"")</f>
        <v/>
      </c>
      <c r="H15" s="30" t="str">
        <f>IF(AND(ISNUMBER(D15),ISNUMBER(F15)),D15-F15,"")</f>
        <v/>
      </c>
      <c r="I15" s="41" t="str">
        <f>IF(ISNUMBER(G15),IF(E15=0,"",G15/ABS(E15)),"")</f>
        <v/>
      </c>
      <c r="J15" s="37" t="n"/>
      <c r="K15" s="42" t="str">
        <f>IF(ISNUMBER(G15),IF(ABS(G15)&gt;='Как пользоваться'!$E$17,IF(E15=0,"да",IF(ABS(G15)/ABS(E15)&gt;='Как пользоваться'!$E$18,"да","")),""),"")</f>
        <v/>
      </c>
    </row>
    <row r="16">
      <c r="A16" t="inlineStr">
        <is>
          <t>PEX</t>
        </is>
      </c>
      <c r="B16" s="25" t="inlineStr">
        <is>
          <t>PEX</t>
        </is>
      </c>
      <c r="C16" s="21" t="str">
        <f>IF($M$2,SUMIFS(INDEX(Расчёт!$D$6:$O$36,0,$C$2),Расчёт!$B$6:$B$36,$A16),"")</f>
        <v/>
      </c>
      <c r="D16" s="22" t="str">
        <f>IF(AND(ISNUMBER(C16),ISNUMBER(C$6)),IF(C$6=0,"",C16/C$6),"")</f>
        <v/>
      </c>
      <c r="E16" s="21">
        <f>IF($N$2,SUMIFS(INDEX(Расчёт!$Q$6:$AB$36,0,$C$2),Расчёт!$B$6:$B$36,$A16),"")</f>
        <v>-89.6943252451799</v>
      </c>
      <c r="F16" s="22">
        <f>IF(AND(ISNUMBER(E16),ISNUMBER(E$6)),IF(E$6=0,"",E16/E$6),"")</f>
        <v>-0.0923074621719825</v>
      </c>
      <c r="G16" s="23" t="str">
        <f>IF(AND(ISNUMBER(C16),ISNUMBER(E16)),C16-E16,"")</f>
        <v/>
      </c>
      <c r="H16" s="24" t="str">
        <f>IF(AND(ISNUMBER(D16),ISNUMBER(F16)),D16-F16,"")</f>
        <v/>
      </c>
      <c r="I16" s="39" t="str">
        <f>IF(ISNUMBER(G16),IF(E16=0,"",G16/ABS(E16)),"")</f>
        <v/>
      </c>
      <c r="J16" s="37" t="n"/>
      <c r="K16" s="40" t="str">
        <f>IF(ISNUMBER(G16),IF(ABS(G16)&gt;='Как пользоваться'!$E$17,IF(E16=0,"да",IF(ABS(G16)/ABS(E16)&gt;='Как пользоваться'!$E$18,"да","")),""),"")</f>
        <v/>
      </c>
    </row>
    <row r="17">
      <c r="A17" t="inlineStr">
        <is>
          <t>Other PEX</t>
        </is>
      </c>
      <c r="B17" s="25" t="inlineStr">
        <is>
          <t>Other PEX</t>
        </is>
      </c>
      <c r="C17" s="21" t="str">
        <f>IF($M$2,SUMIFS(INDEX(Расчёт!$D$6:$O$36,0,$C$2),Расчёт!$B$6:$B$36,$A17),"")</f>
        <v/>
      </c>
      <c r="D17" s="22" t="str">
        <f>IF(AND(ISNUMBER(C17),ISNUMBER(C$6)),IF(C$6=0,"",C17/C$6),"")</f>
        <v/>
      </c>
      <c r="E17" s="21">
        <f>IF($N$2,SUMIFS(INDEX(Расчёт!$Q$6:$AB$36,0,$C$2),Расчёт!$B$6:$B$36,$A17),"")</f>
        <v>-5.80732307423639</v>
      </c>
      <c r="F17" s="22">
        <f>IF(AND(ISNUMBER(E17),ISNUMBER(E$6)),IF(E$6=0,"",E17/E$6),"")</f>
        <v>-0.00597651248872474</v>
      </c>
      <c r="G17" s="23" t="str">
        <f>IF(AND(ISNUMBER(C17),ISNUMBER(E17)),C17-E17,"")</f>
        <v/>
      </c>
      <c r="H17" s="24" t="str">
        <f>IF(AND(ISNUMBER(D17),ISNUMBER(F17)),D17-F17,"")</f>
        <v/>
      </c>
      <c r="I17" s="39" t="str">
        <f>IF(ISNUMBER(G17),IF(E17=0,"",G17/ABS(E17)),"")</f>
        <v/>
      </c>
      <c r="J17" s="37" t="n"/>
      <c r="K17" s="40" t="str">
        <f>IF(ISNUMBER(G17),IF(ABS(G17)&gt;='Как пользоваться'!$E$17,IF(E17=0,"да",IF(ABS(G17)/ABS(E17)&gt;='Как пользоваться'!$E$18,"да","")),""),"")</f>
        <v/>
      </c>
    </row>
    <row r="18">
      <c r="A18" t="inlineStr">
        <is>
          <t>Marketing</t>
        </is>
      </c>
      <c r="B18" s="25" t="inlineStr">
        <is>
          <t>Marketing</t>
        </is>
      </c>
      <c r="C18" s="21" t="str">
        <f>IF($M$2,SUMIFS(INDEX(Расчёт!$D$6:$O$36,0,$C$2),Расчёт!$B$6:$B$36,$A18),"")</f>
        <v/>
      </c>
      <c r="D18" s="22" t="str">
        <f>IF(AND(ISNUMBER(C18),ISNUMBER(C$6)),IF(C$6=0,"",C18/C$6),"")</f>
        <v/>
      </c>
      <c r="E18" s="21">
        <f>IF($N$2,SUMIFS(INDEX(Расчёт!$Q$6:$AB$36,0,$C$2),Расчёт!$B$6:$B$36,$A18),"")</f>
        <v>-101.49894799297</v>
      </c>
      <c r="F18" s="22">
        <f>IF(AND(ISNUMBER(E18),ISNUMBER(E$6)),IF(E$6=0,"",E18/E$6),"")</f>
        <v>-0.104455998489833</v>
      </c>
      <c r="G18" s="23" t="str">
        <f>IF(AND(ISNUMBER(C18),ISNUMBER(E18)),C18-E18,"")</f>
        <v/>
      </c>
      <c r="H18" s="24" t="str">
        <f>IF(AND(ISNUMBER(D18),ISNUMBER(F18)),D18-F18,"")</f>
        <v/>
      </c>
      <c r="I18" s="39" t="str">
        <f>IF(ISNUMBER(G18),IF(E18=0,"",G18/ABS(E18)),"")</f>
        <v/>
      </c>
      <c r="J18" s="37" t="n"/>
      <c r="K18" s="40" t="str">
        <f>IF(ISNUMBER(G18),IF(ABS(G18)&gt;='Как пользоваться'!$E$17,IF(E18=0,"да",IF(ABS(G18)/ABS(E18)&gt;='Как пользоваться'!$E$18,"да","")),""),"")</f>
        <v/>
      </c>
    </row>
    <row r="19">
      <c r="A19" t="inlineStr">
        <is>
          <t>IT</t>
        </is>
      </c>
      <c r="B19" s="25" t="inlineStr">
        <is>
          <t>IT</t>
        </is>
      </c>
      <c r="C19" s="21" t="str">
        <f>IF($M$2,SUMIFS(INDEX(Расчёт!$D$6:$O$36,0,$C$2),Расчёт!$B$6:$B$36,$A19),"")</f>
        <v/>
      </c>
      <c r="D19" s="22" t="str">
        <f>IF(AND(ISNUMBER(C19),ISNUMBER(C$6)),IF(C$6=0,"",C19/C$6),"")</f>
        <v/>
      </c>
      <c r="E19" s="21">
        <f>IF($N$2,SUMIFS(INDEX(Расчёт!$Q$6:$AB$36,0,$C$2),Расчёт!$B$6:$B$36,$A19),"")</f>
        <v>-1.85798722666667</v>
      </c>
      <c r="F19" s="22">
        <f>IF(AND(ISNUMBER(E19),ISNUMBER(E$6)),IF(E$6=0,"",E19/E$6),"")</f>
        <v>-0.00191211746309198</v>
      </c>
      <c r="G19" s="23" t="str">
        <f>IF(AND(ISNUMBER(C19),ISNUMBER(E19)),C19-E19,"")</f>
        <v/>
      </c>
      <c r="H19" s="24" t="str">
        <f>IF(AND(ISNUMBER(D19),ISNUMBER(F19)),D19-F19,"")</f>
        <v/>
      </c>
      <c r="I19" s="39" t="str">
        <f>IF(ISNUMBER(G19),IF(E19=0,"",G19/ABS(E19)),"")</f>
        <v/>
      </c>
      <c r="J19" s="37" t="n"/>
      <c r="K19" s="40" t="str">
        <f>IF(ISNUMBER(G19),IF(ABS(G19)&gt;='Как пользоваться'!$E$17,IF(E19=0,"да",IF(ABS(G19)/ABS(E19)&gt;='Как пользоваться'!$E$18,"да","")),""),"")</f>
        <v/>
      </c>
    </row>
    <row r="20">
      <c r="A20" t="inlineStr">
        <is>
          <t>Other OPEX</t>
        </is>
      </c>
      <c r="B20" s="25" t="inlineStr">
        <is>
          <t>Other OPEX</t>
        </is>
      </c>
      <c r="C20" s="21" t="str">
        <f>IF($M$2,SUMIFS(INDEX(Расчёт!$D$6:$O$36,0,$C$2),Расчёт!$B$6:$B$36,$A20),"")</f>
        <v/>
      </c>
      <c r="D20" s="22" t="str">
        <f>IF(AND(ISNUMBER(C20),ISNUMBER(C$6)),IF(C$6=0,"",C20/C$6),"")</f>
        <v/>
      </c>
      <c r="E20" s="21">
        <f>IF($N$2,SUMIFS(INDEX(Расчёт!$Q$6:$AB$36,0,$C$2),Расчёт!$B$6:$B$36,$A20),"")</f>
        <v>-5.64965270667597</v>
      </c>
      <c r="F20" s="22">
        <f>IF(AND(ISNUMBER(E20),ISNUMBER(E$6)),IF(E$6=0,"",E20/E$6),"")</f>
        <v>-0.00581424858351734</v>
      </c>
      <c r="G20" s="23" t="str">
        <f>IF(AND(ISNUMBER(C20),ISNUMBER(E20)),C20-E20,"")</f>
        <v/>
      </c>
      <c r="H20" s="24" t="str">
        <f>IF(AND(ISNUMBER(D20),ISNUMBER(F20)),D20-F20,"")</f>
        <v/>
      </c>
      <c r="I20" s="39" t="str">
        <f>IF(ISNUMBER(G20),IF(E20=0,"",G20/ABS(E20)),"")</f>
        <v/>
      </c>
      <c r="J20" s="37" t="n"/>
      <c r="K20" s="40" t="str">
        <f>IF(ISNUMBER(G20),IF(ABS(G20)&gt;='Как пользоваться'!$E$17,IF(E20=0,"да",IF(ABS(G20)/ABS(E20)&gt;='Как пользоваться'!$E$18,"да","")),""),"")</f>
        <v/>
      </c>
    </row>
    <row r="21">
      <c r="A21" t="inlineStr">
        <is>
          <t>OPEX</t>
        </is>
      </c>
      <c r="B21" s="16" t="inlineStr">
        <is>
          <t>OPEX</t>
        </is>
      </c>
      <c r="C21" s="17" t="str">
        <f>IF($M$2,SUMIFS(INDEX(Расчёт!$D$6:$O$36,0,$C$2),Расчёт!$B$6:$B$36,$A21),"")</f>
        <v/>
      </c>
      <c r="D21" s="18" t="str">
        <f>IF(AND(ISNUMBER(C21),ISNUMBER(C$6)),IF(C$6=0,"",C21/C$6),"")</f>
        <v/>
      </c>
      <c r="E21" s="17">
        <f>IF($N$2,SUMIFS(INDEX(Расчёт!$Q$6:$AB$36,0,$C$2),Расчёт!$B$6:$B$36,$A21),"")</f>
        <v>-204.508236245729</v>
      </c>
      <c r="F21" s="18">
        <f>IF(AND(ISNUMBER(E21),ISNUMBER(E$6)),IF(E$6=0,"",E21/E$6),"")</f>
        <v>-0.210466339197149</v>
      </c>
      <c r="G21" s="19" t="str">
        <f>IF(AND(ISNUMBER(C21),ISNUMBER(E21)),C21-E21,"")</f>
        <v/>
      </c>
      <c r="H21" s="20" t="str">
        <f>IF(AND(ISNUMBER(D21),ISNUMBER(F21)),D21-F21,"")</f>
        <v/>
      </c>
      <c r="I21" s="36" t="str">
        <f>IF(ISNUMBER(G21),IF(E21=0,"",G21/ABS(E21)),"")</f>
        <v/>
      </c>
      <c r="J21" s="37" t="n"/>
      <c r="K21" s="38" t="str">
        <f>IF(ISNUMBER(G21),IF(ABS(G21)&gt;='Как пользоваться'!$E$17,IF(E21=0,"да",IF(ABS(G21)/ABS(E21)&gt;='Как пользоваться'!$E$18,"да","")),""),"")</f>
        <v/>
      </c>
    </row>
    <row r="22">
      <c r="A22" t="inlineStr">
        <is>
          <t>EBITDA</t>
        </is>
      </c>
      <c r="B22" s="16" t="inlineStr">
        <is>
          <t>EBITDA</t>
        </is>
      </c>
      <c r="C22" s="17" t="str">
        <f>IF($M$2,SUMIFS(INDEX(Расчёт!$D$6:$O$36,0,$C$2),Расчёт!$B$6:$B$36,$A22),"")</f>
        <v/>
      </c>
      <c r="D22" s="18" t="str">
        <f>IF(AND(ISNUMBER(C22),ISNUMBER(C$6)),IF(C$6=0,"",C22/C$6),"")</f>
        <v/>
      </c>
      <c r="E22" s="17">
        <f>IF($N$2,SUMIFS(INDEX(Расчёт!$Q$6:$AB$36,0,$C$2),Расчёт!$B$6:$B$36,$A22),"")</f>
        <v>729.474678652954</v>
      </c>
      <c r="F22" s="18">
        <f>IF(AND(ISNUMBER(E22),ISNUMBER(E$6)),IF(E$6=0,"",E22/E$6),"")</f>
        <v>0.750727051250048</v>
      </c>
      <c r="G22" s="19" t="str">
        <f>IF(AND(ISNUMBER(C22),ISNUMBER(E22)),C22-E22,"")</f>
        <v/>
      </c>
      <c r="H22" s="20" t="str">
        <f>IF(AND(ISNUMBER(D22),ISNUMBER(F22)),D22-F22,"")</f>
        <v/>
      </c>
      <c r="I22" s="36" t="str">
        <f>IF(ISNUMBER(G22),IF(E22=0,"",G22/ABS(E22)),"")</f>
        <v/>
      </c>
      <c r="J22" s="37" t="n"/>
      <c r="K22" s="38" t="str">
        <f>IF(ISNUMBER(G22),IF(ABS(G22)&gt;='Как пользоваться'!$E$17,IF(E22=0,"да",IF(ABS(G22)/ABS(E22)&gt;='Как пользоваться'!$E$18,"да","")),""),"")</f>
        <v/>
      </c>
    </row>
    <row r="23">
      <c r="A23" t="inlineStr">
        <is>
          <t>Capex</t>
        </is>
      </c>
      <c r="B23" s="25" t="inlineStr">
        <is>
          <t>Capex</t>
        </is>
      </c>
      <c r="C23" s="21" t="str">
        <f>IF($M$2,SUMIFS(INDEX(Расчёт!$D$6:$O$36,0,$C$2),Расчёт!$B$6:$B$36,$A23),"")</f>
        <v/>
      </c>
      <c r="D23" s="22" t="str">
        <f>IF(AND(ISNUMBER(C23),ISNUMBER(C$6)),IF(C$6=0,"",C23/C$6),"")</f>
        <v/>
      </c>
      <c r="E23" s="21">
        <f>IF($N$2,SUMIFS(INDEX(Расчёт!$Q$6:$AB$36,0,$C$2),Расчёт!$B$6:$B$36,$A23),"")</f>
        <v>-31.6960520599198</v>
      </c>
      <c r="F23" s="22">
        <f>IF(AND(ISNUMBER(E23),ISNUMBER(E$6)),IF(E$6=0,"",E23/E$6),"")</f>
        <v>-0.0326194786406453</v>
      </c>
      <c r="G23" s="23" t="str">
        <f>IF(AND(ISNUMBER(C23),ISNUMBER(E23)),C23-E23,"")</f>
        <v/>
      </c>
      <c r="H23" s="24" t="str">
        <f>IF(AND(ISNUMBER(D23),ISNUMBER(F23)),D23-F23,"")</f>
        <v/>
      </c>
      <c r="I23" s="39" t="str">
        <f>IF(ISNUMBER(G23),IF(E23=0,"",G23/ABS(E23)),"")</f>
        <v/>
      </c>
      <c r="J23" s="37" t="n"/>
      <c r="K23" s="40" t="str">
        <f>IF(ISNUMBER(G23),IF(ABS(G23)&gt;='Как пользоваться'!$E$17,IF(E23=0,"да",IF(ABS(G23)/ABS(E23)&gt;='Как пользоваться'!$E$18,"да","")),""),"")</f>
        <v/>
      </c>
    </row>
    <row r="24">
      <c r="A24" t="inlineStr">
        <is>
          <t>FCF</t>
        </is>
      </c>
      <c r="B24" s="16" t="inlineStr">
        <is>
          <t>FCF</t>
        </is>
      </c>
      <c r="C24" s="17" t="str">
        <f>IF($M$2,SUMIFS(INDEX(Расчёт!$D$6:$O$36,0,$C$2),Расчёт!$B$6:$B$36,$A24),"")</f>
        <v/>
      </c>
      <c r="D24" s="18" t="str">
        <f>IF(AND(ISNUMBER(C24),ISNUMBER(C$6)),IF(C$6=0,"",C24/C$6),"")</f>
        <v/>
      </c>
      <c r="E24" s="17">
        <f>IF($N$2,SUMIFS(INDEX(Расчёт!$Q$6:$AB$36,0,$C$2),Расчёт!$B$6:$B$36,$A24),"")</f>
        <v>697.778626593034</v>
      </c>
      <c r="F24" s="18">
        <f>IF(AND(ISNUMBER(E24),ISNUMBER(E$6)),IF(E$6=0,"",E24/E$6),"")</f>
        <v>0.718107572609402</v>
      </c>
      <c r="G24" s="19" t="str">
        <f>IF(AND(ISNUMBER(C24),ISNUMBER(E24)),C24-E24,"")</f>
        <v/>
      </c>
      <c r="H24" s="20" t="str">
        <f>IF(AND(ISNUMBER(D24),ISNUMBER(F24)),D24-F24,"")</f>
        <v/>
      </c>
      <c r="I24" s="36" t="str">
        <f>IF(ISNUMBER(G24),IF(E24=0,"",G24/ABS(E24)),"")</f>
        <v/>
      </c>
      <c r="J24" s="37" t="n"/>
      <c r="K24" s="38" t="str">
        <f>IF(ISNUMBER(G24),IF(ABS(G24)&gt;='Как пользоваться'!$E$17,IF(E24=0,"да",IF(ABS(G24)/ABS(E24)&gt;='Как пользоваться'!$E$18,"да","")),""),"")</f>
        <v/>
      </c>
    </row>
    <row r="26">
      <c r="A26" t="inlineStr">
        <is>
          <t>EBITDA для КПЭ</t>
        </is>
      </c>
      <c r="B26" s="31" t="inlineStr">
        <is>
          <t>EBITDA для КПЭ</t>
        </is>
      </c>
      <c r="C26" s="32" t="str">
        <f>IF($M$2,SUMIFS(INDEX(Расчёт!$D$6:$O$36,0,$C$2),Расчёт!$B$6:$B$36,$A26),"")</f>
        <v/>
      </c>
      <c r="D26" s="43" t="str">
        <f>IF(AND(ISNUMBER(C26),ISNUMBER(C$6)),IF(C$6=0,"",C26/C$6),"")</f>
        <v/>
      </c>
      <c r="E26" s="32">
        <f>IF($N$2,SUMIFS(INDEX(Расчёт!$Q$6:$AB$36,0,$C$2),Расчёт!$B$6:$B$36,$A26),"")</f>
        <v>395.693856735145</v>
      </c>
      <c r="F26" s="43">
        <f>IF(AND(ISNUMBER(E26),ISNUMBER(E$6)),IF(E$6=0,"",E26/E$6),"")</f>
        <v>0.407221924156547</v>
      </c>
      <c r="G26" s="44" t="str">
        <f>IF(AND(ISNUMBER(C26),ISNUMBER(E26)),C26-E26,"")</f>
        <v/>
      </c>
      <c r="H26" s="24" t="str">
        <f>IF(AND(ISNUMBER(D26),ISNUMBER(F26)),D26-F26,"")</f>
        <v/>
      </c>
      <c r="I26" s="39" t="str">
        <f>IF(ISNUMBER(G26),IF(E26=0,"",G26/ABS(E26)),"")</f>
        <v/>
      </c>
      <c r="J26" s="37" t="n"/>
      <c r="K26" s="40" t="str">
        <f>IF(ISNUMBER(G26),IF(ABS(G26)&gt;='Как пользоваться'!$E$17,IF(E26=0,"да",IF(ABS(G26)/ABS(E26)&gt;='Как пользоваться'!$E$18,"да","")),""),"")</f>
        <v/>
      </c>
    </row>
    <row r="28">
      <c r="B28" s="4" t="inlineStr">
        <is>
          <t>Точность прогноза (1 − Σ|ACT − CTRL| / Σ|ACT|)</t>
        </is>
      </c>
      <c r="E28" s="4" t="inlineStr">
        <is>
          <t>Строки</t>
        </is>
      </c>
    </row>
    <row r="29">
      <c r="B29" s="5" t="inlineStr">
        <is>
          <t>Gross Revenue итого</t>
        </is>
      </c>
      <c r="D29" s="33" t="str">
        <f>INDEX(Расчёт!$D$50:$O$50,1,$C$2)</f>
        <v/>
      </c>
      <c r="E29" s="8" t="inlineStr">
        <is>
          <t>Gross Revenue в целом</t>
        </is>
      </c>
    </row>
    <row r="30">
      <c r="B30" s="5" t="inlineStr">
        <is>
          <t>Выручка по направлениям</t>
        </is>
      </c>
      <c r="D30" s="33" t="str">
        <f>INDEX(Расчёт!$D$51:$O$51,1,$C$2)</f>
        <v/>
      </c>
      <c r="E30" s="8" t="inlineStr">
        <is>
          <t>10 направлений выручки — как G4 на листе «33» мастера</t>
        </is>
      </c>
    </row>
    <row r="31">
      <c r="B31" s="5" t="inlineStr">
        <is>
          <t>Все статьи (выручка + расходы + Capex)</t>
        </is>
      </c>
      <c r="D31" s="33" t="str">
        <f>INDEX(Расчёт!$D$52:$O$52,1,$C$2)</f>
        <v/>
      </c>
      <c r="E31" s="8" t="inlineStr">
        <is>
          <t>направления выручки, Direct cost, PEX, Other PEX, Marketing, IT, Other OPEX, Capex — как F4</t>
        </is>
      </c>
    </row>
    <row r="32">
      <c r="B32" s="5" t="inlineStr">
        <is>
          <t>Сегменты выручки</t>
        </is>
      </c>
      <c r="D32" s="33" t="str">
        <f>INDEX(Расчёт!$D$53:$O$53,1,$C$2)</f>
        <v/>
      </c>
      <c r="E32" s="8" t="inlineStr">
        <is>
          <t>8 сегментов (еком / поставщики / база–инкремент) — как H4</t>
        </is>
      </c>
    </row>
    <row r="33">
      <c r="B33" s="5" t="inlineStr">
        <is>
          <t>EBITDA</t>
        </is>
      </c>
      <c r="D33" s="33" t="str">
        <f>INDEX(Расчёт!$D$54:$O$54,1,$C$2)</f>
        <v/>
      </c>
      <c r="E33" s="8" t="inlineStr">
        <is>
          <t>EBITDA в целом</t>
        </is>
      </c>
    </row>
    <row r="35">
      <c r="B35" s="45" t="str">
        <f>IF(AND($M$2,$N$2),CHOOSE($C$2,"Январь","Февраль","Март","Апрель","Май","Июнь","Июль","Август","Сентябрь","Октябрь","Ноябрь","Декабрь")&amp;" 2026 | EBITDA бридж CTRL vs Факт: "&amp;FIXED(E22,0)&amp;" → "&amp;FIXED(C22,0)&amp;" ("&amp;IF(G22&gt;0,"+","")&amp;FIXED(G22,0)&amp;") млн руб.",CHOOSE($C$2,"Январь","Февраль","Март","Апрель","Май","Июнь","Июль","Август","Сентябрь","Октябрь","Ноябрь","Декабрь")&amp;" 2026 | EBITDA бридж CTRL vs Факт — появится после загрузки факта")</f>
        <v>Октябрь 2026 | EBITDA бридж CTRL vs Факт — появится после загрузки факта</v>
      </c>
      <c r="M35" s="12" t="inlineStr">
        <is>
          <t>служебные для графика</t>
        </is>
      </c>
    </row>
    <row r="36">
      <c r="B36" s="4" t="inlineStr">
        <is>
          <t>EBITDA бридж, млн руб.</t>
        </is>
      </c>
      <c r="C36" s="14" t="inlineStr">
        <is>
          <t>Δ</t>
        </is>
      </c>
      <c r="M36" s="13" t="inlineStr">
        <is>
          <t>Уровень после</t>
        </is>
      </c>
      <c r="N36" s="13" t="inlineStr">
        <is>
          <t>Основа (прозр.)</t>
        </is>
      </c>
      <c r="O36" s="13" t="inlineStr">
        <is>
          <t>Итог</t>
        </is>
      </c>
      <c r="P36" s="13" t="inlineStr">
        <is>
          <t>Рост ≥0</t>
        </is>
      </c>
      <c r="Q36" s="13" t="inlineStr">
        <is>
          <t>Рост &lt;0</t>
        </is>
      </c>
      <c r="R36" s="13" t="inlineStr">
        <is>
          <t>Снижение ≥0</t>
        </is>
      </c>
      <c r="S36" s="13" t="inlineStr">
        <is>
          <t>Снижение &lt;0</t>
        </is>
      </c>
    </row>
    <row r="37">
      <c r="B37" s="11" t="inlineStr">
        <is>
          <t>EBITDA CTRL</t>
        </is>
      </c>
      <c r="C37" s="46">
        <f>IF(AND($M$2,$N$2),E22,IF($N$2,E22,0))</f>
        <v>729.474678652954</v>
      </c>
      <c r="M37" s="47">
        <f>C37</f>
        <v>729.474678652954</v>
      </c>
      <c r="N37" s="47" t="n">
        <v>0</v>
      </c>
      <c r="O37" s="48">
        <f>C37</f>
        <v>729.474678652954</v>
      </c>
      <c r="P37" s="49" t="n">
        <v>0</v>
      </c>
      <c r="Q37" s="49" t="n">
        <v>0</v>
      </c>
      <c r="R37" s="50" t="n">
        <v>0</v>
      </c>
      <c r="S37" s="50" t="n">
        <v>0</v>
      </c>
    </row>
    <row r="38">
      <c r="B38" s="5" t="inlineStr">
        <is>
          <t>APP</t>
        </is>
      </c>
      <c r="C38" s="51">
        <f>IF(ISNUMBER(G7),G7,0)</f>
        <v>0</v>
      </c>
      <c r="M38" s="47">
        <f>M37+C38</f>
        <v>729.474678652954</v>
      </c>
      <c r="N38" s="47">
        <f>IF(AND(M37&gt;=0,M38&gt;=0),MIN(M37,M38),IF(AND(M37&lt;=0,M38&lt;=0),MAX(M37,M38),0))</f>
        <v>729.474678652954</v>
      </c>
      <c r="O38" s="48" t="n">
        <v>0</v>
      </c>
      <c r="P38" s="49">
        <f>IF(C38&gt;0,IF(AND(M37&gt;=0,M38&gt;=0),ABS(M38-M37),IF(AND(M37&lt;=0,M38&lt;=0),0,MAX(M37,M38))),0)</f>
        <v>0</v>
      </c>
      <c r="Q38" s="49">
        <f>IF(C38&gt;0,IF(AND(M37&gt;=0,M38&gt;=0),0,IF(AND(M37&lt;=0,M38&lt;=0),-ABS(M38-M37),MIN(M37,M38))),0)</f>
        <v>0</v>
      </c>
      <c r="R38" s="50">
        <f>IF(C38&lt;0,IF(AND(M37&gt;=0,M38&gt;=0),ABS(M38-M37),IF(AND(M37&lt;=0,M38&lt;=0),0,MAX(M37,M38))),0)</f>
        <v>0</v>
      </c>
      <c r="S38" s="50">
        <f>IF(C38&lt;0,IF(AND(M37&gt;=0,M38&gt;=0),0,IF(AND(M37&lt;=0,M38&lt;=0),-ABS(M38-M37),MIN(M37,M38))),0)</f>
        <v>0</v>
      </c>
    </row>
    <row r="39">
      <c r="B39" s="5" t="inlineStr">
        <is>
          <t>DMP+Online</t>
        </is>
      </c>
      <c r="C39" s="51">
        <f>IF(ISNUMBER(G8),G8,0)</f>
        <v>0</v>
      </c>
      <c r="M39" s="47">
        <f>M38+C39</f>
        <v>729.474678652954</v>
      </c>
      <c r="N39" s="47">
        <f>IF(AND(M38&gt;=0,M39&gt;=0),MIN(M38,M39),IF(AND(M38&lt;=0,M39&lt;=0),MAX(M38,M39),0))</f>
        <v>729.474678652954</v>
      </c>
      <c r="O39" s="48" t="n">
        <v>0</v>
      </c>
      <c r="P39" s="49">
        <f>IF(C39&gt;0,IF(AND(M38&gt;=0,M39&gt;=0),ABS(M39-M38),IF(AND(M38&lt;=0,M39&lt;=0),0,MAX(M38,M39))),0)</f>
        <v>0</v>
      </c>
      <c r="Q39" s="49">
        <f>IF(C39&gt;0,IF(AND(M38&gt;=0,M39&gt;=0),0,IF(AND(M38&lt;=0,M39&lt;=0),-ABS(M39-M38),MIN(M38,M39))),0)</f>
        <v>0</v>
      </c>
      <c r="R39" s="50">
        <f>IF(C39&lt;0,IF(AND(M38&gt;=0,M39&gt;=0),ABS(M39-M38),IF(AND(M38&lt;=0,M39&lt;=0),0,MAX(M38,M39))),0)</f>
        <v>0</v>
      </c>
      <c r="S39" s="50">
        <f>IF(C39&lt;0,IF(AND(M38&gt;=0,M39&gt;=0),0,IF(AND(M38&lt;=0,M39&lt;=0),-ABS(M39-M38),MIN(M38,M39))),0)</f>
        <v>0</v>
      </c>
    </row>
    <row r="40">
      <c r="B40" s="5" t="inlineStr">
        <is>
          <t>Instore digital</t>
        </is>
      </c>
      <c r="C40" s="51">
        <f>IF(ISNUMBER(G9),G9,0)</f>
        <v>0</v>
      </c>
      <c r="M40" s="47">
        <f>M39+C40</f>
        <v>729.474678652954</v>
      </c>
      <c r="N40" s="47">
        <f>IF(AND(M39&gt;=0,M40&gt;=0),MIN(M39,M40),IF(AND(M39&lt;=0,M40&lt;=0),MAX(M39,M40),0))</f>
        <v>729.474678652954</v>
      </c>
      <c r="O40" s="48" t="n">
        <v>0</v>
      </c>
      <c r="P40" s="49">
        <f>IF(C40&gt;0,IF(AND(M39&gt;=0,M40&gt;=0),ABS(M40-M39),IF(AND(M39&lt;=0,M40&lt;=0),0,MAX(M39,M40))),0)</f>
        <v>0</v>
      </c>
      <c r="Q40" s="49">
        <f>IF(C40&gt;0,IF(AND(M39&gt;=0,M40&gt;=0),0,IF(AND(M39&lt;=0,M40&lt;=0),-ABS(M40-M39),MIN(M39,M40))),0)</f>
        <v>0</v>
      </c>
      <c r="R40" s="50">
        <f>IF(C40&lt;0,IF(AND(M39&gt;=0,M40&gt;=0),ABS(M40-M39),IF(AND(M39&lt;=0,M40&lt;=0),0,MAX(M39,M40))),0)</f>
        <v>0</v>
      </c>
      <c r="S40" s="50">
        <f>IF(C40&lt;0,IF(AND(M39&gt;=0,M40&gt;=0),0,IF(AND(M39&lt;=0,M40&lt;=0),-ABS(M40-M39),MIN(M39,M40))),0)</f>
        <v>0</v>
      </c>
    </row>
    <row r="41">
      <c r="B41" s="5" t="inlineStr">
        <is>
          <t>Instore 2.0</t>
        </is>
      </c>
      <c r="C41" s="51">
        <f>IF(ISNUMBER(G10),G10,0)</f>
        <v>0</v>
      </c>
      <c r="M41" s="47">
        <f>M40+C41</f>
        <v>729.474678652954</v>
      </c>
      <c r="N41" s="47">
        <f>IF(AND(M40&gt;=0,M41&gt;=0),MIN(M40,M41),IF(AND(M40&lt;=0,M41&lt;=0),MAX(M40,M41),0))</f>
        <v>729.474678652954</v>
      </c>
      <c r="O41" s="48" t="n">
        <v>0</v>
      </c>
      <c r="P41" s="49">
        <f>IF(C41&gt;0,IF(AND(M40&gt;=0,M41&gt;=0),ABS(M41-M40),IF(AND(M40&lt;=0,M41&lt;=0),0,MAX(M40,M41))),0)</f>
        <v>0</v>
      </c>
      <c r="Q41" s="49">
        <f>IF(C41&gt;0,IF(AND(M40&gt;=0,M41&gt;=0),0,IF(AND(M40&lt;=0,M41&lt;=0),-ABS(M41-M40),MIN(M40,M41))),0)</f>
        <v>0</v>
      </c>
      <c r="R41" s="50">
        <f>IF(C41&lt;0,IF(AND(M40&gt;=0,M41&gt;=0),ABS(M41-M40),IF(AND(M40&lt;=0,M41&lt;=0),0,MAX(M40,M41))),0)</f>
        <v>0</v>
      </c>
      <c r="S41" s="50">
        <f>IF(C41&lt;0,IF(AND(M40&gt;=0,M41&gt;=0),0,IF(AND(M40&lt;=0,M41&lt;=0),-ABS(M41-M40),MIN(M40,M41))),0)</f>
        <v>0</v>
      </c>
    </row>
    <row r="42">
      <c r="B42" s="5" t="inlineStr">
        <is>
          <t>Other и POSM</t>
        </is>
      </c>
      <c r="C42" s="51">
        <f>IF(ISNUMBER(G11),G11,0)</f>
        <v>0</v>
      </c>
      <c r="M42" s="47">
        <f>M41+C42</f>
        <v>729.474678652954</v>
      </c>
      <c r="N42" s="47">
        <f>IF(AND(M41&gt;=0,M42&gt;=0),MIN(M41,M42),IF(AND(M41&lt;=0,M42&lt;=0),MAX(M41,M42),0))</f>
        <v>729.474678652954</v>
      </c>
      <c r="O42" s="48" t="n">
        <v>0</v>
      </c>
      <c r="P42" s="49">
        <f>IF(C42&gt;0,IF(AND(M41&gt;=0,M42&gt;=0),ABS(M42-M41),IF(AND(M41&lt;=0,M42&lt;=0),0,MAX(M41,M42))),0)</f>
        <v>0</v>
      </c>
      <c r="Q42" s="49">
        <f>IF(C42&gt;0,IF(AND(M41&gt;=0,M42&gt;=0),0,IF(AND(M41&lt;=0,M42&lt;=0),-ABS(M42-M41),MIN(M41,M42))),0)</f>
        <v>0</v>
      </c>
      <c r="R42" s="50">
        <f>IF(C42&lt;0,IF(AND(M41&gt;=0,M42&gt;=0),ABS(M42-M41),IF(AND(M41&lt;=0,M42&lt;=0),0,MAX(M41,M42))),0)</f>
        <v>0</v>
      </c>
      <c r="S42" s="50">
        <f>IF(C42&lt;0,IF(AND(M41&gt;=0,M42&gt;=0),0,IF(AND(M41&lt;=0,M42&lt;=0),-ABS(M42-M41),MIN(M41,M42))),0)</f>
        <v>0</v>
      </c>
    </row>
    <row r="43">
      <c r="B43" s="5" t="inlineStr">
        <is>
          <t>Кросс-формат</t>
        </is>
      </c>
      <c r="C43" s="51">
        <f>IF(ISNUMBER(G12),G12,0)</f>
        <v>0</v>
      </c>
      <c r="M43" s="47">
        <f>M42+C43</f>
        <v>729.474678652954</v>
      </c>
      <c r="N43" s="47">
        <f>IF(AND(M42&gt;=0,M43&gt;=0),MIN(M42,M43),IF(AND(M42&lt;=0,M43&lt;=0),MAX(M42,M43),0))</f>
        <v>729.474678652954</v>
      </c>
      <c r="O43" s="48" t="n">
        <v>0</v>
      </c>
      <c r="P43" s="49">
        <f>IF(C43&gt;0,IF(AND(M42&gt;=0,M43&gt;=0),ABS(M43-M42),IF(AND(M42&lt;=0,M43&lt;=0),0,MAX(M42,M43))),0)</f>
        <v>0</v>
      </c>
      <c r="Q43" s="49">
        <f>IF(C43&gt;0,IF(AND(M42&gt;=0,M43&gt;=0),0,IF(AND(M42&lt;=0,M43&lt;=0),-ABS(M43-M42),MIN(M42,M43))),0)</f>
        <v>0</v>
      </c>
      <c r="R43" s="50">
        <f>IF(C43&lt;0,IF(AND(M42&gt;=0,M43&gt;=0),ABS(M43-M42),IF(AND(M42&lt;=0,M43&lt;=0),0,MAX(M42,M43))),0)</f>
        <v>0</v>
      </c>
      <c r="S43" s="50">
        <f>IF(C43&lt;0,IF(AND(M42&gt;=0,M43&gt;=0),0,IF(AND(M42&lt;=0,M43&lt;=0),-ABS(M43-M42),MIN(M42,M43))),0)</f>
        <v>0</v>
      </c>
    </row>
    <row r="44">
      <c r="B44" s="5" t="inlineStr">
        <is>
          <t>Прочие напр.</t>
        </is>
      </c>
      <c r="C44" s="51">
        <f>IF(ISNUMBER(G13),G13,0)</f>
        <v>0</v>
      </c>
      <c r="M44" s="47">
        <f>M43+C44</f>
        <v>729.474678652954</v>
      </c>
      <c r="N44" s="47">
        <f>IF(AND(M43&gt;=0,M44&gt;=0),MIN(M43,M44),IF(AND(M43&lt;=0,M44&lt;=0),MAX(M43,M44),0))</f>
        <v>729.474678652954</v>
      </c>
      <c r="O44" s="48" t="n">
        <v>0</v>
      </c>
      <c r="P44" s="49">
        <f>IF(C44&gt;0,IF(AND(M43&gt;=0,M44&gt;=0),ABS(M44-M43),IF(AND(M43&lt;=0,M44&lt;=0),0,MAX(M43,M44))),0)</f>
        <v>0</v>
      </c>
      <c r="Q44" s="49">
        <f>IF(C44&gt;0,IF(AND(M43&gt;=0,M44&gt;=0),0,IF(AND(M43&lt;=0,M44&lt;=0),-ABS(M44-M43),MIN(M43,M44))),0)</f>
        <v>0</v>
      </c>
      <c r="R44" s="50">
        <f>IF(C44&lt;0,IF(AND(M43&gt;=0,M44&gt;=0),ABS(M44-M43),IF(AND(M43&lt;=0,M44&lt;=0),0,MAX(M43,M44))),0)</f>
        <v>0</v>
      </c>
      <c r="S44" s="50">
        <f>IF(C44&lt;0,IF(AND(M43&gt;=0,M44&gt;=0),0,IF(AND(M43&lt;=0,M44&lt;=0),-ABS(M44-M43),MIN(M43,M44))),0)</f>
        <v>0</v>
      </c>
    </row>
    <row r="45">
      <c r="B45" s="5" t="inlineStr">
        <is>
          <t>Direct cost</t>
        </is>
      </c>
      <c r="C45" s="51">
        <f>IF(ISNUMBER(G14),G14,0)</f>
        <v>0</v>
      </c>
      <c r="M45" s="47">
        <f>M44+C45</f>
        <v>729.474678652954</v>
      </c>
      <c r="N45" s="47">
        <f>IF(AND(M44&gt;=0,M45&gt;=0),MIN(M44,M45),IF(AND(M44&lt;=0,M45&lt;=0),MAX(M44,M45),0))</f>
        <v>729.474678652954</v>
      </c>
      <c r="O45" s="48" t="n">
        <v>0</v>
      </c>
      <c r="P45" s="49">
        <f>IF(C45&gt;0,IF(AND(M44&gt;=0,M45&gt;=0),ABS(M45-M44),IF(AND(M44&lt;=0,M45&lt;=0),0,MAX(M44,M45))),0)</f>
        <v>0</v>
      </c>
      <c r="Q45" s="49">
        <f>IF(C45&gt;0,IF(AND(M44&gt;=0,M45&gt;=0),0,IF(AND(M44&lt;=0,M45&lt;=0),-ABS(M45-M44),MIN(M44,M45))),0)</f>
        <v>0</v>
      </c>
      <c r="R45" s="50">
        <f>IF(C45&lt;0,IF(AND(M44&gt;=0,M45&gt;=0),ABS(M45-M44),IF(AND(M44&lt;=0,M45&lt;=0),0,MAX(M44,M45))),0)</f>
        <v>0</v>
      </c>
      <c r="S45" s="50">
        <f>IF(C45&lt;0,IF(AND(M44&gt;=0,M45&gt;=0),0,IF(AND(M44&lt;=0,M45&lt;=0),-ABS(M45-M44),MIN(M44,M45))),0)</f>
        <v>0</v>
      </c>
    </row>
    <row r="46">
      <c r="B46" s="5" t="inlineStr">
        <is>
          <t>PEX</t>
        </is>
      </c>
      <c r="C46" s="51">
        <f>IF(ISNUMBER(G16),G16,0)</f>
        <v>0</v>
      </c>
      <c r="M46" s="47">
        <f>M45+C46</f>
        <v>729.474678652954</v>
      </c>
      <c r="N46" s="47">
        <f>IF(AND(M45&gt;=0,M46&gt;=0),MIN(M45,M46),IF(AND(M45&lt;=0,M46&lt;=0),MAX(M45,M46),0))</f>
        <v>729.474678652954</v>
      </c>
      <c r="O46" s="48" t="n">
        <v>0</v>
      </c>
      <c r="P46" s="49">
        <f>IF(C46&gt;0,IF(AND(M45&gt;=0,M46&gt;=0),ABS(M46-M45),IF(AND(M45&lt;=0,M46&lt;=0),0,MAX(M45,M46))),0)</f>
        <v>0</v>
      </c>
      <c r="Q46" s="49">
        <f>IF(C46&gt;0,IF(AND(M45&gt;=0,M46&gt;=0),0,IF(AND(M45&lt;=0,M46&lt;=0),-ABS(M46-M45),MIN(M45,M46))),0)</f>
        <v>0</v>
      </c>
      <c r="R46" s="50">
        <f>IF(C46&lt;0,IF(AND(M45&gt;=0,M46&gt;=0),ABS(M46-M45),IF(AND(M45&lt;=0,M46&lt;=0),0,MAX(M45,M46))),0)</f>
        <v>0</v>
      </c>
      <c r="S46" s="50">
        <f>IF(C46&lt;0,IF(AND(M45&gt;=0,M46&gt;=0),0,IF(AND(M45&lt;=0,M46&lt;=0),-ABS(M46-M45),MIN(M45,M46))),0)</f>
        <v>0</v>
      </c>
    </row>
    <row r="47">
      <c r="B47" s="5" t="inlineStr">
        <is>
          <t>Other PEX</t>
        </is>
      </c>
      <c r="C47" s="51">
        <f>IF(ISNUMBER(G17),G17,0)</f>
        <v>0</v>
      </c>
      <c r="M47" s="47">
        <f>M46+C47</f>
        <v>729.474678652954</v>
      </c>
      <c r="N47" s="47">
        <f>IF(AND(M46&gt;=0,M47&gt;=0),MIN(M46,M47),IF(AND(M46&lt;=0,M47&lt;=0),MAX(M46,M47),0))</f>
        <v>729.474678652954</v>
      </c>
      <c r="O47" s="48" t="n">
        <v>0</v>
      </c>
      <c r="P47" s="49">
        <f>IF(C47&gt;0,IF(AND(M46&gt;=0,M47&gt;=0),ABS(M47-M46),IF(AND(M46&lt;=0,M47&lt;=0),0,MAX(M46,M47))),0)</f>
        <v>0</v>
      </c>
      <c r="Q47" s="49">
        <f>IF(C47&gt;0,IF(AND(M46&gt;=0,M47&gt;=0),0,IF(AND(M46&lt;=0,M47&lt;=0),-ABS(M47-M46),MIN(M46,M47))),0)</f>
        <v>0</v>
      </c>
      <c r="R47" s="50">
        <f>IF(C47&lt;0,IF(AND(M46&gt;=0,M47&gt;=0),ABS(M47-M46),IF(AND(M46&lt;=0,M47&lt;=0),0,MAX(M46,M47))),0)</f>
        <v>0</v>
      </c>
      <c r="S47" s="50">
        <f>IF(C47&lt;0,IF(AND(M46&gt;=0,M47&gt;=0),0,IF(AND(M46&lt;=0,M47&lt;=0),-ABS(M47-M46),MIN(M46,M47))),0)</f>
        <v>0</v>
      </c>
    </row>
    <row r="48">
      <c r="B48" s="5" t="inlineStr">
        <is>
          <t>Marketing</t>
        </is>
      </c>
      <c r="C48" s="51">
        <f>IF(ISNUMBER(G18),G18,0)</f>
        <v>0</v>
      </c>
      <c r="M48" s="47">
        <f>M47+C48</f>
        <v>729.474678652954</v>
      </c>
      <c r="N48" s="47">
        <f>IF(AND(M47&gt;=0,M48&gt;=0),MIN(M47,M48),IF(AND(M47&lt;=0,M48&lt;=0),MAX(M47,M48),0))</f>
        <v>729.474678652954</v>
      </c>
      <c r="O48" s="48" t="n">
        <v>0</v>
      </c>
      <c r="P48" s="49">
        <f>IF(C48&gt;0,IF(AND(M47&gt;=0,M48&gt;=0),ABS(M48-M47),IF(AND(M47&lt;=0,M48&lt;=0),0,MAX(M47,M48))),0)</f>
        <v>0</v>
      </c>
      <c r="Q48" s="49">
        <f>IF(C48&gt;0,IF(AND(M47&gt;=0,M48&gt;=0),0,IF(AND(M47&lt;=0,M48&lt;=0),-ABS(M48-M47),MIN(M47,M48))),0)</f>
        <v>0</v>
      </c>
      <c r="R48" s="50">
        <f>IF(C48&lt;0,IF(AND(M47&gt;=0,M48&gt;=0),ABS(M48-M47),IF(AND(M47&lt;=0,M48&lt;=0),0,MAX(M47,M48))),0)</f>
        <v>0</v>
      </c>
      <c r="S48" s="50">
        <f>IF(C48&lt;0,IF(AND(M47&gt;=0,M48&gt;=0),0,IF(AND(M47&lt;=0,M48&lt;=0),-ABS(M48-M47),MIN(M47,M48))),0)</f>
        <v>0</v>
      </c>
    </row>
    <row r="49">
      <c r="B49" s="5" t="inlineStr">
        <is>
          <t>IT</t>
        </is>
      </c>
      <c r="C49" s="51">
        <f>IF(ISNUMBER(G19),G19,0)</f>
        <v>0</v>
      </c>
      <c r="M49" s="47">
        <f>M48+C49</f>
        <v>729.474678652954</v>
      </c>
      <c r="N49" s="47">
        <f>IF(AND(M48&gt;=0,M49&gt;=0),MIN(M48,M49),IF(AND(M48&lt;=0,M49&lt;=0),MAX(M48,M49),0))</f>
        <v>729.474678652954</v>
      </c>
      <c r="O49" s="48" t="n">
        <v>0</v>
      </c>
      <c r="P49" s="49">
        <f>IF(C49&gt;0,IF(AND(M48&gt;=0,M49&gt;=0),ABS(M49-M48),IF(AND(M48&lt;=0,M49&lt;=0),0,MAX(M48,M49))),0)</f>
        <v>0</v>
      </c>
      <c r="Q49" s="49">
        <f>IF(C49&gt;0,IF(AND(M48&gt;=0,M49&gt;=0),0,IF(AND(M48&lt;=0,M49&lt;=0),-ABS(M49-M48),MIN(M48,M49))),0)</f>
        <v>0</v>
      </c>
      <c r="R49" s="50">
        <f>IF(C49&lt;0,IF(AND(M48&gt;=0,M49&gt;=0),ABS(M49-M48),IF(AND(M48&lt;=0,M49&lt;=0),0,MAX(M48,M49))),0)</f>
        <v>0</v>
      </c>
      <c r="S49" s="50">
        <f>IF(C49&lt;0,IF(AND(M48&gt;=0,M49&gt;=0),0,IF(AND(M48&lt;=0,M49&lt;=0),-ABS(M49-M48),MIN(M48,M49))),0)</f>
        <v>0</v>
      </c>
    </row>
    <row r="50">
      <c r="B50" s="5" t="inlineStr">
        <is>
          <t>Other OPEX</t>
        </is>
      </c>
      <c r="C50" s="51">
        <f>IF(ISNUMBER(G20),G20,0)</f>
        <v>0</v>
      </c>
      <c r="M50" s="47">
        <f>M49+C50</f>
        <v>729.474678652954</v>
      </c>
      <c r="N50" s="47">
        <f>IF(AND(M49&gt;=0,M50&gt;=0),MIN(M49,M50),IF(AND(M49&lt;=0,M50&lt;=0),MAX(M49,M50),0))</f>
        <v>729.474678652954</v>
      </c>
      <c r="O50" s="48" t="n">
        <v>0</v>
      </c>
      <c r="P50" s="49">
        <f>IF(C50&gt;0,IF(AND(M49&gt;=0,M50&gt;=0),ABS(M50-M49),IF(AND(M49&lt;=0,M50&lt;=0),0,MAX(M49,M50))),0)</f>
        <v>0</v>
      </c>
      <c r="Q50" s="49">
        <f>IF(C50&gt;0,IF(AND(M49&gt;=0,M50&gt;=0),0,IF(AND(M49&lt;=0,M50&lt;=0),-ABS(M50-M49),MIN(M49,M50))),0)</f>
        <v>0</v>
      </c>
      <c r="R50" s="50">
        <f>IF(C50&lt;0,IF(AND(M49&gt;=0,M50&gt;=0),ABS(M50-M49),IF(AND(M49&lt;=0,M50&lt;=0),0,MAX(M49,M50))),0)</f>
        <v>0</v>
      </c>
      <c r="S50" s="50">
        <f>IF(C50&lt;0,IF(AND(M49&gt;=0,M50&gt;=0),0,IF(AND(M49&lt;=0,M50&lt;=0),-ABS(M50-M49),MIN(M49,M50))),0)</f>
        <v>0</v>
      </c>
    </row>
    <row r="51">
      <c r="B51" s="11" t="inlineStr">
        <is>
          <t>EBITDA ACT</t>
        </is>
      </c>
      <c r="C51" s="46">
        <f>IF(AND($M$2,$N$2),C22,0)</f>
        <v>0</v>
      </c>
      <c r="M51" s="47">
        <f>C51</f>
        <v>0</v>
      </c>
      <c r="N51" s="47" t="n">
        <v>0</v>
      </c>
      <c r="O51" s="48">
        <f>IF(AND($M$2,$N$2),C51,0)</f>
        <v>0</v>
      </c>
      <c r="P51" s="49" t="n">
        <v>0</v>
      </c>
      <c r="Q51" s="49" t="n">
        <v>0</v>
      </c>
      <c r="R51" s="50" t="n">
        <v>0</v>
      </c>
      <c r="S51" s="50" t="n">
        <v>0</v>
      </c>
    </row>
    <row r="52">
      <c r="B52" s="34" t="inlineStr">
        <is>
          <t>Сверка: CTRL + Σ шагов − ACT</t>
        </is>
      </c>
      <c r="C52" s="52">
        <f>IF(AND($M$2,$N$2),ROUND(C37+SUM(C38:C50)-C51,1),0)</f>
        <v>0</v>
      </c>
    </row>
  </sheetData>
  <mergeCells count="17">
    <mergeCell ref="E28:K28"/>
    <mergeCell ref="B28:D28"/>
    <mergeCell ref="E4:F4"/>
    <mergeCell ref="B30:C30"/>
    <mergeCell ref="E31:K31"/>
    <mergeCell ref="B29:C29"/>
    <mergeCell ref="B33:C33"/>
    <mergeCell ref="J4:J5"/>
    <mergeCell ref="E30:K30"/>
    <mergeCell ref="K4:K5"/>
    <mergeCell ref="E29:K29"/>
    <mergeCell ref="G4:I4"/>
    <mergeCell ref="B32:C32"/>
    <mergeCell ref="B31:C31"/>
    <mergeCell ref="E32:K32"/>
    <mergeCell ref="E33:K33"/>
    <mergeCell ref="C4:D4"/>
  </mergeCells>
  <dataValidations count="1">
    <dataValidation sqref="C2" showDropDown="0" showInputMessage="0" showErrorMessage="1" allowBlank="0" errorTitle="Номер месяца" error="Номер месяца 2026: от 2 до 12 (CTRL = версия месяца − 1)." type="whole" operator="between">
      <formula1>2</formula1>
      <formula2>12</formula2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52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2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9" customWidth="1" min="8" max="8"/>
    <col width="9" customWidth="1" min="9" max="9"/>
    <col width="60" customWidth="1" min="10" max="10"/>
    <col width="9" customWidth="1" min="11" max="11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>
      <c r="B1" s="1" t="str">
        <f>"AdTech | "&amp;CHOOSE($C$2,"Январь","Февраль","Март","Апрель","Май","Июнь","Июль","Август","Сентябрь","Октябрь","Ноябрь","Декабрь")&amp;" 2026 | факт против прогноза (ACT vs CTRL), млн руб."</f>
        <v>AdTech | Сентябрь 2026 | факт против прогноза (ACT vs CTRL), млн руб.</v>
      </c>
      <c r="M1" s="12" t="inlineStr">
        <is>
          <t>факт есть</t>
        </is>
      </c>
      <c r="N1" s="12" t="inlineStr">
        <is>
          <t>прогноз есть</t>
        </is>
      </c>
    </row>
    <row r="2">
      <c r="B2" s="11" t="inlineStr">
        <is>
          <t>Месяц, №</t>
        </is>
      </c>
      <c r="C2" s="35" t="n">
        <v>9</v>
      </c>
      <c r="D2" s="8" t="str">
        <f>"ACT — версия "&amp;$C$2&amp;" (факт: "&amp;IF($M$2,"загружен","ожидается — загрузите версию "&amp;$C$2&amp;" в «Журнал»")&amp;");  CTRL — версия "&amp;($C$2-1)&amp;" ("&amp;($C$2-1)&amp;"+"&amp;(13-$C$2)&amp;"): "&amp;IF($N$2,"загружен","нет в журнале")</f>
        <v>ACT — версия 9 (факт: загружен);  CTRL — версия 8 (8+4): загружен</v>
      </c>
      <c r="M2" s="12" t="b">
        <f>INDEX(Расчёт!$D$4:$O$4,1,$C$2)</f>
        <v>1</v>
      </c>
      <c r="N2" s="12" t="b">
        <f>INDEX(Расчёт!$Q$4:$AB$4,1,$C$2)</f>
        <v>1</v>
      </c>
    </row>
    <row r="4">
      <c r="C4" s="9" t="inlineStr">
        <is>
          <t>ACT 2026</t>
        </is>
      </c>
      <c r="E4" s="9" t="str">
        <f>"CTRL 2026 ("&amp;($C$2-1)&amp;"+"&amp;(13-$C$2)&amp;")"</f>
        <v>CTRL 2026 (8+4)</v>
      </c>
      <c r="G4" s="9" t="inlineStr">
        <is>
          <t>ACT vs CTRL</t>
        </is>
      </c>
      <c r="J4" s="9" t="inlineStr">
        <is>
          <t>Комментарий</t>
        </is>
      </c>
      <c r="K4" s="9" t="inlineStr">
        <is>
          <t>Нужен комм.</t>
        </is>
      </c>
    </row>
    <row r="5">
      <c r="B5" s="15" t="inlineStr">
        <is>
          <t>млн руб.</t>
        </is>
      </c>
      <c r="C5" s="9" t="inlineStr">
        <is>
          <t>ABS</t>
        </is>
      </c>
      <c r="D5" s="9" t="inlineStr">
        <is>
          <t>% GR</t>
        </is>
      </c>
      <c r="E5" s="9" t="inlineStr">
        <is>
          <t>ABS</t>
        </is>
      </c>
      <c r="F5" s="9" t="inlineStr">
        <is>
          <t>% GR</t>
        </is>
      </c>
      <c r="G5" s="9" t="inlineStr">
        <is>
          <t>ABS</t>
        </is>
      </c>
      <c r="H5" s="9" t="inlineStr">
        <is>
          <t>п.п. GR</t>
        </is>
      </c>
      <c r="I5" s="9" t="inlineStr">
        <is>
          <t>% к CTRL</t>
        </is>
      </c>
    </row>
    <row r="6">
      <c r="A6" t="inlineStr">
        <is>
          <t>Gross Revenue</t>
        </is>
      </c>
      <c r="B6" s="16" t="inlineStr">
        <is>
          <t>Gross Revenue</t>
        </is>
      </c>
      <c r="C6" s="17">
        <f>IF($M$2,SUMIFS(INDEX(Расчёт!$D$6:$O$36,0,$C$2),Расчёт!$B$6:$B$36,$A6),"")</f>
        <v>1183.19316312549</v>
      </c>
      <c r="D6" s="18">
        <f>IF(AND(ISNUMBER(C6),ISNUMBER(C$6)),IF(C$6=0,"",C6/C$6),"")</f>
        <v>1</v>
      </c>
      <c r="E6" s="17">
        <f>IF($N$2,SUMIFS(INDEX(Расчёт!$Q$6:$AB$36,0,$C$2),Расчёт!$B$6:$B$36,$A6),"")</f>
        <v>1126.20049337253</v>
      </c>
      <c r="F6" s="18">
        <f>IF(AND(ISNUMBER(E6),ISNUMBER(E$6)),IF(E$6=0,"",E6/E$6),"")</f>
        <v>1</v>
      </c>
      <c r="G6" s="19">
        <f>IF(AND(ISNUMBER(C6),ISNUMBER(E6)),C6-E6,"")</f>
        <v>56.99266975296</v>
      </c>
      <c r="H6" s="20">
        <f>IF(AND(ISNUMBER(D6),ISNUMBER(F6)),D6-F6,"")</f>
        <v>0</v>
      </c>
      <c r="I6" s="36">
        <f>IF(ISNUMBER(G6),IF(E6=0,"",G6/ABS(E6)),"")</f>
        <v>0.0506061488059638</v>
      </c>
      <c r="J6" s="37" t="n"/>
      <c r="K6" s="38" t="str">
        <f>IF(ISNUMBER(G6),IF(ABS(G6)&gt;='Как пользоваться'!$E$17,IF(E6=0,"да",IF(ABS(G6)/ABS(E6)&gt;='Как пользоваться'!$E$18,"да","")),""),"")</f>
        <v/>
      </c>
    </row>
    <row r="7">
      <c r="A7" t="inlineStr">
        <is>
          <t>APP</t>
        </is>
      </c>
      <c r="B7" s="5" t="inlineStr">
        <is>
          <t xml:space="preserve">    APP</t>
        </is>
      </c>
      <c r="C7" s="21">
        <f>IF($M$2,SUMIFS(INDEX(Расчёт!$D$6:$O$36,0,$C$2),Расчёт!$B$6:$B$36,$A7),"")</f>
        <v>457.989994883026</v>
      </c>
      <c r="D7" s="22">
        <f>IF(AND(ISNUMBER(C7),ISNUMBER(C$6)),IF(C$6=0,"",C7/C$6),"")</f>
        <v>0.387079649508127</v>
      </c>
      <c r="E7" s="21">
        <f>IF($N$2,SUMIFS(INDEX(Расчёт!$Q$6:$AB$36,0,$C$2),Расчёт!$B$6:$B$36,$A7),"")</f>
        <v>765.326605574604</v>
      </c>
      <c r="F7" s="22">
        <f>IF(AND(ISNUMBER(E7),ISNUMBER(E$6)),IF(E$6=0,"",E7/E$6),"")</f>
        <v>0.679565148548951</v>
      </c>
      <c r="G7" s="23">
        <f>IF(AND(ISNUMBER(C7),ISNUMBER(E7)),C7-E7,"")</f>
        <v>-307.336610691578</v>
      </c>
      <c r="H7" s="24">
        <f>IF(AND(ISNUMBER(D7),ISNUMBER(F7)),D7-F7,"")</f>
        <v>-0.292485499040824</v>
      </c>
      <c r="I7" s="39">
        <f>IF(ISNUMBER(G7),IF(E7=0,"",G7/ABS(E7)),"")</f>
        <v>-0.401575756615479</v>
      </c>
      <c r="J7" s="37" t="n"/>
      <c r="K7" s="40" t="str">
        <f>IF(ISNUMBER(G7),IF(ABS(G7)&gt;='Как пользоваться'!$E$17,IF(E7=0,"да",IF(ABS(G7)/ABS(E7)&gt;='Как пользоваться'!$E$18,"да","")),""),"")</f>
        <v>да</v>
      </c>
    </row>
    <row r="8">
      <c r="A8" t="inlineStr">
        <is>
          <t>DMP+Online</t>
        </is>
      </c>
      <c r="B8" s="5" t="inlineStr">
        <is>
          <t xml:space="preserve">    DMP+Online</t>
        </is>
      </c>
      <c r="C8" s="21">
        <f>IF($M$2,SUMIFS(INDEX(Расчёт!$D$6:$O$36,0,$C$2),Расчёт!$B$6:$B$36,$A8),"")</f>
        <v>201.669700888808</v>
      </c>
      <c r="D8" s="22">
        <f>IF(AND(ISNUMBER(C8),ISNUMBER(C$6)),IF(C$6=0,"",C8/C$6),"")</f>
        <v>0.17044528921726</v>
      </c>
      <c r="E8" s="21">
        <f>IF($N$2,SUMIFS(INDEX(Расчёт!$Q$6:$AB$36,0,$C$2),Расчёт!$B$6:$B$36,$A8),"")</f>
        <v>69.4795829801901</v>
      </c>
      <c r="F8" s="22">
        <f>IF(AND(ISNUMBER(E8),ISNUMBER(E$6)),IF(E$6=0,"",E8/E$6),"")</f>
        <v>0.0616937955444559</v>
      </c>
      <c r="G8" s="23">
        <f>IF(AND(ISNUMBER(C8),ISNUMBER(E8)),C8-E8,"")</f>
        <v>132.190117908618</v>
      </c>
      <c r="H8" s="24">
        <f>IF(AND(ISNUMBER(D8),ISNUMBER(F8)),D8-F8,"")</f>
        <v>0.108751493672804</v>
      </c>
      <c r="I8" s="39">
        <f>IF(ISNUMBER(G8),IF(E8=0,"",G8/ABS(E8)),"")</f>
        <v>1.90257500460686</v>
      </c>
      <c r="J8" s="37" t="n"/>
      <c r="K8" s="40" t="str">
        <f>IF(ISNUMBER(G8),IF(ABS(G8)&gt;='Как пользоваться'!$E$17,IF(E8=0,"да",IF(ABS(G8)/ABS(E8)&gt;='Как пользоваться'!$E$18,"да","")),""),"")</f>
        <v>да</v>
      </c>
    </row>
    <row r="9">
      <c r="A9" t="inlineStr">
        <is>
          <t>Instore digital</t>
        </is>
      </c>
      <c r="B9" s="5" t="inlineStr">
        <is>
          <t xml:space="preserve">    Instore digital</t>
        </is>
      </c>
      <c r="C9" s="21">
        <f>IF($M$2,SUMIFS(INDEX(Расчёт!$D$6:$O$36,0,$C$2),Расчёт!$B$6:$B$36,$A9),"")</f>
        <v>421.805564119309</v>
      </c>
      <c r="D9" s="22">
        <f>IF(AND(ISNUMBER(C9),ISNUMBER(C$6)),IF(C$6=0,"",C9/C$6),"")</f>
        <v>0.356497634760735</v>
      </c>
      <c r="E9" s="21">
        <f>IF($N$2,SUMIFS(INDEX(Расчёт!$Q$6:$AB$36,0,$C$2),Расчёт!$B$6:$B$36,$A9),"")</f>
        <v>161.377206429419</v>
      </c>
      <c r="F9" s="22">
        <f>IF(AND(ISNUMBER(E9),ISNUMBER(E$6)),IF(E$6=0,"",E9/E$6),"")</f>
        <v>0.143293496476953</v>
      </c>
      <c r="G9" s="23">
        <f>IF(AND(ISNUMBER(C9),ISNUMBER(E9)),C9-E9,"")</f>
        <v>260.428357689891</v>
      </c>
      <c r="H9" s="24">
        <f>IF(AND(ISNUMBER(D9),ISNUMBER(F9)),D9-F9,"")</f>
        <v>0.213204138283783</v>
      </c>
      <c r="I9" s="39">
        <f>IF(ISNUMBER(G9),IF(E9=0,"",G9/ABS(E9)),"")</f>
        <v>1.61378650338574</v>
      </c>
      <c r="J9" s="37" t="n"/>
      <c r="K9" s="40" t="str">
        <f>IF(ISNUMBER(G9),IF(ABS(G9)&gt;='Как пользоваться'!$E$17,IF(E9=0,"да",IF(ABS(G9)/ABS(E9)&gt;='Как пользоваться'!$E$18,"да","")),""),"")</f>
        <v>да</v>
      </c>
    </row>
    <row r="10">
      <c r="A10" t="inlineStr">
        <is>
          <t>Instore digital_2.0</t>
        </is>
      </c>
      <c r="B10" s="5" t="inlineStr">
        <is>
          <t xml:space="preserve">    Instore digital_2.0</t>
        </is>
      </c>
      <c r="C10" s="21">
        <f>IF($M$2,SUMIFS(INDEX(Расчёт!$D$6:$O$36,0,$C$2),Расчёт!$B$6:$B$36,$A10),"")</f>
        <v>0</v>
      </c>
      <c r="D10" s="22">
        <f>IF(AND(ISNUMBER(C10),ISNUMBER(C$6)),IF(C$6=0,"",C10/C$6),"")</f>
        <v>0</v>
      </c>
      <c r="E10" s="21">
        <f>IF($N$2,SUMIFS(INDEX(Расчёт!$Q$6:$AB$36,0,$C$2),Расчёт!$B$6:$B$36,$A10),"")</f>
        <v>121.332202786227</v>
      </c>
      <c r="F10" s="22">
        <f>IF(AND(ISNUMBER(E10),ISNUMBER(E$6)),IF(E$6=0,"",E10/E$6),"")</f>
        <v>0.107735881399665</v>
      </c>
      <c r="G10" s="23">
        <f>IF(AND(ISNUMBER(C10),ISNUMBER(E10)),C10-E10,"")</f>
        <v>-121.332202786227</v>
      </c>
      <c r="H10" s="24">
        <f>IF(AND(ISNUMBER(D10),ISNUMBER(F10)),D10-F10,"")</f>
        <v>-0.107735881399665</v>
      </c>
      <c r="I10" s="39">
        <f>IF(ISNUMBER(G10),IF(E10=0,"",G10/ABS(E10)),"")</f>
        <v>-1</v>
      </c>
      <c r="J10" s="37" t="n"/>
      <c r="K10" s="40" t="str">
        <f>IF(ISNUMBER(G10),IF(ABS(G10)&gt;='Как пользоваться'!$E$17,IF(E10=0,"да",IF(ABS(G10)/ABS(E10)&gt;='Как пользоваться'!$E$18,"да","")),""),"")</f>
        <v>да</v>
      </c>
    </row>
    <row r="11">
      <c r="A11" t="inlineStr">
        <is>
          <t>Other и POSM</t>
        </is>
      </c>
      <c r="B11" s="5" t="inlineStr">
        <is>
          <t xml:space="preserve">    Other и POSM</t>
        </is>
      </c>
      <c r="C11" s="21">
        <f>IF($M$2,SUMIFS(INDEX(Расчёт!$D$6:$O$36,0,$C$2),Расчёт!$B$6:$B$36,$A11),"")</f>
        <v>95.2680186249673</v>
      </c>
      <c r="D11" s="22">
        <f>IF(AND(ISNUMBER(C11),ISNUMBER(C$6)),IF(C$6=0,"",C11/C$6),"")</f>
        <v>0.0805177223753644</v>
      </c>
      <c r="E11" s="21">
        <f>IF($N$2,SUMIFS(INDEX(Расчёт!$Q$6:$AB$36,0,$C$2),Расчёт!$B$6:$B$36,$A11),"")</f>
        <v>2.51784720765027</v>
      </c>
      <c r="F11" s="22">
        <f>IF(AND(ISNUMBER(E11),ISNUMBER(E$6)),IF(E$6=0,"",E11/E$6),"")</f>
        <v>0.00223570067893533</v>
      </c>
      <c r="G11" s="23">
        <f>IF(AND(ISNUMBER(C11),ISNUMBER(E11)),C11-E11,"")</f>
        <v>92.7501714173171</v>
      </c>
      <c r="H11" s="24">
        <f>IF(AND(ISNUMBER(D11),ISNUMBER(F11)),D11-F11,"")</f>
        <v>0.0782820216964291</v>
      </c>
      <c r="I11" s="39">
        <f>IF(ISNUMBER(G11),IF(E11=0,"",G11/ABS(E11)),"")</f>
        <v>36.8370928686632</v>
      </c>
      <c r="J11" s="37" t="n"/>
      <c r="K11" s="40" t="str">
        <f>IF(ISNUMBER(G11),IF(ABS(G11)&gt;='Как пользоваться'!$E$17,IF(E11=0,"да",IF(ABS(G11)/ABS(E11)&gt;='Как пользоваться'!$E$18,"да","")),""),"")</f>
        <v>да</v>
      </c>
    </row>
    <row r="12">
      <c r="A12" t="inlineStr">
        <is>
          <t>Кроссформатные пакеты</t>
        </is>
      </c>
      <c r="B12" s="5" t="inlineStr">
        <is>
          <t xml:space="preserve">    Кроссформатные пакеты</t>
        </is>
      </c>
      <c r="C12" s="21">
        <f>IF($M$2,SUMIFS(INDEX(Расчёт!$D$6:$O$36,0,$C$2),Расчёт!$B$6:$B$36,$A12),"")</f>
        <v>4.0273691471999</v>
      </c>
      <c r="D12" s="22">
        <f>IF(AND(ISNUMBER(C12),ISNUMBER(C$6)),IF(C$6=0,"",C12/C$6),"")</f>
        <v>0.00340381374125026</v>
      </c>
      <c r="E12" s="21">
        <f>IF($N$2,SUMIFS(INDEX(Расчёт!$Q$6:$AB$36,0,$C$2),Расчёт!$B$6:$B$36,$A12),"")</f>
        <v>0</v>
      </c>
      <c r="F12" s="22">
        <f>IF(AND(ISNUMBER(E12),ISNUMBER(E$6)),IF(E$6=0,"",E12/E$6),"")</f>
        <v>0</v>
      </c>
      <c r="G12" s="23">
        <f>IF(AND(ISNUMBER(C12),ISNUMBER(E12)),C12-E12,"")</f>
        <v>4.0273691471999</v>
      </c>
      <c r="H12" s="24">
        <f>IF(AND(ISNUMBER(D12),ISNUMBER(F12)),D12-F12,"")</f>
        <v>0.00340381374125026</v>
      </c>
      <c r="I12" s="39" t="str">
        <f>IF(ISNUMBER(G12),IF(E12=0,"",G12/ABS(E12)),"")</f>
        <v/>
      </c>
      <c r="J12" s="37" t="n"/>
      <c r="K12" s="40" t="str">
        <f>IF(ISNUMBER(G12),IF(ABS(G12)&gt;='Как пользоваться'!$E$17,IF(E12=0,"да",IF(ABS(G12)/ABS(E12)&gt;='Как пользоваться'!$E$18,"да","")),""),"")</f>
        <v/>
      </c>
    </row>
    <row r="13">
      <c r="A13" t="inlineStr">
        <is>
          <t>Прочие направления</t>
        </is>
      </c>
      <c r="B13" s="5" t="inlineStr">
        <is>
          <t xml:space="preserve">    Прочие (MIP, Magnit Market, DMP+ Analytics)</t>
        </is>
      </c>
      <c r="C13" s="21">
        <f>IF(ISNUMBER(C6),C6-SUM(C7,C8,C9,C10,C11,C12),"")</f>
        <v>2.43251546217789</v>
      </c>
      <c r="D13" s="22">
        <f>IF(AND(ISNUMBER(C13),ISNUMBER(C$6)),IF(C$6=0,"",C13/C$6),"")</f>
        <v>0.00205589039726382</v>
      </c>
      <c r="E13" s="21">
        <f>IF(ISNUMBER(E6),E6-SUM(E7,E8,E9,E10,E11,E12),"")</f>
        <v>6.16704839443787</v>
      </c>
      <c r="F13" s="22">
        <f>IF(AND(ISNUMBER(E13),ISNUMBER(E$6)),IF(E$6=0,"",E13/E$6),"")</f>
        <v>0.00547597735103985</v>
      </c>
      <c r="G13" s="23">
        <f>IF(AND(ISNUMBER(C13),ISNUMBER(E13)),C13-E13,"")</f>
        <v>-3.73453293225998</v>
      </c>
      <c r="H13" s="24">
        <f>IF(AND(ISNUMBER(D13),ISNUMBER(F13)),D13-F13,"")</f>
        <v>-0.00342008695377604</v>
      </c>
      <c r="I13" s="39">
        <f>IF(ISNUMBER(G13),IF(E13=0,"",G13/ABS(E13)),"")</f>
        <v>-0.605562449554993</v>
      </c>
      <c r="J13" s="37" t="n"/>
      <c r="K13" s="40" t="str">
        <f>IF(ISNUMBER(G13),IF(ABS(G13)&gt;='Как пользоваться'!$E$17,IF(E13=0,"да",IF(ABS(G13)/ABS(E13)&gt;='Как пользоваться'!$E$18,"да","")),""),"")</f>
        <v/>
      </c>
    </row>
    <row r="14">
      <c r="A14" t="inlineStr">
        <is>
          <t>Direct cost</t>
        </is>
      </c>
      <c r="B14" s="25" t="inlineStr">
        <is>
          <t>Direct cost (вознаграждения РА и блогерам)</t>
        </is>
      </c>
      <c r="C14" s="21">
        <f>IF($M$2,SUMIFS(INDEX(Расчёт!$D$6:$O$36,0,$C$2),Расчёт!$B$6:$B$36,$A14),"")</f>
        <v>-0.92785226</v>
      </c>
      <c r="D14" s="22">
        <f>IF(AND(ISNUMBER(C14),ISNUMBER(C$6)),IF(C$6=0,"",C14/C$6),"")</f>
        <v>-0.000784193392014718</v>
      </c>
      <c r="E14" s="21">
        <f>IF($N$2,SUMIFS(INDEX(Расчёт!$Q$6:$AB$36,0,$C$2),Расчёт!$B$6:$B$36,$A14),"")</f>
        <v>-34.7658006279034</v>
      </c>
      <c r="F14" s="22">
        <f>IF(AND(ISNUMBER(E14),ISNUMBER(E$6)),IF(E$6=0,"",E14/E$6),"")</f>
        <v>-0.0308699923614786</v>
      </c>
      <c r="G14" s="23">
        <f>IF(AND(ISNUMBER(C14),ISNUMBER(E14)),C14-E14,"")</f>
        <v>33.8379483679034</v>
      </c>
      <c r="H14" s="24">
        <f>IF(AND(ISNUMBER(D14),ISNUMBER(F14)),D14-F14,"")</f>
        <v>0.0300857989694639</v>
      </c>
      <c r="I14" s="39">
        <f>IF(ISNUMBER(G14),IF(E14=0,"",G14/ABS(E14)),"")</f>
        <v>0.973311350717024</v>
      </c>
      <c r="J14" s="37" t="n"/>
      <c r="K14" s="40" t="str">
        <f>IF(ISNUMBER(G14),IF(ABS(G14)&gt;='Как пользоваться'!$E$17,IF(E14=0,"да",IF(ABS(G14)/ABS(E14)&gt;='Как пользоваться'!$E$18,"да","")),""),"")</f>
        <v>да</v>
      </c>
    </row>
    <row r="15">
      <c r="A15" t="inlineStr">
        <is>
          <t>Gross Margin</t>
        </is>
      </c>
      <c r="B15" s="26" t="inlineStr">
        <is>
          <t>Gross Margin</t>
        </is>
      </c>
      <c r="C15" s="27">
        <f>IF(AND(ISNUMBER(C6),ISNUMBER(C14)),C6+C14,"")</f>
        <v>1182.26531086549</v>
      </c>
      <c r="D15" s="28">
        <f>IF(AND(ISNUMBER(C15),ISNUMBER(C$6)),IF(C$6=0,"",C15/C$6),"")</f>
        <v>0.999215806607985</v>
      </c>
      <c r="E15" s="27">
        <f>IF(AND(ISNUMBER(E6),ISNUMBER(E14)),E6+E14,"")</f>
        <v>1091.43469274462</v>
      </c>
      <c r="F15" s="28">
        <f>IF(AND(ISNUMBER(E15),ISNUMBER(E$6)),IF(E$6=0,"",E15/E$6),"")</f>
        <v>0.969130007638521</v>
      </c>
      <c r="G15" s="29">
        <f>IF(AND(ISNUMBER(C15),ISNUMBER(E15)),C15-E15,"")</f>
        <v>90.8306181208634</v>
      </c>
      <c r="H15" s="30">
        <f>IF(AND(ISNUMBER(D15),ISNUMBER(F15)),D15-F15,"")</f>
        <v>0.030085798969464</v>
      </c>
      <c r="I15" s="41">
        <f>IF(ISNUMBER(G15),IF(E15=0,"",G15/ABS(E15)),"")</f>
        <v>0.0832213037799377</v>
      </c>
      <c r="J15" s="37" t="n"/>
      <c r="K15" s="42" t="str">
        <f>IF(ISNUMBER(G15),IF(ABS(G15)&gt;='Как пользоваться'!$E$17,IF(E15=0,"да",IF(ABS(G15)/ABS(E15)&gt;='Как пользоваться'!$E$18,"да","")),""),"")</f>
        <v/>
      </c>
    </row>
    <row r="16">
      <c r="A16" t="inlineStr">
        <is>
          <t>PEX</t>
        </is>
      </c>
      <c r="B16" s="25" t="inlineStr">
        <is>
          <t>PEX</t>
        </is>
      </c>
      <c r="C16" s="21">
        <f>IF($M$2,SUMIFS(INDEX(Расчёт!$D$6:$O$36,0,$C$2),Расчёт!$B$6:$B$36,$A16),"")</f>
        <v>62.4564056952867</v>
      </c>
      <c r="D16" s="22">
        <f>IF(AND(ISNUMBER(C16),ISNUMBER(C$6)),IF(C$6=0,"",C16/C$6),"")</f>
        <v>0.0527863138849651</v>
      </c>
      <c r="E16" s="21">
        <f>IF($N$2,SUMIFS(INDEX(Расчёт!$Q$6:$AB$36,0,$C$2),Расчёт!$B$6:$B$36,$A16),"")</f>
        <v>-111.51028275114</v>
      </c>
      <c r="F16" s="22">
        <f>IF(AND(ISNUMBER(E16),ISNUMBER(E$6)),IF(E$6=0,"",E16/E$6),"")</f>
        <v>-0.0990145923459954</v>
      </c>
      <c r="G16" s="23">
        <f>IF(AND(ISNUMBER(C16),ISNUMBER(E16)),C16-E16,"")</f>
        <v>173.966688446426</v>
      </c>
      <c r="H16" s="24">
        <f>IF(AND(ISNUMBER(D16),ISNUMBER(F16)),D16-F16,"")</f>
        <v>0.151800906230961</v>
      </c>
      <c r="I16" s="39">
        <f>IF(ISNUMBER(G16),IF(E16=0,"",G16/ABS(E16)),"")</f>
        <v>1.56009548316429</v>
      </c>
      <c r="J16" s="37" t="n"/>
      <c r="K16" s="40" t="str">
        <f>IF(ISNUMBER(G16),IF(ABS(G16)&gt;='Как пользоваться'!$E$17,IF(E16=0,"да",IF(ABS(G16)/ABS(E16)&gt;='Как пользоваться'!$E$18,"да","")),""),"")</f>
        <v>да</v>
      </c>
    </row>
    <row r="17">
      <c r="A17" t="inlineStr">
        <is>
          <t>Other PEX</t>
        </is>
      </c>
      <c r="B17" s="25" t="inlineStr">
        <is>
          <t>Other PEX</t>
        </is>
      </c>
      <c r="C17" s="21">
        <f>IF($M$2,SUMIFS(INDEX(Расчёт!$D$6:$O$36,0,$C$2),Расчёт!$B$6:$B$36,$A17),"")</f>
        <v>-0.211306162631583</v>
      </c>
      <c r="D17" s="22">
        <f>IF(AND(ISNUMBER(C17),ISNUMBER(C$6)),IF(C$6=0,"",C17/C$6),"")</f>
        <v>-0.000178589742754601</v>
      </c>
      <c r="E17" s="21">
        <f>IF($N$2,SUMIFS(INDEX(Расчёт!$Q$6:$AB$36,0,$C$2),Расчёт!$B$6:$B$36,$A17),"")</f>
        <v>-4.33863391461458</v>
      </c>
      <c r="F17" s="22">
        <f>IF(AND(ISNUMBER(E17),ISNUMBER(E$6)),IF(E$6=0,"",E17/E$6),"")</f>
        <v>-0.00385245250747678</v>
      </c>
      <c r="G17" s="23">
        <f>IF(AND(ISNUMBER(C17),ISNUMBER(E17)),C17-E17,"")</f>
        <v>4.127327751983</v>
      </c>
      <c r="H17" s="24">
        <f>IF(AND(ISNUMBER(D17),ISNUMBER(F17)),D17-F17,"")</f>
        <v>0.00367386276472218</v>
      </c>
      <c r="I17" s="39">
        <f>IF(ISNUMBER(G17),IF(E17=0,"",G17/ABS(E17)),"")</f>
        <v>0.951296613913471</v>
      </c>
      <c r="J17" s="37" t="n"/>
      <c r="K17" s="40" t="str">
        <f>IF(ISNUMBER(G17),IF(ABS(G17)&gt;='Как пользоваться'!$E$17,IF(E17=0,"да",IF(ABS(G17)/ABS(E17)&gt;='Как пользоваться'!$E$18,"да","")),""),"")</f>
        <v/>
      </c>
    </row>
    <row r="18">
      <c r="A18" t="inlineStr">
        <is>
          <t>Marketing</t>
        </is>
      </c>
      <c r="B18" s="25" t="inlineStr">
        <is>
          <t>Marketing</t>
        </is>
      </c>
      <c r="C18" s="21">
        <f>IF($M$2,SUMIFS(INDEX(Расчёт!$D$6:$O$36,0,$C$2),Расчёт!$B$6:$B$36,$A18),"")</f>
        <v>-105.089188</v>
      </c>
      <c r="D18" s="22">
        <f>IF(AND(ISNUMBER(C18),ISNUMBER(C$6)),IF(C$6=0,"",C18/C$6),"")</f>
        <v>-0.0888182853612841</v>
      </c>
      <c r="E18" s="21">
        <f>IF($N$2,SUMIFS(INDEX(Расчёт!$Q$6:$AB$36,0,$C$2),Расчёт!$B$6:$B$36,$A18),"")</f>
        <v>-348.750338137281</v>
      </c>
      <c r="F18" s="22">
        <f>IF(AND(ISNUMBER(E18),ISNUMBER(E$6)),IF(E$6=0,"",E18/E$6),"")</f>
        <v>-0.309669850252783</v>
      </c>
      <c r="G18" s="23">
        <f>IF(AND(ISNUMBER(C18),ISNUMBER(E18)),C18-E18,"")</f>
        <v>243.661150137281</v>
      </c>
      <c r="H18" s="24">
        <f>IF(AND(ISNUMBER(D18),ISNUMBER(F18)),D18-F18,"")</f>
        <v>0.220851564891498</v>
      </c>
      <c r="I18" s="39">
        <f>IF(ISNUMBER(G18),IF(E18=0,"",G18/ABS(E18)),"")</f>
        <v>0.698669287143076</v>
      </c>
      <c r="J18" s="37" t="n"/>
      <c r="K18" s="40" t="str">
        <f>IF(ISNUMBER(G18),IF(ABS(G18)&gt;='Как пользоваться'!$E$17,IF(E18=0,"да",IF(ABS(G18)/ABS(E18)&gt;='Как пользоваться'!$E$18,"да","")),""),"")</f>
        <v>да</v>
      </c>
    </row>
    <row r="19">
      <c r="A19" t="inlineStr">
        <is>
          <t>IT</t>
        </is>
      </c>
      <c r="B19" s="25" t="inlineStr">
        <is>
          <t>IT</t>
        </is>
      </c>
      <c r="C19" s="21">
        <f>IF($M$2,SUMIFS(INDEX(Расчёт!$D$6:$O$36,0,$C$2),Расчёт!$B$6:$B$36,$A19),"")</f>
        <v>-3.8875147</v>
      </c>
      <c r="D19" s="22">
        <f>IF(AND(ISNUMBER(C19),ISNUMBER(C$6)),IF(C$6=0,"",C19/C$6),"")</f>
        <v>-0.00328561288313301</v>
      </c>
      <c r="E19" s="21">
        <f>IF($N$2,SUMIFS(INDEX(Расчёт!$Q$6:$AB$36,0,$C$2),Расчёт!$B$6:$B$36,$A19),"")</f>
        <v>-1.28350724</v>
      </c>
      <c r="F19" s="22">
        <f>IF(AND(ISNUMBER(E19),ISNUMBER(E$6)),IF(E$6=0,"",E19/E$6),"")</f>
        <v>-0.00113967916685634</v>
      </c>
      <c r="G19" s="23">
        <f>IF(AND(ISNUMBER(C19),ISNUMBER(E19)),C19-E19,"")</f>
        <v>-2.60400746</v>
      </c>
      <c r="H19" s="24">
        <f>IF(AND(ISNUMBER(D19),ISNUMBER(F19)),D19-F19,"")</f>
        <v>-0.00214593371627667</v>
      </c>
      <c r="I19" s="39">
        <f>IF(ISNUMBER(G19),IF(E19=0,"",G19/ABS(E19)),"")</f>
        <v>-2.02882179301147</v>
      </c>
      <c r="J19" s="37" t="n"/>
      <c r="K19" s="40" t="str">
        <f>IF(ISNUMBER(G19),IF(ABS(G19)&gt;='Как пользоваться'!$E$17,IF(E19=0,"да",IF(ABS(G19)/ABS(E19)&gt;='Как пользоваться'!$E$18,"да","")),""),"")</f>
        <v/>
      </c>
    </row>
    <row r="20">
      <c r="A20" t="inlineStr">
        <is>
          <t>Other OPEX</t>
        </is>
      </c>
      <c r="B20" s="25" t="inlineStr">
        <is>
          <t>Other OPEX</t>
        </is>
      </c>
      <c r="C20" s="21">
        <f>IF($M$2,SUMIFS(INDEX(Расчёт!$D$6:$O$36,0,$C$2),Расчёт!$B$6:$B$36,$A20),"")</f>
        <v>-9.12317528</v>
      </c>
      <c r="D20" s="22">
        <f>IF(AND(ISNUMBER(C20),ISNUMBER(C$6)),IF(C$6=0,"",C20/C$6),"")</f>
        <v>-0.00771063894241959</v>
      </c>
      <c r="E20" s="21">
        <f>IF($N$2,SUMIFS(INDEX(Расчёт!$Q$6:$AB$36,0,$C$2),Расчёт!$B$6:$B$36,$A20),"")</f>
        <v>-5.04728405703625</v>
      </c>
      <c r="F20" s="22">
        <f>IF(AND(ISNUMBER(E20),ISNUMBER(E$6)),IF(E$6=0,"",E20/E$6),"")</f>
        <v>-0.00448169228013887</v>
      </c>
      <c r="G20" s="23">
        <f>IF(AND(ISNUMBER(C20),ISNUMBER(E20)),C20-E20,"")</f>
        <v>-4.07589122296375</v>
      </c>
      <c r="H20" s="24">
        <f>IF(AND(ISNUMBER(D20),ISNUMBER(F20)),D20-F20,"")</f>
        <v>-0.00322894666228071</v>
      </c>
      <c r="I20" s="39">
        <f>IF(ISNUMBER(G20),IF(E20=0,"",G20/ABS(E20)),"")</f>
        <v>-0.807541477139906</v>
      </c>
      <c r="J20" s="37" t="n"/>
      <c r="K20" s="40" t="str">
        <f>IF(ISNUMBER(G20),IF(ABS(G20)&gt;='Как пользоваться'!$E$17,IF(E20=0,"да",IF(ABS(G20)/ABS(E20)&gt;='Как пользоваться'!$E$18,"да","")),""),"")</f>
        <v/>
      </c>
    </row>
    <row r="21">
      <c r="A21" t="inlineStr">
        <is>
          <t>OPEX</t>
        </is>
      </c>
      <c r="B21" s="16" t="inlineStr">
        <is>
          <t>OPEX</t>
        </is>
      </c>
      <c r="C21" s="17">
        <f>IF($M$2,SUMIFS(INDEX(Расчёт!$D$6:$O$36,0,$C$2),Расчёт!$B$6:$B$36,$A21),"")</f>
        <v>-55.8547784473449</v>
      </c>
      <c r="D21" s="18">
        <f>IF(AND(ISNUMBER(C21),ISNUMBER(C$6)),IF(C$6=0,"",C21/C$6),"")</f>
        <v>-0.0472068130446263</v>
      </c>
      <c r="E21" s="17">
        <f>IF($N$2,SUMIFS(INDEX(Расчёт!$Q$6:$AB$36,0,$C$2),Расчёт!$B$6:$B$36,$A21),"")</f>
        <v>-470.930046100071</v>
      </c>
      <c r="F21" s="18">
        <f>IF(AND(ISNUMBER(E21),ISNUMBER(E$6)),IF(E$6=0,"",E21/E$6),"")</f>
        <v>-0.41815826655325</v>
      </c>
      <c r="G21" s="19">
        <f>IF(AND(ISNUMBER(C21),ISNUMBER(E21)),C21-E21,"")</f>
        <v>415.075267652726</v>
      </c>
      <c r="H21" s="20">
        <f>IF(AND(ISNUMBER(D21),ISNUMBER(F21)),D21-F21,"")</f>
        <v>0.370951453508624</v>
      </c>
      <c r="I21" s="36">
        <f>IF(ISNUMBER(G21),IF(E21=0,"",G21/ABS(E21)),"")</f>
        <v>0.881394744485095</v>
      </c>
      <c r="J21" s="37" t="n"/>
      <c r="K21" s="38" t="str">
        <f>IF(ISNUMBER(G21),IF(ABS(G21)&gt;='Как пользоваться'!$E$17,IF(E21=0,"да",IF(ABS(G21)/ABS(E21)&gt;='Как пользоваться'!$E$18,"да","")),""),"")</f>
        <v>да</v>
      </c>
    </row>
    <row r="22">
      <c r="A22" t="inlineStr">
        <is>
          <t>EBITDA</t>
        </is>
      </c>
      <c r="B22" s="16" t="inlineStr">
        <is>
          <t>EBITDA</t>
        </is>
      </c>
      <c r="C22" s="17">
        <f>IF($M$2,SUMIFS(INDEX(Расчёт!$D$6:$O$36,0,$C$2),Расчёт!$B$6:$B$36,$A22),"")</f>
        <v>1126.41053241814</v>
      </c>
      <c r="D22" s="18">
        <f>IF(AND(ISNUMBER(C22),ISNUMBER(C$6)),IF(C$6=0,"",C22/C$6),"")</f>
        <v>0.952008993563359</v>
      </c>
      <c r="E22" s="17">
        <f>IF($N$2,SUMIFS(INDEX(Расчёт!$Q$6:$AB$36,0,$C$2),Расчёт!$B$6:$B$36,$A22),"")</f>
        <v>620.504646644553</v>
      </c>
      <c r="F22" s="18">
        <f>IF(AND(ISNUMBER(E22),ISNUMBER(E$6)),IF(E$6=0,"",E22/E$6),"")</f>
        <v>0.550971741085271</v>
      </c>
      <c r="G22" s="19">
        <f>IF(AND(ISNUMBER(C22),ISNUMBER(E22)),C22-E22,"")</f>
        <v>505.90588577359</v>
      </c>
      <c r="H22" s="20">
        <f>IF(AND(ISNUMBER(D22),ISNUMBER(F22)),D22-F22,"")</f>
        <v>0.401037252478088</v>
      </c>
      <c r="I22" s="36">
        <f>IF(ISNUMBER(G22),IF(E22=0,"",G22/ABS(E22)),"")</f>
        <v>0.815313613700286</v>
      </c>
      <c r="J22" s="37" t="n"/>
      <c r="K22" s="38" t="str">
        <f>IF(ISNUMBER(G22),IF(ABS(G22)&gt;='Как пользоваться'!$E$17,IF(E22=0,"да",IF(ABS(G22)/ABS(E22)&gt;='Как пользоваться'!$E$18,"да","")),""),"")</f>
        <v>да</v>
      </c>
    </row>
    <row r="23">
      <c r="A23" t="inlineStr">
        <is>
          <t>Capex</t>
        </is>
      </c>
      <c r="B23" s="25" t="inlineStr">
        <is>
          <t>Capex</t>
        </is>
      </c>
      <c r="C23" s="21">
        <f>IF($M$2,SUMIFS(INDEX(Расчёт!$D$6:$O$36,0,$C$2),Расчёт!$B$6:$B$36,$A23),"")</f>
        <v>-185.76541681</v>
      </c>
      <c r="D23" s="22">
        <f>IF(AND(ISNUMBER(C23),ISNUMBER(C$6)),IF(C$6=0,"",C23/C$6),"")</f>
        <v>-0.157003456915934</v>
      </c>
      <c r="E23" s="21">
        <f>IF($N$2,SUMIFS(INDEX(Расчёт!$Q$6:$AB$36,0,$C$2),Расчёт!$B$6:$B$36,$A23),"")</f>
        <v>-242.709711716802</v>
      </c>
      <c r="F23" s="22">
        <f>IF(AND(ISNUMBER(E23),ISNUMBER(E$6)),IF(E$6=0,"",E23/E$6),"")</f>
        <v>-0.215511991998851</v>
      </c>
      <c r="G23" s="23">
        <f>IF(AND(ISNUMBER(C23),ISNUMBER(E23)),C23-E23,"")</f>
        <v>56.9442949068023</v>
      </c>
      <c r="H23" s="24">
        <f>IF(AND(ISNUMBER(D23),ISNUMBER(F23)),D23-F23,"")</f>
        <v>0.0585085350829172</v>
      </c>
      <c r="I23" s="39">
        <f>IF(ISNUMBER(G23),IF(E23=0,"",G23/ABS(E23)),"")</f>
        <v>0.234618938418277</v>
      </c>
      <c r="J23" s="37" t="n"/>
      <c r="K23" s="40" t="str">
        <f>IF(ISNUMBER(G23),IF(ABS(G23)&gt;='Как пользоваться'!$E$17,IF(E23=0,"да",IF(ABS(G23)/ABS(E23)&gt;='Как пользоваться'!$E$18,"да","")),""),"")</f>
        <v>да</v>
      </c>
    </row>
    <row r="24">
      <c r="A24" t="inlineStr">
        <is>
          <t>FCF</t>
        </is>
      </c>
      <c r="B24" s="16" t="inlineStr">
        <is>
          <t>FCF</t>
        </is>
      </c>
      <c r="C24" s="17">
        <f>IF($M$2,SUMIFS(INDEX(Расчёт!$D$6:$O$36,0,$C$2),Расчёт!$B$6:$B$36,$A24),"")</f>
        <v>940.645115608143</v>
      </c>
      <c r="D24" s="18">
        <f>IF(AND(ISNUMBER(C24),ISNUMBER(C$6)),IF(C$6=0,"",C24/C$6),"")</f>
        <v>0.795005536647425</v>
      </c>
      <c r="E24" s="17">
        <f>IF($N$2,SUMIFS(INDEX(Расчёт!$Q$6:$AB$36,0,$C$2),Расчёт!$B$6:$B$36,$A24),"")</f>
        <v>377.794934927751</v>
      </c>
      <c r="F24" s="18">
        <f>IF(AND(ISNUMBER(E24),ISNUMBER(E$6)),IF(E$6=0,"",E24/E$6),"")</f>
        <v>0.33545974908642</v>
      </c>
      <c r="G24" s="19">
        <f>IF(AND(ISNUMBER(C24),ISNUMBER(E24)),C24-E24,"")</f>
        <v>562.850180680392</v>
      </c>
      <c r="H24" s="20">
        <f>IF(AND(ISNUMBER(D24),ISNUMBER(F24)),D24-F24,"")</f>
        <v>0.459545787561005</v>
      </c>
      <c r="I24" s="36">
        <f>IF(ISNUMBER(G24),IF(E24=0,"",G24/ABS(E24)),"")</f>
        <v>1.48982987500357</v>
      </c>
      <c r="J24" s="37" t="n"/>
      <c r="K24" s="38" t="str">
        <f>IF(ISNUMBER(G24),IF(ABS(G24)&gt;='Как пользоваться'!$E$17,IF(E24=0,"да",IF(ABS(G24)/ABS(E24)&gt;='Как пользоваться'!$E$18,"да","")),""),"")</f>
        <v>да</v>
      </c>
    </row>
    <row r="26">
      <c r="A26" t="inlineStr">
        <is>
          <t>EBITDA для КПЭ</t>
        </is>
      </c>
      <c r="B26" s="31" t="inlineStr">
        <is>
          <t>EBITDA для КПЭ</t>
        </is>
      </c>
      <c r="C26" s="32">
        <f>IF($M$2,SUMIFS(INDEX(Расчёт!$D$6:$O$36,0,$C$2),Расчёт!$B$6:$B$36,$A26),"")</f>
        <v>803.396833788006</v>
      </c>
      <c r="D26" s="43">
        <f>IF(AND(ISNUMBER(C26),ISNUMBER(C$6)),IF(C$6=0,"",C26/C$6),"")</f>
        <v>0.679007332721376</v>
      </c>
      <c r="E26" s="32">
        <f>IF($N$2,SUMIFS(INDEX(Расчёт!$Q$6:$AB$36,0,$C$2),Расчёт!$B$6:$B$36,$A26),"")</f>
        <v>111.253210695852</v>
      </c>
      <c r="F26" s="43">
        <f>IF(AND(ISNUMBER(E26),ISNUMBER(E$6)),IF(E$6=0,"",E26/E$6),"")</f>
        <v>0.0987863274350842</v>
      </c>
      <c r="G26" s="44">
        <f>IF(AND(ISNUMBER(C26),ISNUMBER(E26)),C26-E26,"")</f>
        <v>692.143623092154</v>
      </c>
      <c r="H26" s="24">
        <f>IF(AND(ISNUMBER(D26),ISNUMBER(F26)),D26-F26,"")</f>
        <v>0.580221005286292</v>
      </c>
      <c r="I26" s="39">
        <f>IF(ISNUMBER(G26),IF(E26=0,"",G26/ABS(E26)),"")</f>
        <v>6.22133616426012</v>
      </c>
      <c r="J26" s="37" t="n"/>
      <c r="K26" s="40" t="str">
        <f>IF(ISNUMBER(G26),IF(ABS(G26)&gt;='Как пользоваться'!$E$17,IF(E26=0,"да",IF(ABS(G26)/ABS(E26)&gt;='Как пользоваться'!$E$18,"да","")),""),"")</f>
        <v>да</v>
      </c>
    </row>
    <row r="28">
      <c r="B28" s="4" t="inlineStr">
        <is>
          <t>Точность прогноза (1 − Σ|ACT − CTRL| / Σ|ACT|)</t>
        </is>
      </c>
      <c r="E28" s="4" t="inlineStr">
        <is>
          <t>Строки</t>
        </is>
      </c>
    </row>
    <row r="29">
      <c r="B29" s="5" t="inlineStr">
        <is>
          <t>Gross Revenue итого</t>
        </is>
      </c>
      <c r="D29" s="33">
        <f>INDEX(Расчёт!$D$50:$O$50,1,$C$2)</f>
        <v>0.951831474750573</v>
      </c>
      <c r="E29" s="8" t="inlineStr">
        <is>
          <t>Gross Revenue в целом</t>
        </is>
      </c>
    </row>
    <row r="30">
      <c r="B30" s="5" t="inlineStr">
        <is>
          <t>Выручка по направлениям</t>
        </is>
      </c>
      <c r="D30" s="33">
        <f>INDEX(Расчёт!$D$51:$O$51,1,$C$2)</f>
        <v>0.217437487233645</v>
      </c>
      <c r="E30" s="8" t="inlineStr">
        <is>
          <t>10 направлений выручки — как G4 на листе «33» мастера</t>
        </is>
      </c>
    </row>
    <row r="31">
      <c r="B31" s="5" t="inlineStr">
        <is>
          <t>Все статьи (выручка + расходы + Capex)</t>
        </is>
      </c>
      <c r="D31" s="33">
        <f>INDEX(Расчёт!$D$52:$O$52,1,$C$2)</f>
        <v>0.0680449006741576</v>
      </c>
      <c r="E31" s="8" t="inlineStr">
        <is>
          <t>направления выручки, Direct cost, PEX, Other PEX, Marketing, IT, Other OPEX, Capex — как F4</t>
        </is>
      </c>
    </row>
    <row r="32">
      <c r="B32" s="5" t="inlineStr">
        <is>
          <t>Сегменты выручки</t>
        </is>
      </c>
      <c r="D32" s="33">
        <f>INDEX(Расчёт!$D$53:$O$53,1,$C$2)</f>
        <v>0.432327778701947</v>
      </c>
      <c r="E32" s="8" t="inlineStr">
        <is>
          <t>8 сегментов (еком / поставщики / база–инкремент) — как H4</t>
        </is>
      </c>
    </row>
    <row r="33">
      <c r="B33" s="5" t="inlineStr">
        <is>
          <t>EBITDA</t>
        </is>
      </c>
      <c r="D33" s="33">
        <f>INDEX(Расчёт!$D$54:$O$54,1,$C$2)</f>
        <v>0.550869002718283</v>
      </c>
      <c r="E33" s="8" t="inlineStr">
        <is>
          <t>EBITDA в целом</t>
        </is>
      </c>
    </row>
    <row r="35">
      <c r="B35" s="45" t="str">
        <f>IF(AND($M$2,$N$2),CHOOSE($C$2,"Январь","Февраль","Март","Апрель","Май","Июнь","Июль","Август","Сентябрь","Октябрь","Ноябрь","Декабрь")&amp;" 2026 | EBITDA бридж CTRL vs Факт: "&amp;FIXED(E22,0)&amp;" → "&amp;FIXED(C22,0)&amp;" ("&amp;IF(G22&gt;0,"+","")&amp;FIXED(G22,0)&amp;") млн руб.",CHOOSE($C$2,"Январь","Февраль","Март","Апрель","Май","Июнь","Июль","Август","Сентябрь","Октябрь","Ноябрь","Декабрь")&amp;" 2026 | EBITDA бридж CTRL vs Факт — появится после загрузки факта")</f>
        <v>Сентябрь 2026 | EBITDA бридж CTRL vs Факт: 621 → 1,126 (+506) млн руб.</v>
      </c>
      <c r="M35" s="12" t="inlineStr">
        <is>
          <t>служебные для графика</t>
        </is>
      </c>
    </row>
    <row r="36">
      <c r="B36" s="4" t="inlineStr">
        <is>
          <t>EBITDA бридж, млн руб.</t>
        </is>
      </c>
      <c r="C36" s="14" t="inlineStr">
        <is>
          <t>Δ</t>
        </is>
      </c>
      <c r="M36" s="13" t="inlineStr">
        <is>
          <t>Уровень после</t>
        </is>
      </c>
      <c r="N36" s="13" t="inlineStr">
        <is>
          <t>Основа (прозр.)</t>
        </is>
      </c>
      <c r="O36" s="13" t="inlineStr">
        <is>
          <t>Итог</t>
        </is>
      </c>
      <c r="P36" s="13" t="inlineStr">
        <is>
          <t>Рост ≥0</t>
        </is>
      </c>
      <c r="Q36" s="13" t="inlineStr">
        <is>
          <t>Рост &lt;0</t>
        </is>
      </c>
      <c r="R36" s="13" t="inlineStr">
        <is>
          <t>Снижение ≥0</t>
        </is>
      </c>
      <c r="S36" s="13" t="inlineStr">
        <is>
          <t>Снижение &lt;0</t>
        </is>
      </c>
    </row>
    <row r="37">
      <c r="B37" s="11" t="inlineStr">
        <is>
          <t>EBITDA CTRL</t>
        </is>
      </c>
      <c r="C37" s="46">
        <f>IF(AND($M$2,$N$2),E22,IF($N$2,E22,0))</f>
        <v>620.504646644553</v>
      </c>
      <c r="M37" s="47">
        <f>C37</f>
        <v>620.504646644553</v>
      </c>
      <c r="N37" s="47" t="n">
        <v>0</v>
      </c>
      <c r="O37" s="48">
        <f>C37</f>
        <v>620.504646644553</v>
      </c>
      <c r="P37" s="49" t="n">
        <v>0</v>
      </c>
      <c r="Q37" s="49" t="n">
        <v>0</v>
      </c>
      <c r="R37" s="50" t="n">
        <v>0</v>
      </c>
      <c r="S37" s="50" t="n">
        <v>0</v>
      </c>
    </row>
    <row r="38">
      <c r="B38" s="5" t="inlineStr">
        <is>
          <t>APP</t>
        </is>
      </c>
      <c r="C38" s="51">
        <f>IF(ISNUMBER(G7),G7,0)</f>
        <v>-307.336610691578</v>
      </c>
      <c r="M38" s="47">
        <f>M37+C38</f>
        <v>313.168035952975</v>
      </c>
      <c r="N38" s="47">
        <f>IF(AND(M37&gt;=0,M38&gt;=0),MIN(M37,M38),IF(AND(M37&lt;=0,M38&lt;=0),MAX(M37,M38),0))</f>
        <v>313.168035952975</v>
      </c>
      <c r="O38" s="48" t="n">
        <v>0</v>
      </c>
      <c r="P38" s="49">
        <f>IF(C38&gt;0,IF(AND(M37&gt;=0,M38&gt;=0),ABS(M38-M37),IF(AND(M37&lt;=0,M38&lt;=0),0,MAX(M37,M38))),0)</f>
        <v>0</v>
      </c>
      <c r="Q38" s="49">
        <f>IF(C38&gt;0,IF(AND(M37&gt;=0,M38&gt;=0),0,IF(AND(M37&lt;=0,M38&lt;=0),-ABS(M38-M37),MIN(M37,M38))),0)</f>
        <v>0</v>
      </c>
      <c r="R38" s="50">
        <f>IF(C38&lt;0,IF(AND(M37&gt;=0,M38&gt;=0),ABS(M38-M37),IF(AND(M37&lt;=0,M38&lt;=0),0,MAX(M37,M38))),0)</f>
        <v>307.336610691578</v>
      </c>
      <c r="S38" s="50">
        <f>IF(C38&lt;0,IF(AND(M37&gt;=0,M38&gt;=0),0,IF(AND(M37&lt;=0,M38&lt;=0),-ABS(M38-M37),MIN(M37,M38))),0)</f>
        <v>0</v>
      </c>
    </row>
    <row r="39">
      <c r="B39" s="5" t="inlineStr">
        <is>
          <t>DMP+Online</t>
        </is>
      </c>
      <c r="C39" s="51">
        <f>IF(ISNUMBER(G8),G8,0)</f>
        <v>132.190117908618</v>
      </c>
      <c r="M39" s="47">
        <f>M38+C39</f>
        <v>445.358153861593</v>
      </c>
      <c r="N39" s="47">
        <f>IF(AND(M38&gt;=0,M39&gt;=0),MIN(M38,M39),IF(AND(M38&lt;=0,M39&lt;=0),MAX(M38,M39),0))</f>
        <v>313.168035952975</v>
      </c>
      <c r="O39" s="48" t="n">
        <v>0</v>
      </c>
      <c r="P39" s="49">
        <f>IF(C39&gt;0,IF(AND(M38&gt;=0,M39&gt;=0),ABS(M39-M38),IF(AND(M38&lt;=0,M39&lt;=0),0,MAX(M38,M39))),0)</f>
        <v>132.190117908618</v>
      </c>
      <c r="Q39" s="49">
        <f>IF(C39&gt;0,IF(AND(M38&gt;=0,M39&gt;=0),0,IF(AND(M38&lt;=0,M39&lt;=0),-ABS(M39-M38),MIN(M38,M39))),0)</f>
        <v>0</v>
      </c>
      <c r="R39" s="50">
        <f>IF(C39&lt;0,IF(AND(M38&gt;=0,M39&gt;=0),ABS(M39-M38),IF(AND(M38&lt;=0,M39&lt;=0),0,MAX(M38,M39))),0)</f>
        <v>0</v>
      </c>
      <c r="S39" s="50">
        <f>IF(C39&lt;0,IF(AND(M38&gt;=0,M39&gt;=0),0,IF(AND(M38&lt;=0,M39&lt;=0),-ABS(M39-M38),MIN(M38,M39))),0)</f>
        <v>0</v>
      </c>
    </row>
    <row r="40">
      <c r="B40" s="5" t="inlineStr">
        <is>
          <t>Instore digital</t>
        </is>
      </c>
      <c r="C40" s="51">
        <f>IF(ISNUMBER(G9),G9,0)</f>
        <v>260.428357689891</v>
      </c>
      <c r="M40" s="47">
        <f>M39+C40</f>
        <v>705.786511551484</v>
      </c>
      <c r="N40" s="47">
        <f>IF(AND(M39&gt;=0,M40&gt;=0),MIN(M39,M40),IF(AND(M39&lt;=0,M40&lt;=0),MAX(M39,M40),0))</f>
        <v>445.358153861593</v>
      </c>
      <c r="O40" s="48" t="n">
        <v>0</v>
      </c>
      <c r="P40" s="49">
        <f>IF(C40&gt;0,IF(AND(M39&gt;=0,M40&gt;=0),ABS(M40-M39),IF(AND(M39&lt;=0,M40&lt;=0),0,MAX(M39,M40))),0)</f>
        <v>260.428357689891</v>
      </c>
      <c r="Q40" s="49">
        <f>IF(C40&gt;0,IF(AND(M39&gt;=0,M40&gt;=0),0,IF(AND(M39&lt;=0,M40&lt;=0),-ABS(M40-M39),MIN(M39,M40))),0)</f>
        <v>0</v>
      </c>
      <c r="R40" s="50">
        <f>IF(C40&lt;0,IF(AND(M39&gt;=0,M40&gt;=0),ABS(M40-M39),IF(AND(M39&lt;=0,M40&lt;=0),0,MAX(M39,M40))),0)</f>
        <v>0</v>
      </c>
      <c r="S40" s="50">
        <f>IF(C40&lt;0,IF(AND(M39&gt;=0,M40&gt;=0),0,IF(AND(M39&lt;=0,M40&lt;=0),-ABS(M40-M39),MIN(M39,M40))),0)</f>
        <v>0</v>
      </c>
    </row>
    <row r="41">
      <c r="B41" s="5" t="inlineStr">
        <is>
          <t>Instore 2.0</t>
        </is>
      </c>
      <c r="C41" s="51">
        <f>IF(ISNUMBER(G10),G10,0)</f>
        <v>-121.332202786227</v>
      </c>
      <c r="M41" s="47">
        <f>M40+C41</f>
        <v>584.454308765256</v>
      </c>
      <c r="N41" s="47">
        <f>IF(AND(M40&gt;=0,M41&gt;=0),MIN(M40,M41),IF(AND(M40&lt;=0,M41&lt;=0),MAX(M40,M41),0))</f>
        <v>584.454308765256</v>
      </c>
      <c r="O41" s="48" t="n">
        <v>0</v>
      </c>
      <c r="P41" s="49">
        <f>IF(C41&gt;0,IF(AND(M40&gt;=0,M41&gt;=0),ABS(M41-M40),IF(AND(M40&lt;=0,M41&lt;=0),0,MAX(M40,M41))),0)</f>
        <v>0</v>
      </c>
      <c r="Q41" s="49">
        <f>IF(C41&gt;0,IF(AND(M40&gt;=0,M41&gt;=0),0,IF(AND(M40&lt;=0,M41&lt;=0),-ABS(M41-M40),MIN(M40,M41))),0)</f>
        <v>0</v>
      </c>
      <c r="R41" s="50">
        <f>IF(C41&lt;0,IF(AND(M40&gt;=0,M41&gt;=0),ABS(M41-M40),IF(AND(M40&lt;=0,M41&lt;=0),0,MAX(M40,M41))),0)</f>
        <v>121.332202786227</v>
      </c>
      <c r="S41" s="50">
        <f>IF(C41&lt;0,IF(AND(M40&gt;=0,M41&gt;=0),0,IF(AND(M40&lt;=0,M41&lt;=0),-ABS(M41-M40),MIN(M40,M41))),0)</f>
        <v>0</v>
      </c>
    </row>
    <row r="42">
      <c r="B42" s="5" t="inlineStr">
        <is>
          <t>Other и POSM</t>
        </is>
      </c>
      <c r="C42" s="51">
        <f>IF(ISNUMBER(G11),G11,0)</f>
        <v>92.7501714173171</v>
      </c>
      <c r="M42" s="47">
        <f>M41+C42</f>
        <v>677.204480182573</v>
      </c>
      <c r="N42" s="47">
        <f>IF(AND(M41&gt;=0,M42&gt;=0),MIN(M41,M42),IF(AND(M41&lt;=0,M42&lt;=0),MAX(M41,M42),0))</f>
        <v>584.454308765256</v>
      </c>
      <c r="O42" s="48" t="n">
        <v>0</v>
      </c>
      <c r="P42" s="49">
        <f>IF(C42&gt;0,IF(AND(M41&gt;=0,M42&gt;=0),ABS(M42-M41),IF(AND(M41&lt;=0,M42&lt;=0),0,MAX(M41,M42))),0)</f>
        <v>92.750171417317</v>
      </c>
      <c r="Q42" s="49">
        <f>IF(C42&gt;0,IF(AND(M41&gt;=0,M42&gt;=0),0,IF(AND(M41&lt;=0,M42&lt;=0),-ABS(M42-M41),MIN(M41,M42))),0)</f>
        <v>0</v>
      </c>
      <c r="R42" s="50">
        <f>IF(C42&lt;0,IF(AND(M41&gt;=0,M42&gt;=0),ABS(M42-M41),IF(AND(M41&lt;=0,M42&lt;=0),0,MAX(M41,M42))),0)</f>
        <v>0</v>
      </c>
      <c r="S42" s="50">
        <f>IF(C42&lt;0,IF(AND(M41&gt;=0,M42&gt;=0),0,IF(AND(M41&lt;=0,M42&lt;=0),-ABS(M42-M41),MIN(M41,M42))),0)</f>
        <v>0</v>
      </c>
    </row>
    <row r="43">
      <c r="B43" s="5" t="inlineStr">
        <is>
          <t>Кросс-формат</t>
        </is>
      </c>
      <c r="C43" s="51">
        <f>IF(ISNUMBER(G12),G12,0)</f>
        <v>4.0273691471999</v>
      </c>
      <c r="M43" s="47">
        <f>M42+C43</f>
        <v>681.231849329773</v>
      </c>
      <c r="N43" s="47">
        <f>IF(AND(M42&gt;=0,M43&gt;=0),MIN(M42,M43),IF(AND(M42&lt;=0,M43&lt;=0),MAX(M42,M43),0))</f>
        <v>677.204480182573</v>
      </c>
      <c r="O43" s="48" t="n">
        <v>0</v>
      </c>
      <c r="P43" s="49">
        <f>IF(C43&gt;0,IF(AND(M42&gt;=0,M43&gt;=0),ABS(M43-M42),IF(AND(M42&lt;=0,M43&lt;=0),0,MAX(M42,M43))),0)</f>
        <v>4.02736914719992</v>
      </c>
      <c r="Q43" s="49">
        <f>IF(C43&gt;0,IF(AND(M42&gt;=0,M43&gt;=0),0,IF(AND(M42&lt;=0,M43&lt;=0),-ABS(M43-M42),MIN(M42,M43))),0)</f>
        <v>0</v>
      </c>
      <c r="R43" s="50">
        <f>IF(C43&lt;0,IF(AND(M42&gt;=0,M43&gt;=0),ABS(M43-M42),IF(AND(M42&lt;=0,M43&lt;=0),0,MAX(M42,M43))),0)</f>
        <v>0</v>
      </c>
      <c r="S43" s="50">
        <f>IF(C43&lt;0,IF(AND(M42&gt;=0,M43&gt;=0),0,IF(AND(M42&lt;=0,M43&lt;=0),-ABS(M43-M42),MIN(M42,M43))),0)</f>
        <v>0</v>
      </c>
    </row>
    <row r="44">
      <c r="B44" s="5" t="inlineStr">
        <is>
          <t>Прочие напр.</t>
        </is>
      </c>
      <c r="C44" s="51">
        <f>IF(ISNUMBER(G13),G13,0)</f>
        <v>-3.73453293225998</v>
      </c>
      <c r="M44" s="47">
        <f>M43+C44</f>
        <v>677.497316397513</v>
      </c>
      <c r="N44" s="47">
        <f>IF(AND(M43&gt;=0,M44&gt;=0),MIN(M43,M44),IF(AND(M43&lt;=0,M44&lt;=0),MAX(M43,M44),0))</f>
        <v>677.497316397513</v>
      </c>
      <c r="O44" s="48" t="n">
        <v>0</v>
      </c>
      <c r="P44" s="49">
        <f>IF(C44&gt;0,IF(AND(M43&gt;=0,M44&gt;=0),ABS(M44-M43),IF(AND(M43&lt;=0,M44&lt;=0),0,MAX(M43,M44))),0)</f>
        <v>0</v>
      </c>
      <c r="Q44" s="49">
        <f>IF(C44&gt;0,IF(AND(M43&gt;=0,M44&gt;=0),0,IF(AND(M43&lt;=0,M44&lt;=0),-ABS(M44-M43),MIN(M43,M44))),0)</f>
        <v>0</v>
      </c>
      <c r="R44" s="50">
        <f>IF(C44&lt;0,IF(AND(M43&gt;=0,M44&gt;=0),ABS(M44-M43),IF(AND(M43&lt;=0,M44&lt;=0),0,MAX(M43,M44))),0)</f>
        <v>3.73453293225998</v>
      </c>
      <c r="S44" s="50">
        <f>IF(C44&lt;0,IF(AND(M43&gt;=0,M44&gt;=0),0,IF(AND(M43&lt;=0,M44&lt;=0),-ABS(M44-M43),MIN(M43,M44))),0)</f>
        <v>0</v>
      </c>
    </row>
    <row r="45">
      <c r="B45" s="5" t="inlineStr">
        <is>
          <t>Direct cost</t>
        </is>
      </c>
      <c r="C45" s="51">
        <f>IF(ISNUMBER(G14),G14,0)</f>
        <v>33.8379483679034</v>
      </c>
      <c r="M45" s="47">
        <f>M44+C45</f>
        <v>711.335264765417</v>
      </c>
      <c r="N45" s="47">
        <f>IF(AND(M44&gt;=0,M45&gt;=0),MIN(M44,M45),IF(AND(M44&lt;=0,M45&lt;=0),MAX(M44,M45),0))</f>
        <v>677.497316397513</v>
      </c>
      <c r="O45" s="48" t="n">
        <v>0</v>
      </c>
      <c r="P45" s="49">
        <f>IF(C45&gt;0,IF(AND(M44&gt;=0,M45&gt;=0),ABS(M45-M44),IF(AND(M44&lt;=0,M45&lt;=0),0,MAX(M44,M45))),0)</f>
        <v>33.8379483679034</v>
      </c>
      <c r="Q45" s="49">
        <f>IF(C45&gt;0,IF(AND(M44&gt;=0,M45&gt;=0),0,IF(AND(M44&lt;=0,M45&lt;=0),-ABS(M45-M44),MIN(M44,M45))),0)</f>
        <v>0</v>
      </c>
      <c r="R45" s="50">
        <f>IF(C45&lt;0,IF(AND(M44&gt;=0,M45&gt;=0),ABS(M45-M44),IF(AND(M44&lt;=0,M45&lt;=0),0,MAX(M44,M45))),0)</f>
        <v>0</v>
      </c>
      <c r="S45" s="50">
        <f>IF(C45&lt;0,IF(AND(M44&gt;=0,M45&gt;=0),0,IF(AND(M44&lt;=0,M45&lt;=0),-ABS(M45-M44),MIN(M44,M45))),0)</f>
        <v>0</v>
      </c>
    </row>
    <row r="46">
      <c r="B46" s="5" t="inlineStr">
        <is>
          <t>PEX</t>
        </is>
      </c>
      <c r="C46" s="51">
        <f>IF(ISNUMBER(G16),G16,0)</f>
        <v>173.966688446426</v>
      </c>
      <c r="M46" s="47">
        <f>M45+C46</f>
        <v>885.301953211843</v>
      </c>
      <c r="N46" s="47">
        <f>IF(AND(M45&gt;=0,M46&gt;=0),MIN(M45,M46),IF(AND(M45&lt;=0,M46&lt;=0),MAX(M45,M46),0))</f>
        <v>711.335264765417</v>
      </c>
      <c r="O46" s="48" t="n">
        <v>0</v>
      </c>
      <c r="P46" s="49">
        <f>IF(C46&gt;0,IF(AND(M45&gt;=0,M46&gt;=0),ABS(M46-M45),IF(AND(M45&lt;=0,M46&lt;=0),0,MAX(M45,M46))),0)</f>
        <v>173.966688446426</v>
      </c>
      <c r="Q46" s="49">
        <f>IF(C46&gt;0,IF(AND(M45&gt;=0,M46&gt;=0),0,IF(AND(M45&lt;=0,M46&lt;=0),-ABS(M46-M45),MIN(M45,M46))),0)</f>
        <v>0</v>
      </c>
      <c r="R46" s="50">
        <f>IF(C46&lt;0,IF(AND(M45&gt;=0,M46&gt;=0),ABS(M46-M45),IF(AND(M45&lt;=0,M46&lt;=0),0,MAX(M45,M46))),0)</f>
        <v>0</v>
      </c>
      <c r="S46" s="50">
        <f>IF(C46&lt;0,IF(AND(M45&gt;=0,M46&gt;=0),0,IF(AND(M45&lt;=0,M46&lt;=0),-ABS(M46-M45),MIN(M45,M46))),0)</f>
        <v>0</v>
      </c>
    </row>
    <row r="47">
      <c r="B47" s="5" t="inlineStr">
        <is>
          <t>Other PEX</t>
        </is>
      </c>
      <c r="C47" s="51">
        <f>IF(ISNUMBER(G17),G17,0)</f>
        <v>4.127327751983</v>
      </c>
      <c r="M47" s="47">
        <f>M46+C47</f>
        <v>889.429280963826</v>
      </c>
      <c r="N47" s="47">
        <f>IF(AND(M46&gt;=0,M47&gt;=0),MIN(M46,M47),IF(AND(M46&lt;=0,M47&lt;=0),MAX(M46,M47),0))</f>
        <v>885.301953211843</v>
      </c>
      <c r="O47" s="48" t="n">
        <v>0</v>
      </c>
      <c r="P47" s="49">
        <f>IF(C47&gt;0,IF(AND(M46&gt;=0,M47&gt;=0),ABS(M47-M46),IF(AND(M46&lt;=0,M47&lt;=0),0,MAX(M46,M47))),0)</f>
        <v>4.12732775198299</v>
      </c>
      <c r="Q47" s="49">
        <f>IF(C47&gt;0,IF(AND(M46&gt;=0,M47&gt;=0),0,IF(AND(M46&lt;=0,M47&lt;=0),-ABS(M47-M46),MIN(M46,M47))),0)</f>
        <v>0</v>
      </c>
      <c r="R47" s="50">
        <f>IF(C47&lt;0,IF(AND(M46&gt;=0,M47&gt;=0),ABS(M47-M46),IF(AND(M46&lt;=0,M47&lt;=0),0,MAX(M46,M47))),0)</f>
        <v>0</v>
      </c>
      <c r="S47" s="50">
        <f>IF(C47&lt;0,IF(AND(M46&gt;=0,M47&gt;=0),0,IF(AND(M46&lt;=0,M47&lt;=0),-ABS(M47-M46),MIN(M46,M47))),0)</f>
        <v>0</v>
      </c>
    </row>
    <row r="48">
      <c r="B48" s="5" t="inlineStr">
        <is>
          <t>Marketing</t>
        </is>
      </c>
      <c r="C48" s="51">
        <f>IF(ISNUMBER(G18),G18,0)</f>
        <v>243.661150137281</v>
      </c>
      <c r="M48" s="47">
        <f>M47+C48</f>
        <v>1133.09043110111</v>
      </c>
      <c r="N48" s="47">
        <f>IF(AND(M47&gt;=0,M48&gt;=0),MIN(M47,M48),IF(AND(M47&lt;=0,M48&lt;=0),MAX(M47,M48),0))</f>
        <v>889.429280963826</v>
      </c>
      <c r="O48" s="48" t="n">
        <v>0</v>
      </c>
      <c r="P48" s="49">
        <f>IF(C48&gt;0,IF(AND(M47&gt;=0,M48&gt;=0),ABS(M48-M47),IF(AND(M47&lt;=0,M48&lt;=0),0,MAX(M47,M48))),0)</f>
        <v>243.661150137281</v>
      </c>
      <c r="Q48" s="49">
        <f>IF(C48&gt;0,IF(AND(M47&gt;=0,M48&gt;=0),0,IF(AND(M47&lt;=0,M48&lt;=0),-ABS(M48-M47),MIN(M47,M48))),0)</f>
        <v>0</v>
      </c>
      <c r="R48" s="50">
        <f>IF(C48&lt;0,IF(AND(M47&gt;=0,M48&gt;=0),ABS(M48-M47),IF(AND(M47&lt;=0,M48&lt;=0),0,MAX(M47,M48))),0)</f>
        <v>0</v>
      </c>
      <c r="S48" s="50">
        <f>IF(C48&lt;0,IF(AND(M47&gt;=0,M48&gt;=0),0,IF(AND(M47&lt;=0,M48&lt;=0),-ABS(M48-M47),MIN(M47,M48))),0)</f>
        <v>0</v>
      </c>
    </row>
    <row r="49">
      <c r="B49" s="5" t="inlineStr">
        <is>
          <t>IT</t>
        </is>
      </c>
      <c r="C49" s="51">
        <f>IF(ISNUMBER(G19),G19,0)</f>
        <v>-2.60400746</v>
      </c>
      <c r="M49" s="47">
        <f>M48+C49</f>
        <v>1130.48642364111</v>
      </c>
      <c r="N49" s="47">
        <f>IF(AND(M48&gt;=0,M49&gt;=0),MIN(M48,M49),IF(AND(M48&lt;=0,M49&lt;=0),MAX(M48,M49),0))</f>
        <v>1130.48642364111</v>
      </c>
      <c r="O49" s="48" t="n">
        <v>0</v>
      </c>
      <c r="P49" s="49">
        <f>IF(C49&gt;0,IF(AND(M48&gt;=0,M49&gt;=0),ABS(M49-M48),IF(AND(M48&lt;=0,M49&lt;=0),0,MAX(M48,M49))),0)</f>
        <v>0</v>
      </c>
      <c r="Q49" s="49">
        <f>IF(C49&gt;0,IF(AND(M48&gt;=0,M49&gt;=0),0,IF(AND(M48&lt;=0,M49&lt;=0),-ABS(M49-M48),MIN(M48,M49))),0)</f>
        <v>0</v>
      </c>
      <c r="R49" s="50">
        <f>IF(C49&lt;0,IF(AND(M48&gt;=0,M49&gt;=0),ABS(M49-M48),IF(AND(M48&lt;=0,M49&lt;=0),0,MAX(M48,M49))),0)</f>
        <v>2.60400746000005</v>
      </c>
      <c r="S49" s="50">
        <f>IF(C49&lt;0,IF(AND(M48&gt;=0,M49&gt;=0),0,IF(AND(M48&lt;=0,M49&lt;=0),-ABS(M49-M48),MIN(M48,M49))),0)</f>
        <v>0</v>
      </c>
    </row>
    <row r="50">
      <c r="B50" s="5" t="inlineStr">
        <is>
          <t>Other OPEX</t>
        </is>
      </c>
      <c r="C50" s="51">
        <f>IF(ISNUMBER(G20),G20,0)</f>
        <v>-4.07589122296375</v>
      </c>
      <c r="M50" s="47">
        <f>M49+C50</f>
        <v>1126.41053241814</v>
      </c>
      <c r="N50" s="47">
        <f>IF(AND(M49&gt;=0,M50&gt;=0),MIN(M49,M50),IF(AND(M49&lt;=0,M50&lt;=0),MAX(M49,M50),0))</f>
        <v>1126.41053241814</v>
      </c>
      <c r="O50" s="48" t="n">
        <v>0</v>
      </c>
      <c r="P50" s="49">
        <f>IF(C50&gt;0,IF(AND(M49&gt;=0,M50&gt;=0),ABS(M50-M49),IF(AND(M49&lt;=0,M50&lt;=0),0,MAX(M49,M50))),0)</f>
        <v>0</v>
      </c>
      <c r="Q50" s="49">
        <f>IF(C50&gt;0,IF(AND(M49&gt;=0,M50&gt;=0),0,IF(AND(M49&lt;=0,M50&lt;=0),-ABS(M50-M49),MIN(M49,M50))),0)</f>
        <v>0</v>
      </c>
      <c r="R50" s="50">
        <f>IF(C50&lt;0,IF(AND(M49&gt;=0,M50&gt;=0),ABS(M50-M49),IF(AND(M49&lt;=0,M50&lt;=0),0,MAX(M49,M50))),0)</f>
        <v>4.07589122296372</v>
      </c>
      <c r="S50" s="50">
        <f>IF(C50&lt;0,IF(AND(M49&gt;=0,M50&gt;=0),0,IF(AND(M49&lt;=0,M50&lt;=0),-ABS(M50-M49),MIN(M49,M50))),0)</f>
        <v>0</v>
      </c>
    </row>
    <row r="51">
      <c r="B51" s="11" t="inlineStr">
        <is>
          <t>EBITDA ACT</t>
        </is>
      </c>
      <c r="C51" s="46">
        <f>IF(AND($M$2,$N$2),C22,0)</f>
        <v>1126.41053241814</v>
      </c>
      <c r="M51" s="47">
        <f>C51</f>
        <v>1126.41053241814</v>
      </c>
      <c r="N51" s="47" t="n">
        <v>0</v>
      </c>
      <c r="O51" s="48">
        <f>IF(AND($M$2,$N$2),C51,0)</f>
        <v>1126.41053241814</v>
      </c>
      <c r="P51" s="49" t="n">
        <v>0</v>
      </c>
      <c r="Q51" s="49" t="n">
        <v>0</v>
      </c>
      <c r="R51" s="50" t="n">
        <v>0</v>
      </c>
      <c r="S51" s="50" t="n">
        <v>0</v>
      </c>
    </row>
    <row r="52">
      <c r="B52" s="34" t="inlineStr">
        <is>
          <t>Сверка: CTRL + Σ шагов − ACT</t>
        </is>
      </c>
      <c r="C52" s="52">
        <f>IF(AND($M$2,$N$2),ROUND(C37+SUM(C38:C50)-C51,1),0)</f>
        <v>0</v>
      </c>
    </row>
  </sheetData>
  <mergeCells count="17">
    <mergeCell ref="E28:K28"/>
    <mergeCell ref="B28:D28"/>
    <mergeCell ref="E4:F4"/>
    <mergeCell ref="B30:C30"/>
    <mergeCell ref="E31:K31"/>
    <mergeCell ref="B29:C29"/>
    <mergeCell ref="B33:C33"/>
    <mergeCell ref="J4:J5"/>
    <mergeCell ref="E30:K30"/>
    <mergeCell ref="K4:K5"/>
    <mergeCell ref="E29:K29"/>
    <mergeCell ref="G4:I4"/>
    <mergeCell ref="B32:C32"/>
    <mergeCell ref="B31:C31"/>
    <mergeCell ref="E32:K32"/>
    <mergeCell ref="E33:K33"/>
    <mergeCell ref="C4:D4"/>
  </mergeCells>
  <dataValidations count="1">
    <dataValidation sqref="C2" showDropDown="0" showInputMessage="0" showErrorMessage="1" allowBlank="0" errorTitle="Номер месяца" error="Номер месяца 2026: от 2 до 12 (CTRL = версия месяца − 1)." type="whole" operator="between">
      <formula1>2</formula1>
      <formula2>12</formula2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0" customWidth="1" min="2" max="2"/>
    <col width="13" customWidth="1" min="3" max="3"/>
    <col width="13" customWidth="1" min="4" max="4"/>
    <col width="13" customWidth="1" min="5" max="5"/>
    <col width="10" customWidth="1" min="6" max="6"/>
    <col width="60" customWidth="1" min="7" max="7"/>
    <col width="9" customWidth="1" min="8" max="8"/>
  </cols>
  <sheetData>
    <row r="1">
      <c r="B1" s="1" t="str">
        <f>"AdTech | "&amp;CHOOSE($C$2,"Январь","Февраль","Март","Апрель","Май","Июнь","Июль","Август","Сентябрь","Октябрь","Ноябрь","Декабрь")&amp;" 2026 | полный P&amp;L, факт против прогноза, млн руб."</f>
        <v>AdTech | Октябрь 2026 | полный P&amp;L, факт против прогноза, млн руб.</v>
      </c>
      <c r="M1" s="12" t="inlineStr">
        <is>
          <t>факт есть</t>
        </is>
      </c>
      <c r="N1" s="12" t="inlineStr">
        <is>
          <t>прогноз есть</t>
        </is>
      </c>
    </row>
    <row r="2">
      <c r="B2" s="11" t="inlineStr">
        <is>
          <t>Месяц, №</t>
        </is>
      </c>
      <c r="C2" s="35" t="n">
        <v>10</v>
      </c>
      <c r="D2" s="8" t="str">
        <f>"ACT — версия "&amp;$C$2&amp;" (факт: "&amp;IF($M$2,"загружен","ожидается — загрузите версию "&amp;$C$2&amp;" в «Журнал»")&amp;");  CTRL — версия "&amp;($C$2-1)&amp;" ("&amp;($C$2-1)&amp;"+"&amp;(13-$C$2)&amp;"): "&amp;IF($N$2,"загружен","нет в журнале")</f>
        <v>ACT — версия 10 (факт: ожидается — загрузите версию 10 в «Журнал»);  CTRL — версия 9 (9+3): загружен</v>
      </c>
      <c r="M2" s="12" t="b">
        <f>INDEX(Расчёт!$D$4:$O$4,1,$C$2)</f>
        <v>0</v>
      </c>
      <c r="N2" s="12" t="b">
        <f>INDEX(Расчёт!$Q$4:$AB$4,1,$C$2)</f>
        <v>1</v>
      </c>
    </row>
    <row r="4">
      <c r="C4" s="14" t="inlineStr">
        <is>
          <t>ACT</t>
        </is>
      </c>
      <c r="D4" s="14" t="str">
        <f>"CTRL "&amp;($C$2-1)&amp;"+"&amp;(13-$C$2)</f>
        <v>CTRL 9+3</v>
      </c>
      <c r="E4" s="14" t="inlineStr">
        <is>
          <t>ACT vs CTRL</t>
        </is>
      </c>
      <c r="G4" s="14" t="inlineStr">
        <is>
          <t>Комментарий</t>
        </is>
      </c>
      <c r="H4" s="14" t="inlineStr">
        <is>
          <t>Нужен комм.</t>
        </is>
      </c>
    </row>
    <row r="5">
      <c r="B5" s="53" t="inlineStr">
        <is>
          <t>P&amp;L, млн руб.</t>
        </is>
      </c>
      <c r="C5" s="54" t="str">
        <f>CHOOSE($C$2,"Jan","Feb","Mar","Apr","May","Jun","Jul","Aug","Sep","Oct","Nov","Dec")&amp;" 26"</f>
        <v>Oct 26</v>
      </c>
      <c r="D5" s="54" t="str">
        <f>CHOOSE($C$2,"Jan","Feb","Mar","Apr","May","Jun","Jul","Aug","Sep","Oct","Nov","Dec")&amp;" 26"</f>
        <v>Oct 26</v>
      </c>
      <c r="E5" s="54" t="inlineStr">
        <is>
          <t>ABS</t>
        </is>
      </c>
      <c r="F5" s="54" t="inlineStr">
        <is>
          <t>% к CTRL</t>
        </is>
      </c>
      <c r="G5" s="55" t="n"/>
      <c r="H5" s="55" t="n"/>
    </row>
    <row r="6">
      <c r="A6" t="inlineStr">
        <is>
          <t>Выручка: APP</t>
        </is>
      </c>
      <c r="B6" s="5" t="inlineStr">
        <is>
          <t xml:space="preserve">    APP</t>
        </is>
      </c>
      <c r="C6" s="56" t="str">
        <f>INDEX(Расчёт!$D$6:$O$36,MATCH($A6,Расчёт!$A$6:$A$36,0),$C$2)</f>
        <v/>
      </c>
      <c r="D6" s="56">
        <f>INDEX(Расчёт!$Q$6:$AB$36,MATCH($A6,Расчёт!$A$6:$A$36,0),$C$2)</f>
        <v>560.927053331784</v>
      </c>
      <c r="E6" s="51" t="str">
        <f>IF(AND(ISNUMBER(C6),ISNUMBER(D6)),C6-D6,"")</f>
        <v/>
      </c>
      <c r="F6" s="57" t="str">
        <f>IF(ISNUMBER(E6),IF(D6=0,"",E6/ABS(D6)),"")</f>
        <v/>
      </c>
      <c r="G6" s="37" t="n"/>
      <c r="H6" s="40" t="str">
        <f>IF(ISNUMBER(E6),IF(ABS(E6)&gt;='Как пользоваться'!$E$17,IF(D6=0,"да",IF(ABS(E6)/ABS(D6)&gt;='Как пользоваться'!$E$18,"да","")),""),"")</f>
        <v/>
      </c>
    </row>
    <row r="7">
      <c r="A7" t="inlineStr">
        <is>
          <t>Выручка: MIP</t>
        </is>
      </c>
      <c r="B7" s="5" t="inlineStr">
        <is>
          <t xml:space="preserve">    MIP</t>
        </is>
      </c>
      <c r="C7" s="56" t="str">
        <f>INDEX(Расчёт!$D$6:$O$36,MATCH($A7,Расчёт!$A$6:$A$36,0),$C$2)</f>
        <v/>
      </c>
      <c r="D7" s="56">
        <f>INDEX(Расчёт!$Q$6:$AB$36,MATCH($A7,Расчёт!$A$6:$A$36,0),$C$2)</f>
        <v>0.816164269150495</v>
      </c>
      <c r="E7" s="51" t="str">
        <f>IF(AND(ISNUMBER(C7),ISNUMBER(D7)),C7-D7,"")</f>
        <v/>
      </c>
      <c r="F7" s="57" t="str">
        <f>IF(ISNUMBER(E7),IF(D7=0,"",E7/ABS(D7)),"")</f>
        <v/>
      </c>
      <c r="G7" s="37" t="n"/>
      <c r="H7" s="40" t="str">
        <f>IF(ISNUMBER(E7),IF(ABS(E7)&gt;='Как пользоваться'!$E$17,IF(D7=0,"да",IF(ABS(E7)/ABS(D7)&gt;='Как пользоваться'!$E$18,"да","")),""),"")</f>
        <v/>
      </c>
    </row>
    <row r="8">
      <c r="A8" t="inlineStr">
        <is>
          <t>Выручка: Magnit Market</t>
        </is>
      </c>
      <c r="B8" s="5" t="inlineStr">
        <is>
          <t xml:space="preserve">    Magnit Market</t>
        </is>
      </c>
      <c r="C8" s="56" t="str">
        <f>INDEX(Расчёт!$D$6:$O$36,MATCH($A8,Расчёт!$A$6:$A$36,0),$C$2)</f>
        <v/>
      </c>
      <c r="D8" s="56">
        <f>INDEX(Расчёт!$Q$6:$AB$36,MATCH($A8,Расчёт!$A$6:$A$36,0),$C$2)</f>
        <v>0.449367466666667</v>
      </c>
      <c r="E8" s="51" t="str">
        <f>IF(AND(ISNUMBER(C8),ISNUMBER(D8)),C8-D8,"")</f>
        <v/>
      </c>
      <c r="F8" s="57" t="str">
        <f>IF(ISNUMBER(E8),IF(D8=0,"",E8/ABS(D8)),"")</f>
        <v/>
      </c>
      <c r="G8" s="37" t="n"/>
      <c r="H8" s="40" t="str">
        <f>IF(ISNUMBER(E8),IF(ABS(E8)&gt;='Как пользоваться'!$E$17,IF(D8=0,"да",IF(ABS(E8)/ABS(D8)&gt;='Как пользоваться'!$E$18,"да","")),""),"")</f>
        <v/>
      </c>
    </row>
    <row r="9">
      <c r="A9" t="inlineStr">
        <is>
          <t>Выручка: DMP+ Analitycs</t>
        </is>
      </c>
      <c r="B9" s="5" t="inlineStr">
        <is>
          <t xml:space="preserve">    DMP+ Analitycs</t>
        </is>
      </c>
      <c r="C9" s="56" t="str">
        <f>INDEX(Расчёт!$D$6:$O$36,MATCH($A9,Расчёт!$A$6:$A$36,0),$C$2)</f>
        <v/>
      </c>
      <c r="D9" s="56">
        <f>INDEX(Расчёт!$Q$6:$AB$36,MATCH($A9,Расчёт!$A$6:$A$36,0),$C$2)</f>
        <v>5.00948675733486</v>
      </c>
      <c r="E9" s="51" t="str">
        <f>IF(AND(ISNUMBER(C9),ISNUMBER(D9)),C9-D9,"")</f>
        <v/>
      </c>
      <c r="F9" s="57" t="str">
        <f>IF(ISNUMBER(E9),IF(D9=0,"",E9/ABS(D9)),"")</f>
        <v/>
      </c>
      <c r="G9" s="37" t="n"/>
      <c r="H9" s="40" t="str">
        <f>IF(ISNUMBER(E9),IF(ABS(E9)&gt;='Как пользоваться'!$E$17,IF(D9=0,"да",IF(ABS(E9)/ABS(D9)&gt;='Как пользоваться'!$E$18,"да","")),""),"")</f>
        <v/>
      </c>
    </row>
    <row r="10">
      <c r="A10" t="inlineStr">
        <is>
          <t>Выручка: DMP+Online</t>
        </is>
      </c>
      <c r="B10" s="5" t="inlineStr">
        <is>
          <t xml:space="preserve">    DMP+Online</t>
        </is>
      </c>
      <c r="C10" s="56" t="str">
        <f>INDEX(Расчёт!$D$6:$O$36,MATCH($A10,Расчёт!$A$6:$A$36,0),$C$2)</f>
        <v/>
      </c>
      <c r="D10" s="56">
        <f>INDEX(Расчёт!$Q$6:$AB$36,MATCH($A10,Расчёт!$A$6:$A$36,0),$C$2)</f>
        <v>91.8189533006459</v>
      </c>
      <c r="E10" s="51" t="str">
        <f>IF(AND(ISNUMBER(C10),ISNUMBER(D10)),C10-D10,"")</f>
        <v/>
      </c>
      <c r="F10" s="57" t="str">
        <f>IF(ISNUMBER(E10),IF(D10=0,"",E10/ABS(D10)),"")</f>
        <v/>
      </c>
      <c r="G10" s="37" t="n"/>
      <c r="H10" s="40" t="str">
        <f>IF(ISNUMBER(E10),IF(ABS(E10)&gt;='Как пользоваться'!$E$17,IF(D10=0,"да",IF(ABS(E10)/ABS(D10)&gt;='Как пользоваться'!$E$18,"да","")),""),"")</f>
        <v/>
      </c>
    </row>
    <row r="11">
      <c r="A11" t="inlineStr">
        <is>
          <t>Выручка: Instore digital</t>
        </is>
      </c>
      <c r="B11" s="5" t="inlineStr">
        <is>
          <t xml:space="preserve">    Instore digital</t>
        </is>
      </c>
      <c r="C11" s="56" t="str">
        <f>INDEX(Расчёт!$D$6:$O$36,MATCH($A11,Расчёт!$A$6:$A$36,0),$C$2)</f>
        <v/>
      </c>
      <c r="D11" s="56">
        <f>INDEX(Расчёт!$Q$6:$AB$36,MATCH($A11,Расчёт!$A$6:$A$36,0),$C$2)</f>
        <v>262.907784367151</v>
      </c>
      <c r="E11" s="51" t="str">
        <f>IF(AND(ISNUMBER(C11),ISNUMBER(D11)),C11-D11,"")</f>
        <v/>
      </c>
      <c r="F11" s="57" t="str">
        <f>IF(ISNUMBER(E11),IF(D11=0,"",E11/ABS(D11)),"")</f>
        <v/>
      </c>
      <c r="G11" s="37" t="n"/>
      <c r="H11" s="40" t="str">
        <f>IF(ISNUMBER(E11),IF(ABS(E11)&gt;='Как пользоваться'!$E$17,IF(D11=0,"да",IF(ABS(E11)/ABS(D11)&gt;='Как пользоваться'!$E$18,"да","")),""),"")</f>
        <v/>
      </c>
    </row>
    <row r="12">
      <c r="A12" t="inlineStr">
        <is>
          <t>Выручка: Instore digital_2.0</t>
        </is>
      </c>
      <c r="B12" s="5" t="inlineStr">
        <is>
          <t xml:space="preserve">    Instore digital_2.0</t>
        </is>
      </c>
      <c r="C12" s="56" t="str">
        <f>INDEX(Расчёт!$D$6:$O$36,MATCH($A12,Расчёт!$A$6:$A$36,0),$C$2)</f>
        <v/>
      </c>
      <c r="D12" s="56">
        <f>INDEX(Расчёт!$Q$6:$AB$36,MATCH($A12,Расчёт!$A$6:$A$36,0),$C$2)</f>
        <v>47.0922156328493</v>
      </c>
      <c r="E12" s="51" t="str">
        <f>IF(AND(ISNUMBER(C12),ISNUMBER(D12)),C12-D12,"")</f>
        <v/>
      </c>
      <c r="F12" s="57" t="str">
        <f>IF(ISNUMBER(E12),IF(D12=0,"",E12/ABS(D12)),"")</f>
        <v/>
      </c>
      <c r="G12" s="37" t="n"/>
      <c r="H12" s="40" t="str">
        <f>IF(ISNUMBER(E12),IF(ABS(E12)&gt;='Как пользоваться'!$E$17,IF(D12=0,"да",IF(ABS(E12)/ABS(D12)&gt;='Как пользоваться'!$E$18,"да","")),""),"")</f>
        <v/>
      </c>
    </row>
    <row r="13">
      <c r="A13" t="inlineStr">
        <is>
          <t>Выручка: POSM</t>
        </is>
      </c>
      <c r="B13" s="5" t="inlineStr">
        <is>
          <t xml:space="preserve">    POSM</t>
        </is>
      </c>
      <c r="C13" s="56" t="str">
        <f>INDEX(Расчёт!$D$6:$O$36,MATCH($A13,Расчёт!$A$6:$A$36,0),$C$2)</f>
        <v/>
      </c>
      <c r="D13" s="56">
        <f>INDEX(Расчёт!$Q$6:$AB$36,MATCH($A13,Расчёт!$A$6:$A$36,0),$C$2)</f>
        <v>2.66992091641693</v>
      </c>
      <c r="E13" s="51" t="str">
        <f>IF(AND(ISNUMBER(C13),ISNUMBER(D13)),C13-D13,"")</f>
        <v/>
      </c>
      <c r="F13" s="57" t="str">
        <f>IF(ISNUMBER(E13),IF(D13=0,"",E13/ABS(D13)),"")</f>
        <v/>
      </c>
      <c r="G13" s="37" t="n"/>
      <c r="H13" s="40" t="str">
        <f>IF(ISNUMBER(E13),IF(ABS(E13)&gt;='Как пользоваться'!$E$17,IF(D13=0,"да",IF(ABS(E13)/ABS(D13)&gt;='Как пользоваться'!$E$18,"да","")),""),"")</f>
        <v/>
      </c>
    </row>
    <row r="14">
      <c r="A14" t="inlineStr">
        <is>
          <t>Выручка: Other</t>
        </is>
      </c>
      <c r="B14" s="5" t="inlineStr">
        <is>
          <t xml:space="preserve">    Other</t>
        </is>
      </c>
      <c r="C14" s="56" t="str">
        <f>INDEX(Расчёт!$D$6:$O$36,MATCH($A14,Расчёт!$A$6:$A$36,0),$C$2)</f>
        <v/>
      </c>
      <c r="D14" s="56">
        <f>INDEX(Расчёт!$Q$6:$AB$36,MATCH($A14,Расчёт!$A$6:$A$36,0),$C$2)</f>
        <v>0</v>
      </c>
      <c r="E14" s="51" t="str">
        <f>IF(AND(ISNUMBER(C14),ISNUMBER(D14)),C14-D14,"")</f>
        <v/>
      </c>
      <c r="F14" s="57" t="str">
        <f>IF(ISNUMBER(E14),IF(D14=0,"",E14/ABS(D14)),"")</f>
        <v/>
      </c>
      <c r="G14" s="37" t="n"/>
      <c r="H14" s="40" t="str">
        <f>IF(ISNUMBER(E14),IF(ABS(E14)&gt;='Как пользоваться'!$E$17,IF(D14=0,"да",IF(ABS(E14)/ABS(D14)&gt;='Как пользоваться'!$E$18,"да","")),""),"")</f>
        <v/>
      </c>
    </row>
    <row r="15">
      <c r="A15" t="inlineStr">
        <is>
          <t>Выручка: Кроссформатные пакеты</t>
        </is>
      </c>
      <c r="B15" s="5" t="inlineStr">
        <is>
          <t xml:space="preserve">    Кроссформатные пакеты</t>
        </is>
      </c>
      <c r="C15" s="56" t="str">
        <f>INDEX(Расчёт!$D$6:$O$36,MATCH($A15,Расчёт!$A$6:$A$36,0),$C$2)</f>
        <v/>
      </c>
      <c r="D15" s="56">
        <f>INDEX(Расчёт!$Q$6:$AB$36,MATCH($A15,Расчёт!$A$6:$A$36,0),$C$2)</f>
        <v>0</v>
      </c>
      <c r="E15" s="51" t="str">
        <f>IF(AND(ISNUMBER(C15),ISNUMBER(D15)),C15-D15,"")</f>
        <v/>
      </c>
      <c r="F15" s="57" t="str">
        <f>IF(ISNUMBER(E15),IF(D15=0,"",E15/ABS(D15)),"")</f>
        <v/>
      </c>
      <c r="G15" s="37" t="n"/>
      <c r="H15" s="40" t="str">
        <f>IF(ISNUMBER(E15),IF(ABS(E15)&gt;='Как пользоваться'!$E$17,IF(D15=0,"да",IF(ABS(E15)/ABS(D15)&gt;='Как пользоваться'!$E$18,"да","")),""),"")</f>
        <v/>
      </c>
    </row>
    <row r="16">
      <c r="A16" t="inlineStr">
        <is>
          <t>Gross Revenue</t>
        </is>
      </c>
      <c r="B16" s="58" t="inlineStr">
        <is>
          <t>Gross Revenue</t>
        </is>
      </c>
      <c r="C16" s="59" t="str">
        <f>INDEX(Расчёт!$D$6:$O$36,MATCH($A16,Расчёт!$A$6:$A$36,0),$C$2)</f>
        <v/>
      </c>
      <c r="D16" s="59">
        <f>INDEX(Расчёт!$Q$6:$AB$36,MATCH($A16,Расчёт!$A$6:$A$36,0),$C$2)</f>
        <v>971.690946047959</v>
      </c>
      <c r="E16" s="60" t="str">
        <f>IF(AND(ISNUMBER(C16),ISNUMBER(D16)),C16-D16,"")</f>
        <v/>
      </c>
      <c r="F16" s="61" t="str">
        <f>IF(ISNUMBER(E16),IF(D16=0,"",E16/ABS(D16)),"")</f>
        <v/>
      </c>
      <c r="G16" s="62" t="n"/>
      <c r="H16" s="63" t="str">
        <f>IF(ISNUMBER(E16),IF(ABS(E16)&gt;='Как пользоваться'!$E$17,IF(D16=0,"да",IF(ABS(E16)/ABS(D16)&gt;='Как пользоваться'!$E$18,"да","")),""),"")</f>
        <v/>
      </c>
    </row>
    <row r="17">
      <c r="A17" t="inlineStr">
        <is>
          <t>Direct cost</t>
        </is>
      </c>
      <c r="B17" s="5" t="inlineStr">
        <is>
          <t>Direct cost</t>
        </is>
      </c>
      <c r="C17" s="56" t="str">
        <f>INDEX(Расчёт!$D$6:$O$36,MATCH($A17,Расчёт!$A$6:$A$36,0),$C$2)</f>
        <v/>
      </c>
      <c r="D17" s="56">
        <f>INDEX(Расчёт!$Q$6:$AB$36,MATCH($A17,Расчёт!$A$6:$A$36,0),$C$2)</f>
        <v>-37.708031149277</v>
      </c>
      <c r="E17" s="51" t="str">
        <f>IF(AND(ISNUMBER(C17),ISNUMBER(D17)),C17-D17,"")</f>
        <v/>
      </c>
      <c r="F17" s="57" t="str">
        <f>IF(ISNUMBER(E17),IF(D17=0,"",E17/ABS(D17)),"")</f>
        <v/>
      </c>
      <c r="G17" s="37" t="n"/>
      <c r="H17" s="40" t="str">
        <f>IF(ISNUMBER(E17),IF(ABS(E17)&gt;='Как пользоваться'!$E$17,IF(D17=0,"да",IF(ABS(E17)/ABS(D17)&gt;='Как пользоваться'!$E$18,"да","")),""),"")</f>
        <v/>
      </c>
    </row>
    <row r="18">
      <c r="B18" s="15" t="inlineStr">
        <is>
          <t>Gross Margin</t>
        </is>
      </c>
      <c r="C18" s="64" t="str">
        <f>IF(AND(ISNUMBER(C16),ISNUMBER(C17)),C16+C17,"")</f>
        <v/>
      </c>
      <c r="D18" s="64">
        <f>IF(AND(ISNUMBER(D16),ISNUMBER(D17)),D16+D17,"")</f>
        <v>933.982914898683</v>
      </c>
      <c r="E18" s="65" t="str">
        <f>IF(AND(ISNUMBER(C18),ISNUMBER(D18)),C18-D18,"")</f>
        <v/>
      </c>
      <c r="F18" s="66" t="str">
        <f>IF(ISNUMBER(E18),IF(D18=0,"",E18/ABS(D18)),"")</f>
        <v/>
      </c>
      <c r="G18" s="37" t="n"/>
      <c r="H18" s="67" t="str">
        <f>IF(ISNUMBER(E18),IF(ABS(E18)&gt;='Как пользоваться'!$E$17,IF(D18=0,"да",IF(ABS(E18)/ABS(D18)&gt;='Как пользоваться'!$E$18,"да","")),""),"")</f>
        <v/>
      </c>
    </row>
    <row r="19">
      <c r="B19" s="68" t="inlineStr">
        <is>
          <t>Gross Margin, % GR</t>
        </is>
      </c>
      <c r="C19" s="69" t="str">
        <f>IF(ISNUMBER(C18),IF(C16=0,"",C18/C16),"")</f>
        <v/>
      </c>
      <c r="D19" s="69">
        <f>IF(ISNUMBER(D18),IF(D16=0,"",D18/D16),"")</f>
        <v>0.961193390447197</v>
      </c>
      <c r="E19" s="70" t="str">
        <f>IF(AND(ISNUMBER(C19),ISNUMBER(D19)),C19-D19,"")</f>
        <v/>
      </c>
      <c r="F19" s="71" t="inlineStr">
        <is>
          <t>п.п.</t>
        </is>
      </c>
    </row>
    <row r="20">
      <c r="A20" t="inlineStr">
        <is>
          <t>PEX</t>
        </is>
      </c>
      <c r="B20" s="5" t="inlineStr">
        <is>
          <t>PEX</t>
        </is>
      </c>
      <c r="C20" s="56" t="str">
        <f>INDEX(Расчёт!$D$6:$O$36,MATCH($A20,Расчёт!$A$6:$A$36,0),$C$2)</f>
        <v/>
      </c>
      <c r="D20" s="56">
        <f>INDEX(Расчёт!$Q$6:$AB$36,MATCH($A20,Расчёт!$A$6:$A$36,0),$C$2)</f>
        <v>-89.6943252451799</v>
      </c>
      <c r="E20" s="51" t="str">
        <f>IF(AND(ISNUMBER(C20),ISNUMBER(D20)),C20-D20,"")</f>
        <v/>
      </c>
      <c r="F20" s="57" t="str">
        <f>IF(ISNUMBER(E20),IF(D20=0,"",E20/ABS(D20)),"")</f>
        <v/>
      </c>
      <c r="G20" s="37" t="n"/>
      <c r="H20" s="40" t="str">
        <f>IF(ISNUMBER(E20),IF(ABS(E20)&gt;='Как пользоваться'!$E$17,IF(D20=0,"да",IF(ABS(E20)/ABS(D20)&gt;='Как пользоваться'!$E$18,"да","")),""),"")</f>
        <v/>
      </c>
    </row>
    <row r="21">
      <c r="A21" t="inlineStr">
        <is>
          <t>Other PEX</t>
        </is>
      </c>
      <c r="B21" s="5" t="inlineStr">
        <is>
          <t>Other PEX</t>
        </is>
      </c>
      <c r="C21" s="56" t="str">
        <f>INDEX(Расчёт!$D$6:$O$36,MATCH($A21,Расчёт!$A$6:$A$36,0),$C$2)</f>
        <v/>
      </c>
      <c r="D21" s="56">
        <f>INDEX(Расчёт!$Q$6:$AB$36,MATCH($A21,Расчёт!$A$6:$A$36,0),$C$2)</f>
        <v>-5.80732307423639</v>
      </c>
      <c r="E21" s="51" t="str">
        <f>IF(AND(ISNUMBER(C21),ISNUMBER(D21)),C21-D21,"")</f>
        <v/>
      </c>
      <c r="F21" s="57" t="str">
        <f>IF(ISNUMBER(E21),IF(D21=0,"",E21/ABS(D21)),"")</f>
        <v/>
      </c>
      <c r="G21" s="37" t="n"/>
      <c r="H21" s="40" t="str">
        <f>IF(ISNUMBER(E21),IF(ABS(E21)&gt;='Как пользоваться'!$E$17,IF(D21=0,"да",IF(ABS(E21)/ABS(D21)&gt;='Как пользоваться'!$E$18,"да","")),""),"")</f>
        <v/>
      </c>
    </row>
    <row r="22">
      <c r="A22" t="inlineStr">
        <is>
          <t>Marketing</t>
        </is>
      </c>
      <c r="B22" s="5" t="inlineStr">
        <is>
          <t>Marketing</t>
        </is>
      </c>
      <c r="C22" s="56" t="str">
        <f>INDEX(Расчёт!$D$6:$O$36,MATCH($A22,Расчёт!$A$6:$A$36,0),$C$2)</f>
        <v/>
      </c>
      <c r="D22" s="56">
        <f>INDEX(Расчёт!$Q$6:$AB$36,MATCH($A22,Расчёт!$A$6:$A$36,0),$C$2)</f>
        <v>-101.49894799297</v>
      </c>
      <c r="E22" s="51" t="str">
        <f>IF(AND(ISNUMBER(C22),ISNUMBER(D22)),C22-D22,"")</f>
        <v/>
      </c>
      <c r="F22" s="57" t="str">
        <f>IF(ISNUMBER(E22),IF(D22=0,"",E22/ABS(D22)),"")</f>
        <v/>
      </c>
      <c r="G22" s="37" t="n"/>
      <c r="H22" s="40" t="str">
        <f>IF(ISNUMBER(E22),IF(ABS(E22)&gt;='Как пользоваться'!$E$17,IF(D22=0,"да",IF(ABS(E22)/ABS(D22)&gt;='Как пользоваться'!$E$18,"да","")),""),"")</f>
        <v/>
      </c>
    </row>
    <row r="23">
      <c r="A23" t="inlineStr">
        <is>
          <t>IT</t>
        </is>
      </c>
      <c r="B23" s="5" t="inlineStr">
        <is>
          <t>IT</t>
        </is>
      </c>
      <c r="C23" s="56" t="str">
        <f>INDEX(Расчёт!$D$6:$O$36,MATCH($A23,Расчёт!$A$6:$A$36,0),$C$2)</f>
        <v/>
      </c>
      <c r="D23" s="56">
        <f>INDEX(Расчёт!$Q$6:$AB$36,MATCH($A23,Расчёт!$A$6:$A$36,0),$C$2)</f>
        <v>-1.85798722666667</v>
      </c>
      <c r="E23" s="51" t="str">
        <f>IF(AND(ISNUMBER(C23),ISNUMBER(D23)),C23-D23,"")</f>
        <v/>
      </c>
      <c r="F23" s="57" t="str">
        <f>IF(ISNUMBER(E23),IF(D23=0,"",E23/ABS(D23)),"")</f>
        <v/>
      </c>
      <c r="G23" s="37" t="n"/>
      <c r="H23" s="40" t="str">
        <f>IF(ISNUMBER(E23),IF(ABS(E23)&gt;='Как пользоваться'!$E$17,IF(D23=0,"да",IF(ABS(E23)/ABS(D23)&gt;='Как пользоваться'!$E$18,"да","")),""),"")</f>
        <v/>
      </c>
    </row>
    <row r="24">
      <c r="A24" t="inlineStr">
        <is>
          <t>Other OPEX</t>
        </is>
      </c>
      <c r="B24" s="5" t="inlineStr">
        <is>
          <t>Other OPEX</t>
        </is>
      </c>
      <c r="C24" s="56" t="str">
        <f>INDEX(Расчёт!$D$6:$O$36,MATCH($A24,Расчёт!$A$6:$A$36,0),$C$2)</f>
        <v/>
      </c>
      <c r="D24" s="56">
        <f>INDEX(Расчёт!$Q$6:$AB$36,MATCH($A24,Расчёт!$A$6:$A$36,0),$C$2)</f>
        <v>-5.64965270667597</v>
      </c>
      <c r="E24" s="51" t="str">
        <f>IF(AND(ISNUMBER(C24),ISNUMBER(D24)),C24-D24,"")</f>
        <v/>
      </c>
      <c r="F24" s="57" t="str">
        <f>IF(ISNUMBER(E24),IF(D24=0,"",E24/ABS(D24)),"")</f>
        <v/>
      </c>
      <c r="G24" s="37" t="n"/>
      <c r="H24" s="40" t="str">
        <f>IF(ISNUMBER(E24),IF(ABS(E24)&gt;='Как пользоваться'!$E$17,IF(D24=0,"да",IF(ABS(E24)/ABS(D24)&gt;='Как пользоваться'!$E$18,"да","")),""),"")</f>
        <v/>
      </c>
    </row>
    <row r="25">
      <c r="A25" t="inlineStr">
        <is>
          <t>OPEX</t>
        </is>
      </c>
      <c r="B25" s="58" t="inlineStr">
        <is>
          <t>OPEX</t>
        </is>
      </c>
      <c r="C25" s="59" t="str">
        <f>INDEX(Расчёт!$D$6:$O$36,MATCH($A25,Расчёт!$A$6:$A$36,0),$C$2)</f>
        <v/>
      </c>
      <c r="D25" s="59">
        <f>INDEX(Расчёт!$Q$6:$AB$36,MATCH($A25,Расчёт!$A$6:$A$36,0),$C$2)</f>
        <v>-204.508236245729</v>
      </c>
      <c r="E25" s="60" t="str">
        <f>IF(AND(ISNUMBER(C25),ISNUMBER(D25)),C25-D25,"")</f>
        <v/>
      </c>
      <c r="F25" s="61" t="str">
        <f>IF(ISNUMBER(E25),IF(D25=0,"",E25/ABS(D25)),"")</f>
        <v/>
      </c>
      <c r="G25" s="62" t="n"/>
      <c r="H25" s="63" t="str">
        <f>IF(ISNUMBER(E25),IF(ABS(E25)&gt;='Как пользоваться'!$E$17,IF(D25=0,"да",IF(ABS(E25)/ABS(D25)&gt;='Как пользоваться'!$E$18,"да","")),""),"")</f>
        <v/>
      </c>
    </row>
    <row r="26">
      <c r="A26" t="inlineStr">
        <is>
          <t>EBITDA</t>
        </is>
      </c>
      <c r="B26" s="58" t="inlineStr">
        <is>
          <t>EBITDA</t>
        </is>
      </c>
      <c r="C26" s="59" t="str">
        <f>INDEX(Расчёт!$D$6:$O$36,MATCH($A26,Расчёт!$A$6:$A$36,0),$C$2)</f>
        <v/>
      </c>
      <c r="D26" s="59">
        <f>INDEX(Расчёт!$Q$6:$AB$36,MATCH($A26,Расчёт!$A$6:$A$36,0),$C$2)</f>
        <v>729.474678652954</v>
      </c>
      <c r="E26" s="60" t="str">
        <f>IF(AND(ISNUMBER(C26),ISNUMBER(D26)),C26-D26,"")</f>
        <v/>
      </c>
      <c r="F26" s="61" t="str">
        <f>IF(ISNUMBER(E26),IF(D26=0,"",E26/ABS(D26)),"")</f>
        <v/>
      </c>
      <c r="G26" s="62" t="n"/>
      <c r="H26" s="63" t="str">
        <f>IF(ISNUMBER(E26),IF(ABS(E26)&gt;='Как пользоваться'!$E$17,IF(D26=0,"да",IF(ABS(E26)/ABS(D26)&gt;='Как пользоваться'!$E$18,"да","")),""),"")</f>
        <v/>
      </c>
    </row>
    <row r="27">
      <c r="B27" s="68" t="inlineStr">
        <is>
          <t>EBITDA, % GR</t>
        </is>
      </c>
      <c r="C27" s="69" t="str">
        <f>IF(ISNUMBER(C26),IF(C16=0,"",C26/C16),"")</f>
        <v/>
      </c>
      <c r="D27" s="69">
        <f>IF(ISNUMBER(D26),IF(D16=0,"",D26/D16),"")</f>
        <v>0.750727051250048</v>
      </c>
      <c r="E27" s="70" t="str">
        <f>IF(AND(ISNUMBER(C27),ISNUMBER(D27)),C27-D27,"")</f>
        <v/>
      </c>
      <c r="F27" s="71" t="inlineStr">
        <is>
          <t>п.п.</t>
        </is>
      </c>
    </row>
    <row r="28">
      <c r="A28" t="inlineStr">
        <is>
          <t>Capex</t>
        </is>
      </c>
      <c r="B28" s="5" t="inlineStr">
        <is>
          <t>Capex</t>
        </is>
      </c>
      <c r="C28" s="56" t="str">
        <f>INDEX(Расчёт!$D$6:$O$36,MATCH($A28,Расчёт!$A$6:$A$36,0),$C$2)</f>
        <v/>
      </c>
      <c r="D28" s="56">
        <f>INDEX(Расчёт!$Q$6:$AB$36,MATCH($A28,Расчёт!$A$6:$A$36,0),$C$2)</f>
        <v>-31.6960520599198</v>
      </c>
      <c r="E28" s="51" t="str">
        <f>IF(AND(ISNUMBER(C28),ISNUMBER(D28)),C28-D28,"")</f>
        <v/>
      </c>
      <c r="F28" s="57" t="str">
        <f>IF(ISNUMBER(E28),IF(D28=0,"",E28/ABS(D28)),"")</f>
        <v/>
      </c>
      <c r="G28" s="37" t="n"/>
      <c r="H28" s="40" t="str">
        <f>IF(ISNUMBER(E28),IF(ABS(E28)&gt;='Как пользоваться'!$E$17,IF(D28=0,"да",IF(ABS(E28)/ABS(D28)&gt;='Как пользоваться'!$E$18,"да","")),""),"")</f>
        <v/>
      </c>
    </row>
    <row r="29">
      <c r="A29" t="inlineStr">
        <is>
          <t>FCF</t>
        </is>
      </c>
      <c r="B29" s="58" t="inlineStr">
        <is>
          <t>FCF</t>
        </is>
      </c>
      <c r="C29" s="59" t="str">
        <f>INDEX(Расчёт!$D$6:$O$36,MATCH($A29,Расчёт!$A$6:$A$36,0),$C$2)</f>
        <v/>
      </c>
      <c r="D29" s="59">
        <f>INDEX(Расчёт!$Q$6:$AB$36,MATCH($A29,Расчёт!$A$6:$A$36,0),$C$2)</f>
        <v>697.778626593034</v>
      </c>
      <c r="E29" s="60" t="str">
        <f>IF(AND(ISNUMBER(C29),ISNUMBER(D29)),C29-D29,"")</f>
        <v/>
      </c>
      <c r="F29" s="61" t="str">
        <f>IF(ISNUMBER(E29),IF(D29=0,"",E29/ABS(D29)),"")</f>
        <v/>
      </c>
      <c r="G29" s="62" t="n"/>
      <c r="H29" s="63" t="str">
        <f>IF(ISNUMBER(E29),IF(ABS(E29)&gt;='Как пользоваться'!$E$17,IF(D29=0,"да",IF(ABS(E29)/ABS(D29)&gt;='Как пользоваться'!$E$18,"да","")),""),"")</f>
        <v/>
      </c>
    </row>
    <row r="31">
      <c r="B31" s="4" t="inlineStr">
        <is>
          <t>Показатели КПЭ</t>
        </is>
      </c>
    </row>
    <row r="32">
      <c r="A32" t="inlineStr">
        <is>
          <t>EBITDA для КПЭ</t>
        </is>
      </c>
      <c r="B32" s="5" t="inlineStr">
        <is>
          <t>EBITDA для КПЭ</t>
        </is>
      </c>
      <c r="C32" s="56" t="str">
        <f>INDEX(Расчёт!$D$6:$O$36,MATCH($A32,Расчёт!$A$6:$A$36,0),$C$2)</f>
        <v/>
      </c>
      <c r="D32" s="56">
        <f>INDEX(Расчёт!$Q$6:$AB$36,MATCH($A32,Расчёт!$A$6:$A$36,0),$C$2)</f>
        <v>395.693856735145</v>
      </c>
      <c r="E32" s="51" t="str">
        <f>IF(AND(ISNUMBER(C32),ISNUMBER(D32)),C32-D32,"")</f>
        <v/>
      </c>
      <c r="F32" s="57" t="str">
        <f>IF(ISNUMBER(E32),IF(D32=0,"",E32/ABS(D32)),"")</f>
        <v/>
      </c>
      <c r="G32" s="37" t="n"/>
      <c r="H32" s="40" t="str">
        <f>IF(ISNUMBER(E32),IF(ABS(E32)&gt;='Как пользоваться'!$E$17,IF(D32=0,"да",IF(ABS(E32)/ABS(D32)&gt;='Как пользоваться'!$E$18,"да","")),""),"")</f>
        <v/>
      </c>
    </row>
    <row r="33">
      <c r="A33" t="inlineStr">
        <is>
          <t>Некоммерческие поставщики</t>
        </is>
      </c>
      <c r="B33" s="5" t="inlineStr">
        <is>
          <t>Некоммерческие поставщики</t>
        </is>
      </c>
      <c r="C33" s="56" t="str">
        <f>INDEX(Расчёт!$D$6:$O$36,MATCH($A33,Расчёт!$A$6:$A$36,0),$C$2)</f>
        <v/>
      </c>
      <c r="D33" s="56">
        <f>INDEX(Расчёт!$Q$6:$AB$36,MATCH($A33,Расчёт!$A$6:$A$36,0),$C$2)</f>
        <v>112.034348162092</v>
      </c>
      <c r="E33" s="51" t="str">
        <f>IF(AND(ISNUMBER(C33),ISNUMBER(D33)),C33-D33,"")</f>
        <v/>
      </c>
      <c r="F33" s="57" t="str">
        <f>IF(ISNUMBER(E33),IF(D33=0,"",E33/ABS(D33)),"")</f>
        <v/>
      </c>
      <c r="G33" s="37" t="n"/>
      <c r="H33" s="40" t="str">
        <f>IF(ISNUMBER(E33),IF(ABS(E33)&gt;='Как пользоваться'!$E$17,IF(D33=0,"да",IF(ABS(E33)/ABS(D33)&gt;='Как пользоваться'!$E$18,"да","")),""),"")</f>
        <v/>
      </c>
    </row>
    <row r="35">
      <c r="B35" s="4" t="inlineStr">
        <is>
          <t>Сегменты выручки</t>
        </is>
      </c>
    </row>
    <row r="36">
      <c r="A36" t="inlineStr">
        <is>
          <t>Сегмент: Еком/Поставщики/База</t>
        </is>
      </c>
      <c r="B36" s="5" t="inlineStr">
        <is>
          <t xml:space="preserve">    Еком / Поставщики / База</t>
        </is>
      </c>
      <c r="C36" s="56" t="str">
        <f>INDEX(Расчёт!$D$6:$O$36,MATCH($A36,Расчёт!$A$6:$A$36,0),$C$2)</f>
        <v/>
      </c>
      <c r="D36" s="56">
        <f>INDEX(Расчёт!$Q$6:$AB$36,MATCH($A36,Расчёт!$A$6:$A$36,0),$C$2)</f>
        <v>333.780821917808</v>
      </c>
      <c r="E36" s="51" t="str">
        <f>IF(AND(ISNUMBER(C36),ISNUMBER(D36)),C36-D36,"")</f>
        <v/>
      </c>
      <c r="F36" s="57" t="str">
        <f>IF(ISNUMBER(E36),IF(D36=0,"",E36/ABS(D36)),"")</f>
        <v/>
      </c>
      <c r="G36" s="37" t="n"/>
      <c r="H36" s="40" t="str">
        <f>IF(ISNUMBER(E36),IF(ABS(E36)&gt;='Как пользоваться'!$E$17,IF(D36=0,"да",IF(ABS(E36)/ABS(D36)&gt;='Как пользоваться'!$E$18,"да","")),""),"")</f>
        <v/>
      </c>
    </row>
    <row r="37">
      <c r="A37" t="inlineStr">
        <is>
          <t>Сегмент: Еком/Поставщики/Инкремент</t>
        </is>
      </c>
      <c r="B37" s="5" t="inlineStr">
        <is>
          <t xml:space="preserve">    Еком / Поставщики / Инкремент</t>
        </is>
      </c>
      <c r="C37" s="56" t="str">
        <f>INDEX(Расчёт!$D$6:$O$36,MATCH($A37,Расчёт!$A$6:$A$36,0),$C$2)</f>
        <v/>
      </c>
      <c r="D37" s="56">
        <f>INDEX(Расчёт!$Q$6:$AB$36,MATCH($A37,Расчёт!$A$6:$A$36,0),$C$2)</f>
        <v>166.660153165571</v>
      </c>
      <c r="E37" s="51" t="str">
        <f>IF(AND(ISNUMBER(C37),ISNUMBER(D37)),C37-D37,"")</f>
        <v/>
      </c>
      <c r="F37" s="57" t="str">
        <f>IF(ISNUMBER(E37),IF(D37=0,"",E37/ABS(D37)),"")</f>
        <v/>
      </c>
      <c r="G37" s="37" t="n"/>
      <c r="H37" s="40" t="str">
        <f>IF(ISNUMBER(E37),IF(ABS(E37)&gt;='Как пользоваться'!$E$17,IF(D37=0,"да",IF(ABS(E37)/ABS(D37)&gt;='Как пользоваться'!$E$18,"да","")),""),"")</f>
        <v/>
      </c>
    </row>
    <row r="38">
      <c r="A38" t="inlineStr">
        <is>
          <t>Сегмент: Еком/Не поставщики/База</t>
        </is>
      </c>
      <c r="B38" s="5" t="inlineStr">
        <is>
          <t xml:space="preserve">    Еком / Не поставщики / База</t>
        </is>
      </c>
      <c r="C38" s="56" t="str">
        <f>INDEX(Расчёт!$D$6:$O$36,MATCH($A38,Расчёт!$A$6:$A$36,0),$C$2)</f>
        <v/>
      </c>
      <c r="D38" s="56">
        <f>INDEX(Расчёт!$Q$6:$AB$36,MATCH($A38,Расчёт!$A$6:$A$36,0),$C$2)</f>
        <v>0</v>
      </c>
      <c r="E38" s="51" t="str">
        <f>IF(AND(ISNUMBER(C38),ISNUMBER(D38)),C38-D38,"")</f>
        <v/>
      </c>
      <c r="F38" s="57" t="str">
        <f>IF(ISNUMBER(E38),IF(D38=0,"",E38/ABS(D38)),"")</f>
        <v/>
      </c>
      <c r="G38" s="37" t="n"/>
      <c r="H38" s="40" t="str">
        <f>IF(ISNUMBER(E38),IF(ABS(E38)&gt;='Как пользоваться'!$E$17,IF(D38=0,"да",IF(ABS(E38)/ABS(D38)&gt;='Как пользоваться'!$E$18,"да","")),""),"")</f>
        <v/>
      </c>
    </row>
    <row r="39">
      <c r="A39" t="inlineStr">
        <is>
          <t>Сегмент: Еком/Не поставщики/Инкремент</t>
        </is>
      </c>
      <c r="B39" s="5" t="inlineStr">
        <is>
          <t xml:space="preserve">    Еком / Не поставщики / Инкремент</t>
        </is>
      </c>
      <c r="C39" s="56" t="str">
        <f>INDEX(Расчёт!$D$6:$O$36,MATCH($A39,Расчёт!$A$6:$A$36,0),$C$2)</f>
        <v/>
      </c>
      <c r="D39" s="56">
        <f>INDEX(Расчёт!$Q$6:$AB$36,MATCH($A39,Расчёт!$A$6:$A$36,0),$C$2)</f>
        <v>60.4860782484043</v>
      </c>
      <c r="E39" s="51" t="str">
        <f>IF(AND(ISNUMBER(C39),ISNUMBER(D39)),C39-D39,"")</f>
        <v/>
      </c>
      <c r="F39" s="57" t="str">
        <f>IF(ISNUMBER(E39),IF(D39=0,"",E39/ABS(D39)),"")</f>
        <v/>
      </c>
      <c r="G39" s="37" t="n"/>
      <c r="H39" s="40" t="str">
        <f>IF(ISNUMBER(E39),IF(ABS(E39)&gt;='Как пользоваться'!$E$17,IF(D39=0,"да",IF(ABS(E39)/ABS(D39)&gt;='Как пользоваться'!$E$18,"да","")),""),"")</f>
        <v/>
      </c>
    </row>
    <row r="40">
      <c r="A40" t="inlineStr">
        <is>
          <t>Сегмент: Не еком/Поставщики/База</t>
        </is>
      </c>
      <c r="B40" s="5" t="inlineStr">
        <is>
          <t xml:space="preserve">    Не еком / Поставщики / База</t>
        </is>
      </c>
      <c r="C40" s="56" t="str">
        <f>INDEX(Расчёт!$D$6:$O$36,MATCH($A40,Расчёт!$A$6:$A$36,0),$C$2)</f>
        <v/>
      </c>
      <c r="D40" s="56">
        <f>INDEX(Расчёт!$Q$6:$AB$36,MATCH($A40,Расчёт!$A$6:$A$36,0),$C$2)</f>
        <v>78.8759317345292</v>
      </c>
      <c r="E40" s="51" t="str">
        <f>IF(AND(ISNUMBER(C40),ISNUMBER(D40)),C40-D40,"")</f>
        <v/>
      </c>
      <c r="F40" s="57" t="str">
        <f>IF(ISNUMBER(E40),IF(D40=0,"",E40/ABS(D40)),"")</f>
        <v/>
      </c>
      <c r="G40" s="37" t="n"/>
      <c r="H40" s="40" t="str">
        <f>IF(ISNUMBER(E40),IF(ABS(E40)&gt;='Как пользоваться'!$E$17,IF(D40=0,"да",IF(ABS(E40)/ABS(D40)&gt;='Как пользоваться'!$E$18,"да","")),""),"")</f>
        <v/>
      </c>
    </row>
    <row r="41">
      <c r="A41" t="inlineStr">
        <is>
          <t>Сегмент: Не еком/Поставщики/Инкремент</t>
        </is>
      </c>
      <c r="B41" s="5" t="inlineStr">
        <is>
          <t xml:space="preserve">    Не еком / Поставщики / Инкремент</t>
        </is>
      </c>
      <c r="C41" s="56" t="str">
        <f>INDEX(Расчёт!$D$6:$O$36,MATCH($A41,Расчёт!$A$6:$A$36,0),$C$2)</f>
        <v/>
      </c>
      <c r="D41" s="56">
        <f>INDEX(Расчёт!$Q$6:$AB$36,MATCH($A41,Расчёт!$A$6:$A$36,0),$C$2)</f>
        <v>280.339691067959</v>
      </c>
      <c r="E41" s="51" t="str">
        <f>IF(AND(ISNUMBER(C41),ISNUMBER(D41)),C41-D41,"")</f>
        <v/>
      </c>
      <c r="F41" s="57" t="str">
        <f>IF(ISNUMBER(E41),IF(D41=0,"",E41/ABS(D41)),"")</f>
        <v/>
      </c>
      <c r="G41" s="37" t="n"/>
      <c r="H41" s="40" t="str">
        <f>IF(ISNUMBER(E41),IF(ABS(E41)&gt;='Как пользоваться'!$E$17,IF(D41=0,"да",IF(ABS(E41)/ABS(D41)&gt;='Как пользоваться'!$E$18,"да","")),""),"")</f>
        <v/>
      </c>
    </row>
    <row r="42">
      <c r="A42" t="inlineStr">
        <is>
          <t>Сегмент: Не еком/Не поставщики/База</t>
        </is>
      </c>
      <c r="B42" s="5" t="inlineStr">
        <is>
          <t xml:space="preserve">    Не еком / Не поставщики / База</t>
        </is>
      </c>
      <c r="C42" s="56" t="str">
        <f>INDEX(Расчёт!$D$6:$O$36,MATCH($A42,Расчёт!$A$6:$A$36,0),$C$2)</f>
        <v/>
      </c>
      <c r="D42" s="56">
        <f>INDEX(Расчёт!$Q$6:$AB$36,MATCH($A42,Расчёт!$A$6:$A$36,0),$C$2)</f>
        <v>0</v>
      </c>
      <c r="E42" s="51" t="str">
        <f>IF(AND(ISNUMBER(C42),ISNUMBER(D42)),C42-D42,"")</f>
        <v/>
      </c>
      <c r="F42" s="57" t="str">
        <f>IF(ISNUMBER(E42),IF(D42=0,"",E42/ABS(D42)),"")</f>
        <v/>
      </c>
      <c r="G42" s="37" t="n"/>
      <c r="H42" s="40" t="str">
        <f>IF(ISNUMBER(E42),IF(ABS(E42)&gt;='Как пользоваться'!$E$17,IF(D42=0,"да",IF(ABS(E42)/ABS(D42)&gt;='Как пользоваться'!$E$18,"да","")),""),"")</f>
        <v/>
      </c>
    </row>
    <row r="43">
      <c r="A43" t="inlineStr">
        <is>
          <t>Сегмент: Не еком/Не поставщики/Инкремент</t>
        </is>
      </c>
      <c r="B43" s="5" t="inlineStr">
        <is>
          <t xml:space="preserve">    Не еком / Не поставщики / Инкремент</t>
        </is>
      </c>
      <c r="C43" s="56" t="str">
        <f>INDEX(Расчёт!$D$6:$O$36,MATCH($A43,Расчёт!$A$6:$A$36,0),$C$2)</f>
        <v/>
      </c>
      <c r="D43" s="56">
        <f>INDEX(Расчёт!$Q$6:$AB$36,MATCH($A43,Расчёт!$A$6:$A$36,0),$C$2)</f>
        <v>51.5482699136879</v>
      </c>
      <c r="E43" s="51" t="str">
        <f>IF(AND(ISNUMBER(C43),ISNUMBER(D43)),C43-D43,"")</f>
        <v/>
      </c>
      <c r="F43" s="57" t="str">
        <f>IF(ISNUMBER(E43),IF(D43=0,"",E43/ABS(D43)),"")</f>
        <v/>
      </c>
      <c r="G43" s="37" t="n"/>
      <c r="H43" s="40" t="str">
        <f>IF(ISNUMBER(E43),IF(ABS(E43)&gt;='Как пользоваться'!$E$17,IF(D43=0,"да",IF(ABS(E43)/ABS(D43)&gt;='Как пользоваться'!$E$18,"да","")),""),"")</f>
        <v/>
      </c>
    </row>
    <row r="44">
      <c r="B44" s="15" t="inlineStr">
        <is>
          <t>Итого сегменты</t>
        </is>
      </c>
      <c r="C44" s="64" t="str">
        <f>IF(ISNUMBER(C36),SUM(C36:C43),"")</f>
        <v/>
      </c>
      <c r="D44" s="64">
        <f>IF(ISNUMBER(D36),SUM(D36:D43),"")</f>
        <v>971.690946047959</v>
      </c>
      <c r="E44" s="65" t="str">
        <f>IF(AND(ISNUMBER(C44),ISNUMBER(D44)),C44-D44,"")</f>
        <v/>
      </c>
      <c r="F44" s="66" t="str">
        <f>IF(ISNUMBER(E44),IF(D44=0,"",E44/ABS(D44)),"")</f>
        <v/>
      </c>
    </row>
    <row r="45">
      <c r="B45" s="31" t="inlineStr">
        <is>
          <t>Сверка: сегменты − Gross Revenue</t>
        </is>
      </c>
      <c r="C45" s="72" t="str">
        <f>IF(ISNUMBER(C44),ROUND(C44-C16,1),"")</f>
        <v/>
      </c>
      <c r="D45" s="72">
        <f>IF(ISNUMBER(D44),ROUND(D44-D16,1),"")</f>
        <v>0</v>
      </c>
    </row>
  </sheetData>
  <mergeCells count="1">
    <mergeCell ref="E4:F4"/>
  </mergeCells>
  <dataValidations count="1">
    <dataValidation sqref="C2" showDropDown="0" showInputMessage="0" showErrorMessage="1" allowBlank="0" errorTitle="Номер месяца" error="Номер месяца 2026: от 2 до 12 (CTRL = версия месяца − 1)." type="whole" operator="between">
      <formula1>2</formula1>
      <formula2>12</formula2>
    </dataValidation>
  </dataValidations>
  <pageMargins left="0.75" right="0.75" top="1" bottom="1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5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40" customWidth="1" min="2" max="2"/>
    <col width="13" customWidth="1" min="3" max="3"/>
    <col width="13" customWidth="1" min="4" max="4"/>
    <col width="13" customWidth="1" min="5" max="5"/>
    <col width="10" customWidth="1" min="6" max="6"/>
    <col width="60" customWidth="1" min="7" max="7"/>
    <col width="9" customWidth="1" min="8" max="8"/>
  </cols>
  <sheetData>
    <row r="1">
      <c r="B1" s="1" t="str">
        <f>"AdTech | "&amp;CHOOSE($C$2,"Январь","Февраль","Март","Апрель","Май","Июнь","Июль","Август","Сентябрь","Октябрь","Ноябрь","Декабрь")&amp;" 2026 | полный P&amp;L, факт против прогноза, млн руб."</f>
        <v>AdTech | Сентябрь 2026 | полный P&amp;L, факт против прогноза, млн руб.</v>
      </c>
      <c r="M1" s="12" t="inlineStr">
        <is>
          <t>факт есть</t>
        </is>
      </c>
      <c r="N1" s="12" t="inlineStr">
        <is>
          <t>прогноз есть</t>
        </is>
      </c>
    </row>
    <row r="2">
      <c r="B2" s="11" t="inlineStr">
        <is>
          <t>Месяц, №</t>
        </is>
      </c>
      <c r="C2" s="35" t="n">
        <v>9</v>
      </c>
      <c r="D2" s="8" t="str">
        <f>"ACT — версия "&amp;$C$2&amp;" (факт: "&amp;IF($M$2,"загружен","ожидается — загрузите версию "&amp;$C$2&amp;" в «Журнал»")&amp;");  CTRL — версия "&amp;($C$2-1)&amp;" ("&amp;($C$2-1)&amp;"+"&amp;(13-$C$2)&amp;"): "&amp;IF($N$2,"загружен","нет в журнале")</f>
        <v>ACT — версия 9 (факт: загружен);  CTRL — версия 8 (8+4): загружен</v>
      </c>
      <c r="M2" s="12" t="b">
        <f>INDEX(Расчёт!$D$4:$O$4,1,$C$2)</f>
        <v>1</v>
      </c>
      <c r="N2" s="12" t="b">
        <f>INDEX(Расчёт!$Q$4:$AB$4,1,$C$2)</f>
        <v>1</v>
      </c>
    </row>
    <row r="4">
      <c r="C4" s="14" t="inlineStr">
        <is>
          <t>ACT</t>
        </is>
      </c>
      <c r="D4" s="14" t="str">
        <f>"CTRL "&amp;($C$2-1)&amp;"+"&amp;(13-$C$2)</f>
        <v>CTRL 8+4</v>
      </c>
      <c r="E4" s="14" t="inlineStr">
        <is>
          <t>ACT vs CTRL</t>
        </is>
      </c>
      <c r="G4" s="14" t="inlineStr">
        <is>
          <t>Комментарий</t>
        </is>
      </c>
      <c r="H4" s="14" t="inlineStr">
        <is>
          <t>Нужен комм.</t>
        </is>
      </c>
    </row>
    <row r="5">
      <c r="B5" s="53" t="inlineStr">
        <is>
          <t>P&amp;L, млн руб.</t>
        </is>
      </c>
      <c r="C5" s="54" t="str">
        <f>CHOOSE($C$2,"Jan","Feb","Mar","Apr","May","Jun","Jul","Aug","Sep","Oct","Nov","Dec")&amp;" 26"</f>
        <v>Sep 26</v>
      </c>
      <c r="D5" s="54" t="str">
        <f>CHOOSE($C$2,"Jan","Feb","Mar","Apr","May","Jun","Jul","Aug","Sep","Oct","Nov","Dec")&amp;" 26"</f>
        <v>Sep 26</v>
      </c>
      <c r="E5" s="54" t="inlineStr">
        <is>
          <t>ABS</t>
        </is>
      </c>
      <c r="F5" s="54" t="inlineStr">
        <is>
          <t>% к CTRL</t>
        </is>
      </c>
      <c r="G5" s="55" t="n"/>
      <c r="H5" s="55" t="n"/>
    </row>
    <row r="6">
      <c r="A6" t="inlineStr">
        <is>
          <t>Выручка: APP</t>
        </is>
      </c>
      <c r="B6" s="5" t="inlineStr">
        <is>
          <t xml:space="preserve">    APP</t>
        </is>
      </c>
      <c r="C6" s="56">
        <f>INDEX(Расчёт!$D$6:$O$36,MATCH($A6,Расчёт!$A$6:$A$36,0),$C$2)</f>
        <v>457.989994883026</v>
      </c>
      <c r="D6" s="56">
        <f>INDEX(Расчёт!$Q$6:$AB$36,MATCH($A6,Расчёт!$A$6:$A$36,0),$C$2)</f>
        <v>765.326605574604</v>
      </c>
      <c r="E6" s="51">
        <f>IF(AND(ISNUMBER(C6),ISNUMBER(D6)),C6-D6,"")</f>
        <v>-307.336610691578</v>
      </c>
      <c r="F6" s="57">
        <f>IF(ISNUMBER(E6),IF(D6=0,"",E6/ABS(D6)),"")</f>
        <v>-0.401575756615479</v>
      </c>
      <c r="G6" s="37" t="n"/>
      <c r="H6" s="40" t="str">
        <f>IF(ISNUMBER(E6),IF(ABS(E6)&gt;='Как пользоваться'!$E$17,IF(D6=0,"да",IF(ABS(E6)/ABS(D6)&gt;='Как пользоваться'!$E$18,"да","")),""),"")</f>
        <v>да</v>
      </c>
    </row>
    <row r="7">
      <c r="A7" t="inlineStr">
        <is>
          <t>Выручка: MIP</t>
        </is>
      </c>
      <c r="B7" s="5" t="inlineStr">
        <is>
          <t xml:space="preserve">    MIP</t>
        </is>
      </c>
      <c r="C7" s="56">
        <f>INDEX(Расчёт!$D$6:$O$36,MATCH($A7,Расчёт!$A$6:$A$36,0),$C$2)</f>
        <v>0</v>
      </c>
      <c r="D7" s="56">
        <f>INDEX(Расчёт!$Q$6:$AB$36,MATCH($A7,Расчёт!$A$6:$A$36,0),$C$2)</f>
        <v>0.841669402561448</v>
      </c>
      <c r="E7" s="51">
        <f>IF(AND(ISNUMBER(C7),ISNUMBER(D7)),C7-D7,"")</f>
        <v>-0.841669402561448</v>
      </c>
      <c r="F7" s="57">
        <f>IF(ISNUMBER(E7),IF(D7=0,"",E7/ABS(D7)),"")</f>
        <v>-1</v>
      </c>
      <c r="G7" s="37" t="n"/>
      <c r="H7" s="40" t="str">
        <f>IF(ISNUMBER(E7),IF(ABS(E7)&gt;='Как пользоваться'!$E$17,IF(D7=0,"да",IF(ABS(E7)/ABS(D7)&gt;='Как пользоваться'!$E$18,"да","")),""),"")</f>
        <v/>
      </c>
    </row>
    <row r="8">
      <c r="A8" t="inlineStr">
        <is>
          <t>Выручка: Magnit Market</t>
        </is>
      </c>
      <c r="B8" s="5" t="inlineStr">
        <is>
          <t xml:space="preserve">    Magnit Market</t>
        </is>
      </c>
      <c r="C8" s="56">
        <f>INDEX(Расчёт!$D$6:$O$36,MATCH($A8,Расчёт!$A$6:$A$36,0),$C$2)</f>
        <v>0</v>
      </c>
      <c r="D8" s="56">
        <f>INDEX(Расчёт!$Q$6:$AB$36,MATCH($A8,Расчёт!$A$6:$A$36,0),$C$2)</f>
        <v>0.4634102</v>
      </c>
      <c r="E8" s="51">
        <f>IF(AND(ISNUMBER(C8),ISNUMBER(D8)),C8-D8,"")</f>
        <v>-0.4634102</v>
      </c>
      <c r="F8" s="57">
        <f>IF(ISNUMBER(E8),IF(D8=0,"",E8/ABS(D8)),"")</f>
        <v>-1</v>
      </c>
      <c r="G8" s="37" t="n"/>
      <c r="H8" s="40" t="str">
        <f>IF(ISNUMBER(E8),IF(ABS(E8)&gt;='Как пользоваться'!$E$17,IF(D8=0,"да",IF(ABS(E8)/ABS(D8)&gt;='Как пользоваться'!$E$18,"да","")),""),"")</f>
        <v/>
      </c>
    </row>
    <row r="9">
      <c r="A9" t="inlineStr">
        <is>
          <t>Выручка: DMP+ Analitycs</t>
        </is>
      </c>
      <c r="B9" s="5" t="inlineStr">
        <is>
          <t xml:space="preserve">    DMP+ Analitycs</t>
        </is>
      </c>
      <c r="C9" s="56">
        <f>INDEX(Расчёт!$D$6:$O$36,MATCH($A9,Расчёт!$A$6:$A$36,0),$C$2)</f>
        <v>2.432515413</v>
      </c>
      <c r="D9" s="56">
        <f>INDEX(Расчёт!$Q$6:$AB$36,MATCH($A9,Расчёт!$A$6:$A$36,0),$C$2)</f>
        <v>4.86196879187658</v>
      </c>
      <c r="E9" s="51">
        <f>IF(AND(ISNUMBER(C9),ISNUMBER(D9)),C9-D9,"")</f>
        <v>-2.42945337887658</v>
      </c>
      <c r="F9" s="57">
        <f>IF(ISNUMBER(E9),IF(D9=0,"",E9/ABS(D9)),"")</f>
        <v>-0.49968510347819</v>
      </c>
      <c r="G9" s="37" t="n"/>
      <c r="H9" s="40" t="str">
        <f>IF(ISNUMBER(E9),IF(ABS(E9)&gt;='Как пользоваться'!$E$17,IF(D9=0,"да",IF(ABS(E9)/ABS(D9)&gt;='Как пользоваться'!$E$18,"да","")),""),"")</f>
        <v/>
      </c>
    </row>
    <row r="10">
      <c r="A10" t="inlineStr">
        <is>
          <t>Выручка: DMP+Online</t>
        </is>
      </c>
      <c r="B10" s="5" t="inlineStr">
        <is>
          <t xml:space="preserve">    DMP+Online</t>
        </is>
      </c>
      <c r="C10" s="56">
        <f>INDEX(Расчёт!$D$6:$O$36,MATCH($A10,Расчёт!$A$6:$A$36,0),$C$2)</f>
        <v>201.669700888808</v>
      </c>
      <c r="D10" s="56">
        <f>INDEX(Расчёт!$Q$6:$AB$36,MATCH($A10,Расчёт!$A$6:$A$36,0),$C$2)</f>
        <v>69.4795829801901</v>
      </c>
      <c r="E10" s="51">
        <f>IF(AND(ISNUMBER(C10),ISNUMBER(D10)),C10-D10,"")</f>
        <v>132.190117908618</v>
      </c>
      <c r="F10" s="57">
        <f>IF(ISNUMBER(E10),IF(D10=0,"",E10/ABS(D10)),"")</f>
        <v>1.90257500460686</v>
      </c>
      <c r="G10" s="37" t="n"/>
      <c r="H10" s="40" t="str">
        <f>IF(ISNUMBER(E10),IF(ABS(E10)&gt;='Как пользоваться'!$E$17,IF(D10=0,"да",IF(ABS(E10)/ABS(D10)&gt;='Как пользоваться'!$E$18,"да","")),""),"")</f>
        <v>да</v>
      </c>
    </row>
    <row r="11">
      <c r="A11" t="inlineStr">
        <is>
          <t>Выручка: Instore digital</t>
        </is>
      </c>
      <c r="B11" s="5" t="inlineStr">
        <is>
          <t xml:space="preserve">    Instore digital</t>
        </is>
      </c>
      <c r="C11" s="56">
        <f>INDEX(Расчёт!$D$6:$O$36,MATCH($A11,Расчёт!$A$6:$A$36,0),$C$2)</f>
        <v>421.805564119309</v>
      </c>
      <c r="D11" s="56">
        <f>INDEX(Расчёт!$Q$6:$AB$36,MATCH($A11,Расчёт!$A$6:$A$36,0),$C$2)</f>
        <v>161.377206429419</v>
      </c>
      <c r="E11" s="51">
        <f>IF(AND(ISNUMBER(C11),ISNUMBER(D11)),C11-D11,"")</f>
        <v>260.428357689891</v>
      </c>
      <c r="F11" s="57">
        <f>IF(ISNUMBER(E11),IF(D11=0,"",E11/ABS(D11)),"")</f>
        <v>1.61378650338574</v>
      </c>
      <c r="G11" s="37" t="n"/>
      <c r="H11" s="40" t="str">
        <f>IF(ISNUMBER(E11),IF(ABS(E11)&gt;='Как пользоваться'!$E$17,IF(D11=0,"да",IF(ABS(E11)/ABS(D11)&gt;='Как пользоваться'!$E$18,"да","")),""),"")</f>
        <v>да</v>
      </c>
    </row>
    <row r="12">
      <c r="A12" t="inlineStr">
        <is>
          <t>Выручка: Instore digital_2.0</t>
        </is>
      </c>
      <c r="B12" s="5" t="inlineStr">
        <is>
          <t xml:space="preserve">    Instore digital_2.0</t>
        </is>
      </c>
      <c r="C12" s="56">
        <f>INDEX(Расчёт!$D$6:$O$36,MATCH($A12,Расчёт!$A$6:$A$36,0),$C$2)</f>
        <v>0</v>
      </c>
      <c r="D12" s="56">
        <f>INDEX(Расчёт!$Q$6:$AB$36,MATCH($A12,Расчёт!$A$6:$A$36,0),$C$2)</f>
        <v>121.332202786227</v>
      </c>
      <c r="E12" s="51">
        <f>IF(AND(ISNUMBER(C12),ISNUMBER(D12)),C12-D12,"")</f>
        <v>-121.332202786227</v>
      </c>
      <c r="F12" s="57">
        <f>IF(ISNUMBER(E12),IF(D12=0,"",E12/ABS(D12)),"")</f>
        <v>-1</v>
      </c>
      <c r="G12" s="37" t="n"/>
      <c r="H12" s="40" t="str">
        <f>IF(ISNUMBER(E12),IF(ABS(E12)&gt;='Как пользоваться'!$E$17,IF(D12=0,"да",IF(ABS(E12)/ABS(D12)&gt;='Как пользоваться'!$E$18,"да","")),""),"")</f>
        <v>да</v>
      </c>
    </row>
    <row r="13">
      <c r="A13" t="inlineStr">
        <is>
          <t>Выручка: POSM</t>
        </is>
      </c>
      <c r="B13" s="5" t="inlineStr">
        <is>
          <t xml:space="preserve">    POSM</t>
        </is>
      </c>
      <c r="C13" s="56">
        <f>INDEX(Расчёт!$D$6:$O$36,MATCH($A13,Расчёт!$A$6:$A$36,0),$C$2)</f>
        <v>0.4562211263</v>
      </c>
      <c r="D13" s="56">
        <f>INDEX(Расчёт!$Q$6:$AB$36,MATCH($A13,Расчёт!$A$6:$A$36,0),$C$2)</f>
        <v>2.51784720765027</v>
      </c>
      <c r="E13" s="51">
        <f>IF(AND(ISNUMBER(C13),ISNUMBER(D13)),C13-D13,"")</f>
        <v>-2.06162608135027</v>
      </c>
      <c r="F13" s="57">
        <f>IF(ISNUMBER(E13),IF(D13=0,"",E13/ABS(D13)),"")</f>
        <v>-0.818805078833294</v>
      </c>
      <c r="G13" s="37" t="n"/>
      <c r="H13" s="40" t="str">
        <f>IF(ISNUMBER(E13),IF(ABS(E13)&gt;='Как пользоваться'!$E$17,IF(D13=0,"да",IF(ABS(E13)/ABS(D13)&gt;='Как пользоваться'!$E$18,"да","")),""),"")</f>
        <v/>
      </c>
    </row>
    <row r="14">
      <c r="A14" t="inlineStr">
        <is>
          <t>Выручка: Other</t>
        </is>
      </c>
      <c r="B14" s="5" t="inlineStr">
        <is>
          <t xml:space="preserve">    Other</t>
        </is>
      </c>
      <c r="C14" s="56">
        <f>INDEX(Расчёт!$D$6:$O$36,MATCH($A14,Расчёт!$A$6:$A$36,0),$C$2)</f>
        <v>94.8117974986673</v>
      </c>
      <c r="D14" s="56">
        <f>INDEX(Расчёт!$Q$6:$AB$36,MATCH($A14,Расчёт!$A$6:$A$36,0),$C$2)</f>
        <v>0</v>
      </c>
      <c r="E14" s="51">
        <f>IF(AND(ISNUMBER(C14),ISNUMBER(D14)),C14-D14,"")</f>
        <v>94.8117974986673</v>
      </c>
      <c r="F14" s="57" t="str">
        <f>IF(ISNUMBER(E14),IF(D14=0,"",E14/ABS(D14)),"")</f>
        <v/>
      </c>
      <c r="G14" s="37" t="n"/>
      <c r="H14" s="40" t="str">
        <f>IF(ISNUMBER(E14),IF(ABS(E14)&gt;='Как пользоваться'!$E$17,IF(D14=0,"да",IF(ABS(E14)/ABS(D14)&gt;='Как пользоваться'!$E$18,"да","")),""),"")</f>
        <v>да</v>
      </c>
    </row>
    <row r="15">
      <c r="A15" t="inlineStr">
        <is>
          <t>Выручка: Кроссформатные пакеты</t>
        </is>
      </c>
      <c r="B15" s="5" t="inlineStr">
        <is>
          <t xml:space="preserve">    Кроссформатные пакеты</t>
        </is>
      </c>
      <c r="C15" s="56">
        <f>INDEX(Расчёт!$D$6:$O$36,MATCH($A15,Расчёт!$A$6:$A$36,0),$C$2)</f>
        <v>4.0273691471999</v>
      </c>
      <c r="D15" s="56">
        <f>INDEX(Расчёт!$Q$6:$AB$36,MATCH($A15,Расчёт!$A$6:$A$36,0),$C$2)</f>
        <v>0</v>
      </c>
      <c r="E15" s="51">
        <f>IF(AND(ISNUMBER(C15),ISNUMBER(D15)),C15-D15,"")</f>
        <v>4.0273691471999</v>
      </c>
      <c r="F15" s="57" t="str">
        <f>IF(ISNUMBER(E15),IF(D15=0,"",E15/ABS(D15)),"")</f>
        <v/>
      </c>
      <c r="G15" s="37" t="n"/>
      <c r="H15" s="40" t="str">
        <f>IF(ISNUMBER(E15),IF(ABS(E15)&gt;='Как пользоваться'!$E$17,IF(D15=0,"да",IF(ABS(E15)/ABS(D15)&gt;='Как пользоваться'!$E$18,"да","")),""),"")</f>
        <v/>
      </c>
    </row>
    <row r="16">
      <c r="A16" t="inlineStr">
        <is>
          <t>Gross Revenue</t>
        </is>
      </c>
      <c r="B16" s="58" t="inlineStr">
        <is>
          <t>Gross Revenue</t>
        </is>
      </c>
      <c r="C16" s="59">
        <f>INDEX(Расчёт!$D$6:$O$36,MATCH($A16,Расчёт!$A$6:$A$36,0),$C$2)</f>
        <v>1183.19316312549</v>
      </c>
      <c r="D16" s="59">
        <f>INDEX(Расчёт!$Q$6:$AB$36,MATCH($A16,Расчёт!$A$6:$A$36,0),$C$2)</f>
        <v>1126.20049337253</v>
      </c>
      <c r="E16" s="60">
        <f>IF(AND(ISNUMBER(C16),ISNUMBER(D16)),C16-D16,"")</f>
        <v>56.99266975296</v>
      </c>
      <c r="F16" s="61">
        <f>IF(ISNUMBER(E16),IF(D16=0,"",E16/ABS(D16)),"")</f>
        <v>0.0506061488059638</v>
      </c>
      <c r="G16" s="62" t="n"/>
      <c r="H16" s="63" t="str">
        <f>IF(ISNUMBER(E16),IF(ABS(E16)&gt;='Как пользоваться'!$E$17,IF(D16=0,"да",IF(ABS(E16)/ABS(D16)&gt;='Как пользоваться'!$E$18,"да","")),""),"")</f>
        <v/>
      </c>
    </row>
    <row r="17">
      <c r="A17" t="inlineStr">
        <is>
          <t>Direct cost</t>
        </is>
      </c>
      <c r="B17" s="5" t="inlineStr">
        <is>
          <t>Direct cost</t>
        </is>
      </c>
      <c r="C17" s="56">
        <f>INDEX(Расчёт!$D$6:$O$36,MATCH($A17,Расчёт!$A$6:$A$36,0),$C$2)</f>
        <v>-0.92785226</v>
      </c>
      <c r="D17" s="56">
        <f>INDEX(Расчёт!$Q$6:$AB$36,MATCH($A17,Расчёт!$A$6:$A$36,0),$C$2)</f>
        <v>-34.7658006279034</v>
      </c>
      <c r="E17" s="51">
        <f>IF(AND(ISNUMBER(C17),ISNUMBER(D17)),C17-D17,"")</f>
        <v>33.8379483679034</v>
      </c>
      <c r="F17" s="57">
        <f>IF(ISNUMBER(E17),IF(D17=0,"",E17/ABS(D17)),"")</f>
        <v>0.973311350717024</v>
      </c>
      <c r="G17" s="37" t="n"/>
      <c r="H17" s="40" t="str">
        <f>IF(ISNUMBER(E17),IF(ABS(E17)&gt;='Как пользоваться'!$E$17,IF(D17=0,"да",IF(ABS(E17)/ABS(D17)&gt;='Как пользоваться'!$E$18,"да","")),""),"")</f>
        <v>да</v>
      </c>
    </row>
    <row r="18">
      <c r="B18" s="15" t="inlineStr">
        <is>
          <t>Gross Margin</t>
        </is>
      </c>
      <c r="C18" s="64">
        <f>IF(AND(ISNUMBER(C16),ISNUMBER(C17)),C16+C17,"")</f>
        <v>1182.26531086549</v>
      </c>
      <c r="D18" s="64">
        <f>IF(AND(ISNUMBER(D16),ISNUMBER(D17)),D16+D17,"")</f>
        <v>1091.43469274462</v>
      </c>
      <c r="E18" s="65">
        <f>IF(AND(ISNUMBER(C18),ISNUMBER(D18)),C18-D18,"")</f>
        <v>90.8306181208634</v>
      </c>
      <c r="F18" s="66">
        <f>IF(ISNUMBER(E18),IF(D18=0,"",E18/ABS(D18)),"")</f>
        <v>0.0832213037799377</v>
      </c>
      <c r="G18" s="37" t="n"/>
      <c r="H18" s="67" t="str">
        <f>IF(ISNUMBER(E18),IF(ABS(E18)&gt;='Как пользоваться'!$E$17,IF(D18=0,"да",IF(ABS(E18)/ABS(D18)&gt;='Как пользоваться'!$E$18,"да","")),""),"")</f>
        <v/>
      </c>
    </row>
    <row r="19">
      <c r="B19" s="68" t="inlineStr">
        <is>
          <t>Gross Margin, % GR</t>
        </is>
      </c>
      <c r="C19" s="69">
        <f>IF(ISNUMBER(C18),IF(C16=0,"",C18/C16),"")</f>
        <v>0.999215806607985</v>
      </c>
      <c r="D19" s="69">
        <f>IF(ISNUMBER(D18),IF(D16=0,"",D18/D16),"")</f>
        <v>0.969130007638521</v>
      </c>
      <c r="E19" s="70">
        <f>IF(AND(ISNUMBER(C19),ISNUMBER(D19)),C19-D19,"")</f>
        <v>0.030085798969464</v>
      </c>
      <c r="F19" s="71" t="inlineStr">
        <is>
          <t>п.п.</t>
        </is>
      </c>
    </row>
    <row r="20">
      <c r="A20" t="inlineStr">
        <is>
          <t>PEX</t>
        </is>
      </c>
      <c r="B20" s="5" t="inlineStr">
        <is>
          <t>PEX</t>
        </is>
      </c>
      <c r="C20" s="56">
        <f>INDEX(Расчёт!$D$6:$O$36,MATCH($A20,Расчёт!$A$6:$A$36,0),$C$2)</f>
        <v>62.4564056952867</v>
      </c>
      <c r="D20" s="56">
        <f>INDEX(Расчёт!$Q$6:$AB$36,MATCH($A20,Расчёт!$A$6:$A$36,0),$C$2)</f>
        <v>-111.51028275114</v>
      </c>
      <c r="E20" s="51">
        <f>IF(AND(ISNUMBER(C20),ISNUMBER(D20)),C20-D20,"")</f>
        <v>173.966688446426</v>
      </c>
      <c r="F20" s="57">
        <f>IF(ISNUMBER(E20),IF(D20=0,"",E20/ABS(D20)),"")</f>
        <v>1.56009548316429</v>
      </c>
      <c r="G20" s="37" t="n"/>
      <c r="H20" s="40" t="str">
        <f>IF(ISNUMBER(E20),IF(ABS(E20)&gt;='Как пользоваться'!$E$17,IF(D20=0,"да",IF(ABS(E20)/ABS(D20)&gt;='Как пользоваться'!$E$18,"да","")),""),"")</f>
        <v>да</v>
      </c>
    </row>
    <row r="21">
      <c r="A21" t="inlineStr">
        <is>
          <t>Other PEX</t>
        </is>
      </c>
      <c r="B21" s="5" t="inlineStr">
        <is>
          <t>Other PEX</t>
        </is>
      </c>
      <c r="C21" s="56">
        <f>INDEX(Расчёт!$D$6:$O$36,MATCH($A21,Расчёт!$A$6:$A$36,0),$C$2)</f>
        <v>-0.211306162631583</v>
      </c>
      <c r="D21" s="56">
        <f>INDEX(Расчёт!$Q$6:$AB$36,MATCH($A21,Расчёт!$A$6:$A$36,0),$C$2)</f>
        <v>-4.33863391461458</v>
      </c>
      <c r="E21" s="51">
        <f>IF(AND(ISNUMBER(C21),ISNUMBER(D21)),C21-D21,"")</f>
        <v>4.127327751983</v>
      </c>
      <c r="F21" s="57">
        <f>IF(ISNUMBER(E21),IF(D21=0,"",E21/ABS(D21)),"")</f>
        <v>0.951296613913471</v>
      </c>
      <c r="G21" s="37" t="n"/>
      <c r="H21" s="40" t="str">
        <f>IF(ISNUMBER(E21),IF(ABS(E21)&gt;='Как пользоваться'!$E$17,IF(D21=0,"да",IF(ABS(E21)/ABS(D21)&gt;='Как пользоваться'!$E$18,"да","")),""),"")</f>
        <v/>
      </c>
    </row>
    <row r="22">
      <c r="A22" t="inlineStr">
        <is>
          <t>Marketing</t>
        </is>
      </c>
      <c r="B22" s="5" t="inlineStr">
        <is>
          <t>Marketing</t>
        </is>
      </c>
      <c r="C22" s="56">
        <f>INDEX(Расчёт!$D$6:$O$36,MATCH($A22,Расчёт!$A$6:$A$36,0),$C$2)</f>
        <v>-105.089188</v>
      </c>
      <c r="D22" s="56">
        <f>INDEX(Расчёт!$Q$6:$AB$36,MATCH($A22,Расчёт!$A$6:$A$36,0),$C$2)</f>
        <v>-348.750338137281</v>
      </c>
      <c r="E22" s="51">
        <f>IF(AND(ISNUMBER(C22),ISNUMBER(D22)),C22-D22,"")</f>
        <v>243.661150137281</v>
      </c>
      <c r="F22" s="57">
        <f>IF(ISNUMBER(E22),IF(D22=0,"",E22/ABS(D22)),"")</f>
        <v>0.698669287143076</v>
      </c>
      <c r="G22" s="37" t="n"/>
      <c r="H22" s="40" t="str">
        <f>IF(ISNUMBER(E22),IF(ABS(E22)&gt;='Как пользоваться'!$E$17,IF(D22=0,"да",IF(ABS(E22)/ABS(D22)&gt;='Как пользоваться'!$E$18,"да","")),""),"")</f>
        <v>да</v>
      </c>
    </row>
    <row r="23">
      <c r="A23" t="inlineStr">
        <is>
          <t>IT</t>
        </is>
      </c>
      <c r="B23" s="5" t="inlineStr">
        <is>
          <t>IT</t>
        </is>
      </c>
      <c r="C23" s="56">
        <f>INDEX(Расчёт!$D$6:$O$36,MATCH($A23,Расчёт!$A$6:$A$36,0),$C$2)</f>
        <v>-3.8875147</v>
      </c>
      <c r="D23" s="56">
        <f>INDEX(Расчёт!$Q$6:$AB$36,MATCH($A23,Расчёт!$A$6:$A$36,0),$C$2)</f>
        <v>-1.28350724</v>
      </c>
      <c r="E23" s="51">
        <f>IF(AND(ISNUMBER(C23),ISNUMBER(D23)),C23-D23,"")</f>
        <v>-2.60400746</v>
      </c>
      <c r="F23" s="57">
        <f>IF(ISNUMBER(E23),IF(D23=0,"",E23/ABS(D23)),"")</f>
        <v>-2.02882179301147</v>
      </c>
      <c r="G23" s="37" t="n"/>
      <c r="H23" s="40" t="str">
        <f>IF(ISNUMBER(E23),IF(ABS(E23)&gt;='Как пользоваться'!$E$17,IF(D23=0,"да",IF(ABS(E23)/ABS(D23)&gt;='Как пользоваться'!$E$18,"да","")),""),"")</f>
        <v/>
      </c>
    </row>
    <row r="24">
      <c r="A24" t="inlineStr">
        <is>
          <t>Other OPEX</t>
        </is>
      </c>
      <c r="B24" s="5" t="inlineStr">
        <is>
          <t>Other OPEX</t>
        </is>
      </c>
      <c r="C24" s="56">
        <f>INDEX(Расчёт!$D$6:$O$36,MATCH($A24,Расчёт!$A$6:$A$36,0),$C$2)</f>
        <v>-9.12317528</v>
      </c>
      <c r="D24" s="56">
        <f>INDEX(Расчёт!$Q$6:$AB$36,MATCH($A24,Расчёт!$A$6:$A$36,0),$C$2)</f>
        <v>-5.04728405703625</v>
      </c>
      <c r="E24" s="51">
        <f>IF(AND(ISNUMBER(C24),ISNUMBER(D24)),C24-D24,"")</f>
        <v>-4.07589122296375</v>
      </c>
      <c r="F24" s="57">
        <f>IF(ISNUMBER(E24),IF(D24=0,"",E24/ABS(D24)),"")</f>
        <v>-0.807541477139906</v>
      </c>
      <c r="G24" s="37" t="n"/>
      <c r="H24" s="40" t="str">
        <f>IF(ISNUMBER(E24),IF(ABS(E24)&gt;='Как пользоваться'!$E$17,IF(D24=0,"да",IF(ABS(E24)/ABS(D24)&gt;='Как пользоваться'!$E$18,"да","")),""),"")</f>
        <v/>
      </c>
    </row>
    <row r="25">
      <c r="A25" t="inlineStr">
        <is>
          <t>OPEX</t>
        </is>
      </c>
      <c r="B25" s="58" t="inlineStr">
        <is>
          <t>OPEX</t>
        </is>
      </c>
      <c r="C25" s="59">
        <f>INDEX(Расчёт!$D$6:$O$36,MATCH($A25,Расчёт!$A$6:$A$36,0),$C$2)</f>
        <v>-55.8547784473449</v>
      </c>
      <c r="D25" s="59">
        <f>INDEX(Расчёт!$Q$6:$AB$36,MATCH($A25,Расчёт!$A$6:$A$36,0),$C$2)</f>
        <v>-470.930046100071</v>
      </c>
      <c r="E25" s="60">
        <f>IF(AND(ISNUMBER(C25),ISNUMBER(D25)),C25-D25,"")</f>
        <v>415.075267652726</v>
      </c>
      <c r="F25" s="61">
        <f>IF(ISNUMBER(E25),IF(D25=0,"",E25/ABS(D25)),"")</f>
        <v>0.881394744485095</v>
      </c>
      <c r="G25" s="62" t="n"/>
      <c r="H25" s="63" t="str">
        <f>IF(ISNUMBER(E25),IF(ABS(E25)&gt;='Как пользоваться'!$E$17,IF(D25=0,"да",IF(ABS(E25)/ABS(D25)&gt;='Как пользоваться'!$E$18,"да","")),""),"")</f>
        <v>да</v>
      </c>
    </row>
    <row r="26">
      <c r="A26" t="inlineStr">
        <is>
          <t>EBITDA</t>
        </is>
      </c>
      <c r="B26" s="58" t="inlineStr">
        <is>
          <t>EBITDA</t>
        </is>
      </c>
      <c r="C26" s="59">
        <f>INDEX(Расчёт!$D$6:$O$36,MATCH($A26,Расчёт!$A$6:$A$36,0),$C$2)</f>
        <v>1126.41053241814</v>
      </c>
      <c r="D26" s="59">
        <f>INDEX(Расчёт!$Q$6:$AB$36,MATCH($A26,Расчёт!$A$6:$A$36,0),$C$2)</f>
        <v>620.504646644553</v>
      </c>
      <c r="E26" s="60">
        <f>IF(AND(ISNUMBER(C26),ISNUMBER(D26)),C26-D26,"")</f>
        <v>505.90588577359</v>
      </c>
      <c r="F26" s="61">
        <f>IF(ISNUMBER(E26),IF(D26=0,"",E26/ABS(D26)),"")</f>
        <v>0.815313613700286</v>
      </c>
      <c r="G26" s="62" t="n"/>
      <c r="H26" s="63" t="str">
        <f>IF(ISNUMBER(E26),IF(ABS(E26)&gt;='Как пользоваться'!$E$17,IF(D26=0,"да",IF(ABS(E26)/ABS(D26)&gt;='Как пользоваться'!$E$18,"да","")),""),"")</f>
        <v>да</v>
      </c>
    </row>
    <row r="27">
      <c r="B27" s="68" t="inlineStr">
        <is>
          <t>EBITDA, % GR</t>
        </is>
      </c>
      <c r="C27" s="69">
        <f>IF(ISNUMBER(C26),IF(C16=0,"",C26/C16),"")</f>
        <v>0.952008993563359</v>
      </c>
      <c r="D27" s="69">
        <f>IF(ISNUMBER(D26),IF(D16=0,"",D26/D16),"")</f>
        <v>0.550971741085271</v>
      </c>
      <c r="E27" s="70">
        <f>IF(AND(ISNUMBER(C27),ISNUMBER(D27)),C27-D27,"")</f>
        <v>0.401037252478088</v>
      </c>
      <c r="F27" s="71" t="inlineStr">
        <is>
          <t>п.п.</t>
        </is>
      </c>
    </row>
    <row r="28">
      <c r="A28" t="inlineStr">
        <is>
          <t>Capex</t>
        </is>
      </c>
      <c r="B28" s="5" t="inlineStr">
        <is>
          <t>Capex</t>
        </is>
      </c>
      <c r="C28" s="56">
        <f>INDEX(Расчёт!$D$6:$O$36,MATCH($A28,Расчёт!$A$6:$A$36,0),$C$2)</f>
        <v>-185.76541681</v>
      </c>
      <c r="D28" s="56">
        <f>INDEX(Расчёт!$Q$6:$AB$36,MATCH($A28,Расчёт!$A$6:$A$36,0),$C$2)</f>
        <v>-242.709711716802</v>
      </c>
      <c r="E28" s="51">
        <f>IF(AND(ISNUMBER(C28),ISNUMBER(D28)),C28-D28,"")</f>
        <v>56.9442949068023</v>
      </c>
      <c r="F28" s="57">
        <f>IF(ISNUMBER(E28),IF(D28=0,"",E28/ABS(D28)),"")</f>
        <v>0.234618938418277</v>
      </c>
      <c r="G28" s="37" t="n"/>
      <c r="H28" s="40" t="str">
        <f>IF(ISNUMBER(E28),IF(ABS(E28)&gt;='Как пользоваться'!$E$17,IF(D28=0,"да",IF(ABS(E28)/ABS(D28)&gt;='Как пользоваться'!$E$18,"да","")),""),"")</f>
        <v>да</v>
      </c>
    </row>
    <row r="29">
      <c r="A29" t="inlineStr">
        <is>
          <t>FCF</t>
        </is>
      </c>
      <c r="B29" s="58" t="inlineStr">
        <is>
          <t>FCF</t>
        </is>
      </c>
      <c r="C29" s="59">
        <f>INDEX(Расчёт!$D$6:$O$36,MATCH($A29,Расчёт!$A$6:$A$36,0),$C$2)</f>
        <v>940.645115608143</v>
      </c>
      <c r="D29" s="59">
        <f>INDEX(Расчёт!$Q$6:$AB$36,MATCH($A29,Расчёт!$A$6:$A$36,0),$C$2)</f>
        <v>377.794934927751</v>
      </c>
      <c r="E29" s="60">
        <f>IF(AND(ISNUMBER(C29),ISNUMBER(D29)),C29-D29,"")</f>
        <v>562.850180680392</v>
      </c>
      <c r="F29" s="61">
        <f>IF(ISNUMBER(E29),IF(D29=0,"",E29/ABS(D29)),"")</f>
        <v>1.48982987500357</v>
      </c>
      <c r="G29" s="62" t="n"/>
      <c r="H29" s="63" t="str">
        <f>IF(ISNUMBER(E29),IF(ABS(E29)&gt;='Как пользоваться'!$E$17,IF(D29=0,"да",IF(ABS(E29)/ABS(D29)&gt;='Как пользоваться'!$E$18,"да","")),""),"")</f>
        <v>да</v>
      </c>
    </row>
    <row r="31">
      <c r="B31" s="4" t="inlineStr">
        <is>
          <t>Показатели КПЭ</t>
        </is>
      </c>
    </row>
    <row r="32">
      <c r="A32" t="inlineStr">
        <is>
          <t>EBITDA для КПЭ</t>
        </is>
      </c>
      <c r="B32" s="5" t="inlineStr">
        <is>
          <t>EBITDA для КПЭ</t>
        </is>
      </c>
      <c r="C32" s="56">
        <f>INDEX(Расчёт!$D$6:$O$36,MATCH($A32,Расчёт!$A$6:$A$36,0),$C$2)</f>
        <v>803.396833788006</v>
      </c>
      <c r="D32" s="56">
        <f>INDEX(Расчёт!$Q$6:$AB$36,MATCH($A32,Расчёт!$A$6:$A$36,0),$C$2)</f>
        <v>111.253210695852</v>
      </c>
      <c r="E32" s="51">
        <f>IF(AND(ISNUMBER(C32),ISNUMBER(D32)),C32-D32,"")</f>
        <v>692.143623092154</v>
      </c>
      <c r="F32" s="57">
        <f>IF(ISNUMBER(E32),IF(D32=0,"",E32/ABS(D32)),"")</f>
        <v>6.22133616426012</v>
      </c>
      <c r="G32" s="37" t="n"/>
      <c r="H32" s="40" t="str">
        <f>IF(ISNUMBER(E32),IF(ABS(E32)&gt;='Как пользоваться'!$E$17,IF(D32=0,"да",IF(ABS(E32)/ABS(D32)&gt;='Как пользоваться'!$E$18,"да","")),""),"")</f>
        <v>да</v>
      </c>
    </row>
    <row r="33">
      <c r="A33" t="inlineStr">
        <is>
          <t>Некоммерческие поставщики</t>
        </is>
      </c>
      <c r="B33" s="5" t="inlineStr">
        <is>
          <t>Некоммерческие поставщики</t>
        </is>
      </c>
      <c r="C33" s="56">
        <f>INDEX(Расчёт!$D$6:$O$36,MATCH($A33,Расчёт!$A$6:$A$36,0),$C$2)</f>
        <v>118.037098840277</v>
      </c>
      <c r="D33" s="56">
        <f>INDEX(Расчёт!$Q$6:$AB$36,MATCH($A33,Расчёт!$A$6:$A$36,0),$C$2)</f>
        <v>120.099874582948</v>
      </c>
      <c r="E33" s="51">
        <f>IF(AND(ISNUMBER(C33),ISNUMBER(D33)),C33-D33,"")</f>
        <v>-2.06277574267081</v>
      </c>
      <c r="F33" s="57">
        <f>IF(ISNUMBER(E33),IF(D33=0,"",E33/ABS(D33)),"")</f>
        <v>-0.0171755028873585</v>
      </c>
      <c r="G33" s="37" t="n"/>
      <c r="H33" s="40" t="str">
        <f>IF(ISNUMBER(E33),IF(ABS(E33)&gt;='Как пользоваться'!$E$17,IF(D33=0,"да",IF(ABS(E33)/ABS(D33)&gt;='Как пользоваться'!$E$18,"да","")),""),"")</f>
        <v/>
      </c>
    </row>
    <row r="35">
      <c r="B35" s="4" t="inlineStr">
        <is>
          <t>Сегменты выручки</t>
        </is>
      </c>
    </row>
    <row r="36">
      <c r="A36" t="inlineStr">
        <is>
          <t>Сегмент: Еком/Поставщики/База</t>
        </is>
      </c>
      <c r="B36" s="5" t="inlineStr">
        <is>
          <t xml:space="preserve">    Еком / Поставщики / База</t>
        </is>
      </c>
      <c r="C36" s="56">
        <f>INDEX(Расчёт!$D$6:$O$36,MATCH($A36,Расчёт!$A$6:$A$36,0),$C$2)</f>
        <v>323.013698630137</v>
      </c>
      <c r="D36" s="56">
        <f>INDEX(Расчёт!$Q$6:$AB$36,MATCH($A36,Расчёт!$A$6:$A$36,0),$C$2)</f>
        <v>509.251435948701</v>
      </c>
      <c r="E36" s="51">
        <f>IF(AND(ISNUMBER(C36),ISNUMBER(D36)),C36-D36,"")</f>
        <v>-186.237737318564</v>
      </c>
      <c r="F36" s="57">
        <f>IF(ISNUMBER(E36),IF(D36=0,"",E36/ABS(D36)),"")</f>
        <v>-0.365708811348987</v>
      </c>
      <c r="G36" s="37" t="n"/>
      <c r="H36" s="40" t="str">
        <f>IF(ISNUMBER(E36),IF(ABS(E36)&gt;='Как пользоваться'!$E$17,IF(D36=0,"да",IF(ABS(E36)/ABS(D36)&gt;='Как пользоваться'!$E$18,"да","")),""),"")</f>
        <v>да</v>
      </c>
    </row>
    <row r="37">
      <c r="A37" t="inlineStr">
        <is>
          <t>Сегмент: Еком/Поставщики/Инкремент</t>
        </is>
      </c>
      <c r="B37" s="5" t="inlineStr">
        <is>
          <t xml:space="preserve">    Еком / Поставщики / Инкремент</t>
        </is>
      </c>
      <c r="C37" s="56">
        <f>INDEX(Расчёт!$D$6:$O$36,MATCH($A37,Расчёт!$A$6:$A$36,0),$C$2)</f>
        <v>65.5398762769117</v>
      </c>
      <c r="D37" s="56">
        <f>INDEX(Расчёт!$Q$6:$AB$36,MATCH($A37,Расчёт!$A$6:$A$36,0),$C$2)</f>
        <v>176.720089491627</v>
      </c>
      <c r="E37" s="51">
        <f>IF(AND(ISNUMBER(C37),ISNUMBER(D37)),C37-D37,"")</f>
        <v>-111.180213214715</v>
      </c>
      <c r="F37" s="57">
        <f>IF(ISNUMBER(E37),IF(D37=0,"",E37/ABS(D37)),"")</f>
        <v>-0.629131716346166</v>
      </c>
      <c r="G37" s="37" t="n"/>
      <c r="H37" s="40" t="str">
        <f>IF(ISNUMBER(E37),IF(ABS(E37)&gt;='Как пользоваться'!$E$17,IF(D37=0,"да",IF(ABS(E37)/ABS(D37)&gt;='Как пользоваться'!$E$18,"да","")),""),"")</f>
        <v>да</v>
      </c>
    </row>
    <row r="38">
      <c r="A38" t="inlineStr">
        <is>
          <t>Сегмент: Еком/Не поставщики/База</t>
        </is>
      </c>
      <c r="B38" s="5" t="inlineStr">
        <is>
          <t xml:space="preserve">    Еком / Не поставщики / База</t>
        </is>
      </c>
      <c r="C38" s="56">
        <f>INDEX(Расчёт!$D$6:$O$36,MATCH($A38,Расчёт!$A$6:$A$36,0),$C$2)</f>
        <v>0</v>
      </c>
      <c r="D38" s="56">
        <f>INDEX(Расчёт!$Q$6:$AB$36,MATCH($A38,Расчёт!$A$6:$A$36,0),$C$2)</f>
        <v>0</v>
      </c>
      <c r="E38" s="51">
        <f>IF(AND(ISNUMBER(C38),ISNUMBER(D38)),C38-D38,"")</f>
        <v>0</v>
      </c>
      <c r="F38" s="57" t="str">
        <f>IF(ISNUMBER(E38),IF(D38=0,"",E38/ABS(D38)),"")</f>
        <v/>
      </c>
      <c r="G38" s="37" t="n"/>
      <c r="H38" s="40" t="str">
        <f>IF(ISNUMBER(E38),IF(ABS(E38)&gt;='Как пользоваться'!$E$17,IF(D38=0,"да",IF(ABS(E38)/ABS(D38)&gt;='Как пользоваться'!$E$18,"да","")),""),"")</f>
        <v/>
      </c>
    </row>
    <row r="39">
      <c r="A39" t="inlineStr">
        <is>
          <t>Сегмент: Еком/Не поставщики/Инкремент</t>
        </is>
      </c>
      <c r="B39" s="5" t="inlineStr">
        <is>
          <t xml:space="preserve">    Еком / Не поставщики / Инкремент</t>
        </is>
      </c>
      <c r="C39" s="56">
        <f>INDEX(Расчёт!$D$6:$O$36,MATCH($A39,Расчёт!$A$6:$A$36,0),$C$2)</f>
        <v>69.436419975977</v>
      </c>
      <c r="D39" s="56">
        <f>INDEX(Расчёт!$Q$6:$AB$36,MATCH($A39,Расчёт!$A$6:$A$36,0),$C$2)</f>
        <v>79.3550801342752</v>
      </c>
      <c r="E39" s="51">
        <f>IF(AND(ISNUMBER(C39),ISNUMBER(D39)),C39-D39,"")</f>
        <v>-9.91866015829822</v>
      </c>
      <c r="F39" s="57">
        <f>IF(ISNUMBER(E39),IF(D39=0,"",E39/ABS(D39)),"")</f>
        <v>-0.124990865632232</v>
      </c>
      <c r="G39" s="37" t="n"/>
      <c r="H39" s="40" t="str">
        <f>IF(ISNUMBER(E39),IF(ABS(E39)&gt;='Как пользоваться'!$E$17,IF(D39=0,"да",IF(ABS(E39)/ABS(D39)&gt;='Как пользоваться'!$E$18,"да","")),""),"")</f>
        <v/>
      </c>
    </row>
    <row r="40">
      <c r="A40" t="inlineStr">
        <is>
          <t>Сегмент: Не еком/Поставщики/База</t>
        </is>
      </c>
      <c r="B40" s="5" t="inlineStr">
        <is>
          <t xml:space="preserve">    Не еком / Поставщики / База</t>
        </is>
      </c>
      <c r="C40" s="56">
        <f>INDEX(Расчёт!$D$6:$O$36,MATCH($A40,Расчёт!$A$6:$A$36,0),$C$2)</f>
        <v>244.267191596222</v>
      </c>
      <c r="D40" s="56">
        <f>INDEX(Расчёт!$Q$6:$AB$36,MATCH($A40,Расчёт!$A$6:$A$36,0),$C$2)</f>
        <v>92.4386423176057</v>
      </c>
      <c r="E40" s="51">
        <f>IF(AND(ISNUMBER(C40),ISNUMBER(D40)),C40-D40,"")</f>
        <v>151.828549278616</v>
      </c>
      <c r="F40" s="57">
        <f>IF(ISNUMBER(E40),IF(D40=0,"",E40/ABS(D40)),"")</f>
        <v>1.64247922158955</v>
      </c>
      <c r="G40" s="37" t="n"/>
      <c r="H40" s="40" t="str">
        <f>IF(ISNUMBER(E40),IF(ABS(E40)&gt;='Как пользоваться'!$E$17,IF(D40=0,"да",IF(ABS(E40)/ABS(D40)&gt;='Как пользоваться'!$E$18,"да","")),""),"")</f>
        <v>да</v>
      </c>
    </row>
    <row r="41">
      <c r="A41" t="inlineStr">
        <is>
          <t>Сегмент: Не еком/Поставщики/Инкремент</t>
        </is>
      </c>
      <c r="B41" s="5" t="inlineStr">
        <is>
          <t xml:space="preserve">    Не еком / Поставщики / Инкремент</t>
        </is>
      </c>
      <c r="C41" s="56">
        <f>INDEX(Расчёт!$D$6:$O$36,MATCH($A41,Расчёт!$A$6:$A$36,0),$C$2)</f>
        <v>432.33529778194</v>
      </c>
      <c r="D41" s="56">
        <f>INDEX(Расчёт!$Q$6:$AB$36,MATCH($A41,Расчёт!$A$6:$A$36,0),$C$2)</f>
        <v>227.690451031646</v>
      </c>
      <c r="E41" s="51">
        <f>IF(AND(ISNUMBER(C41),ISNUMBER(D41)),C41-D41,"")</f>
        <v>204.644846750294</v>
      </c>
      <c r="F41" s="57">
        <f>IF(ISNUMBER(E41),IF(D41=0,"",E41/ABS(D41)),"")</f>
        <v>0.898785372083307</v>
      </c>
      <c r="G41" s="37" t="n"/>
      <c r="H41" s="40" t="str">
        <f>IF(ISNUMBER(E41),IF(ABS(E41)&gt;='Как пользоваться'!$E$17,IF(D41=0,"да",IF(ABS(E41)/ABS(D41)&gt;='Как пользоваться'!$E$18,"да","")),""),"")</f>
        <v>да</v>
      </c>
    </row>
    <row r="42">
      <c r="A42" t="inlineStr">
        <is>
          <t>Сегмент: Не еком/Не поставщики/База</t>
        </is>
      </c>
      <c r="B42" s="5" t="inlineStr">
        <is>
          <t xml:space="preserve">    Не еком / Не поставщики / База</t>
        </is>
      </c>
      <c r="C42" s="56">
        <f>INDEX(Расчёт!$D$6:$O$36,MATCH($A42,Расчёт!$A$6:$A$36,0),$C$2)</f>
        <v>0</v>
      </c>
      <c r="D42" s="56">
        <f>INDEX(Расчёт!$Q$6:$AB$36,MATCH($A42,Расчёт!$A$6:$A$36,0),$C$2)</f>
        <v>0</v>
      </c>
      <c r="E42" s="51">
        <f>IF(AND(ISNUMBER(C42),ISNUMBER(D42)),C42-D42,"")</f>
        <v>0</v>
      </c>
      <c r="F42" s="57" t="str">
        <f>IF(ISNUMBER(E42),IF(D42=0,"",E42/ABS(D42)),"")</f>
        <v/>
      </c>
      <c r="G42" s="37" t="n"/>
      <c r="H42" s="40" t="str">
        <f>IF(ISNUMBER(E42),IF(ABS(E42)&gt;='Как пользоваться'!$E$17,IF(D42=0,"да",IF(ABS(E42)/ABS(D42)&gt;='Как пользоваться'!$E$18,"да","")),""),"")</f>
        <v/>
      </c>
    </row>
    <row r="43">
      <c r="A43" t="inlineStr">
        <is>
          <t>Сегмент: Не еком/Не поставщики/Инкремент</t>
        </is>
      </c>
      <c r="B43" s="5" t="inlineStr">
        <is>
          <t xml:space="preserve">    Не еком / Не поставщики / Инкремент</t>
        </is>
      </c>
      <c r="C43" s="56">
        <f>INDEX(Расчёт!$D$6:$O$36,MATCH($A43,Расчёт!$A$6:$A$36,0),$C$2)</f>
        <v>48.6006788643</v>
      </c>
      <c r="D43" s="56">
        <f>INDEX(Расчёт!$Q$6:$AB$36,MATCH($A43,Расчёт!$A$6:$A$36,0),$C$2)</f>
        <v>40.7447944486726</v>
      </c>
      <c r="E43" s="51">
        <f>IF(AND(ISNUMBER(C43),ISNUMBER(D43)),C43-D43,"")</f>
        <v>7.85588441562742</v>
      </c>
      <c r="F43" s="57">
        <f>IF(ISNUMBER(E43),IF(D43=0,"",E43/ABS(D43)),"")</f>
        <v>0.192807069514701</v>
      </c>
      <c r="G43" s="37" t="n"/>
      <c r="H43" s="40" t="str">
        <f>IF(ISNUMBER(E43),IF(ABS(E43)&gt;='Как пользоваться'!$E$17,IF(D43=0,"да",IF(ABS(E43)/ABS(D43)&gt;='Как пользоваться'!$E$18,"да","")),""),"")</f>
        <v/>
      </c>
    </row>
    <row r="44">
      <c r="B44" s="15" t="inlineStr">
        <is>
          <t>Итого сегменты</t>
        </is>
      </c>
      <c r="C44" s="64">
        <f>IF(ISNUMBER(C36),SUM(C36:C43),"")</f>
        <v>1183.19316312549</v>
      </c>
      <c r="D44" s="64">
        <f>IF(ISNUMBER(D36),SUM(D36:D43),"")</f>
        <v>1126.20049337253</v>
      </c>
      <c r="E44" s="65">
        <f>IF(AND(ISNUMBER(C44),ISNUMBER(D44)),C44-D44,"")</f>
        <v>56.9926697529595</v>
      </c>
      <c r="F44" s="66">
        <f>IF(ISNUMBER(E44),IF(D44=0,"",E44/ABS(D44)),"")</f>
        <v>0.0506061488059634</v>
      </c>
    </row>
    <row r="45">
      <c r="B45" s="31" t="inlineStr">
        <is>
          <t>Сверка: сегменты − Gross Revenue</t>
        </is>
      </c>
      <c r="C45" s="72">
        <f>IF(ISNUMBER(C44),ROUND(C44-C16,1),"")</f>
        <v>0</v>
      </c>
      <c r="D45" s="72">
        <f>IF(ISNUMBER(D44),ROUND(D44-D16,1),"")</f>
        <v>0</v>
      </c>
    </row>
  </sheetData>
  <mergeCells count="1">
    <mergeCell ref="E4:F4"/>
  </mergeCells>
  <dataValidations count="1">
    <dataValidation sqref="C2" showDropDown="0" showInputMessage="0" showErrorMessage="1" allowBlank="0" errorTitle="Номер месяца" error="Номер месяца 2026: от 2 до 12 (CTRL = версия месяца − 1)." type="whole" operator="between">
      <formula1>2</formula1>
      <formula2>12</formula2>
    </dataValidation>
  </dataValidations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6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0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70" customWidth="1" min="16" max="16"/>
  </cols>
  <sheetData>
    <row r="1">
      <c r="A1" s="45" t="inlineStr">
        <is>
          <t>ЖУРНАЛ ВЕРСИЙ ПРОГНОЗА AdTech, млн руб.</t>
        </is>
      </c>
    </row>
    <row r="2">
      <c r="A2" s="8" t="inlineStr">
        <is>
          <t>После закрытия месяца: мастер, лист '33 Версии прогноза', A8:O38 → копировать значениями и вставить в первую пустую строку ниже (столбцы A:O). Версия = номер последнего закрытого месяца.</t>
        </is>
      </c>
    </row>
    <row r="4">
      <c r="A4" s="14" t="inlineStr">
        <is>
          <t>Версия</t>
        </is>
      </c>
      <c r="B4" s="14" t="inlineStr">
        <is>
          <t>Строка</t>
        </is>
      </c>
      <c r="C4" s="14" t="inlineStr">
        <is>
          <t>Год</t>
        </is>
      </c>
      <c r="D4" s="14" t="inlineStr">
        <is>
          <t>Янв</t>
        </is>
      </c>
      <c r="E4" s="14" t="inlineStr">
        <is>
          <t>Фев</t>
        </is>
      </c>
      <c r="F4" s="14" t="inlineStr">
        <is>
          <t>Мар</t>
        </is>
      </c>
      <c r="G4" s="14" t="inlineStr">
        <is>
          <t>Апр</t>
        </is>
      </c>
      <c r="H4" s="14" t="inlineStr">
        <is>
          <t>Май</t>
        </is>
      </c>
      <c r="I4" s="14" t="inlineStr">
        <is>
          <t>Июн</t>
        </is>
      </c>
      <c r="J4" s="14" t="inlineStr">
        <is>
          <t>Июл</t>
        </is>
      </c>
      <c r="K4" s="14" t="inlineStr">
        <is>
          <t>Авг</t>
        </is>
      </c>
      <c r="L4" s="14" t="inlineStr">
        <is>
          <t>Сен</t>
        </is>
      </c>
      <c r="M4" s="14" t="inlineStr">
        <is>
          <t>Окт</t>
        </is>
      </c>
      <c r="N4" s="14" t="inlineStr">
        <is>
          <t>Ноя</t>
        </is>
      </c>
      <c r="O4" s="14" t="inlineStr">
        <is>
          <t>Дек</t>
        </is>
      </c>
      <c r="P4" s="14" t="inlineStr">
        <is>
          <t>Источник</t>
        </is>
      </c>
    </row>
    <row r="5">
      <c r="A5" s="73" t="n">
        <v>8</v>
      </c>
      <c r="B5" s="74" t="inlineStr">
        <is>
          <t>Выручка: APP</t>
        </is>
      </c>
      <c r="C5" s="75" t="n">
        <v>6610.763662618807</v>
      </c>
      <c r="D5" s="75" t="n">
        <v>145.257123163493</v>
      </c>
      <c r="E5" s="75" t="n">
        <v>276.423770610191</v>
      </c>
      <c r="F5" s="75" t="n">
        <v>283.961962017823</v>
      </c>
      <c r="G5" s="75" t="n">
        <v>346.977173322405</v>
      </c>
      <c r="H5" s="75" t="n">
        <v>396.686802334435</v>
      </c>
      <c r="I5" s="75" t="n">
        <v>554.375932957834</v>
      </c>
      <c r="J5" s="75" t="n">
        <v>488.01628780881</v>
      </c>
      <c r="K5" s="75" t="n">
        <v>400.67224533153</v>
      </c>
      <c r="L5" s="75" t="n">
        <v>765.3266055746036</v>
      </c>
      <c r="M5" s="75" t="n">
        <v>754.1373238375336</v>
      </c>
      <c r="N5" s="75" t="n">
        <v>899.5505854533899</v>
      </c>
      <c r="O5" s="75" t="n">
        <v>1299.377850206758</v>
      </c>
      <c r="P5" s="8" t="inlineStr">
        <is>
          <t>Мастер Master_AT_Sep_vF, '33 Версии прогноза', журнал A44:O74 — прогноз 8+4</t>
        </is>
      </c>
    </row>
    <row r="6">
      <c r="A6" s="73" t="n">
        <v>8</v>
      </c>
      <c r="B6" s="74" t="inlineStr">
        <is>
          <t>Выручка: MIP</t>
        </is>
      </c>
      <c r="C6" s="75" t="n">
        <v>10.80092166995121</v>
      </c>
      <c r="D6" s="75" t="n">
        <v>0</v>
      </c>
      <c r="E6" s="75" t="n">
        <v>0</v>
      </c>
      <c r="F6" s="75" t="n">
        <v>0</v>
      </c>
      <c r="G6" s="75" t="n">
        <v>5.85313999999978</v>
      </c>
      <c r="H6" s="75" t="n">
        <v>0</v>
      </c>
      <c r="I6" s="75" t="n">
        <v>0.304956631147541</v>
      </c>
      <c r="J6" s="75" t="n">
        <v>0.337695</v>
      </c>
      <c r="K6" s="75" t="n">
        <v>0.173298426229508</v>
      </c>
      <c r="L6" s="75" t="n">
        <v>0.8416694025614481</v>
      </c>
      <c r="M6" s="75" t="n">
        <v>0.9181848027943069</v>
      </c>
      <c r="N6" s="75" t="n">
        <v>1.071215603260025</v>
      </c>
      <c r="O6" s="75" t="n">
        <v>1.300761803958601</v>
      </c>
    </row>
    <row r="7">
      <c r="A7" s="73" t="n">
        <v>8</v>
      </c>
      <c r="B7" s="74" t="inlineStr">
        <is>
          <t>Выручка: Magnit Market</t>
        </is>
      </c>
      <c r="C7" s="75" t="n">
        <v>5.645178799999999</v>
      </c>
      <c r="D7" s="75" t="n">
        <v>0</v>
      </c>
      <c r="E7" s="75" t="n">
        <v>0</v>
      </c>
      <c r="F7" s="75" t="n">
        <v>0</v>
      </c>
      <c r="G7" s="75" t="n">
        <v>0</v>
      </c>
      <c r="H7" s="75" t="n">
        <v>0</v>
      </c>
      <c r="I7" s="75" t="n">
        <v>0</v>
      </c>
      <c r="J7" s="75" t="n">
        <v>3.370256</v>
      </c>
      <c r="K7" s="75" t="n">
        <v>0</v>
      </c>
      <c r="L7" s="75" t="n">
        <v>0.4634102</v>
      </c>
      <c r="M7" s="75" t="n">
        <v>0.5055383999999999</v>
      </c>
      <c r="N7" s="75" t="n">
        <v>0.5897948</v>
      </c>
      <c r="O7" s="75" t="n">
        <v>0.7161794</v>
      </c>
    </row>
    <row r="8">
      <c r="A8" s="73" t="n">
        <v>8</v>
      </c>
      <c r="B8" s="74" t="inlineStr">
        <is>
          <t>Выручка: DMP+ Analitycs</t>
        </is>
      </c>
      <c r="C8" s="75" t="n">
        <v>61.63580824514516</v>
      </c>
      <c r="D8" s="75" t="n">
        <v>4.52785709166667</v>
      </c>
      <c r="E8" s="75" t="n">
        <v>1.50825233606561</v>
      </c>
      <c r="F8" s="75" t="n">
        <v>4.16288404918033</v>
      </c>
      <c r="G8" s="75" t="n">
        <v>5.25004789344262</v>
      </c>
      <c r="H8" s="75" t="n">
        <v>4.09688681147541</v>
      </c>
      <c r="I8" s="75" t="n">
        <v>7.978544967213121</v>
      </c>
      <c r="J8" s="75" t="n">
        <v>5.65462918852459</v>
      </c>
      <c r="K8" s="75" t="n">
        <v>4.5888591110918</v>
      </c>
      <c r="L8" s="75" t="n">
        <v>4.861968791876576</v>
      </c>
      <c r="M8" s="75" t="n">
        <v>5.303965954774446</v>
      </c>
      <c r="N8" s="75" t="n">
        <v>6.187960280570187</v>
      </c>
      <c r="O8" s="75" t="n">
        <v>7.513951769263798</v>
      </c>
    </row>
    <row r="9">
      <c r="A9" s="73" t="n">
        <v>8</v>
      </c>
      <c r="B9" s="74" t="inlineStr">
        <is>
          <t>Выручка: DMP+Online</t>
        </is>
      </c>
      <c r="C9" s="75" t="n">
        <v>871.7844530284242</v>
      </c>
      <c r="D9" s="75" t="n">
        <v>16.9387687250432</v>
      </c>
      <c r="E9" s="75" t="n">
        <v>11.670591777213</v>
      </c>
      <c r="F9" s="75" t="n">
        <v>3.3992407704918</v>
      </c>
      <c r="G9" s="75" t="n">
        <v>25.4823725409836</v>
      </c>
      <c r="H9" s="75" t="n">
        <v>57.6255045621643</v>
      </c>
      <c r="I9" s="75" t="n">
        <v>213.320463671475</v>
      </c>
      <c r="J9" s="75" t="n">
        <v>71.93272193311461</v>
      </c>
      <c r="K9" s="75" t="n">
        <v>130.33319987246</v>
      </c>
      <c r="L9" s="75" t="n">
        <v>69.4795829801901</v>
      </c>
      <c r="M9" s="75" t="n">
        <v>75.79590870566193</v>
      </c>
      <c r="N9" s="75" t="n">
        <v>88.42856015660557</v>
      </c>
      <c r="O9" s="75" t="n">
        <v>107.377537333021</v>
      </c>
    </row>
    <row r="10">
      <c r="A10" s="73" t="n">
        <v>8</v>
      </c>
      <c r="B10" s="74" t="inlineStr">
        <is>
          <t>Выручка: Instore digital</t>
        </is>
      </c>
      <c r="C10" s="75" t="n">
        <v>2036.827014553738</v>
      </c>
      <c r="D10" s="75" t="n">
        <v>27.4816347738525</v>
      </c>
      <c r="E10" s="75" t="n">
        <v>67.48246013101091</v>
      </c>
      <c r="F10" s="75" t="n">
        <v>71.99375692786869</v>
      </c>
      <c r="G10" s="75" t="n">
        <v>46.0638297422951</v>
      </c>
      <c r="H10" s="75" t="n">
        <v>160.218081735936</v>
      </c>
      <c r="I10" s="75" t="n">
        <v>276.0249154781829</v>
      </c>
      <c r="J10" s="75" t="n">
        <v>354.063454288701</v>
      </c>
      <c r="K10" s="75" t="n">
        <v>241.283504458745</v>
      </c>
      <c r="L10" s="75" t="n">
        <v>161.3772064294186</v>
      </c>
      <c r="M10" s="75" t="n">
        <v>176.0478615593657</v>
      </c>
      <c r="N10" s="75" t="n">
        <v>205.38917181926</v>
      </c>
      <c r="O10" s="75" t="n">
        <v>249.4011372091014</v>
      </c>
    </row>
    <row r="11">
      <c r="A11" s="73" t="n">
        <v>8</v>
      </c>
      <c r="B11" s="74" t="inlineStr">
        <is>
          <t>Выручка: Instore digital_2.0</t>
        </is>
      </c>
      <c r="C11" s="75" t="n">
        <v>488.1476793325126</v>
      </c>
      <c r="D11" s="75" t="n">
        <v>0</v>
      </c>
      <c r="E11" s="75" t="n">
        <v>0</v>
      </c>
      <c r="F11" s="75" t="n">
        <v>0</v>
      </c>
      <c r="G11" s="75" t="n">
        <v>0</v>
      </c>
      <c r="H11" s="75" t="n">
        <v>0</v>
      </c>
      <c r="I11" s="75" t="n">
        <v>0</v>
      </c>
      <c r="J11" s="75" t="n">
        <v>0</v>
      </c>
      <c r="K11" s="75" t="n">
        <v>0</v>
      </c>
      <c r="L11" s="75" t="n">
        <v>121.3322027862274</v>
      </c>
      <c r="M11" s="75" t="n">
        <v>122.6703389243891</v>
      </c>
      <c r="N11" s="75" t="n">
        <v>120.0791120724936</v>
      </c>
      <c r="O11" s="75" t="n">
        <v>124.0660255494024</v>
      </c>
    </row>
    <row r="12">
      <c r="A12" s="73" t="n">
        <v>8</v>
      </c>
      <c r="B12" s="74" t="inlineStr">
        <is>
          <t>Выручка: POSM</t>
        </is>
      </c>
      <c r="C12" s="75" t="n">
        <v>87.15561257694041</v>
      </c>
      <c r="D12" s="75" t="n">
        <v>2.39451381551918</v>
      </c>
      <c r="E12" s="75" t="n">
        <v>5.29227011655728</v>
      </c>
      <c r="F12" s="75" t="n">
        <v>41.6470442098361</v>
      </c>
      <c r="G12" s="75" t="n">
        <v>20.196853981476</v>
      </c>
      <c r="H12" s="75" t="n">
        <v>0</v>
      </c>
      <c r="I12" s="75" t="n">
        <v>0</v>
      </c>
      <c r="J12" s="75" t="n">
        <v>4.46646360655737</v>
      </c>
      <c r="K12" s="75" t="n">
        <v>3.08707801639343</v>
      </c>
      <c r="L12" s="75" t="n">
        <v>2.517847207650266</v>
      </c>
      <c r="M12" s="75" t="n">
        <v>2.517847207650266</v>
      </c>
      <c r="N12" s="75" t="n">
        <v>2.517847207650266</v>
      </c>
      <c r="O12" s="75" t="n">
        <v>2.517847207650266</v>
      </c>
    </row>
    <row r="13">
      <c r="A13" s="73" t="n">
        <v>8</v>
      </c>
      <c r="B13" s="74" t="inlineStr">
        <is>
          <t>Выручка: Other</t>
        </is>
      </c>
      <c r="C13" s="75" t="n">
        <v>441.3254213279066</v>
      </c>
      <c r="D13" s="75" t="n">
        <v>0</v>
      </c>
      <c r="E13" s="75" t="n">
        <v>0</v>
      </c>
      <c r="F13" s="75" t="n">
        <v>0</v>
      </c>
      <c r="G13" s="75" t="n">
        <v>0</v>
      </c>
      <c r="H13" s="75" t="n">
        <v>76.11889956065511</v>
      </c>
      <c r="I13" s="75" t="n">
        <v>130.311309877869</v>
      </c>
      <c r="J13" s="75" t="n">
        <v>84.39842260725149</v>
      </c>
      <c r="K13" s="75" t="n">
        <v>150.496789282131</v>
      </c>
      <c r="L13" s="75" t="n">
        <v>0</v>
      </c>
      <c r="M13" s="75" t="n">
        <v>0</v>
      </c>
      <c r="N13" s="75" t="n">
        <v>0</v>
      </c>
      <c r="O13" s="75" t="n">
        <v>0</v>
      </c>
    </row>
    <row r="14">
      <c r="A14" s="73" t="n">
        <v>8</v>
      </c>
      <c r="B14" s="74" t="inlineStr">
        <is>
          <t>Выручка: Кроссформатные пакеты</t>
        </is>
      </c>
      <c r="C14" s="75" t="n">
        <v>301.3005966424586</v>
      </c>
      <c r="D14" s="75" t="n">
        <v>82.6587233054094</v>
      </c>
      <c r="E14" s="75" t="n">
        <v>76.69447954360659</v>
      </c>
      <c r="F14" s="75" t="n">
        <v>28.4479276173771</v>
      </c>
      <c r="G14" s="75" t="n">
        <v>5.36409313163936</v>
      </c>
      <c r="H14" s="75" t="n">
        <v>4.59924947540984</v>
      </c>
      <c r="I14" s="75" t="n">
        <v>16.99493452</v>
      </c>
      <c r="J14" s="75" t="n">
        <v>53.0656824155738</v>
      </c>
      <c r="K14" s="75" t="n">
        <v>33.4755066334425</v>
      </c>
      <c r="L14" s="75" t="n">
        <v>0</v>
      </c>
      <c r="M14" s="75" t="n">
        <v>0</v>
      </c>
      <c r="N14" s="75" t="n">
        <v>0</v>
      </c>
      <c r="O14" s="75" t="n">
        <v>0</v>
      </c>
    </row>
    <row r="15">
      <c r="A15" s="73" t="n">
        <v>8</v>
      </c>
      <c r="B15" s="74" t="inlineStr">
        <is>
          <t>Gross Revenue</t>
        </is>
      </c>
      <c r="C15" s="75" t="n">
        <v>10915.38634879588</v>
      </c>
      <c r="D15" s="75" t="n">
        <v>279.258620874984</v>
      </c>
      <c r="E15" s="75" t="n">
        <v>439.0718245146443</v>
      </c>
      <c r="F15" s="75" t="n">
        <v>433.612815592577</v>
      </c>
      <c r="G15" s="75" t="n">
        <v>455.1875106122415</v>
      </c>
      <c r="H15" s="75" t="n">
        <v>699.3454244800757</v>
      </c>
      <c r="I15" s="75" t="n">
        <v>1199.311058103722</v>
      </c>
      <c r="J15" s="75" t="n">
        <v>1065.305612848533</v>
      </c>
      <c r="K15" s="75" t="n">
        <v>964.1104811320232</v>
      </c>
      <c r="L15" s="75" t="n">
        <v>1126.200493372528</v>
      </c>
      <c r="M15" s="75" t="n">
        <v>1137.896969392169</v>
      </c>
      <c r="N15" s="75" t="n">
        <v>1323.814247393229</v>
      </c>
      <c r="O15" s="75" t="n">
        <v>1792.271290479156</v>
      </c>
    </row>
    <row r="16">
      <c r="A16" s="73" t="n">
        <v>8</v>
      </c>
      <c r="B16" s="74" t="inlineStr">
        <is>
          <t>Direct cost</t>
        </is>
      </c>
      <c r="C16" s="75" t="n">
        <v>-303.2245539321144</v>
      </c>
      <c r="D16" s="75" t="n">
        <v>19.58417776</v>
      </c>
      <c r="E16" s="75" t="n">
        <v>-12.45864877</v>
      </c>
      <c r="F16" s="75" t="n">
        <v>-37.44831378</v>
      </c>
      <c r="G16" s="75" t="n">
        <v>0.09576141999999993</v>
      </c>
      <c r="H16" s="75" t="n">
        <v>-0.103219</v>
      </c>
      <c r="I16" s="75" t="n">
        <v>-83.55652685</v>
      </c>
      <c r="J16" s="75" t="n">
        <v>-26.57152036</v>
      </c>
      <c r="K16" s="75" t="n">
        <v>-4.36537705</v>
      </c>
      <c r="L16" s="75" t="n">
        <v>-34.76580062790342</v>
      </c>
      <c r="M16" s="75" t="n">
        <v>-38.03639209082095</v>
      </c>
      <c r="N16" s="75" t="n">
        <v>-39.13340584414695</v>
      </c>
      <c r="O16" s="75" t="n">
        <v>-46.46528873924308</v>
      </c>
    </row>
    <row r="17">
      <c r="A17" s="73" t="n">
        <v>8</v>
      </c>
      <c r="B17" s="74" t="inlineStr">
        <is>
          <t>PEX</t>
        </is>
      </c>
      <c r="C17" s="75" t="n">
        <v>-1261.860885202018</v>
      </c>
      <c r="D17" s="75" t="n">
        <v>-89.79414117176206</v>
      </c>
      <c r="E17" s="75" t="n">
        <v>-91.05581404346746</v>
      </c>
      <c r="F17" s="75" t="n">
        <v>-91.79054847724878</v>
      </c>
      <c r="G17" s="75" t="n">
        <v>-102.5217923807257</v>
      </c>
      <c r="H17" s="75" t="n">
        <v>-106.1266098708351</v>
      </c>
      <c r="I17" s="75" t="n">
        <v>-109.2490030885301</v>
      </c>
      <c r="J17" s="75" t="n">
        <v>-113.9771033923283</v>
      </c>
      <c r="K17" s="75" t="n">
        <v>-111.3047417725611</v>
      </c>
      <c r="L17" s="75" t="n">
        <v>-111.5102827511398</v>
      </c>
      <c r="M17" s="75" t="n">
        <v>-111.5102827511398</v>
      </c>
      <c r="N17" s="75" t="n">
        <v>-111.5102827511398</v>
      </c>
      <c r="O17" s="75" t="n">
        <v>-111.5102827511398</v>
      </c>
    </row>
    <row r="18">
      <c r="A18" s="73" t="n">
        <v>8</v>
      </c>
      <c r="B18" s="74" t="inlineStr">
        <is>
          <t>Other PEX</t>
        </is>
      </c>
      <c r="C18" s="75" t="n">
        <v>-41.64190489632485</v>
      </c>
      <c r="D18" s="75" t="n">
        <v>-6.095354879999999</v>
      </c>
      <c r="E18" s="75" t="n">
        <v>-3.930295659426838</v>
      </c>
      <c r="F18" s="75" t="n">
        <v>-4.512458402951454</v>
      </c>
      <c r="G18" s="75" t="n">
        <v>-0.968213230093187</v>
      </c>
      <c r="H18" s="75" t="n">
        <v>-6.764981754196137</v>
      </c>
      <c r="I18" s="75" t="n">
        <v>-1.745511307365466</v>
      </c>
      <c r="J18" s="75" t="n">
        <v>2.2644599300332</v>
      </c>
      <c r="K18" s="75" t="n">
        <v>-3.169988265700941</v>
      </c>
      <c r="L18" s="75" t="n">
        <v>-4.338633914614581</v>
      </c>
      <c r="M18" s="75" t="n">
        <v>-4.272655524947914</v>
      </c>
      <c r="N18" s="75" t="n">
        <v>-4.142931662061526</v>
      </c>
      <c r="O18" s="75" t="n">
        <v>-3.965340224999997</v>
      </c>
    </row>
    <row r="19">
      <c r="A19" s="73" t="n">
        <v>8</v>
      </c>
      <c r="B19" s="74" t="inlineStr">
        <is>
          <t>Marketing</t>
        </is>
      </c>
      <c r="C19" s="75" t="n">
        <v>-1125.287778750805</v>
      </c>
      <c r="D19" s="75" t="n">
        <v>-28.52889409</v>
      </c>
      <c r="E19" s="75" t="n">
        <v>-16.82913428</v>
      </c>
      <c r="F19" s="75" t="n">
        <v>-27.05948898</v>
      </c>
      <c r="G19" s="75" t="n">
        <v>-36.08107284000001</v>
      </c>
      <c r="H19" s="75" t="n">
        <v>-43.76846497</v>
      </c>
      <c r="I19" s="75" t="n">
        <v>-106.72376919</v>
      </c>
      <c r="J19" s="75" t="n">
        <v>-120.26579917</v>
      </c>
      <c r="K19" s="75" t="n">
        <v>-82.79719141</v>
      </c>
      <c r="L19" s="75" t="n">
        <v>-348.7503381372806</v>
      </c>
      <c r="M19" s="75" t="n">
        <v>-104.6528311930226</v>
      </c>
      <c r="N19" s="75" t="n">
        <v>-98.20793697621149</v>
      </c>
      <c r="O19" s="75" t="n">
        <v>-111.6228575142901</v>
      </c>
    </row>
    <row r="20">
      <c r="A20" s="73" t="n">
        <v>8</v>
      </c>
      <c r="B20" s="74" t="inlineStr">
        <is>
          <t>IT</t>
        </is>
      </c>
      <c r="C20" s="75" t="n">
        <v>-13.83710678</v>
      </c>
      <c r="D20" s="75" t="n">
        <v>-0.15585397</v>
      </c>
      <c r="E20" s="75" t="n">
        <v>-1.63381665</v>
      </c>
      <c r="F20" s="75" t="n">
        <v>-0.20311578</v>
      </c>
      <c r="G20" s="75" t="n">
        <v>-1.37120632</v>
      </c>
      <c r="H20" s="75" t="n">
        <v>-1.48856338</v>
      </c>
      <c r="I20" s="75" t="n">
        <v>-2.16407474</v>
      </c>
      <c r="J20" s="75" t="n">
        <v>-0.7221537499999998</v>
      </c>
      <c r="K20" s="75" t="n">
        <v>-0.96429323</v>
      </c>
      <c r="L20" s="75" t="n">
        <v>-1.28350724</v>
      </c>
      <c r="M20" s="75" t="n">
        <v>-1.28350724</v>
      </c>
      <c r="N20" s="75" t="n">
        <v>-1.28350724</v>
      </c>
      <c r="O20" s="75" t="n">
        <v>-1.28350724</v>
      </c>
    </row>
    <row r="21">
      <c r="A21" s="73" t="n">
        <v>8</v>
      </c>
      <c r="B21" s="74" t="inlineStr">
        <is>
          <t>Other OPEX</t>
        </is>
      </c>
      <c r="C21" s="75" t="n">
        <v>-49.48768756914615</v>
      </c>
      <c r="D21" s="75" t="n">
        <v>-0.7644650100000001</v>
      </c>
      <c r="E21" s="75" t="n">
        <v>-0.86672039</v>
      </c>
      <c r="F21" s="75" t="n">
        <v>-0.7390047199999999</v>
      </c>
      <c r="G21" s="75" t="n">
        <v>-0.7035495500000001</v>
      </c>
      <c r="H21" s="75" t="n">
        <v>-0.83077368</v>
      </c>
      <c r="I21" s="75" t="n">
        <v>-11.52913341</v>
      </c>
      <c r="J21" s="75" t="n">
        <v>-4.56588678</v>
      </c>
      <c r="K21" s="75" t="n">
        <v>-6.339050920000001</v>
      </c>
      <c r="L21" s="75" t="n">
        <v>-5.04728405703625</v>
      </c>
      <c r="M21" s="75" t="n">
        <v>-5.086833899412203</v>
      </c>
      <c r="N21" s="75" t="n">
        <v>-5.71548470223184</v>
      </c>
      <c r="O21" s="75" t="n">
        <v>-7.299500450465856</v>
      </c>
    </row>
    <row r="22">
      <c r="A22" s="73" t="n">
        <v>8</v>
      </c>
      <c r="B22" s="74" t="inlineStr">
        <is>
          <t>OPEX</t>
        </is>
      </c>
      <c r="C22" s="75" t="n">
        <v>-2492.115363198294</v>
      </c>
      <c r="D22" s="75" t="n">
        <v>-125.3387091217621</v>
      </c>
      <c r="E22" s="75" t="n">
        <v>-114.3157810228943</v>
      </c>
      <c r="F22" s="75" t="n">
        <v>-124.3046163602002</v>
      </c>
      <c r="G22" s="75" t="n">
        <v>-141.6458343208189</v>
      </c>
      <c r="H22" s="75" t="n">
        <v>-158.9793936550312</v>
      </c>
      <c r="I22" s="75" t="n">
        <v>-231.4114917358956</v>
      </c>
      <c r="J22" s="75" t="n">
        <v>-237.2664831622952</v>
      </c>
      <c r="K22" s="75" t="n">
        <v>-204.575265598262</v>
      </c>
      <c r="L22" s="75" t="n">
        <v>-470.9300461000711</v>
      </c>
      <c r="M22" s="75" t="n">
        <v>-226.8061106085225</v>
      </c>
      <c r="N22" s="75" t="n">
        <v>-220.8601433316447</v>
      </c>
      <c r="O22" s="75" t="n">
        <v>-235.6814881808958</v>
      </c>
    </row>
    <row r="23">
      <c r="A23" s="73" t="n">
        <v>8</v>
      </c>
      <c r="B23" s="74" t="inlineStr">
        <is>
          <t>EBITDA</t>
        </is>
      </c>
      <c r="C23" s="75" t="n">
        <v>8120.046431665474</v>
      </c>
      <c r="D23" s="75" t="n">
        <v>173.5040895132219</v>
      </c>
      <c r="E23" s="75" t="n">
        <v>312.29739472175</v>
      </c>
      <c r="F23" s="75" t="n">
        <v>271.8598854523768</v>
      </c>
      <c r="G23" s="75" t="n">
        <v>313.6374377114225</v>
      </c>
      <c r="H23" s="75" t="n">
        <v>540.2628118250445</v>
      </c>
      <c r="I23" s="75" t="n">
        <v>884.3430395178261</v>
      </c>
      <c r="J23" s="75" t="n">
        <v>801.4676093262379</v>
      </c>
      <c r="K23" s="75" t="n">
        <v>755.1698384837613</v>
      </c>
      <c r="L23" s="75" t="n">
        <v>620.5046466445532</v>
      </c>
      <c r="M23" s="75" t="n">
        <v>873.0544666928257</v>
      </c>
      <c r="N23" s="75" t="n">
        <v>1063.820698217438</v>
      </c>
      <c r="O23" s="75" t="n">
        <v>1510.124513559017</v>
      </c>
    </row>
    <row r="24">
      <c r="A24" s="73" t="n">
        <v>8</v>
      </c>
      <c r="B24" s="74" t="inlineStr">
        <is>
          <t>Capex</t>
        </is>
      </c>
      <c r="C24" s="75" t="n">
        <v>-524.3192259872093</v>
      </c>
      <c r="D24" s="75" t="n">
        <v>0.03487127</v>
      </c>
      <c r="E24" s="75" t="n">
        <v>-15.03117784</v>
      </c>
      <c r="F24" s="75" t="n">
        <v>-0.6309245999999999</v>
      </c>
      <c r="G24" s="75" t="n">
        <v>-10.57628</v>
      </c>
      <c r="H24" s="75" t="n">
        <v>-13.022632</v>
      </c>
      <c r="I24" s="75" t="n">
        <v>-26.611423</v>
      </c>
      <c r="J24" s="75" t="n">
        <v>-19.58929416</v>
      </c>
      <c r="K24" s="75" t="n">
        <v>-86.85351879</v>
      </c>
      <c r="L24" s="75" t="n">
        <v>-242.7097117168023</v>
      </c>
      <c r="M24" s="75" t="n">
        <v>-36.4347117168023</v>
      </c>
      <c r="N24" s="75" t="n">
        <v>-36.4347117168023</v>
      </c>
      <c r="O24" s="75" t="n">
        <v>-36.4597117168023</v>
      </c>
    </row>
    <row r="25">
      <c r="A25" s="73" t="n">
        <v>8</v>
      </c>
      <c r="B25" s="74" t="inlineStr">
        <is>
          <t>FCF</t>
        </is>
      </c>
      <c r="C25" s="75" t="n">
        <v>7595.727205678266</v>
      </c>
      <c r="D25" s="75" t="n">
        <v>173.5389607832219</v>
      </c>
      <c r="E25" s="75" t="n">
        <v>297.26621688175</v>
      </c>
      <c r="F25" s="75" t="n">
        <v>271.2289608523768</v>
      </c>
      <c r="G25" s="75" t="n">
        <v>303.0611577114225</v>
      </c>
      <c r="H25" s="75" t="n">
        <v>527.2401798250445</v>
      </c>
      <c r="I25" s="75" t="n">
        <v>857.7316165178261</v>
      </c>
      <c r="J25" s="75" t="n">
        <v>781.8783151662379</v>
      </c>
      <c r="K25" s="75" t="n">
        <v>668.3163196937613</v>
      </c>
      <c r="L25" s="75" t="n">
        <v>377.7949349277509</v>
      </c>
      <c r="M25" s="75" t="n">
        <v>836.6197549760234</v>
      </c>
      <c r="N25" s="75" t="n">
        <v>1027.385986500636</v>
      </c>
      <c r="O25" s="75" t="n">
        <v>1473.664801842214</v>
      </c>
    </row>
    <row r="26">
      <c r="A26" s="73" t="n">
        <v>8</v>
      </c>
      <c r="B26" s="74" t="inlineStr">
        <is>
          <t>EBITDA для КПЭ</t>
        </is>
      </c>
      <c r="C26" s="75" t="n">
        <v>4252.114586637101</v>
      </c>
      <c r="D26" s="75" t="n">
        <v>77.2061788739386</v>
      </c>
      <c r="E26" s="75" t="n">
        <v>85.91586133527323</v>
      </c>
      <c r="F26" s="75" t="n">
        <v>74.56224420614021</v>
      </c>
      <c r="G26" s="75" t="n">
        <v>95.81813133406843</v>
      </c>
      <c r="H26" s="75" t="n">
        <v>292.8938038858961</v>
      </c>
      <c r="I26" s="75" t="n">
        <v>605.0205796119373</v>
      </c>
      <c r="J26" s="75" t="n">
        <v>525.120069855742</v>
      </c>
      <c r="K26" s="75" t="n">
        <v>555.5026261664086</v>
      </c>
      <c r="L26" s="75" t="n">
        <v>111.2532106958519</v>
      </c>
      <c r="M26" s="75" t="n">
        <v>446.9828425738753</v>
      </c>
      <c r="N26" s="75" t="n">
        <v>603.9085069408961</v>
      </c>
      <c r="O26" s="75" t="n">
        <v>777.9305311570732</v>
      </c>
    </row>
    <row r="27">
      <c r="A27" s="73" t="n">
        <v>8</v>
      </c>
      <c r="B27" s="74" t="inlineStr">
        <is>
          <t>Некоммерческие поставщики</t>
        </is>
      </c>
      <c r="C27" s="75" t="n">
        <v>1247.202689147989</v>
      </c>
      <c r="D27" s="75" t="n">
        <v>36.69389061994747</v>
      </c>
      <c r="E27" s="75" t="n">
        <v>51.47106340259955</v>
      </c>
      <c r="F27" s="75" t="n">
        <v>65.93016706557562</v>
      </c>
      <c r="G27" s="75" t="n">
        <v>107.6415773934401</v>
      </c>
      <c r="H27" s="75" t="n">
        <v>88.58292295082074</v>
      </c>
      <c r="I27" s="75" t="n">
        <v>82.37431966392387</v>
      </c>
      <c r="J27" s="75" t="n">
        <v>109.8978435436031</v>
      </c>
      <c r="K27" s="75" t="n">
        <v>108.1283577855035</v>
      </c>
      <c r="L27" s="75" t="n">
        <v>120.0998745829478</v>
      </c>
      <c r="M27" s="75" t="n">
        <v>132.8454172004113</v>
      </c>
      <c r="N27" s="75" t="n">
        <v>155.263177084573</v>
      </c>
      <c r="O27" s="75" t="n">
        <v>188.2740778546425</v>
      </c>
    </row>
    <row r="28">
      <c r="A28" s="73" t="n">
        <v>8</v>
      </c>
      <c r="B28" s="74" t="inlineStr">
        <is>
          <t>Сегмент: Еком/Поставщики/База</t>
        </is>
      </c>
      <c r="C28" s="75" t="n">
        <v>3867.931845028374</v>
      </c>
      <c r="D28" s="75" t="n">
        <v>96.29791063928329</v>
      </c>
      <c r="E28" s="75" t="n">
        <v>226.3815333864768</v>
      </c>
      <c r="F28" s="75" t="n">
        <v>197.2976412462366</v>
      </c>
      <c r="G28" s="75" t="n">
        <v>217.8193063773541</v>
      </c>
      <c r="H28" s="75" t="n">
        <v>247.3690079391484</v>
      </c>
      <c r="I28" s="75" t="n">
        <v>279.3224599058889</v>
      </c>
      <c r="J28" s="75" t="n">
        <v>276.347539470496</v>
      </c>
      <c r="K28" s="75" t="n">
        <v>199.6672123173526</v>
      </c>
      <c r="L28" s="75" t="n">
        <v>509.2514359487013</v>
      </c>
      <c r="M28" s="75" t="n">
        <v>426.0716241189504</v>
      </c>
      <c r="N28" s="75" t="n">
        <v>459.9121912765417</v>
      </c>
      <c r="O28" s="75" t="n">
        <v>732.1939824019436</v>
      </c>
    </row>
    <row r="29">
      <c r="A29" s="73" t="n">
        <v>8</v>
      </c>
      <c r="B29" s="74" t="inlineStr">
        <is>
          <t>Сегмент: Еком/Поставщики/Инкремент</t>
        </is>
      </c>
      <c r="C29" s="75" t="n">
        <v>1872.555130297744</v>
      </c>
      <c r="D29" s="75" t="n">
        <v>22.39472771532787</v>
      </c>
      <c r="E29" s="75" t="n">
        <v>10.12271752972108</v>
      </c>
      <c r="F29" s="75" t="n">
        <v>41.34928674699437</v>
      </c>
      <c r="G29" s="75" t="n">
        <v>44.52826114997153</v>
      </c>
      <c r="H29" s="75" t="n">
        <v>74.45945046085922</v>
      </c>
      <c r="I29" s="75" t="n">
        <v>213.0249567732673</v>
      </c>
      <c r="J29" s="75" t="n">
        <v>138.0596663604338</v>
      </c>
      <c r="K29" s="75" t="n">
        <v>161.0281715770183</v>
      </c>
      <c r="L29" s="75" t="n">
        <v>176.7200894916271</v>
      </c>
      <c r="M29" s="75" t="n">
        <v>236.977889925433</v>
      </c>
      <c r="N29" s="75" t="n">
        <v>328.1584504167137</v>
      </c>
      <c r="O29" s="75" t="n">
        <v>425.7314621503761</v>
      </c>
    </row>
    <row r="30">
      <c r="A30" s="73" t="n">
        <v>8</v>
      </c>
      <c r="B30" s="74" t="inlineStr">
        <is>
          <t>Сегмент: Еком/Не поставщики/База</t>
        </is>
      </c>
      <c r="C30" s="75" t="n">
        <v>0</v>
      </c>
      <c r="D30" s="75" t="n">
        <v>0</v>
      </c>
      <c r="E30" s="75" t="n">
        <v>0</v>
      </c>
      <c r="F30" s="75" t="n">
        <v>0</v>
      </c>
      <c r="G30" s="75" t="n">
        <v>0</v>
      </c>
      <c r="H30" s="75" t="n">
        <v>0</v>
      </c>
      <c r="I30" s="75" t="n">
        <v>0</v>
      </c>
      <c r="J30" s="75" t="n">
        <v>0</v>
      </c>
      <c r="K30" s="75" t="n">
        <v>0</v>
      </c>
      <c r="L30" s="75" t="n">
        <v>0</v>
      </c>
      <c r="M30" s="75" t="n">
        <v>0</v>
      </c>
      <c r="N30" s="75" t="n">
        <v>0</v>
      </c>
      <c r="O30" s="75" t="n">
        <v>0</v>
      </c>
    </row>
    <row r="31">
      <c r="A31" s="73" t="n">
        <v>8</v>
      </c>
      <c r="B31" s="74" t="inlineStr">
        <is>
          <t>Сегмент: Еком/Не поставщики/Инкремент</t>
        </is>
      </c>
      <c r="C31" s="75" t="n">
        <v>870.2766872926888</v>
      </c>
      <c r="D31" s="75" t="n">
        <v>26.56448480888185</v>
      </c>
      <c r="E31" s="75" t="n">
        <v>39.9195196939931</v>
      </c>
      <c r="F31" s="75" t="n">
        <v>45.31503402459205</v>
      </c>
      <c r="G31" s="75" t="n">
        <v>84.62960579507939</v>
      </c>
      <c r="H31" s="75" t="n">
        <v>74.8583439344273</v>
      </c>
      <c r="I31" s="75" t="n">
        <v>62.02851627867791</v>
      </c>
      <c r="J31" s="75" t="n">
        <v>73.60908197788025</v>
      </c>
      <c r="K31" s="75" t="n">
        <v>39.97686143715907</v>
      </c>
      <c r="L31" s="75" t="n">
        <v>79.35508013427521</v>
      </c>
      <c r="M31" s="75" t="n">
        <v>91.0878097931502</v>
      </c>
      <c r="N31" s="75" t="n">
        <v>111.4799437601344</v>
      </c>
      <c r="O31" s="75" t="n">
        <v>141.4524056544381</v>
      </c>
    </row>
    <row r="32">
      <c r="A32" s="73" t="n">
        <v>8</v>
      </c>
      <c r="B32" s="74" t="inlineStr">
        <is>
          <t>Сегмент: Не еком/Поставщики/База</t>
        </is>
      </c>
      <c r="C32" s="75" t="n">
        <v>1646.636917604382</v>
      </c>
      <c r="D32" s="75" t="n">
        <v>73.37123622284278</v>
      </c>
      <c r="E32" s="75" t="n">
        <v>112.3334167396174</v>
      </c>
      <c r="F32" s="75" t="n">
        <v>85.4376177231737</v>
      </c>
      <c r="G32" s="75" t="n">
        <v>38.11858838549205</v>
      </c>
      <c r="H32" s="75" t="n">
        <v>140.2795832897855</v>
      </c>
      <c r="I32" s="75" t="n">
        <v>399.167999821155</v>
      </c>
      <c r="J32" s="75" t="n">
        <v>267.3417914525121</v>
      </c>
      <c r="K32" s="75" t="n">
        <v>245.9875677289396</v>
      </c>
      <c r="L32" s="75" t="n">
        <v>92.43864231760571</v>
      </c>
      <c r="M32" s="75" t="n">
        <v>72.35241153053772</v>
      </c>
      <c r="N32" s="75" t="n">
        <v>51.01169522360709</v>
      </c>
      <c r="O32" s="75" t="n">
        <v>68.79636716911358</v>
      </c>
    </row>
    <row r="33">
      <c r="A33" s="73" t="n">
        <v>8</v>
      </c>
      <c r="B33" s="74" t="inlineStr">
        <is>
          <t>Сегмент: Не еком/Поставщики/Инкремент</t>
        </is>
      </c>
      <c r="C33" s="75" t="n">
        <v>2281.059766717395</v>
      </c>
      <c r="D33" s="75" t="n">
        <v>50.50085567758256</v>
      </c>
      <c r="E33" s="75" t="n">
        <v>38.76309345622951</v>
      </c>
      <c r="F33" s="75" t="n">
        <v>43.59810281059679</v>
      </c>
      <c r="G33" s="75" t="n">
        <v>47.07977730598369</v>
      </c>
      <c r="H33" s="75" t="n">
        <v>148.6544598394618</v>
      </c>
      <c r="I33" s="75" t="n">
        <v>225.4213219394866</v>
      </c>
      <c r="J33" s="75" t="n">
        <v>273.6587720214881</v>
      </c>
      <c r="K33" s="75" t="n">
        <v>249.2991717232093</v>
      </c>
      <c r="L33" s="75" t="n">
        <v>227.690451031646</v>
      </c>
      <c r="M33" s="75" t="n">
        <v>269.6496266168368</v>
      </c>
      <c r="N33" s="75" t="n">
        <v>329.468733391794</v>
      </c>
      <c r="O33" s="75" t="n">
        <v>377.2754009030797</v>
      </c>
    </row>
    <row r="34">
      <c r="A34" s="73" t="n">
        <v>8</v>
      </c>
      <c r="B34" s="74" t="inlineStr">
        <is>
          <t>Сегмент: Не еком/Не поставщики/База</t>
        </is>
      </c>
      <c r="C34" s="75" t="n">
        <v>0</v>
      </c>
      <c r="D34" s="75" t="n">
        <v>0</v>
      </c>
      <c r="E34" s="75" t="n">
        <v>0</v>
      </c>
      <c r="F34" s="75" t="n">
        <v>0</v>
      </c>
      <c r="G34" s="75" t="n">
        <v>0</v>
      </c>
      <c r="H34" s="75" t="n">
        <v>0</v>
      </c>
      <c r="I34" s="75" t="n">
        <v>0</v>
      </c>
      <c r="J34" s="75" t="n">
        <v>0</v>
      </c>
      <c r="K34" s="75" t="n">
        <v>0</v>
      </c>
      <c r="L34" s="75" t="n">
        <v>0</v>
      </c>
      <c r="M34" s="75" t="n">
        <v>0</v>
      </c>
      <c r="N34" s="75" t="n">
        <v>0</v>
      </c>
      <c r="O34" s="75" t="n">
        <v>0</v>
      </c>
    </row>
    <row r="35">
      <c r="A35" s="73" t="n">
        <v>8</v>
      </c>
      <c r="B35" s="74" t="inlineStr">
        <is>
          <t>Сегмент: Не еком/Не поставщики/Инкремент</t>
        </is>
      </c>
      <c r="C35" s="75" t="n">
        <v>376.9260018552997</v>
      </c>
      <c r="D35" s="75" t="n">
        <v>10.12940581106562</v>
      </c>
      <c r="E35" s="75" t="n">
        <v>11.55154370860645</v>
      </c>
      <c r="F35" s="75" t="n">
        <v>20.61513304098357</v>
      </c>
      <c r="G35" s="75" t="n">
        <v>23.01197159836072</v>
      </c>
      <c r="H35" s="75" t="n">
        <v>13.72457901639345</v>
      </c>
      <c r="I35" s="75" t="n">
        <v>20.34580338524597</v>
      </c>
      <c r="J35" s="75" t="n">
        <v>36.28876156572287</v>
      </c>
      <c r="K35" s="75" t="n">
        <v>68.15149634834439</v>
      </c>
      <c r="L35" s="75" t="n">
        <v>40.74479444867256</v>
      </c>
      <c r="M35" s="75" t="n">
        <v>41.75760740726114</v>
      </c>
      <c r="N35" s="75" t="n">
        <v>43.78323332443855</v>
      </c>
      <c r="O35" s="75" t="n">
        <v>46.82167220020441</v>
      </c>
    </row>
    <row r="36">
      <c r="A36" s="73" t="n">
        <v>9</v>
      </c>
      <c r="B36" s="74" t="inlineStr">
        <is>
          <t>Выручка: APP</t>
        </is>
      </c>
      <c r="C36" s="75" t="n">
        <v>5878.561945431451</v>
      </c>
      <c r="D36" s="75" t="n">
        <v>145.257123163493</v>
      </c>
      <c r="E36" s="75" t="n">
        <v>276.423770610191</v>
      </c>
      <c r="F36" s="75" t="n">
        <v>283.961962017823</v>
      </c>
      <c r="G36" s="75" t="n">
        <v>346.977173322405</v>
      </c>
      <c r="H36" s="75" t="n">
        <v>396.686802334435</v>
      </c>
      <c r="I36" s="75" t="n">
        <v>554.375932957834</v>
      </c>
      <c r="J36" s="75" t="n">
        <v>488.01628780881</v>
      </c>
      <c r="K36" s="75" t="n">
        <v>400.67224533153</v>
      </c>
      <c r="L36" s="75" t="n">
        <v>457.9899948830258</v>
      </c>
      <c r="M36" s="75" t="n">
        <v>560.9270533317836</v>
      </c>
      <c r="N36" s="75" t="n">
        <v>810.8776079441438</v>
      </c>
      <c r="O36" s="75" t="n">
        <v>1156.395991725977</v>
      </c>
      <c r="P36" s="8" t="inlineStr">
        <is>
          <t>Мастер Master_AT_Sep_vF, '33 Версии прогноза', A8:O38 — финальный 9+3</t>
        </is>
      </c>
    </row>
    <row r="37">
      <c r="A37" s="73" t="n">
        <v>9</v>
      </c>
      <c r="B37" s="74" t="inlineStr">
        <is>
          <t>Выручка: MIP</t>
        </is>
      </c>
      <c r="C37" s="75" t="n">
        <v>9.593678688499436</v>
      </c>
      <c r="D37" s="75" t="n">
        <v>0</v>
      </c>
      <c r="E37" s="75" t="n">
        <v>0</v>
      </c>
      <c r="F37" s="75" t="n">
        <v>0</v>
      </c>
      <c r="G37" s="75" t="n">
        <v>5.85313999999978</v>
      </c>
      <c r="H37" s="75" t="n">
        <v>0</v>
      </c>
      <c r="I37" s="75" t="n">
        <v>0.304956631147541</v>
      </c>
      <c r="J37" s="75" t="n">
        <v>0.337695</v>
      </c>
      <c r="K37" s="75" t="n">
        <v>0.173298426229508</v>
      </c>
      <c r="L37" s="75" t="n">
        <v>0</v>
      </c>
      <c r="M37" s="75" t="n">
        <v>0.8161642691504949</v>
      </c>
      <c r="N37" s="75" t="n">
        <v>0.9521916473422442</v>
      </c>
      <c r="O37" s="75" t="n">
        <v>1.156232714629868</v>
      </c>
    </row>
    <row r="38">
      <c r="A38" s="73" t="n">
        <v>9</v>
      </c>
      <c r="B38" s="74" t="inlineStr">
        <is>
          <t>Выручка: Magnit Market</t>
        </is>
      </c>
      <c r="C38" s="75" t="n">
        <v>4.980489422222222</v>
      </c>
      <c r="D38" s="75" t="n">
        <v>0</v>
      </c>
      <c r="E38" s="75" t="n">
        <v>0</v>
      </c>
      <c r="F38" s="75" t="n">
        <v>0</v>
      </c>
      <c r="G38" s="75" t="n">
        <v>0</v>
      </c>
      <c r="H38" s="75" t="n">
        <v>0</v>
      </c>
      <c r="I38" s="75" t="n">
        <v>0</v>
      </c>
      <c r="J38" s="75" t="n">
        <v>3.370256</v>
      </c>
      <c r="K38" s="75" t="n">
        <v>0</v>
      </c>
      <c r="L38" s="75" t="n">
        <v>0</v>
      </c>
      <c r="M38" s="75" t="n">
        <v>0.4493674666666666</v>
      </c>
      <c r="N38" s="75" t="n">
        <v>0.5242620444444445</v>
      </c>
      <c r="O38" s="75" t="n">
        <v>0.636603911111111</v>
      </c>
    </row>
    <row r="39">
      <c r="A39" s="73" t="n">
        <v>9</v>
      </c>
      <c r="B39" s="74" t="inlineStr">
        <is>
          <t>Выручка: DMP+ Analitycs</t>
        </is>
      </c>
      <c r="C39" s="75" t="n">
        <v>58.15113774211007</v>
      </c>
      <c r="D39" s="75" t="n">
        <v>4.52785709166667</v>
      </c>
      <c r="E39" s="75" t="n">
        <v>1.50825233606561</v>
      </c>
      <c r="F39" s="75" t="n">
        <v>4.16288404918033</v>
      </c>
      <c r="G39" s="75" t="n">
        <v>5.25004789344262</v>
      </c>
      <c r="H39" s="75" t="n">
        <v>4.09688681147541</v>
      </c>
      <c r="I39" s="75" t="n">
        <v>7.978544967213121</v>
      </c>
      <c r="J39" s="75" t="n">
        <v>5.65462918852459</v>
      </c>
      <c r="K39" s="75" t="n">
        <v>4.5888591110918</v>
      </c>
      <c r="L39" s="75" t="n">
        <v>2.432515413</v>
      </c>
      <c r="M39" s="75" t="n">
        <v>5.009486757334861</v>
      </c>
      <c r="N39" s="75" t="n">
        <v>5.844401216890671</v>
      </c>
      <c r="O39" s="75" t="n">
        <v>7.096772906224387</v>
      </c>
    </row>
    <row r="40">
      <c r="A40" s="73" t="n">
        <v>9</v>
      </c>
      <c r="B40" s="74" t="inlineStr">
        <is>
          <t>Выручка: DMP+Online</t>
        </is>
      </c>
      <c r="C40" s="75" t="n">
        <v>1061.390480735735</v>
      </c>
      <c r="D40" s="75" t="n">
        <v>16.9387687250432</v>
      </c>
      <c r="E40" s="75" t="n">
        <v>11.670591777213</v>
      </c>
      <c r="F40" s="75" t="n">
        <v>3.3992407704918</v>
      </c>
      <c r="G40" s="75" t="n">
        <v>25.4823725409836</v>
      </c>
      <c r="H40" s="75" t="n">
        <v>57.6255045621643</v>
      </c>
      <c r="I40" s="75" t="n">
        <v>213.320463671475</v>
      </c>
      <c r="J40" s="75" t="n">
        <v>71.93272193311461</v>
      </c>
      <c r="K40" s="75" t="n">
        <v>130.33319987246</v>
      </c>
      <c r="L40" s="75" t="n">
        <v>201.6697008888079</v>
      </c>
      <c r="M40" s="75" t="n">
        <v>91.8189533006459</v>
      </c>
      <c r="N40" s="75" t="n">
        <v>107.1221121840869</v>
      </c>
      <c r="O40" s="75" t="n">
        <v>130.0768505092484</v>
      </c>
    </row>
    <row r="41">
      <c r="A41" s="73" t="n">
        <v>9</v>
      </c>
      <c r="B41" s="74" t="inlineStr">
        <is>
          <t>Выручка: Instore digital</t>
        </is>
      </c>
      <c r="C41" s="75" t="n">
        <v>2514.943908156315</v>
      </c>
      <c r="D41" s="75" t="n">
        <v>27.4816347738525</v>
      </c>
      <c r="E41" s="75" t="n">
        <v>67.48246013101091</v>
      </c>
      <c r="F41" s="75" t="n">
        <v>71.99375692786869</v>
      </c>
      <c r="G41" s="75" t="n">
        <v>46.0638297422951</v>
      </c>
      <c r="H41" s="75" t="n">
        <v>160.218081735936</v>
      </c>
      <c r="I41" s="75" t="n">
        <v>276.0249154781829</v>
      </c>
      <c r="J41" s="75" t="n">
        <v>354.063454288701</v>
      </c>
      <c r="K41" s="75" t="n">
        <v>241.283504458745</v>
      </c>
      <c r="L41" s="75" t="n">
        <v>421.8055641193091</v>
      </c>
      <c r="M41" s="75" t="n">
        <v>262.9077843671507</v>
      </c>
      <c r="N41" s="75" t="n">
        <v>293.5328325658246</v>
      </c>
      <c r="O41" s="75" t="n">
        <v>292.0860895674385</v>
      </c>
    </row>
    <row r="42">
      <c r="A42" s="73" t="n">
        <v>9</v>
      </c>
      <c r="B42" s="74" t="inlineStr">
        <is>
          <t>Выручка: Instore digital_2.0</t>
        </is>
      </c>
      <c r="C42" s="75" t="n">
        <v>151.4732934995862</v>
      </c>
      <c r="D42" s="75" t="n">
        <v>0</v>
      </c>
      <c r="E42" s="75" t="n">
        <v>0</v>
      </c>
      <c r="F42" s="75" t="n">
        <v>0</v>
      </c>
      <c r="G42" s="75" t="n">
        <v>0</v>
      </c>
      <c r="H42" s="75" t="n">
        <v>0</v>
      </c>
      <c r="I42" s="75" t="n">
        <v>0</v>
      </c>
      <c r="J42" s="75" t="n">
        <v>0</v>
      </c>
      <c r="K42" s="75" t="n">
        <v>0</v>
      </c>
      <c r="L42" s="75" t="n">
        <v>0</v>
      </c>
      <c r="M42" s="75" t="n">
        <v>47.0922156328493</v>
      </c>
      <c r="N42" s="75" t="n">
        <v>51.4671674341754</v>
      </c>
      <c r="O42" s="75" t="n">
        <v>52.91391043256153</v>
      </c>
    </row>
    <row r="43">
      <c r="A43" s="73" t="n">
        <v>9</v>
      </c>
      <c r="B43" s="74" t="inlineStr">
        <is>
          <t>Выручка: POSM</t>
        </is>
      </c>
      <c r="C43" s="75" t="n">
        <v>85.55020762189014</v>
      </c>
      <c r="D43" s="75" t="n">
        <v>2.39451381551918</v>
      </c>
      <c r="E43" s="75" t="n">
        <v>5.29227011655728</v>
      </c>
      <c r="F43" s="75" t="n">
        <v>41.6470442098361</v>
      </c>
      <c r="G43" s="75" t="n">
        <v>20.196853981476</v>
      </c>
      <c r="H43" s="75" t="n">
        <v>0</v>
      </c>
      <c r="I43" s="75" t="n">
        <v>0</v>
      </c>
      <c r="J43" s="75" t="n">
        <v>4.46646360655737</v>
      </c>
      <c r="K43" s="75" t="n">
        <v>3.08707801639343</v>
      </c>
      <c r="L43" s="75" t="n">
        <v>0.4562211263</v>
      </c>
      <c r="M43" s="75" t="n">
        <v>2.669920916416933</v>
      </c>
      <c r="N43" s="75" t="n">
        <v>2.669920916416933</v>
      </c>
      <c r="O43" s="75" t="n">
        <v>2.669920916416933</v>
      </c>
    </row>
    <row r="44">
      <c r="A44" s="73" t="n">
        <v>9</v>
      </c>
      <c r="B44" s="74" t="inlineStr">
        <is>
          <t>Выручка: Other</t>
        </is>
      </c>
      <c r="C44" s="75" t="n">
        <v>536.1372188265739</v>
      </c>
      <c r="D44" s="75" t="n">
        <v>0</v>
      </c>
      <c r="E44" s="75" t="n">
        <v>0</v>
      </c>
      <c r="F44" s="75" t="n">
        <v>0</v>
      </c>
      <c r="G44" s="75" t="n">
        <v>0</v>
      </c>
      <c r="H44" s="75" t="n">
        <v>76.11889956065511</v>
      </c>
      <c r="I44" s="75" t="n">
        <v>130.311309877869</v>
      </c>
      <c r="J44" s="75" t="n">
        <v>84.39842260725149</v>
      </c>
      <c r="K44" s="75" t="n">
        <v>150.496789282131</v>
      </c>
      <c r="L44" s="75" t="n">
        <v>94.81179749866732</v>
      </c>
      <c r="M44" s="75" t="n">
        <v>0</v>
      </c>
      <c r="N44" s="75" t="n">
        <v>0</v>
      </c>
      <c r="O44" s="75" t="n">
        <v>0</v>
      </c>
    </row>
    <row r="45">
      <c r="A45" s="73" t="n">
        <v>9</v>
      </c>
      <c r="B45" s="74" t="inlineStr">
        <is>
          <t>Выручка: Кроссформатные пакеты</t>
        </is>
      </c>
      <c r="C45" s="75" t="n">
        <v>305.3279657896585</v>
      </c>
      <c r="D45" s="75" t="n">
        <v>82.6587233054094</v>
      </c>
      <c r="E45" s="75" t="n">
        <v>76.69447954360659</v>
      </c>
      <c r="F45" s="75" t="n">
        <v>28.4479276173771</v>
      </c>
      <c r="G45" s="75" t="n">
        <v>5.36409313163936</v>
      </c>
      <c r="H45" s="75" t="n">
        <v>4.59924947540984</v>
      </c>
      <c r="I45" s="75" t="n">
        <v>16.99493452</v>
      </c>
      <c r="J45" s="75" t="n">
        <v>53.0656824155738</v>
      </c>
      <c r="K45" s="75" t="n">
        <v>33.4755066334425</v>
      </c>
      <c r="L45" s="75" t="n">
        <v>4.027369147199895</v>
      </c>
      <c r="M45" s="75" t="n">
        <v>0</v>
      </c>
      <c r="N45" s="75" t="n">
        <v>0</v>
      </c>
      <c r="O45" s="75" t="n">
        <v>0</v>
      </c>
    </row>
    <row r="46">
      <c r="A46" s="73" t="n">
        <v>9</v>
      </c>
      <c r="B46" s="74" t="inlineStr">
        <is>
          <t>Gross Revenue</t>
        </is>
      </c>
      <c r="C46" s="75" t="n">
        <v>10606.11032598458</v>
      </c>
      <c r="D46" s="75" t="n">
        <v>279.258620874984</v>
      </c>
      <c r="E46" s="75" t="n">
        <v>439.0718245146443</v>
      </c>
      <c r="F46" s="75" t="n">
        <v>433.612815592577</v>
      </c>
      <c r="G46" s="75" t="n">
        <v>455.1875106122415</v>
      </c>
      <c r="H46" s="75" t="n">
        <v>699.3454244800757</v>
      </c>
      <c r="I46" s="75" t="n">
        <v>1199.311058103722</v>
      </c>
      <c r="J46" s="75" t="n">
        <v>1065.305612848533</v>
      </c>
      <c r="K46" s="75" t="n">
        <v>964.1104811320232</v>
      </c>
      <c r="L46" s="75" t="n">
        <v>1183.193163125488</v>
      </c>
      <c r="M46" s="75" t="n">
        <v>971.6909460479594</v>
      </c>
      <c r="N46" s="75" t="n">
        <v>1272.99049596028</v>
      </c>
      <c r="O46" s="75" t="n">
        <v>1643.032372692052</v>
      </c>
    </row>
    <row r="47">
      <c r="A47" s="73" t="n">
        <v>9</v>
      </c>
      <c r="B47" s="74" t="inlineStr">
        <is>
          <t>Direct cost</t>
        </is>
      </c>
      <c r="C47" s="75" t="n">
        <v>-268.2151143067584</v>
      </c>
      <c r="D47" s="75" t="n">
        <v>19.58417776</v>
      </c>
      <c r="E47" s="75" t="n">
        <v>-12.45864877</v>
      </c>
      <c r="F47" s="75" t="n">
        <v>-37.44831378</v>
      </c>
      <c r="G47" s="75" t="n">
        <v>0.09576141999999993</v>
      </c>
      <c r="H47" s="75" t="n">
        <v>-0.103219</v>
      </c>
      <c r="I47" s="75" t="n">
        <v>-83.55652685</v>
      </c>
      <c r="J47" s="75" t="n">
        <v>-26.57152036</v>
      </c>
      <c r="K47" s="75" t="n">
        <v>-4.36537705</v>
      </c>
      <c r="L47" s="75" t="n">
        <v>-0.92785226</v>
      </c>
      <c r="M47" s="75" t="n">
        <v>-37.70803114927696</v>
      </c>
      <c r="N47" s="75" t="n">
        <v>-38.76568832915113</v>
      </c>
      <c r="O47" s="75" t="n">
        <v>-45.9898759383303</v>
      </c>
    </row>
    <row r="48">
      <c r="A48" s="73" t="n">
        <v>9</v>
      </c>
      <c r="B48" s="74" t="inlineStr">
        <is>
          <t>PEX</t>
        </is>
      </c>
      <c r="C48" s="75" t="n">
        <v>-1011.553702719904</v>
      </c>
      <c r="D48" s="75" t="n">
        <v>-87.97369808986208</v>
      </c>
      <c r="E48" s="75" t="n">
        <v>-90.31368281266749</v>
      </c>
      <c r="F48" s="75" t="n">
        <v>-91.16647953774877</v>
      </c>
      <c r="G48" s="75" t="n">
        <v>-102.7496092107256</v>
      </c>
      <c r="H48" s="75" t="n">
        <v>-104.727461757135</v>
      </c>
      <c r="I48" s="75" t="n">
        <v>-109.4787043166301</v>
      </c>
      <c r="J48" s="75" t="n">
        <v>-114.5529988469284</v>
      </c>
      <c r="K48" s="75" t="n">
        <v>-91.25363632607868</v>
      </c>
      <c r="L48" s="75" t="n">
        <v>62.45640569528666</v>
      </c>
      <c r="M48" s="75" t="n">
        <v>-89.69432524517988</v>
      </c>
      <c r="N48" s="75" t="n">
        <v>-93.84848794356449</v>
      </c>
      <c r="O48" s="75" t="n">
        <v>-98.25102432867048</v>
      </c>
    </row>
    <row r="49">
      <c r="A49" s="73" t="n">
        <v>9</v>
      </c>
      <c r="B49" s="74" t="inlineStr">
        <is>
          <t>Other PEX</t>
        </is>
      </c>
      <c r="C49" s="75" t="n">
        <v>-47.81452915360984</v>
      </c>
      <c r="D49" s="75" t="n">
        <v>-7.921041781900001</v>
      </c>
      <c r="E49" s="75" t="n">
        <v>-4.710464860226839</v>
      </c>
      <c r="F49" s="75" t="n">
        <v>-5.139149252451455</v>
      </c>
      <c r="G49" s="75" t="n">
        <v>-0.7431057000931878</v>
      </c>
      <c r="H49" s="75" t="n">
        <v>-8.203862637896139</v>
      </c>
      <c r="I49" s="75" t="n">
        <v>-1.509548709265467</v>
      </c>
      <c r="J49" s="75" t="n">
        <v>2.833873754633201</v>
      </c>
      <c r="K49" s="75" t="n">
        <v>-3.247094613300941</v>
      </c>
      <c r="L49" s="75" t="n">
        <v>-0.211306162631583</v>
      </c>
      <c r="M49" s="75" t="n">
        <v>-5.807323074236389</v>
      </c>
      <c r="N49" s="75" t="n">
        <v>-6.151775461507303</v>
      </c>
      <c r="O49" s="75" t="n">
        <v>-7.003730654733738</v>
      </c>
    </row>
    <row r="50">
      <c r="A50" s="73" t="n">
        <v>9</v>
      </c>
      <c r="B50" s="74" t="inlineStr">
        <is>
          <t>Marketing</t>
        </is>
      </c>
      <c r="C50" s="75" t="n">
        <v>-872.0335932443209</v>
      </c>
      <c r="D50" s="75" t="n">
        <v>-28.52889409</v>
      </c>
      <c r="E50" s="75" t="n">
        <v>-16.82913428</v>
      </c>
      <c r="F50" s="75" t="n">
        <v>-27.05948898</v>
      </c>
      <c r="G50" s="75" t="n">
        <v>-36.08107284000001</v>
      </c>
      <c r="H50" s="75" t="n">
        <v>-43.76846497</v>
      </c>
      <c r="I50" s="75" t="n">
        <v>-106.72376919</v>
      </c>
      <c r="J50" s="75" t="n">
        <v>-120.26579917</v>
      </c>
      <c r="K50" s="75" t="n">
        <v>-82.79719141</v>
      </c>
      <c r="L50" s="75" t="n">
        <v>-105.089188</v>
      </c>
      <c r="M50" s="75" t="n">
        <v>-101.4989479929699</v>
      </c>
      <c r="N50" s="75" t="n">
        <v>-95.04019709476709</v>
      </c>
      <c r="O50" s="75" t="n">
        <v>-108.3514452265838</v>
      </c>
    </row>
    <row r="51">
      <c r="A51" s="73" t="n">
        <v>9</v>
      </c>
      <c r="B51" s="74" t="inlineStr">
        <is>
          <t>IT</t>
        </is>
      </c>
      <c r="C51" s="75" t="n">
        <v>-18.1645542</v>
      </c>
      <c r="D51" s="75" t="n">
        <v>-0.15585397</v>
      </c>
      <c r="E51" s="75" t="n">
        <v>-1.63381665</v>
      </c>
      <c r="F51" s="75" t="n">
        <v>-0.20311578</v>
      </c>
      <c r="G51" s="75" t="n">
        <v>-1.37120632</v>
      </c>
      <c r="H51" s="75" t="n">
        <v>-1.48856338</v>
      </c>
      <c r="I51" s="75" t="n">
        <v>-2.16407474</v>
      </c>
      <c r="J51" s="75" t="n">
        <v>-0.7221537499999998</v>
      </c>
      <c r="K51" s="75" t="n">
        <v>-0.96429323</v>
      </c>
      <c r="L51" s="75" t="n">
        <v>-3.887514700000001</v>
      </c>
      <c r="M51" s="75" t="n">
        <v>-1.857987226666667</v>
      </c>
      <c r="N51" s="75" t="n">
        <v>-1.857987226666667</v>
      </c>
      <c r="O51" s="75" t="n">
        <v>-1.857987226666667</v>
      </c>
    </row>
    <row r="52">
      <c r="A52" s="73" t="n">
        <v>9</v>
      </c>
      <c r="B52" s="74" t="inlineStr">
        <is>
          <t>Other OPEX</t>
        </is>
      </c>
      <c r="C52" s="75" t="n">
        <v>-55.09959723361125</v>
      </c>
      <c r="D52" s="75" t="n">
        <v>-0.7644650100000001</v>
      </c>
      <c r="E52" s="75" t="n">
        <v>-0.86672039</v>
      </c>
      <c r="F52" s="75" t="n">
        <v>-0.7390047199999999</v>
      </c>
      <c r="G52" s="75" t="n">
        <v>-0.7035495500000001</v>
      </c>
      <c r="H52" s="75" t="n">
        <v>-0.83077368</v>
      </c>
      <c r="I52" s="75" t="n">
        <v>-11.52913341</v>
      </c>
      <c r="J52" s="75" t="n">
        <v>-4.56588678</v>
      </c>
      <c r="K52" s="75" t="n">
        <v>-6.339050920000001</v>
      </c>
      <c r="L52" s="75" t="n">
        <v>-9.12317528</v>
      </c>
      <c r="M52" s="75" t="n">
        <v>-5.649652706675969</v>
      </c>
      <c r="N52" s="75" t="n">
        <v>-6.223294220348565</v>
      </c>
      <c r="O52" s="75" t="n">
        <v>-7.764890566586713</v>
      </c>
    </row>
    <row r="53">
      <c r="A53" s="73" t="n">
        <v>9</v>
      </c>
      <c r="B53" s="74" t="inlineStr">
        <is>
          <t>OPEX</t>
        </is>
      </c>
      <c r="C53" s="75" t="n">
        <v>-2004.665976551446</v>
      </c>
      <c r="D53" s="75" t="n">
        <v>-125.3439529417621</v>
      </c>
      <c r="E53" s="75" t="n">
        <v>-114.3538189928943</v>
      </c>
      <c r="F53" s="75" t="n">
        <v>-124.3072382702002</v>
      </c>
      <c r="G53" s="75" t="n">
        <v>-141.6485436208188</v>
      </c>
      <c r="H53" s="75" t="n">
        <v>-159.0191264250311</v>
      </c>
      <c r="I53" s="75" t="n">
        <v>-231.4052303658956</v>
      </c>
      <c r="J53" s="75" t="n">
        <v>-237.2729647922952</v>
      </c>
      <c r="K53" s="75" t="n">
        <v>-184.6012664993796</v>
      </c>
      <c r="L53" s="75" t="n">
        <v>-55.85477844734493</v>
      </c>
      <c r="M53" s="75" t="n">
        <v>-204.5082362457288</v>
      </c>
      <c r="N53" s="75" t="n">
        <v>-203.1217419468541</v>
      </c>
      <c r="O53" s="75" t="n">
        <v>-223.2290780032414</v>
      </c>
    </row>
    <row r="54">
      <c r="A54" s="73" t="n">
        <v>9</v>
      </c>
      <c r="B54" s="74" t="inlineStr">
        <is>
          <t>EBITDA</t>
        </is>
      </c>
      <c r="C54" s="75" t="n">
        <v>8333.229235126373</v>
      </c>
      <c r="D54" s="75" t="n">
        <v>173.4988456932219</v>
      </c>
      <c r="E54" s="75" t="n">
        <v>312.25935675175</v>
      </c>
      <c r="F54" s="75" t="n">
        <v>271.8572635423768</v>
      </c>
      <c r="G54" s="75" t="n">
        <v>313.6347284114227</v>
      </c>
      <c r="H54" s="75" t="n">
        <v>540.2230790550445</v>
      </c>
      <c r="I54" s="75" t="n">
        <v>884.3493008878261</v>
      </c>
      <c r="J54" s="75" t="n">
        <v>801.4611276962378</v>
      </c>
      <c r="K54" s="75" t="n">
        <v>775.1438375826438</v>
      </c>
      <c r="L54" s="75" t="n">
        <v>1126.410532418143</v>
      </c>
      <c r="M54" s="75" t="n">
        <v>729.4746786529536</v>
      </c>
      <c r="N54" s="75" t="n">
        <v>1031.103065684274</v>
      </c>
      <c r="O54" s="75" t="n">
        <v>1373.81341875048</v>
      </c>
    </row>
    <row r="55">
      <c r="A55" s="73" t="n">
        <v>9</v>
      </c>
      <c r="B55" s="74" t="inlineStr">
        <is>
          <t>Capex</t>
        </is>
      </c>
      <c r="C55" s="75" t="n">
        <v>-459.4078550041862</v>
      </c>
      <c r="D55" s="75" t="n">
        <v>0.03487127</v>
      </c>
      <c r="E55" s="75" t="n">
        <v>-15.03117784</v>
      </c>
      <c r="F55" s="75" t="n">
        <v>-0.6309245999999999</v>
      </c>
      <c r="G55" s="75" t="n">
        <v>-10.57628</v>
      </c>
      <c r="H55" s="75" t="n">
        <v>-13.022632</v>
      </c>
      <c r="I55" s="75" t="n">
        <v>-26.611423</v>
      </c>
      <c r="J55" s="75" t="n">
        <v>-19.58929416</v>
      </c>
      <c r="K55" s="75" t="n">
        <v>-86.85351879</v>
      </c>
      <c r="L55" s="75" t="n">
        <v>-185.76541681</v>
      </c>
      <c r="M55" s="75" t="n">
        <v>-31.69605205991981</v>
      </c>
      <c r="N55" s="75" t="n">
        <v>-33.84302663937832</v>
      </c>
      <c r="O55" s="75" t="n">
        <v>-35.822980374888</v>
      </c>
    </row>
    <row r="56">
      <c r="A56" s="73" t="n">
        <v>9</v>
      </c>
      <c r="B56" s="74" t="inlineStr">
        <is>
          <t>FCF</t>
        </is>
      </c>
      <c r="C56" s="75" t="n">
        <v>7873.821380122188</v>
      </c>
      <c r="D56" s="75" t="n">
        <v>173.5337169632219</v>
      </c>
      <c r="E56" s="75" t="n">
        <v>297.22817891175</v>
      </c>
      <c r="F56" s="75" t="n">
        <v>271.2263389423767</v>
      </c>
      <c r="G56" s="75" t="n">
        <v>303.0584484114227</v>
      </c>
      <c r="H56" s="75" t="n">
        <v>527.2004470550445</v>
      </c>
      <c r="I56" s="75" t="n">
        <v>857.7378778878261</v>
      </c>
      <c r="J56" s="75" t="n">
        <v>781.8718335362379</v>
      </c>
      <c r="K56" s="75" t="n">
        <v>688.2903187926438</v>
      </c>
      <c r="L56" s="75" t="n">
        <v>940.6451156081426</v>
      </c>
      <c r="M56" s="75" t="n">
        <v>697.7786265930338</v>
      </c>
      <c r="N56" s="75" t="n">
        <v>997.2600390448958</v>
      </c>
      <c r="O56" s="75" t="n">
        <v>1337.990438375592</v>
      </c>
    </row>
    <row r="57">
      <c r="A57" s="73" t="n">
        <v>9</v>
      </c>
      <c r="B57" s="74" t="inlineStr">
        <is>
          <t>EBITDA для КПЭ</t>
        </is>
      </c>
      <c r="C57" s="75" t="n">
        <v>4403.229235126373</v>
      </c>
      <c r="D57" s="75" t="n">
        <v>-160.2819762245863</v>
      </c>
      <c r="E57" s="75" t="n">
        <v>10.77990469695544</v>
      </c>
      <c r="F57" s="75" t="n">
        <v>-61.92355837543147</v>
      </c>
      <c r="G57" s="75" t="n">
        <v>-9.378970218714358</v>
      </c>
      <c r="H57" s="75" t="n">
        <v>206.4422571372363</v>
      </c>
      <c r="I57" s="75" t="n">
        <v>561.3356022576891</v>
      </c>
      <c r="J57" s="75" t="n">
        <v>467.6803057784296</v>
      </c>
      <c r="K57" s="75" t="n">
        <v>441.3630156648355</v>
      </c>
      <c r="L57" s="75" t="n">
        <v>803.3968337880056</v>
      </c>
      <c r="M57" s="75" t="n">
        <v>395.6938567351453</v>
      </c>
      <c r="N57" s="75" t="n">
        <v>708.0893670541373</v>
      </c>
      <c r="O57" s="75" t="n">
        <v>1040.032596832672</v>
      </c>
    </row>
    <row r="58">
      <c r="A58" s="73" t="n">
        <v>9</v>
      </c>
      <c r="B58" s="74" t="inlineStr">
        <is>
          <t>Некоммерческие поставщики</t>
        </is>
      </c>
      <c r="C58" s="75" t="n">
        <v>1205.718139950159</v>
      </c>
      <c r="D58" s="75" t="n">
        <v>36.69389061994747</v>
      </c>
      <c r="E58" s="75" t="n">
        <v>51.47106340259956</v>
      </c>
      <c r="F58" s="75" t="n">
        <v>65.93016706557559</v>
      </c>
      <c r="G58" s="75" t="n">
        <v>107.6415773934401</v>
      </c>
      <c r="H58" s="75" t="n">
        <v>88.58292295082077</v>
      </c>
      <c r="I58" s="75" t="n">
        <v>82.3743196639239</v>
      </c>
      <c r="J58" s="75" t="n">
        <v>109.8978435436031</v>
      </c>
      <c r="K58" s="75" t="n">
        <v>108.1283577855035</v>
      </c>
      <c r="L58" s="75" t="n">
        <v>118.037098840277</v>
      </c>
      <c r="M58" s="75" t="n">
        <v>112.0343481620922</v>
      </c>
      <c r="N58" s="75" t="n">
        <v>148.5186955827652</v>
      </c>
      <c r="O58" s="75" t="n">
        <v>176.407854939611</v>
      </c>
    </row>
    <row r="59">
      <c r="A59" s="73" t="n">
        <v>9</v>
      </c>
      <c r="B59" s="74" t="inlineStr">
        <is>
          <t>Сегмент: Еком/Поставщики/База</t>
        </is>
      </c>
      <c r="C59" s="75" t="n">
        <v>3930</v>
      </c>
      <c r="D59" s="75" t="n">
        <v>333.7808219178082</v>
      </c>
      <c r="E59" s="75" t="n">
        <v>301.4794520547945</v>
      </c>
      <c r="F59" s="75" t="n">
        <v>333.7808219178082</v>
      </c>
      <c r="G59" s="75" t="n">
        <v>323.013698630137</v>
      </c>
      <c r="H59" s="75" t="n">
        <v>333.7808219178082</v>
      </c>
      <c r="I59" s="75" t="n">
        <v>323.013698630137</v>
      </c>
      <c r="J59" s="75" t="n">
        <v>333.7808219178082</v>
      </c>
      <c r="K59" s="75" t="n">
        <v>333.7808219178082</v>
      </c>
      <c r="L59" s="75" t="n">
        <v>323.013698630137</v>
      </c>
      <c r="M59" s="75" t="n">
        <v>333.7808219178082</v>
      </c>
      <c r="N59" s="75" t="n">
        <v>323.013698630137</v>
      </c>
      <c r="O59" s="75" t="n">
        <v>333.7808219178082</v>
      </c>
    </row>
    <row r="60">
      <c r="A60" s="73" t="n">
        <v>9</v>
      </c>
      <c r="B60" s="74" t="inlineStr">
        <is>
          <t>Сегмент: Еком/Поставщики/Инкремент</t>
        </is>
      </c>
      <c r="C60" s="75" t="n">
        <v>1155.60216163632</v>
      </c>
      <c r="D60" s="75" t="n">
        <v>-215.088183563197</v>
      </c>
      <c r="E60" s="75" t="n">
        <v>-64.97520113859665</v>
      </c>
      <c r="F60" s="75" t="n">
        <v>-95.13389392457728</v>
      </c>
      <c r="G60" s="75" t="n">
        <v>-60.66613110281139</v>
      </c>
      <c r="H60" s="75" t="n">
        <v>-11.95236351780056</v>
      </c>
      <c r="I60" s="75" t="n">
        <v>169.333718049019</v>
      </c>
      <c r="J60" s="75" t="n">
        <v>80.62638391312151</v>
      </c>
      <c r="K60" s="75" t="n">
        <v>27.58068383721843</v>
      </c>
      <c r="L60" s="75" t="n">
        <v>65.53987627691174</v>
      </c>
      <c r="M60" s="75" t="n">
        <v>166.660153165571</v>
      </c>
      <c r="N60" s="75" t="n">
        <v>392.3300697061541</v>
      </c>
      <c r="O60" s="75" t="n">
        <v>701.3470499353068</v>
      </c>
    </row>
    <row r="61">
      <c r="A61" s="73" t="n">
        <v>9</v>
      </c>
      <c r="B61" s="74" t="inlineStr">
        <is>
          <t>Сегмент: Еком/Не поставщики/База</t>
        </is>
      </c>
      <c r="C61" s="75" t="n">
        <v>0</v>
      </c>
      <c r="D61" s="75" t="n">
        <v>0</v>
      </c>
      <c r="E61" s="75" t="n">
        <v>0</v>
      </c>
      <c r="F61" s="75" t="n">
        <v>0</v>
      </c>
      <c r="G61" s="75" t="n">
        <v>0</v>
      </c>
      <c r="H61" s="75" t="n">
        <v>0</v>
      </c>
      <c r="I61" s="75" t="n">
        <v>0</v>
      </c>
      <c r="J61" s="75" t="n">
        <v>0</v>
      </c>
      <c r="K61" s="75" t="n">
        <v>0</v>
      </c>
      <c r="L61" s="75" t="n">
        <v>0</v>
      </c>
      <c r="M61" s="75" t="n">
        <v>0</v>
      </c>
      <c r="N61" s="75" t="n">
        <v>0</v>
      </c>
      <c r="O61" s="75" t="n">
        <v>0</v>
      </c>
    </row>
    <row r="62">
      <c r="A62" s="73" t="n">
        <v>9</v>
      </c>
      <c r="B62" s="74" t="inlineStr">
        <is>
          <t>Сегмент: Еком/Не поставщики/Инкремент</t>
        </is>
      </c>
      <c r="C62" s="75" t="n">
        <v>792.959783795131</v>
      </c>
      <c r="D62" s="75" t="n">
        <v>26.56448480888185</v>
      </c>
      <c r="E62" s="75" t="n">
        <v>39.91951969399311</v>
      </c>
      <c r="F62" s="75" t="n">
        <v>45.31503402459204</v>
      </c>
      <c r="G62" s="75" t="n">
        <v>84.62960579507941</v>
      </c>
      <c r="H62" s="75" t="n">
        <v>74.85834393442731</v>
      </c>
      <c r="I62" s="75" t="n">
        <v>62.02851627867797</v>
      </c>
      <c r="J62" s="75" t="n">
        <v>73.60908197788025</v>
      </c>
      <c r="K62" s="75" t="n">
        <v>39.31073957650332</v>
      </c>
      <c r="L62" s="75" t="n">
        <v>69.43641997597699</v>
      </c>
      <c r="M62" s="75" t="n">
        <v>60.48607824840431</v>
      </c>
      <c r="N62" s="75" t="n">
        <v>95.53383960785276</v>
      </c>
      <c r="O62" s="75" t="n">
        <v>121.2681198728618</v>
      </c>
    </row>
    <row r="63">
      <c r="A63" s="73" t="n">
        <v>9</v>
      </c>
      <c r="B63" s="74" t="inlineStr">
        <is>
          <t>Сегмент: Не еком/Поставщики/База</t>
        </is>
      </c>
      <c r="C63" s="75" t="n">
        <v>1789.585298145922</v>
      </c>
      <c r="D63" s="75" t="n">
        <v>73.37123537709206</v>
      </c>
      <c r="E63" s="75" t="n">
        <v>112.3334174858469</v>
      </c>
      <c r="F63" s="75" t="n">
        <v>85.43761731841963</v>
      </c>
      <c r="G63" s="75" t="n">
        <v>38.11858699647576</v>
      </c>
      <c r="H63" s="75" t="n">
        <v>138.9938389242472</v>
      </c>
      <c r="I63" s="75" t="n">
        <v>400.1832145439754</v>
      </c>
      <c r="J63" s="75" t="n">
        <v>271.578281594351</v>
      </c>
      <c r="K63" s="75" t="n">
        <v>258.1423239964931</v>
      </c>
      <c r="L63" s="75" t="n">
        <v>244.267191596222</v>
      </c>
      <c r="M63" s="75" t="n">
        <v>78.87593173452916</v>
      </c>
      <c r="N63" s="75" t="n">
        <v>80.39027725775202</v>
      </c>
      <c r="O63" s="75" t="n">
        <v>7.893381320517904</v>
      </c>
    </row>
    <row r="64">
      <c r="A64" s="73" t="n">
        <v>9</v>
      </c>
      <c r="B64" s="74" t="inlineStr">
        <is>
          <t>Сегмент: Не еком/Поставщики/Инкремент</t>
        </is>
      </c>
      <c r="C64" s="75" t="n">
        <v>2525.204726252178</v>
      </c>
      <c r="D64" s="75" t="n">
        <v>50.5008565233333</v>
      </c>
      <c r="E64" s="75" t="n">
        <v>38.76309270999998</v>
      </c>
      <c r="F64" s="75" t="n">
        <v>43.59810321535087</v>
      </c>
      <c r="G64" s="75" t="n">
        <v>47.07977869500001</v>
      </c>
      <c r="H64" s="75" t="n">
        <v>149.9402042050001</v>
      </c>
      <c r="I64" s="75" t="n">
        <v>224.4061072166663</v>
      </c>
      <c r="J64" s="75" t="n">
        <v>269.4222818796492</v>
      </c>
      <c r="K64" s="75" t="n">
        <v>236.4782935949999</v>
      </c>
      <c r="L64" s="75" t="n">
        <v>432.3352977819399</v>
      </c>
      <c r="M64" s="75" t="n">
        <v>280.3396910679588</v>
      </c>
      <c r="N64" s="75" t="n">
        <v>328.7377547834711</v>
      </c>
      <c r="O64" s="75" t="n">
        <v>423.6032645788083</v>
      </c>
    </row>
    <row r="65">
      <c r="A65" s="73" t="n">
        <v>9</v>
      </c>
      <c r="B65" s="74" t="inlineStr">
        <is>
          <t>Сегмент: Не еком/Не поставщики/База</t>
        </is>
      </c>
      <c r="C65" s="75" t="n">
        <v>0</v>
      </c>
      <c r="D65" s="75" t="n">
        <v>0</v>
      </c>
      <c r="E65" s="75" t="n">
        <v>0</v>
      </c>
      <c r="F65" s="75" t="n">
        <v>0</v>
      </c>
      <c r="G65" s="75" t="n">
        <v>0</v>
      </c>
      <c r="H65" s="75" t="n">
        <v>0</v>
      </c>
      <c r="I65" s="75" t="n">
        <v>0</v>
      </c>
      <c r="J65" s="75" t="n">
        <v>0</v>
      </c>
      <c r="K65" s="75" t="n">
        <v>0</v>
      </c>
      <c r="L65" s="75" t="n">
        <v>0</v>
      </c>
      <c r="M65" s="75" t="n">
        <v>0</v>
      </c>
      <c r="N65" s="75" t="n">
        <v>0</v>
      </c>
      <c r="O65" s="75" t="n">
        <v>0</v>
      </c>
    </row>
    <row r="66">
      <c r="A66" s="73" t="n">
        <v>9</v>
      </c>
      <c r="B66" s="74" t="inlineStr">
        <is>
          <t>Сегмент: Не еком/Не поставщики/Инкремент</t>
        </is>
      </c>
      <c r="C66" s="75" t="n">
        <v>412.7583561550282</v>
      </c>
      <c r="D66" s="75" t="n">
        <v>10.12940581106562</v>
      </c>
      <c r="E66" s="75" t="n">
        <v>11.55154370860645</v>
      </c>
      <c r="F66" s="75" t="n">
        <v>20.61513304098355</v>
      </c>
      <c r="G66" s="75" t="n">
        <v>23.01197159836069</v>
      </c>
      <c r="H66" s="75" t="n">
        <v>13.72457901639347</v>
      </c>
      <c r="I66" s="75" t="n">
        <v>20.34580338524593</v>
      </c>
      <c r="J66" s="75" t="n">
        <v>36.28876156572287</v>
      </c>
      <c r="K66" s="75" t="n">
        <v>68.81761820900013</v>
      </c>
      <c r="L66" s="75" t="n">
        <v>48.60067886429997</v>
      </c>
      <c r="M66" s="75" t="n">
        <v>51.54826991368793</v>
      </c>
      <c r="N66" s="75" t="n">
        <v>52.98485597491241</v>
      </c>
      <c r="O66" s="75" t="n">
        <v>55.13973506674918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B5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11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</cols>
  <sheetData>
    <row r="1">
      <c r="A1" s="76" t="inlineStr">
        <is>
          <t>РАСЧЁТ — факт (версия m) и прогноз CTRL (версия m−1) по месяцам, млн руб. Служебный лист, ввод не нужен.</t>
        </is>
      </c>
    </row>
    <row r="2">
      <c r="D2" s="4" t="inlineStr">
        <is>
          <t>ACT: факт месяца (версия = месяц)</t>
        </is>
      </c>
      <c r="Q2" s="4" t="inlineStr">
        <is>
          <t>CTRL: прогноз на месяц (версия = месяц − 1)</t>
        </is>
      </c>
      <c r="AD2" s="4" t="inlineStr">
        <is>
          <t>|ACT − CTRL|</t>
        </is>
      </c>
      <c r="AQ2" s="4" t="inlineStr">
        <is>
          <t>|ACT|</t>
        </is>
      </c>
    </row>
    <row r="3">
      <c r="D3" s="9" t="n">
        <v>1</v>
      </c>
      <c r="E3" s="9" t="n">
        <v>2</v>
      </c>
      <c r="F3" s="9" t="n">
        <v>3</v>
      </c>
      <c r="G3" s="9" t="n">
        <v>4</v>
      </c>
      <c r="H3" s="9" t="n">
        <v>5</v>
      </c>
      <c r="I3" s="9" t="n">
        <v>6</v>
      </c>
      <c r="J3" s="9" t="n">
        <v>7</v>
      </c>
      <c r="K3" s="9" t="n">
        <v>8</v>
      </c>
      <c r="L3" s="9" t="n">
        <v>9</v>
      </c>
      <c r="M3" s="9" t="n">
        <v>10</v>
      </c>
      <c r="N3" s="9" t="n">
        <v>11</v>
      </c>
      <c r="O3" s="9" t="n">
        <v>12</v>
      </c>
      <c r="Q3" s="9" t="n">
        <v>1</v>
      </c>
      <c r="R3" s="9" t="n">
        <v>2</v>
      </c>
      <c r="S3" s="9" t="n">
        <v>3</v>
      </c>
      <c r="T3" s="9" t="n">
        <v>4</v>
      </c>
      <c r="U3" s="9" t="n">
        <v>5</v>
      </c>
      <c r="V3" s="9" t="n">
        <v>6</v>
      </c>
      <c r="W3" s="9" t="n">
        <v>7</v>
      </c>
      <c r="X3" s="9" t="n">
        <v>8</v>
      </c>
      <c r="Y3" s="9" t="n">
        <v>9</v>
      </c>
      <c r="Z3" s="9" t="n">
        <v>10</v>
      </c>
      <c r="AA3" s="9" t="n">
        <v>11</v>
      </c>
      <c r="AB3" s="9" t="n">
        <v>12</v>
      </c>
      <c r="AD3" s="9" t="n">
        <v>1</v>
      </c>
      <c r="AE3" s="9" t="n">
        <v>2</v>
      </c>
      <c r="AF3" s="9" t="n">
        <v>3</v>
      </c>
      <c r="AG3" s="9" t="n">
        <v>4</v>
      </c>
      <c r="AH3" s="9" t="n">
        <v>5</v>
      </c>
      <c r="AI3" s="9" t="n">
        <v>6</v>
      </c>
      <c r="AJ3" s="9" t="n">
        <v>7</v>
      </c>
      <c r="AK3" s="9" t="n">
        <v>8</v>
      </c>
      <c r="AL3" s="9" t="n">
        <v>9</v>
      </c>
      <c r="AM3" s="9" t="n">
        <v>10</v>
      </c>
      <c r="AN3" s="9" t="n">
        <v>11</v>
      </c>
      <c r="AO3" s="9" t="n">
        <v>12</v>
      </c>
      <c r="AQ3" s="9" t="n">
        <v>1</v>
      </c>
      <c r="AR3" s="9" t="n">
        <v>2</v>
      </c>
      <c r="AS3" s="9" t="n">
        <v>3</v>
      </c>
      <c r="AT3" s="9" t="n">
        <v>4</v>
      </c>
      <c r="AU3" s="9" t="n">
        <v>5</v>
      </c>
      <c r="AV3" s="9" t="n">
        <v>6</v>
      </c>
      <c r="AW3" s="9" t="n">
        <v>7</v>
      </c>
      <c r="AX3" s="9" t="n">
        <v>8</v>
      </c>
      <c r="AY3" s="9" t="n">
        <v>9</v>
      </c>
      <c r="AZ3" s="9" t="n">
        <v>10</v>
      </c>
      <c r="BA3" s="9" t="n">
        <v>11</v>
      </c>
      <c r="BB3" s="9" t="n">
        <v>12</v>
      </c>
    </row>
    <row r="4">
      <c r="A4" s="12" t="inlineStr">
        <is>
          <t>Флаг: версия загружена</t>
        </is>
      </c>
      <c r="D4" s="13" t="b">
        <f>COUNTIF(Журнал!$A$5:$A$1000,D$3)&gt;0</f>
        <v>0</v>
      </c>
      <c r="E4" s="13" t="b">
        <f>COUNTIF(Журнал!$A$5:$A$1000,E$3)&gt;0</f>
        <v>0</v>
      </c>
      <c r="F4" s="13" t="b">
        <f>COUNTIF(Журнал!$A$5:$A$1000,F$3)&gt;0</f>
        <v>0</v>
      </c>
      <c r="G4" s="13" t="b">
        <f>COUNTIF(Журнал!$A$5:$A$1000,G$3)&gt;0</f>
        <v>0</v>
      </c>
      <c r="H4" s="13" t="b">
        <f>COUNTIF(Журнал!$A$5:$A$1000,H$3)&gt;0</f>
        <v>0</v>
      </c>
      <c r="I4" s="13" t="b">
        <f>COUNTIF(Журнал!$A$5:$A$1000,I$3)&gt;0</f>
        <v>0</v>
      </c>
      <c r="J4" s="13" t="b">
        <f>COUNTIF(Журнал!$A$5:$A$1000,J$3)&gt;0</f>
        <v>0</v>
      </c>
      <c r="K4" s="13" t="b">
        <f>COUNTIF(Журнал!$A$5:$A$1000,K$3)&gt;0</f>
        <v>1</v>
      </c>
      <c r="L4" s="13" t="b">
        <f>COUNTIF(Журнал!$A$5:$A$1000,L$3)&gt;0</f>
        <v>1</v>
      </c>
      <c r="M4" s="13" t="b">
        <f>COUNTIF(Журнал!$A$5:$A$1000,M$3)&gt;0</f>
        <v>0</v>
      </c>
      <c r="N4" s="13" t="b">
        <f>COUNTIF(Журнал!$A$5:$A$1000,N$3)&gt;0</f>
        <v>0</v>
      </c>
      <c r="O4" s="13" t="b">
        <f>COUNTIF(Журнал!$A$5:$A$1000,O$3)&gt;0</f>
        <v>0</v>
      </c>
      <c r="Q4" s="13" t="b">
        <f>COUNTIF(Журнал!$A$5:$A$1000,Q$3-1)&gt;0</f>
        <v>0</v>
      </c>
      <c r="R4" s="13" t="b">
        <f>COUNTIF(Журнал!$A$5:$A$1000,R$3-1)&gt;0</f>
        <v>0</v>
      </c>
      <c r="S4" s="13" t="b">
        <f>COUNTIF(Журнал!$A$5:$A$1000,S$3-1)&gt;0</f>
        <v>0</v>
      </c>
      <c r="T4" s="13" t="b">
        <f>COUNTIF(Журнал!$A$5:$A$1000,T$3-1)&gt;0</f>
        <v>0</v>
      </c>
      <c r="U4" s="13" t="b">
        <f>COUNTIF(Журнал!$A$5:$A$1000,U$3-1)&gt;0</f>
        <v>0</v>
      </c>
      <c r="V4" s="13" t="b">
        <f>COUNTIF(Журнал!$A$5:$A$1000,V$3-1)&gt;0</f>
        <v>0</v>
      </c>
      <c r="W4" s="13" t="b">
        <f>COUNTIF(Журнал!$A$5:$A$1000,W$3-1)&gt;0</f>
        <v>0</v>
      </c>
      <c r="X4" s="13" t="b">
        <f>COUNTIF(Журнал!$A$5:$A$1000,X$3-1)&gt;0</f>
        <v>0</v>
      </c>
      <c r="Y4" s="13" t="b">
        <f>COUNTIF(Журнал!$A$5:$A$1000,Y$3-1)&gt;0</f>
        <v>1</v>
      </c>
      <c r="Z4" s="13" t="b">
        <f>COUNTIF(Журнал!$A$5:$A$1000,Z$3-1)&gt;0</f>
        <v>1</v>
      </c>
      <c r="AA4" s="13" t="b">
        <f>COUNTIF(Журнал!$A$5:$A$1000,AA$3-1)&gt;0</f>
        <v>0</v>
      </c>
      <c r="AB4" s="13" t="b">
        <f>COUNTIF(Журнал!$A$5:$A$1000,AB$3-1)&gt;0</f>
        <v>0</v>
      </c>
      <c r="AD4" s="13" t="b">
        <f>AND(D$4,Q$4)</f>
        <v>0</v>
      </c>
      <c r="AE4" s="13" t="b">
        <f>AND(E$4,R$4)</f>
        <v>0</v>
      </c>
      <c r="AF4" s="13" t="b">
        <f>AND(F$4,S$4)</f>
        <v>0</v>
      </c>
      <c r="AG4" s="13" t="b">
        <f>AND(G$4,T$4)</f>
        <v>0</v>
      </c>
      <c r="AH4" s="13" t="b">
        <f>AND(H$4,U$4)</f>
        <v>0</v>
      </c>
      <c r="AI4" s="13" t="b">
        <f>AND(I$4,V$4)</f>
        <v>0</v>
      </c>
      <c r="AJ4" s="13" t="b">
        <f>AND(J$4,W$4)</f>
        <v>0</v>
      </c>
      <c r="AK4" s="13" t="b">
        <f>AND(K$4,X$4)</f>
        <v>0</v>
      </c>
      <c r="AL4" s="13" t="b">
        <f>AND(L$4,Y$4)</f>
        <v>1</v>
      </c>
      <c r="AM4" s="13" t="b">
        <f>AND(M$4,Z$4)</f>
        <v>0</v>
      </c>
      <c r="AN4" s="13" t="b">
        <f>AND(N$4,AA$4)</f>
        <v>0</v>
      </c>
      <c r="AO4" s="13" t="b">
        <f>AND(O$4,AB$4)</f>
        <v>0</v>
      </c>
    </row>
    <row r="5">
      <c r="A5" s="77" t="inlineStr">
        <is>
          <t>Статья (ключ журнала)</t>
        </is>
      </c>
      <c r="B5" s="77" t="inlineStr">
        <is>
          <t>Строка свода</t>
        </is>
      </c>
      <c r="C5" s="77" t="inlineStr">
        <is>
          <t>Группа точности</t>
        </is>
      </c>
    </row>
    <row r="6">
      <c r="A6" s="5" t="inlineStr">
        <is>
          <t>Выручка: APP</t>
        </is>
      </c>
      <c r="B6" s="5" t="inlineStr">
        <is>
          <t>APP</t>
        </is>
      </c>
      <c r="C6" s="8" t="inlineStr">
        <is>
          <t>Выручка</t>
        </is>
      </c>
      <c r="D6" s="78" t="str">
        <f>IF(D$4,SUMIFS(INDEX(Журнал!$D$5:$O$1000,0,D$3),Журнал!$A$5:$A$1000,D$3,Журнал!$B$5:$B$1000,$A6),"")</f>
        <v/>
      </c>
      <c r="E6" s="78" t="str">
        <f>IF(E$4,SUMIFS(INDEX(Журнал!$D$5:$O$1000,0,E$3),Журнал!$A$5:$A$1000,E$3,Журнал!$B$5:$B$1000,$A6),"")</f>
        <v/>
      </c>
      <c r="F6" s="78" t="str">
        <f>IF(F$4,SUMIFS(INDEX(Журнал!$D$5:$O$1000,0,F$3),Журнал!$A$5:$A$1000,F$3,Журнал!$B$5:$B$1000,$A6),"")</f>
        <v/>
      </c>
      <c r="G6" s="78" t="str">
        <f>IF(G$4,SUMIFS(INDEX(Журнал!$D$5:$O$1000,0,G$3),Журнал!$A$5:$A$1000,G$3,Журнал!$B$5:$B$1000,$A6),"")</f>
        <v/>
      </c>
      <c r="H6" s="78" t="str">
        <f>IF(H$4,SUMIFS(INDEX(Журнал!$D$5:$O$1000,0,H$3),Журнал!$A$5:$A$1000,H$3,Журнал!$B$5:$B$1000,$A6),"")</f>
        <v/>
      </c>
      <c r="I6" s="78" t="str">
        <f>IF(I$4,SUMIFS(INDEX(Журнал!$D$5:$O$1000,0,I$3),Журнал!$A$5:$A$1000,I$3,Журнал!$B$5:$B$1000,$A6),"")</f>
        <v/>
      </c>
      <c r="J6" s="78" t="str">
        <f>IF(J$4,SUMIFS(INDEX(Журнал!$D$5:$O$1000,0,J$3),Журнал!$A$5:$A$1000,J$3,Журнал!$B$5:$B$1000,$A6),"")</f>
        <v/>
      </c>
      <c r="K6" s="78">
        <f>IF(K$4,SUMIFS(INDEX(Журнал!$D$5:$O$1000,0,K$3),Журнал!$A$5:$A$1000,K$3,Журнал!$B$5:$B$1000,$A6),"")</f>
        <v>400.67224533153</v>
      </c>
      <c r="L6" s="78">
        <f>IF(L$4,SUMIFS(INDEX(Журнал!$D$5:$O$1000,0,L$3),Журнал!$A$5:$A$1000,L$3,Журнал!$B$5:$B$1000,$A6),"")</f>
        <v>457.989994883026</v>
      </c>
      <c r="M6" s="78" t="str">
        <f>IF(M$4,SUMIFS(INDEX(Журнал!$D$5:$O$1000,0,M$3),Журнал!$A$5:$A$1000,M$3,Журнал!$B$5:$B$1000,$A6),"")</f>
        <v/>
      </c>
      <c r="N6" s="78" t="str">
        <f>IF(N$4,SUMIFS(INDEX(Журнал!$D$5:$O$1000,0,N$3),Журнал!$A$5:$A$1000,N$3,Журнал!$B$5:$B$1000,$A6),"")</f>
        <v/>
      </c>
      <c r="O6" s="78" t="str">
        <f>IF(O$4,SUMIFS(INDEX(Журнал!$D$5:$O$1000,0,O$3),Журнал!$A$5:$A$1000,O$3,Журнал!$B$5:$B$1000,$A6),"")</f>
        <v/>
      </c>
      <c r="Q6" s="78" t="str">
        <f>IF(Q$4,SUMIFS(INDEX(Журнал!$D$5:$O$1000,0,Q$3),Журнал!$A$5:$A$1000,Q$3-1,Журнал!$B$5:$B$1000,$A6),"")</f>
        <v/>
      </c>
      <c r="R6" s="78" t="str">
        <f>IF(R$4,SUMIFS(INDEX(Журнал!$D$5:$O$1000,0,R$3),Журнал!$A$5:$A$1000,R$3-1,Журнал!$B$5:$B$1000,$A6),"")</f>
        <v/>
      </c>
      <c r="S6" s="78" t="str">
        <f>IF(S$4,SUMIFS(INDEX(Журнал!$D$5:$O$1000,0,S$3),Журнал!$A$5:$A$1000,S$3-1,Журнал!$B$5:$B$1000,$A6),"")</f>
        <v/>
      </c>
      <c r="T6" s="78" t="str">
        <f>IF(T$4,SUMIFS(INDEX(Журнал!$D$5:$O$1000,0,T$3),Журнал!$A$5:$A$1000,T$3-1,Журнал!$B$5:$B$1000,$A6),"")</f>
        <v/>
      </c>
      <c r="U6" s="78" t="str">
        <f>IF(U$4,SUMIFS(INDEX(Журнал!$D$5:$O$1000,0,U$3),Журнал!$A$5:$A$1000,U$3-1,Журнал!$B$5:$B$1000,$A6),"")</f>
        <v/>
      </c>
      <c r="V6" s="78" t="str">
        <f>IF(V$4,SUMIFS(INDEX(Журнал!$D$5:$O$1000,0,V$3),Журнал!$A$5:$A$1000,V$3-1,Журнал!$B$5:$B$1000,$A6),"")</f>
        <v/>
      </c>
      <c r="W6" s="78" t="str">
        <f>IF(W$4,SUMIFS(INDEX(Журнал!$D$5:$O$1000,0,W$3),Журнал!$A$5:$A$1000,W$3-1,Журнал!$B$5:$B$1000,$A6),"")</f>
        <v/>
      </c>
      <c r="X6" s="78" t="str">
        <f>IF(X$4,SUMIFS(INDEX(Журнал!$D$5:$O$1000,0,X$3),Журнал!$A$5:$A$1000,X$3-1,Журнал!$B$5:$B$1000,$A6),"")</f>
        <v/>
      </c>
      <c r="Y6" s="78">
        <f>IF(Y$4,SUMIFS(INDEX(Журнал!$D$5:$O$1000,0,Y$3),Журнал!$A$5:$A$1000,Y$3-1,Журнал!$B$5:$B$1000,$A6),"")</f>
        <v>765.326605574604</v>
      </c>
      <c r="Z6" s="78">
        <f>IF(Z$4,SUMIFS(INDEX(Журнал!$D$5:$O$1000,0,Z$3),Журнал!$A$5:$A$1000,Z$3-1,Журнал!$B$5:$B$1000,$A6),"")</f>
        <v>560.927053331784</v>
      </c>
      <c r="AA6" s="78" t="str">
        <f>IF(AA$4,SUMIFS(INDEX(Журнал!$D$5:$O$1000,0,AA$3),Журнал!$A$5:$A$1000,AA$3-1,Журнал!$B$5:$B$1000,$A6),"")</f>
        <v/>
      </c>
      <c r="AB6" s="78" t="str">
        <f>IF(AB$4,SUMIFS(INDEX(Журнал!$D$5:$O$1000,0,AB$3),Журнал!$A$5:$A$1000,AB$3-1,Журнал!$B$5:$B$1000,$A6),"")</f>
        <v/>
      </c>
      <c r="AD6" s="21" t="str">
        <f>IF(AD$4,ABS(D6-Q6),"")</f>
        <v/>
      </c>
      <c r="AE6" s="21" t="str">
        <f>IF(AE$4,ABS(E6-R6),"")</f>
        <v/>
      </c>
      <c r="AF6" s="21" t="str">
        <f>IF(AF$4,ABS(F6-S6),"")</f>
        <v/>
      </c>
      <c r="AG6" s="21" t="str">
        <f>IF(AG$4,ABS(G6-T6),"")</f>
        <v/>
      </c>
      <c r="AH6" s="21" t="str">
        <f>IF(AH$4,ABS(H6-U6),"")</f>
        <v/>
      </c>
      <c r="AI6" s="21" t="str">
        <f>IF(AI$4,ABS(I6-V6),"")</f>
        <v/>
      </c>
      <c r="AJ6" s="21" t="str">
        <f>IF(AJ$4,ABS(J6-W6),"")</f>
        <v/>
      </c>
      <c r="AK6" s="21" t="str">
        <f>IF(AK$4,ABS(K6-X6),"")</f>
        <v/>
      </c>
      <c r="AL6" s="21">
        <f>IF(AL$4,ABS(L6-Y6),"")</f>
        <v>307.336610691578</v>
      </c>
      <c r="AM6" s="21" t="str">
        <f>IF(AM$4,ABS(M6-Z6),"")</f>
        <v/>
      </c>
      <c r="AN6" s="21" t="str">
        <f>IF(AN$4,ABS(N6-AA6),"")</f>
        <v/>
      </c>
      <c r="AO6" s="21" t="str">
        <f>IF(AO$4,ABS(O6-AB6),"")</f>
        <v/>
      </c>
      <c r="AQ6" s="21" t="str">
        <f>IF(AD$4,ABS(D6),"")</f>
        <v/>
      </c>
      <c r="AR6" s="21" t="str">
        <f>IF(AE$4,ABS(E6),"")</f>
        <v/>
      </c>
      <c r="AS6" s="21" t="str">
        <f>IF(AF$4,ABS(F6),"")</f>
        <v/>
      </c>
      <c r="AT6" s="21" t="str">
        <f>IF(AG$4,ABS(G6),"")</f>
        <v/>
      </c>
      <c r="AU6" s="21" t="str">
        <f>IF(AH$4,ABS(H6),"")</f>
        <v/>
      </c>
      <c r="AV6" s="21" t="str">
        <f>IF(AI$4,ABS(I6),"")</f>
        <v/>
      </c>
      <c r="AW6" s="21" t="str">
        <f>IF(AJ$4,ABS(J6),"")</f>
        <v/>
      </c>
      <c r="AX6" s="21" t="str">
        <f>IF(AK$4,ABS(K6),"")</f>
        <v/>
      </c>
      <c r="AY6" s="21">
        <f>IF(AL$4,ABS(L6),"")</f>
        <v>457.989994883026</v>
      </c>
      <c r="AZ6" s="21" t="str">
        <f>IF(AM$4,ABS(M6),"")</f>
        <v/>
      </c>
      <c r="BA6" s="21" t="str">
        <f>IF(AN$4,ABS(N6),"")</f>
        <v/>
      </c>
      <c r="BB6" s="21" t="str">
        <f>IF(AO$4,ABS(O6),"")</f>
        <v/>
      </c>
    </row>
    <row r="7">
      <c r="A7" s="5" t="inlineStr">
        <is>
          <t>Выручка: MIP</t>
        </is>
      </c>
      <c r="B7" s="5" t="inlineStr">
        <is>
          <t>Прочие направления</t>
        </is>
      </c>
      <c r="C7" s="8" t="inlineStr">
        <is>
          <t>Выручка</t>
        </is>
      </c>
      <c r="D7" s="78" t="str">
        <f>IF(D$4,SUMIFS(INDEX(Журнал!$D$5:$O$1000,0,D$3),Журнал!$A$5:$A$1000,D$3,Журнал!$B$5:$B$1000,$A7),"")</f>
        <v/>
      </c>
      <c r="E7" s="78" t="str">
        <f>IF(E$4,SUMIFS(INDEX(Журнал!$D$5:$O$1000,0,E$3),Журнал!$A$5:$A$1000,E$3,Журнал!$B$5:$B$1000,$A7),"")</f>
        <v/>
      </c>
      <c r="F7" s="78" t="str">
        <f>IF(F$4,SUMIFS(INDEX(Журнал!$D$5:$O$1000,0,F$3),Журнал!$A$5:$A$1000,F$3,Журнал!$B$5:$B$1000,$A7),"")</f>
        <v/>
      </c>
      <c r="G7" s="78" t="str">
        <f>IF(G$4,SUMIFS(INDEX(Журнал!$D$5:$O$1000,0,G$3),Журнал!$A$5:$A$1000,G$3,Журнал!$B$5:$B$1000,$A7),"")</f>
        <v/>
      </c>
      <c r="H7" s="78" t="str">
        <f>IF(H$4,SUMIFS(INDEX(Журнал!$D$5:$O$1000,0,H$3),Журнал!$A$5:$A$1000,H$3,Журнал!$B$5:$B$1000,$A7),"")</f>
        <v/>
      </c>
      <c r="I7" s="78" t="str">
        <f>IF(I$4,SUMIFS(INDEX(Журнал!$D$5:$O$1000,0,I$3),Журнал!$A$5:$A$1000,I$3,Журнал!$B$5:$B$1000,$A7),"")</f>
        <v/>
      </c>
      <c r="J7" s="78" t="str">
        <f>IF(J$4,SUMIFS(INDEX(Журнал!$D$5:$O$1000,0,J$3),Журнал!$A$5:$A$1000,J$3,Журнал!$B$5:$B$1000,$A7),"")</f>
        <v/>
      </c>
      <c r="K7" s="78">
        <f>IF(K$4,SUMIFS(INDEX(Журнал!$D$5:$O$1000,0,K$3),Журнал!$A$5:$A$1000,K$3,Журнал!$B$5:$B$1000,$A7),"")</f>
        <v>0.173298426229508</v>
      </c>
      <c r="L7" s="78">
        <f>IF(L$4,SUMIFS(INDEX(Журнал!$D$5:$O$1000,0,L$3),Журнал!$A$5:$A$1000,L$3,Журнал!$B$5:$B$1000,$A7),"")</f>
        <v>0</v>
      </c>
      <c r="M7" s="78" t="str">
        <f>IF(M$4,SUMIFS(INDEX(Журнал!$D$5:$O$1000,0,M$3),Журнал!$A$5:$A$1000,M$3,Журнал!$B$5:$B$1000,$A7),"")</f>
        <v/>
      </c>
      <c r="N7" s="78" t="str">
        <f>IF(N$4,SUMIFS(INDEX(Журнал!$D$5:$O$1000,0,N$3),Журнал!$A$5:$A$1000,N$3,Журнал!$B$5:$B$1000,$A7),"")</f>
        <v/>
      </c>
      <c r="O7" s="78" t="str">
        <f>IF(O$4,SUMIFS(INDEX(Журнал!$D$5:$O$1000,0,O$3),Журнал!$A$5:$A$1000,O$3,Журнал!$B$5:$B$1000,$A7),"")</f>
        <v/>
      </c>
      <c r="Q7" s="78" t="str">
        <f>IF(Q$4,SUMIFS(INDEX(Журнал!$D$5:$O$1000,0,Q$3),Журнал!$A$5:$A$1000,Q$3-1,Журнал!$B$5:$B$1000,$A7),"")</f>
        <v/>
      </c>
      <c r="R7" s="78" t="str">
        <f>IF(R$4,SUMIFS(INDEX(Журнал!$D$5:$O$1000,0,R$3),Журнал!$A$5:$A$1000,R$3-1,Журнал!$B$5:$B$1000,$A7),"")</f>
        <v/>
      </c>
      <c r="S7" s="78" t="str">
        <f>IF(S$4,SUMIFS(INDEX(Журнал!$D$5:$O$1000,0,S$3),Журнал!$A$5:$A$1000,S$3-1,Журнал!$B$5:$B$1000,$A7),"")</f>
        <v/>
      </c>
      <c r="T7" s="78" t="str">
        <f>IF(T$4,SUMIFS(INDEX(Журнал!$D$5:$O$1000,0,T$3),Журнал!$A$5:$A$1000,T$3-1,Журнал!$B$5:$B$1000,$A7),"")</f>
        <v/>
      </c>
      <c r="U7" s="78" t="str">
        <f>IF(U$4,SUMIFS(INDEX(Журнал!$D$5:$O$1000,0,U$3),Журнал!$A$5:$A$1000,U$3-1,Журнал!$B$5:$B$1000,$A7),"")</f>
        <v/>
      </c>
      <c r="V7" s="78" t="str">
        <f>IF(V$4,SUMIFS(INDEX(Журнал!$D$5:$O$1000,0,V$3),Журнал!$A$5:$A$1000,V$3-1,Журнал!$B$5:$B$1000,$A7),"")</f>
        <v/>
      </c>
      <c r="W7" s="78" t="str">
        <f>IF(W$4,SUMIFS(INDEX(Журнал!$D$5:$O$1000,0,W$3),Журнал!$A$5:$A$1000,W$3-1,Журнал!$B$5:$B$1000,$A7),"")</f>
        <v/>
      </c>
      <c r="X7" s="78" t="str">
        <f>IF(X$4,SUMIFS(INDEX(Журнал!$D$5:$O$1000,0,X$3),Журнал!$A$5:$A$1000,X$3-1,Журнал!$B$5:$B$1000,$A7),"")</f>
        <v/>
      </c>
      <c r="Y7" s="78">
        <f>IF(Y$4,SUMIFS(INDEX(Журнал!$D$5:$O$1000,0,Y$3),Журнал!$A$5:$A$1000,Y$3-1,Журнал!$B$5:$B$1000,$A7),"")</f>
        <v>0.841669402561448</v>
      </c>
      <c r="Z7" s="78">
        <f>IF(Z$4,SUMIFS(INDEX(Журнал!$D$5:$O$1000,0,Z$3),Журнал!$A$5:$A$1000,Z$3-1,Журнал!$B$5:$B$1000,$A7),"")</f>
        <v>0.816164269150495</v>
      </c>
      <c r="AA7" s="78" t="str">
        <f>IF(AA$4,SUMIFS(INDEX(Журнал!$D$5:$O$1000,0,AA$3),Журнал!$A$5:$A$1000,AA$3-1,Журнал!$B$5:$B$1000,$A7),"")</f>
        <v/>
      </c>
      <c r="AB7" s="78" t="str">
        <f>IF(AB$4,SUMIFS(INDEX(Журнал!$D$5:$O$1000,0,AB$3),Журнал!$A$5:$A$1000,AB$3-1,Журнал!$B$5:$B$1000,$A7),"")</f>
        <v/>
      </c>
      <c r="AD7" s="21" t="str">
        <f>IF(AD$4,ABS(D7-Q7),"")</f>
        <v/>
      </c>
      <c r="AE7" s="21" t="str">
        <f>IF(AE$4,ABS(E7-R7),"")</f>
        <v/>
      </c>
      <c r="AF7" s="21" t="str">
        <f>IF(AF$4,ABS(F7-S7),"")</f>
        <v/>
      </c>
      <c r="AG7" s="21" t="str">
        <f>IF(AG$4,ABS(G7-T7),"")</f>
        <v/>
      </c>
      <c r="AH7" s="21" t="str">
        <f>IF(AH$4,ABS(H7-U7),"")</f>
        <v/>
      </c>
      <c r="AI7" s="21" t="str">
        <f>IF(AI$4,ABS(I7-V7),"")</f>
        <v/>
      </c>
      <c r="AJ7" s="21" t="str">
        <f>IF(AJ$4,ABS(J7-W7),"")</f>
        <v/>
      </c>
      <c r="AK7" s="21" t="str">
        <f>IF(AK$4,ABS(K7-X7),"")</f>
        <v/>
      </c>
      <c r="AL7" s="21">
        <f>IF(AL$4,ABS(L7-Y7),"")</f>
        <v>0.841669402561448</v>
      </c>
      <c r="AM7" s="21" t="str">
        <f>IF(AM$4,ABS(M7-Z7),"")</f>
        <v/>
      </c>
      <c r="AN7" s="21" t="str">
        <f>IF(AN$4,ABS(N7-AA7),"")</f>
        <v/>
      </c>
      <c r="AO7" s="21" t="str">
        <f>IF(AO$4,ABS(O7-AB7),"")</f>
        <v/>
      </c>
      <c r="AQ7" s="21" t="str">
        <f>IF(AD$4,ABS(D7),"")</f>
        <v/>
      </c>
      <c r="AR7" s="21" t="str">
        <f>IF(AE$4,ABS(E7),"")</f>
        <v/>
      </c>
      <c r="AS7" s="21" t="str">
        <f>IF(AF$4,ABS(F7),"")</f>
        <v/>
      </c>
      <c r="AT7" s="21" t="str">
        <f>IF(AG$4,ABS(G7),"")</f>
        <v/>
      </c>
      <c r="AU7" s="21" t="str">
        <f>IF(AH$4,ABS(H7),"")</f>
        <v/>
      </c>
      <c r="AV7" s="21" t="str">
        <f>IF(AI$4,ABS(I7),"")</f>
        <v/>
      </c>
      <c r="AW7" s="21" t="str">
        <f>IF(AJ$4,ABS(J7),"")</f>
        <v/>
      </c>
      <c r="AX7" s="21" t="str">
        <f>IF(AK$4,ABS(K7),"")</f>
        <v/>
      </c>
      <c r="AY7" s="21">
        <f>IF(AL$4,ABS(L7),"")</f>
        <v>0</v>
      </c>
      <c r="AZ7" s="21" t="str">
        <f>IF(AM$4,ABS(M7),"")</f>
        <v/>
      </c>
      <c r="BA7" s="21" t="str">
        <f>IF(AN$4,ABS(N7),"")</f>
        <v/>
      </c>
      <c r="BB7" s="21" t="str">
        <f>IF(AO$4,ABS(O7),"")</f>
        <v/>
      </c>
    </row>
    <row r="8">
      <c r="A8" s="5" t="inlineStr">
        <is>
          <t>Выручка: Magnit Market</t>
        </is>
      </c>
      <c r="B8" s="5" t="inlineStr">
        <is>
          <t>Прочие направления</t>
        </is>
      </c>
      <c r="C8" s="8" t="inlineStr">
        <is>
          <t>Выручка</t>
        </is>
      </c>
      <c r="D8" s="78" t="str">
        <f>IF(D$4,SUMIFS(INDEX(Журнал!$D$5:$O$1000,0,D$3),Журнал!$A$5:$A$1000,D$3,Журнал!$B$5:$B$1000,$A8),"")</f>
        <v/>
      </c>
      <c r="E8" s="78" t="str">
        <f>IF(E$4,SUMIFS(INDEX(Журнал!$D$5:$O$1000,0,E$3),Журнал!$A$5:$A$1000,E$3,Журнал!$B$5:$B$1000,$A8),"")</f>
        <v/>
      </c>
      <c r="F8" s="78" t="str">
        <f>IF(F$4,SUMIFS(INDEX(Журнал!$D$5:$O$1000,0,F$3),Журнал!$A$5:$A$1000,F$3,Журнал!$B$5:$B$1000,$A8),"")</f>
        <v/>
      </c>
      <c r="G8" s="78" t="str">
        <f>IF(G$4,SUMIFS(INDEX(Журнал!$D$5:$O$1000,0,G$3),Журнал!$A$5:$A$1000,G$3,Журнал!$B$5:$B$1000,$A8),"")</f>
        <v/>
      </c>
      <c r="H8" s="78" t="str">
        <f>IF(H$4,SUMIFS(INDEX(Журнал!$D$5:$O$1000,0,H$3),Журнал!$A$5:$A$1000,H$3,Журнал!$B$5:$B$1000,$A8),"")</f>
        <v/>
      </c>
      <c r="I8" s="78" t="str">
        <f>IF(I$4,SUMIFS(INDEX(Журнал!$D$5:$O$1000,0,I$3),Журнал!$A$5:$A$1000,I$3,Журнал!$B$5:$B$1000,$A8),"")</f>
        <v/>
      </c>
      <c r="J8" s="78" t="str">
        <f>IF(J$4,SUMIFS(INDEX(Журнал!$D$5:$O$1000,0,J$3),Журнал!$A$5:$A$1000,J$3,Журнал!$B$5:$B$1000,$A8),"")</f>
        <v/>
      </c>
      <c r="K8" s="78">
        <f>IF(K$4,SUMIFS(INDEX(Журнал!$D$5:$O$1000,0,K$3),Журнал!$A$5:$A$1000,K$3,Журнал!$B$5:$B$1000,$A8),"")</f>
        <v>0</v>
      </c>
      <c r="L8" s="78">
        <f>IF(L$4,SUMIFS(INDEX(Журнал!$D$5:$O$1000,0,L$3),Журнал!$A$5:$A$1000,L$3,Журнал!$B$5:$B$1000,$A8),"")</f>
        <v>0</v>
      </c>
      <c r="M8" s="78" t="str">
        <f>IF(M$4,SUMIFS(INDEX(Журнал!$D$5:$O$1000,0,M$3),Журнал!$A$5:$A$1000,M$3,Журнал!$B$5:$B$1000,$A8),"")</f>
        <v/>
      </c>
      <c r="N8" s="78" t="str">
        <f>IF(N$4,SUMIFS(INDEX(Журнал!$D$5:$O$1000,0,N$3),Журнал!$A$5:$A$1000,N$3,Журнал!$B$5:$B$1000,$A8),"")</f>
        <v/>
      </c>
      <c r="O8" s="78" t="str">
        <f>IF(O$4,SUMIFS(INDEX(Журнал!$D$5:$O$1000,0,O$3),Журнал!$A$5:$A$1000,O$3,Журнал!$B$5:$B$1000,$A8),"")</f>
        <v/>
      </c>
      <c r="Q8" s="78" t="str">
        <f>IF(Q$4,SUMIFS(INDEX(Журнал!$D$5:$O$1000,0,Q$3),Журнал!$A$5:$A$1000,Q$3-1,Журнал!$B$5:$B$1000,$A8),"")</f>
        <v/>
      </c>
      <c r="R8" s="78" t="str">
        <f>IF(R$4,SUMIFS(INDEX(Журнал!$D$5:$O$1000,0,R$3),Журнал!$A$5:$A$1000,R$3-1,Журнал!$B$5:$B$1000,$A8),"")</f>
        <v/>
      </c>
      <c r="S8" s="78" t="str">
        <f>IF(S$4,SUMIFS(INDEX(Журнал!$D$5:$O$1000,0,S$3),Журнал!$A$5:$A$1000,S$3-1,Журнал!$B$5:$B$1000,$A8),"")</f>
        <v/>
      </c>
      <c r="T8" s="78" t="str">
        <f>IF(T$4,SUMIFS(INDEX(Журнал!$D$5:$O$1000,0,T$3),Журнал!$A$5:$A$1000,T$3-1,Журнал!$B$5:$B$1000,$A8),"")</f>
        <v/>
      </c>
      <c r="U8" s="78" t="str">
        <f>IF(U$4,SUMIFS(INDEX(Журнал!$D$5:$O$1000,0,U$3),Журнал!$A$5:$A$1000,U$3-1,Журнал!$B$5:$B$1000,$A8),"")</f>
        <v/>
      </c>
      <c r="V8" s="78" t="str">
        <f>IF(V$4,SUMIFS(INDEX(Журнал!$D$5:$O$1000,0,V$3),Журнал!$A$5:$A$1000,V$3-1,Журнал!$B$5:$B$1000,$A8),"")</f>
        <v/>
      </c>
      <c r="W8" s="78" t="str">
        <f>IF(W$4,SUMIFS(INDEX(Журнал!$D$5:$O$1000,0,W$3),Журнал!$A$5:$A$1000,W$3-1,Журнал!$B$5:$B$1000,$A8),"")</f>
        <v/>
      </c>
      <c r="X8" s="78" t="str">
        <f>IF(X$4,SUMIFS(INDEX(Журнал!$D$5:$O$1000,0,X$3),Журнал!$A$5:$A$1000,X$3-1,Журнал!$B$5:$B$1000,$A8),"")</f>
        <v/>
      </c>
      <c r="Y8" s="78">
        <f>IF(Y$4,SUMIFS(INDEX(Журнал!$D$5:$O$1000,0,Y$3),Журнал!$A$5:$A$1000,Y$3-1,Журнал!$B$5:$B$1000,$A8),"")</f>
        <v>0.4634102</v>
      </c>
      <c r="Z8" s="78">
        <f>IF(Z$4,SUMIFS(INDEX(Журнал!$D$5:$O$1000,0,Z$3),Журнал!$A$5:$A$1000,Z$3-1,Журнал!$B$5:$B$1000,$A8),"")</f>
        <v>0.449367466666667</v>
      </c>
      <c r="AA8" s="78" t="str">
        <f>IF(AA$4,SUMIFS(INDEX(Журнал!$D$5:$O$1000,0,AA$3),Журнал!$A$5:$A$1000,AA$3-1,Журнал!$B$5:$B$1000,$A8),"")</f>
        <v/>
      </c>
      <c r="AB8" s="78" t="str">
        <f>IF(AB$4,SUMIFS(INDEX(Журнал!$D$5:$O$1000,0,AB$3),Журнал!$A$5:$A$1000,AB$3-1,Журнал!$B$5:$B$1000,$A8),"")</f>
        <v/>
      </c>
      <c r="AD8" s="21" t="str">
        <f>IF(AD$4,ABS(D8-Q8),"")</f>
        <v/>
      </c>
      <c r="AE8" s="21" t="str">
        <f>IF(AE$4,ABS(E8-R8),"")</f>
        <v/>
      </c>
      <c r="AF8" s="21" t="str">
        <f>IF(AF$4,ABS(F8-S8),"")</f>
        <v/>
      </c>
      <c r="AG8" s="21" t="str">
        <f>IF(AG$4,ABS(G8-T8),"")</f>
        <v/>
      </c>
      <c r="AH8" s="21" t="str">
        <f>IF(AH$4,ABS(H8-U8),"")</f>
        <v/>
      </c>
      <c r="AI8" s="21" t="str">
        <f>IF(AI$4,ABS(I8-V8),"")</f>
        <v/>
      </c>
      <c r="AJ8" s="21" t="str">
        <f>IF(AJ$4,ABS(J8-W8),"")</f>
        <v/>
      </c>
      <c r="AK8" s="21" t="str">
        <f>IF(AK$4,ABS(K8-X8),"")</f>
        <v/>
      </c>
      <c r="AL8" s="21">
        <f>IF(AL$4,ABS(L8-Y8),"")</f>
        <v>0.4634102</v>
      </c>
      <c r="AM8" s="21" t="str">
        <f>IF(AM$4,ABS(M8-Z8),"")</f>
        <v/>
      </c>
      <c r="AN8" s="21" t="str">
        <f>IF(AN$4,ABS(N8-AA8),"")</f>
        <v/>
      </c>
      <c r="AO8" s="21" t="str">
        <f>IF(AO$4,ABS(O8-AB8),"")</f>
        <v/>
      </c>
      <c r="AQ8" s="21" t="str">
        <f>IF(AD$4,ABS(D8),"")</f>
        <v/>
      </c>
      <c r="AR8" s="21" t="str">
        <f>IF(AE$4,ABS(E8),"")</f>
        <v/>
      </c>
      <c r="AS8" s="21" t="str">
        <f>IF(AF$4,ABS(F8),"")</f>
        <v/>
      </c>
      <c r="AT8" s="21" t="str">
        <f>IF(AG$4,ABS(G8),"")</f>
        <v/>
      </c>
      <c r="AU8" s="21" t="str">
        <f>IF(AH$4,ABS(H8),"")</f>
        <v/>
      </c>
      <c r="AV8" s="21" t="str">
        <f>IF(AI$4,ABS(I8),"")</f>
        <v/>
      </c>
      <c r="AW8" s="21" t="str">
        <f>IF(AJ$4,ABS(J8),"")</f>
        <v/>
      </c>
      <c r="AX8" s="21" t="str">
        <f>IF(AK$4,ABS(K8),"")</f>
        <v/>
      </c>
      <c r="AY8" s="21">
        <f>IF(AL$4,ABS(L8),"")</f>
        <v>0</v>
      </c>
      <c r="AZ8" s="21" t="str">
        <f>IF(AM$4,ABS(M8),"")</f>
        <v/>
      </c>
      <c r="BA8" s="21" t="str">
        <f>IF(AN$4,ABS(N8),"")</f>
        <v/>
      </c>
      <c r="BB8" s="21" t="str">
        <f>IF(AO$4,ABS(O8),"")</f>
        <v/>
      </c>
    </row>
    <row r="9">
      <c r="A9" s="5" t="inlineStr">
        <is>
          <t>Выручка: DMP+ Analitycs</t>
        </is>
      </c>
      <c r="B9" s="5" t="inlineStr">
        <is>
          <t>Прочие направления</t>
        </is>
      </c>
      <c r="C9" s="8" t="inlineStr">
        <is>
          <t>Выручка</t>
        </is>
      </c>
      <c r="D9" s="78" t="str">
        <f>IF(D$4,SUMIFS(INDEX(Журнал!$D$5:$O$1000,0,D$3),Журнал!$A$5:$A$1000,D$3,Журнал!$B$5:$B$1000,$A9),"")</f>
        <v/>
      </c>
      <c r="E9" s="78" t="str">
        <f>IF(E$4,SUMIFS(INDEX(Журнал!$D$5:$O$1000,0,E$3),Журнал!$A$5:$A$1000,E$3,Журнал!$B$5:$B$1000,$A9),"")</f>
        <v/>
      </c>
      <c r="F9" s="78" t="str">
        <f>IF(F$4,SUMIFS(INDEX(Журнал!$D$5:$O$1000,0,F$3),Журнал!$A$5:$A$1000,F$3,Журнал!$B$5:$B$1000,$A9),"")</f>
        <v/>
      </c>
      <c r="G9" s="78" t="str">
        <f>IF(G$4,SUMIFS(INDEX(Журнал!$D$5:$O$1000,0,G$3),Журнал!$A$5:$A$1000,G$3,Журнал!$B$5:$B$1000,$A9),"")</f>
        <v/>
      </c>
      <c r="H9" s="78" t="str">
        <f>IF(H$4,SUMIFS(INDEX(Журнал!$D$5:$O$1000,0,H$3),Журнал!$A$5:$A$1000,H$3,Журнал!$B$5:$B$1000,$A9),"")</f>
        <v/>
      </c>
      <c r="I9" s="78" t="str">
        <f>IF(I$4,SUMIFS(INDEX(Журнал!$D$5:$O$1000,0,I$3),Журнал!$A$5:$A$1000,I$3,Журнал!$B$5:$B$1000,$A9),"")</f>
        <v/>
      </c>
      <c r="J9" s="78" t="str">
        <f>IF(J$4,SUMIFS(INDEX(Журнал!$D$5:$O$1000,0,J$3),Журнал!$A$5:$A$1000,J$3,Журнал!$B$5:$B$1000,$A9),"")</f>
        <v/>
      </c>
      <c r="K9" s="78">
        <f>IF(K$4,SUMIFS(INDEX(Журнал!$D$5:$O$1000,0,K$3),Журнал!$A$5:$A$1000,K$3,Журнал!$B$5:$B$1000,$A9),"")</f>
        <v>4.5888591110918</v>
      </c>
      <c r="L9" s="78">
        <f>IF(L$4,SUMIFS(INDEX(Журнал!$D$5:$O$1000,0,L$3),Журнал!$A$5:$A$1000,L$3,Журнал!$B$5:$B$1000,$A9),"")</f>
        <v>2.432515413</v>
      </c>
      <c r="M9" s="78" t="str">
        <f>IF(M$4,SUMIFS(INDEX(Журнал!$D$5:$O$1000,0,M$3),Журнал!$A$5:$A$1000,M$3,Журнал!$B$5:$B$1000,$A9),"")</f>
        <v/>
      </c>
      <c r="N9" s="78" t="str">
        <f>IF(N$4,SUMIFS(INDEX(Журнал!$D$5:$O$1000,0,N$3),Журнал!$A$5:$A$1000,N$3,Журнал!$B$5:$B$1000,$A9),"")</f>
        <v/>
      </c>
      <c r="O9" s="78" t="str">
        <f>IF(O$4,SUMIFS(INDEX(Журнал!$D$5:$O$1000,0,O$3),Журнал!$A$5:$A$1000,O$3,Журнал!$B$5:$B$1000,$A9),"")</f>
        <v/>
      </c>
      <c r="Q9" s="78" t="str">
        <f>IF(Q$4,SUMIFS(INDEX(Журнал!$D$5:$O$1000,0,Q$3),Журнал!$A$5:$A$1000,Q$3-1,Журнал!$B$5:$B$1000,$A9),"")</f>
        <v/>
      </c>
      <c r="R9" s="78" t="str">
        <f>IF(R$4,SUMIFS(INDEX(Журнал!$D$5:$O$1000,0,R$3),Журнал!$A$5:$A$1000,R$3-1,Журнал!$B$5:$B$1000,$A9),"")</f>
        <v/>
      </c>
      <c r="S9" s="78" t="str">
        <f>IF(S$4,SUMIFS(INDEX(Журнал!$D$5:$O$1000,0,S$3),Журнал!$A$5:$A$1000,S$3-1,Журнал!$B$5:$B$1000,$A9),"")</f>
        <v/>
      </c>
      <c r="T9" s="78" t="str">
        <f>IF(T$4,SUMIFS(INDEX(Журнал!$D$5:$O$1000,0,T$3),Журнал!$A$5:$A$1000,T$3-1,Журнал!$B$5:$B$1000,$A9),"")</f>
        <v/>
      </c>
      <c r="U9" s="78" t="str">
        <f>IF(U$4,SUMIFS(INDEX(Журнал!$D$5:$O$1000,0,U$3),Журнал!$A$5:$A$1000,U$3-1,Журнал!$B$5:$B$1000,$A9),"")</f>
        <v/>
      </c>
      <c r="V9" s="78" t="str">
        <f>IF(V$4,SUMIFS(INDEX(Журнал!$D$5:$O$1000,0,V$3),Журнал!$A$5:$A$1000,V$3-1,Журнал!$B$5:$B$1000,$A9),"")</f>
        <v/>
      </c>
      <c r="W9" s="78" t="str">
        <f>IF(W$4,SUMIFS(INDEX(Журнал!$D$5:$O$1000,0,W$3),Журнал!$A$5:$A$1000,W$3-1,Журнал!$B$5:$B$1000,$A9),"")</f>
        <v/>
      </c>
      <c r="X9" s="78" t="str">
        <f>IF(X$4,SUMIFS(INDEX(Журнал!$D$5:$O$1000,0,X$3),Журнал!$A$5:$A$1000,X$3-1,Журнал!$B$5:$B$1000,$A9),"")</f>
        <v/>
      </c>
      <c r="Y9" s="78">
        <f>IF(Y$4,SUMIFS(INDEX(Журнал!$D$5:$O$1000,0,Y$3),Журнал!$A$5:$A$1000,Y$3-1,Журнал!$B$5:$B$1000,$A9),"")</f>
        <v>4.86196879187658</v>
      </c>
      <c r="Z9" s="78">
        <f>IF(Z$4,SUMIFS(INDEX(Журнал!$D$5:$O$1000,0,Z$3),Журнал!$A$5:$A$1000,Z$3-1,Журнал!$B$5:$B$1000,$A9),"")</f>
        <v>5.00948675733486</v>
      </c>
      <c r="AA9" s="78" t="str">
        <f>IF(AA$4,SUMIFS(INDEX(Журнал!$D$5:$O$1000,0,AA$3),Журнал!$A$5:$A$1000,AA$3-1,Журнал!$B$5:$B$1000,$A9),"")</f>
        <v/>
      </c>
      <c r="AB9" s="78" t="str">
        <f>IF(AB$4,SUMIFS(INDEX(Журнал!$D$5:$O$1000,0,AB$3),Журнал!$A$5:$A$1000,AB$3-1,Журнал!$B$5:$B$1000,$A9),"")</f>
        <v/>
      </c>
      <c r="AD9" s="21" t="str">
        <f>IF(AD$4,ABS(D9-Q9),"")</f>
        <v/>
      </c>
      <c r="AE9" s="21" t="str">
        <f>IF(AE$4,ABS(E9-R9),"")</f>
        <v/>
      </c>
      <c r="AF9" s="21" t="str">
        <f>IF(AF$4,ABS(F9-S9),"")</f>
        <v/>
      </c>
      <c r="AG9" s="21" t="str">
        <f>IF(AG$4,ABS(G9-T9),"")</f>
        <v/>
      </c>
      <c r="AH9" s="21" t="str">
        <f>IF(AH$4,ABS(H9-U9),"")</f>
        <v/>
      </c>
      <c r="AI9" s="21" t="str">
        <f>IF(AI$4,ABS(I9-V9),"")</f>
        <v/>
      </c>
      <c r="AJ9" s="21" t="str">
        <f>IF(AJ$4,ABS(J9-W9),"")</f>
        <v/>
      </c>
      <c r="AK9" s="21" t="str">
        <f>IF(AK$4,ABS(K9-X9),"")</f>
        <v/>
      </c>
      <c r="AL9" s="21">
        <f>IF(AL$4,ABS(L9-Y9),"")</f>
        <v>2.42945337887658</v>
      </c>
      <c r="AM9" s="21" t="str">
        <f>IF(AM$4,ABS(M9-Z9),"")</f>
        <v/>
      </c>
      <c r="AN9" s="21" t="str">
        <f>IF(AN$4,ABS(N9-AA9),"")</f>
        <v/>
      </c>
      <c r="AO9" s="21" t="str">
        <f>IF(AO$4,ABS(O9-AB9),"")</f>
        <v/>
      </c>
      <c r="AQ9" s="21" t="str">
        <f>IF(AD$4,ABS(D9),"")</f>
        <v/>
      </c>
      <c r="AR9" s="21" t="str">
        <f>IF(AE$4,ABS(E9),"")</f>
        <v/>
      </c>
      <c r="AS9" s="21" t="str">
        <f>IF(AF$4,ABS(F9),"")</f>
        <v/>
      </c>
      <c r="AT9" s="21" t="str">
        <f>IF(AG$4,ABS(G9),"")</f>
        <v/>
      </c>
      <c r="AU9" s="21" t="str">
        <f>IF(AH$4,ABS(H9),"")</f>
        <v/>
      </c>
      <c r="AV9" s="21" t="str">
        <f>IF(AI$4,ABS(I9),"")</f>
        <v/>
      </c>
      <c r="AW9" s="21" t="str">
        <f>IF(AJ$4,ABS(J9),"")</f>
        <v/>
      </c>
      <c r="AX9" s="21" t="str">
        <f>IF(AK$4,ABS(K9),"")</f>
        <v/>
      </c>
      <c r="AY9" s="21">
        <f>IF(AL$4,ABS(L9),"")</f>
        <v>2.432515413</v>
      </c>
      <c r="AZ9" s="21" t="str">
        <f>IF(AM$4,ABS(M9),"")</f>
        <v/>
      </c>
      <c r="BA9" s="21" t="str">
        <f>IF(AN$4,ABS(N9),"")</f>
        <v/>
      </c>
      <c r="BB9" s="21" t="str">
        <f>IF(AO$4,ABS(O9),"")</f>
        <v/>
      </c>
    </row>
    <row r="10">
      <c r="A10" s="5" t="inlineStr">
        <is>
          <t>Выручка: DMP+Online</t>
        </is>
      </c>
      <c r="B10" s="5" t="inlineStr">
        <is>
          <t>DMP+Online</t>
        </is>
      </c>
      <c r="C10" s="8" t="inlineStr">
        <is>
          <t>Выручка</t>
        </is>
      </c>
      <c r="D10" s="78" t="str">
        <f>IF(D$4,SUMIFS(INDEX(Журнал!$D$5:$O$1000,0,D$3),Журнал!$A$5:$A$1000,D$3,Журнал!$B$5:$B$1000,$A10),"")</f>
        <v/>
      </c>
      <c r="E10" s="78" t="str">
        <f>IF(E$4,SUMIFS(INDEX(Журнал!$D$5:$O$1000,0,E$3),Журнал!$A$5:$A$1000,E$3,Журнал!$B$5:$B$1000,$A10),"")</f>
        <v/>
      </c>
      <c r="F10" s="78" t="str">
        <f>IF(F$4,SUMIFS(INDEX(Журнал!$D$5:$O$1000,0,F$3),Журнал!$A$5:$A$1000,F$3,Журнал!$B$5:$B$1000,$A10),"")</f>
        <v/>
      </c>
      <c r="G10" s="78" t="str">
        <f>IF(G$4,SUMIFS(INDEX(Журнал!$D$5:$O$1000,0,G$3),Журнал!$A$5:$A$1000,G$3,Журнал!$B$5:$B$1000,$A10),"")</f>
        <v/>
      </c>
      <c r="H10" s="78" t="str">
        <f>IF(H$4,SUMIFS(INDEX(Журнал!$D$5:$O$1000,0,H$3),Журнал!$A$5:$A$1000,H$3,Журнал!$B$5:$B$1000,$A10),"")</f>
        <v/>
      </c>
      <c r="I10" s="78" t="str">
        <f>IF(I$4,SUMIFS(INDEX(Журнал!$D$5:$O$1000,0,I$3),Журнал!$A$5:$A$1000,I$3,Журнал!$B$5:$B$1000,$A10),"")</f>
        <v/>
      </c>
      <c r="J10" s="78" t="str">
        <f>IF(J$4,SUMIFS(INDEX(Журнал!$D$5:$O$1000,0,J$3),Журнал!$A$5:$A$1000,J$3,Журнал!$B$5:$B$1000,$A10),"")</f>
        <v/>
      </c>
      <c r="K10" s="78">
        <f>IF(K$4,SUMIFS(INDEX(Журнал!$D$5:$O$1000,0,K$3),Журнал!$A$5:$A$1000,K$3,Журнал!$B$5:$B$1000,$A10),"")</f>
        <v>130.33319987246</v>
      </c>
      <c r="L10" s="78">
        <f>IF(L$4,SUMIFS(INDEX(Журнал!$D$5:$O$1000,0,L$3),Журнал!$A$5:$A$1000,L$3,Журнал!$B$5:$B$1000,$A10),"")</f>
        <v>201.669700888808</v>
      </c>
      <c r="M10" s="78" t="str">
        <f>IF(M$4,SUMIFS(INDEX(Журнал!$D$5:$O$1000,0,M$3),Журнал!$A$5:$A$1000,M$3,Журнал!$B$5:$B$1000,$A10),"")</f>
        <v/>
      </c>
      <c r="N10" s="78" t="str">
        <f>IF(N$4,SUMIFS(INDEX(Журнал!$D$5:$O$1000,0,N$3),Журнал!$A$5:$A$1000,N$3,Журнал!$B$5:$B$1000,$A10),"")</f>
        <v/>
      </c>
      <c r="O10" s="78" t="str">
        <f>IF(O$4,SUMIFS(INDEX(Журнал!$D$5:$O$1000,0,O$3),Журнал!$A$5:$A$1000,O$3,Журнал!$B$5:$B$1000,$A10),"")</f>
        <v/>
      </c>
      <c r="Q10" s="78" t="str">
        <f>IF(Q$4,SUMIFS(INDEX(Журнал!$D$5:$O$1000,0,Q$3),Журнал!$A$5:$A$1000,Q$3-1,Журнал!$B$5:$B$1000,$A10),"")</f>
        <v/>
      </c>
      <c r="R10" s="78" t="str">
        <f>IF(R$4,SUMIFS(INDEX(Журнал!$D$5:$O$1000,0,R$3),Журнал!$A$5:$A$1000,R$3-1,Журнал!$B$5:$B$1000,$A10),"")</f>
        <v/>
      </c>
      <c r="S10" s="78" t="str">
        <f>IF(S$4,SUMIFS(INDEX(Журнал!$D$5:$O$1000,0,S$3),Журнал!$A$5:$A$1000,S$3-1,Журнал!$B$5:$B$1000,$A10),"")</f>
        <v/>
      </c>
      <c r="T10" s="78" t="str">
        <f>IF(T$4,SUMIFS(INDEX(Журнал!$D$5:$O$1000,0,T$3),Журнал!$A$5:$A$1000,T$3-1,Журнал!$B$5:$B$1000,$A10),"")</f>
        <v/>
      </c>
      <c r="U10" s="78" t="str">
        <f>IF(U$4,SUMIFS(INDEX(Журнал!$D$5:$O$1000,0,U$3),Журнал!$A$5:$A$1000,U$3-1,Журнал!$B$5:$B$1000,$A10),"")</f>
        <v/>
      </c>
      <c r="V10" s="78" t="str">
        <f>IF(V$4,SUMIFS(INDEX(Журнал!$D$5:$O$1000,0,V$3),Журнал!$A$5:$A$1000,V$3-1,Журнал!$B$5:$B$1000,$A10),"")</f>
        <v/>
      </c>
      <c r="W10" s="78" t="str">
        <f>IF(W$4,SUMIFS(INDEX(Журнал!$D$5:$O$1000,0,W$3),Журнал!$A$5:$A$1000,W$3-1,Журнал!$B$5:$B$1000,$A10),"")</f>
        <v/>
      </c>
      <c r="X10" s="78" t="str">
        <f>IF(X$4,SUMIFS(INDEX(Журнал!$D$5:$O$1000,0,X$3),Журнал!$A$5:$A$1000,X$3-1,Журнал!$B$5:$B$1000,$A10),"")</f>
        <v/>
      </c>
      <c r="Y10" s="78">
        <f>IF(Y$4,SUMIFS(INDEX(Журнал!$D$5:$O$1000,0,Y$3),Журнал!$A$5:$A$1000,Y$3-1,Журнал!$B$5:$B$1000,$A10),"")</f>
        <v>69.4795829801901</v>
      </c>
      <c r="Z10" s="78">
        <f>IF(Z$4,SUMIFS(INDEX(Журнал!$D$5:$O$1000,0,Z$3),Журнал!$A$5:$A$1000,Z$3-1,Журнал!$B$5:$B$1000,$A10),"")</f>
        <v>91.8189533006459</v>
      </c>
      <c r="AA10" s="78" t="str">
        <f>IF(AA$4,SUMIFS(INDEX(Журнал!$D$5:$O$1000,0,AA$3),Журнал!$A$5:$A$1000,AA$3-1,Журнал!$B$5:$B$1000,$A10),"")</f>
        <v/>
      </c>
      <c r="AB10" s="78" t="str">
        <f>IF(AB$4,SUMIFS(INDEX(Журнал!$D$5:$O$1000,0,AB$3),Журнал!$A$5:$A$1000,AB$3-1,Журнал!$B$5:$B$1000,$A10),"")</f>
        <v/>
      </c>
      <c r="AD10" s="21" t="str">
        <f>IF(AD$4,ABS(D10-Q10),"")</f>
        <v/>
      </c>
      <c r="AE10" s="21" t="str">
        <f>IF(AE$4,ABS(E10-R10),"")</f>
        <v/>
      </c>
      <c r="AF10" s="21" t="str">
        <f>IF(AF$4,ABS(F10-S10),"")</f>
        <v/>
      </c>
      <c r="AG10" s="21" t="str">
        <f>IF(AG$4,ABS(G10-T10),"")</f>
        <v/>
      </c>
      <c r="AH10" s="21" t="str">
        <f>IF(AH$4,ABS(H10-U10),"")</f>
        <v/>
      </c>
      <c r="AI10" s="21" t="str">
        <f>IF(AI$4,ABS(I10-V10),"")</f>
        <v/>
      </c>
      <c r="AJ10" s="21" t="str">
        <f>IF(AJ$4,ABS(J10-W10),"")</f>
        <v/>
      </c>
      <c r="AK10" s="21" t="str">
        <f>IF(AK$4,ABS(K10-X10),"")</f>
        <v/>
      </c>
      <c r="AL10" s="21">
        <f>IF(AL$4,ABS(L10-Y10),"")</f>
        <v>132.190117908618</v>
      </c>
      <c r="AM10" s="21" t="str">
        <f>IF(AM$4,ABS(M10-Z10),"")</f>
        <v/>
      </c>
      <c r="AN10" s="21" t="str">
        <f>IF(AN$4,ABS(N10-AA10),"")</f>
        <v/>
      </c>
      <c r="AO10" s="21" t="str">
        <f>IF(AO$4,ABS(O10-AB10),"")</f>
        <v/>
      </c>
      <c r="AQ10" s="21" t="str">
        <f>IF(AD$4,ABS(D10),"")</f>
        <v/>
      </c>
      <c r="AR10" s="21" t="str">
        <f>IF(AE$4,ABS(E10),"")</f>
        <v/>
      </c>
      <c r="AS10" s="21" t="str">
        <f>IF(AF$4,ABS(F10),"")</f>
        <v/>
      </c>
      <c r="AT10" s="21" t="str">
        <f>IF(AG$4,ABS(G10),"")</f>
        <v/>
      </c>
      <c r="AU10" s="21" t="str">
        <f>IF(AH$4,ABS(H10),"")</f>
        <v/>
      </c>
      <c r="AV10" s="21" t="str">
        <f>IF(AI$4,ABS(I10),"")</f>
        <v/>
      </c>
      <c r="AW10" s="21" t="str">
        <f>IF(AJ$4,ABS(J10),"")</f>
        <v/>
      </c>
      <c r="AX10" s="21" t="str">
        <f>IF(AK$4,ABS(K10),"")</f>
        <v/>
      </c>
      <c r="AY10" s="21">
        <f>IF(AL$4,ABS(L10),"")</f>
        <v>201.669700888808</v>
      </c>
      <c r="AZ10" s="21" t="str">
        <f>IF(AM$4,ABS(M10),"")</f>
        <v/>
      </c>
      <c r="BA10" s="21" t="str">
        <f>IF(AN$4,ABS(N10),"")</f>
        <v/>
      </c>
      <c r="BB10" s="21" t="str">
        <f>IF(AO$4,ABS(O10),"")</f>
        <v/>
      </c>
    </row>
    <row r="11">
      <c r="A11" s="5" t="inlineStr">
        <is>
          <t>Выручка: Instore digital</t>
        </is>
      </c>
      <c r="B11" s="5" t="inlineStr">
        <is>
          <t>Instore digital</t>
        </is>
      </c>
      <c r="C11" s="8" t="inlineStr">
        <is>
          <t>Выручка</t>
        </is>
      </c>
      <c r="D11" s="78" t="str">
        <f>IF(D$4,SUMIFS(INDEX(Журнал!$D$5:$O$1000,0,D$3),Журнал!$A$5:$A$1000,D$3,Журнал!$B$5:$B$1000,$A11),"")</f>
        <v/>
      </c>
      <c r="E11" s="78" t="str">
        <f>IF(E$4,SUMIFS(INDEX(Журнал!$D$5:$O$1000,0,E$3),Журнал!$A$5:$A$1000,E$3,Журнал!$B$5:$B$1000,$A11),"")</f>
        <v/>
      </c>
      <c r="F11" s="78" t="str">
        <f>IF(F$4,SUMIFS(INDEX(Журнал!$D$5:$O$1000,0,F$3),Журнал!$A$5:$A$1000,F$3,Журнал!$B$5:$B$1000,$A11),"")</f>
        <v/>
      </c>
      <c r="G11" s="78" t="str">
        <f>IF(G$4,SUMIFS(INDEX(Журнал!$D$5:$O$1000,0,G$3),Журнал!$A$5:$A$1000,G$3,Журнал!$B$5:$B$1000,$A11),"")</f>
        <v/>
      </c>
      <c r="H11" s="78" t="str">
        <f>IF(H$4,SUMIFS(INDEX(Журнал!$D$5:$O$1000,0,H$3),Журнал!$A$5:$A$1000,H$3,Журнал!$B$5:$B$1000,$A11),"")</f>
        <v/>
      </c>
      <c r="I11" s="78" t="str">
        <f>IF(I$4,SUMIFS(INDEX(Журнал!$D$5:$O$1000,0,I$3),Журнал!$A$5:$A$1000,I$3,Журнал!$B$5:$B$1000,$A11),"")</f>
        <v/>
      </c>
      <c r="J11" s="78" t="str">
        <f>IF(J$4,SUMIFS(INDEX(Журнал!$D$5:$O$1000,0,J$3),Журнал!$A$5:$A$1000,J$3,Журнал!$B$5:$B$1000,$A11),"")</f>
        <v/>
      </c>
      <c r="K11" s="78">
        <f>IF(K$4,SUMIFS(INDEX(Журнал!$D$5:$O$1000,0,K$3),Журнал!$A$5:$A$1000,K$3,Журнал!$B$5:$B$1000,$A11),"")</f>
        <v>241.283504458745</v>
      </c>
      <c r="L11" s="78">
        <f>IF(L$4,SUMIFS(INDEX(Журнал!$D$5:$O$1000,0,L$3),Журнал!$A$5:$A$1000,L$3,Журнал!$B$5:$B$1000,$A11),"")</f>
        <v>421.805564119309</v>
      </c>
      <c r="M11" s="78" t="str">
        <f>IF(M$4,SUMIFS(INDEX(Журнал!$D$5:$O$1000,0,M$3),Журнал!$A$5:$A$1000,M$3,Журнал!$B$5:$B$1000,$A11),"")</f>
        <v/>
      </c>
      <c r="N11" s="78" t="str">
        <f>IF(N$4,SUMIFS(INDEX(Журнал!$D$5:$O$1000,0,N$3),Журнал!$A$5:$A$1000,N$3,Журнал!$B$5:$B$1000,$A11),"")</f>
        <v/>
      </c>
      <c r="O11" s="78" t="str">
        <f>IF(O$4,SUMIFS(INDEX(Журнал!$D$5:$O$1000,0,O$3),Журнал!$A$5:$A$1000,O$3,Журнал!$B$5:$B$1000,$A11),"")</f>
        <v/>
      </c>
      <c r="Q11" s="78" t="str">
        <f>IF(Q$4,SUMIFS(INDEX(Журнал!$D$5:$O$1000,0,Q$3),Журнал!$A$5:$A$1000,Q$3-1,Журнал!$B$5:$B$1000,$A11),"")</f>
        <v/>
      </c>
      <c r="R11" s="78" t="str">
        <f>IF(R$4,SUMIFS(INDEX(Журнал!$D$5:$O$1000,0,R$3),Журнал!$A$5:$A$1000,R$3-1,Журнал!$B$5:$B$1000,$A11),"")</f>
        <v/>
      </c>
      <c r="S11" s="78" t="str">
        <f>IF(S$4,SUMIFS(INDEX(Журнал!$D$5:$O$1000,0,S$3),Журнал!$A$5:$A$1000,S$3-1,Журнал!$B$5:$B$1000,$A11),"")</f>
        <v/>
      </c>
      <c r="T11" s="78" t="str">
        <f>IF(T$4,SUMIFS(INDEX(Журнал!$D$5:$O$1000,0,T$3),Журнал!$A$5:$A$1000,T$3-1,Журнал!$B$5:$B$1000,$A11),"")</f>
        <v/>
      </c>
      <c r="U11" s="78" t="str">
        <f>IF(U$4,SUMIFS(INDEX(Журнал!$D$5:$O$1000,0,U$3),Журнал!$A$5:$A$1000,U$3-1,Журнал!$B$5:$B$1000,$A11),"")</f>
        <v/>
      </c>
      <c r="V11" s="78" t="str">
        <f>IF(V$4,SUMIFS(INDEX(Журнал!$D$5:$O$1000,0,V$3),Журнал!$A$5:$A$1000,V$3-1,Журнал!$B$5:$B$1000,$A11),"")</f>
        <v/>
      </c>
      <c r="W11" s="78" t="str">
        <f>IF(W$4,SUMIFS(INDEX(Журнал!$D$5:$O$1000,0,W$3),Журнал!$A$5:$A$1000,W$3-1,Журнал!$B$5:$B$1000,$A11),"")</f>
        <v/>
      </c>
      <c r="X11" s="78" t="str">
        <f>IF(X$4,SUMIFS(INDEX(Журнал!$D$5:$O$1000,0,X$3),Журнал!$A$5:$A$1000,X$3-1,Журнал!$B$5:$B$1000,$A11),"")</f>
        <v/>
      </c>
      <c r="Y11" s="78">
        <f>IF(Y$4,SUMIFS(INDEX(Журнал!$D$5:$O$1000,0,Y$3),Журнал!$A$5:$A$1000,Y$3-1,Журнал!$B$5:$B$1000,$A11),"")</f>
        <v>161.377206429419</v>
      </c>
      <c r="Z11" s="78">
        <f>IF(Z$4,SUMIFS(INDEX(Журнал!$D$5:$O$1000,0,Z$3),Журнал!$A$5:$A$1000,Z$3-1,Журнал!$B$5:$B$1000,$A11),"")</f>
        <v>262.907784367151</v>
      </c>
      <c r="AA11" s="78" t="str">
        <f>IF(AA$4,SUMIFS(INDEX(Журнал!$D$5:$O$1000,0,AA$3),Журнал!$A$5:$A$1000,AA$3-1,Журнал!$B$5:$B$1000,$A11),"")</f>
        <v/>
      </c>
      <c r="AB11" s="78" t="str">
        <f>IF(AB$4,SUMIFS(INDEX(Журнал!$D$5:$O$1000,0,AB$3),Журнал!$A$5:$A$1000,AB$3-1,Журнал!$B$5:$B$1000,$A11),"")</f>
        <v/>
      </c>
      <c r="AD11" s="21" t="str">
        <f>IF(AD$4,ABS(D11-Q11),"")</f>
        <v/>
      </c>
      <c r="AE11" s="21" t="str">
        <f>IF(AE$4,ABS(E11-R11),"")</f>
        <v/>
      </c>
      <c r="AF11" s="21" t="str">
        <f>IF(AF$4,ABS(F11-S11),"")</f>
        <v/>
      </c>
      <c r="AG11" s="21" t="str">
        <f>IF(AG$4,ABS(G11-T11),"")</f>
        <v/>
      </c>
      <c r="AH11" s="21" t="str">
        <f>IF(AH$4,ABS(H11-U11),"")</f>
        <v/>
      </c>
      <c r="AI11" s="21" t="str">
        <f>IF(AI$4,ABS(I11-V11),"")</f>
        <v/>
      </c>
      <c r="AJ11" s="21" t="str">
        <f>IF(AJ$4,ABS(J11-W11),"")</f>
        <v/>
      </c>
      <c r="AK11" s="21" t="str">
        <f>IF(AK$4,ABS(K11-X11),"")</f>
        <v/>
      </c>
      <c r="AL11" s="21">
        <f>IF(AL$4,ABS(L11-Y11),"")</f>
        <v>260.428357689891</v>
      </c>
      <c r="AM11" s="21" t="str">
        <f>IF(AM$4,ABS(M11-Z11),"")</f>
        <v/>
      </c>
      <c r="AN11" s="21" t="str">
        <f>IF(AN$4,ABS(N11-AA11),"")</f>
        <v/>
      </c>
      <c r="AO11" s="21" t="str">
        <f>IF(AO$4,ABS(O11-AB11),"")</f>
        <v/>
      </c>
      <c r="AQ11" s="21" t="str">
        <f>IF(AD$4,ABS(D11),"")</f>
        <v/>
      </c>
      <c r="AR11" s="21" t="str">
        <f>IF(AE$4,ABS(E11),"")</f>
        <v/>
      </c>
      <c r="AS11" s="21" t="str">
        <f>IF(AF$4,ABS(F11),"")</f>
        <v/>
      </c>
      <c r="AT11" s="21" t="str">
        <f>IF(AG$4,ABS(G11),"")</f>
        <v/>
      </c>
      <c r="AU11" s="21" t="str">
        <f>IF(AH$4,ABS(H11),"")</f>
        <v/>
      </c>
      <c r="AV11" s="21" t="str">
        <f>IF(AI$4,ABS(I11),"")</f>
        <v/>
      </c>
      <c r="AW11" s="21" t="str">
        <f>IF(AJ$4,ABS(J11),"")</f>
        <v/>
      </c>
      <c r="AX11" s="21" t="str">
        <f>IF(AK$4,ABS(K11),"")</f>
        <v/>
      </c>
      <c r="AY11" s="21">
        <f>IF(AL$4,ABS(L11),"")</f>
        <v>421.805564119309</v>
      </c>
      <c r="AZ11" s="21" t="str">
        <f>IF(AM$4,ABS(M11),"")</f>
        <v/>
      </c>
      <c r="BA11" s="21" t="str">
        <f>IF(AN$4,ABS(N11),"")</f>
        <v/>
      </c>
      <c r="BB11" s="21" t="str">
        <f>IF(AO$4,ABS(O11),"")</f>
        <v/>
      </c>
    </row>
    <row r="12">
      <c r="A12" s="5" t="inlineStr">
        <is>
          <t>Выручка: Instore digital_2.0</t>
        </is>
      </c>
      <c r="B12" s="5" t="inlineStr">
        <is>
          <t>Instore digital_2.0</t>
        </is>
      </c>
      <c r="C12" s="8" t="inlineStr">
        <is>
          <t>Выручка</t>
        </is>
      </c>
      <c r="D12" s="78" t="str">
        <f>IF(D$4,SUMIFS(INDEX(Журнал!$D$5:$O$1000,0,D$3),Журнал!$A$5:$A$1000,D$3,Журнал!$B$5:$B$1000,$A12),"")</f>
        <v/>
      </c>
      <c r="E12" s="78" t="str">
        <f>IF(E$4,SUMIFS(INDEX(Журнал!$D$5:$O$1000,0,E$3),Журнал!$A$5:$A$1000,E$3,Журнал!$B$5:$B$1000,$A12),"")</f>
        <v/>
      </c>
      <c r="F12" s="78" t="str">
        <f>IF(F$4,SUMIFS(INDEX(Журнал!$D$5:$O$1000,0,F$3),Журнал!$A$5:$A$1000,F$3,Журнал!$B$5:$B$1000,$A12),"")</f>
        <v/>
      </c>
      <c r="G12" s="78" t="str">
        <f>IF(G$4,SUMIFS(INDEX(Журнал!$D$5:$O$1000,0,G$3),Журнал!$A$5:$A$1000,G$3,Журнал!$B$5:$B$1000,$A12),"")</f>
        <v/>
      </c>
      <c r="H12" s="78" t="str">
        <f>IF(H$4,SUMIFS(INDEX(Журнал!$D$5:$O$1000,0,H$3),Журнал!$A$5:$A$1000,H$3,Журнал!$B$5:$B$1000,$A12),"")</f>
        <v/>
      </c>
      <c r="I12" s="78" t="str">
        <f>IF(I$4,SUMIFS(INDEX(Журнал!$D$5:$O$1000,0,I$3),Журнал!$A$5:$A$1000,I$3,Журнал!$B$5:$B$1000,$A12),"")</f>
        <v/>
      </c>
      <c r="J12" s="78" t="str">
        <f>IF(J$4,SUMIFS(INDEX(Журнал!$D$5:$O$1000,0,J$3),Журнал!$A$5:$A$1000,J$3,Журнал!$B$5:$B$1000,$A12),"")</f>
        <v/>
      </c>
      <c r="K12" s="78">
        <f>IF(K$4,SUMIFS(INDEX(Журнал!$D$5:$O$1000,0,K$3),Журнал!$A$5:$A$1000,K$3,Журнал!$B$5:$B$1000,$A12),"")</f>
        <v>0</v>
      </c>
      <c r="L12" s="78">
        <f>IF(L$4,SUMIFS(INDEX(Журнал!$D$5:$O$1000,0,L$3),Журнал!$A$5:$A$1000,L$3,Журнал!$B$5:$B$1000,$A12),"")</f>
        <v>0</v>
      </c>
      <c r="M12" s="78" t="str">
        <f>IF(M$4,SUMIFS(INDEX(Журнал!$D$5:$O$1000,0,M$3),Журнал!$A$5:$A$1000,M$3,Журнал!$B$5:$B$1000,$A12),"")</f>
        <v/>
      </c>
      <c r="N12" s="78" t="str">
        <f>IF(N$4,SUMIFS(INDEX(Журнал!$D$5:$O$1000,0,N$3),Журнал!$A$5:$A$1000,N$3,Журнал!$B$5:$B$1000,$A12),"")</f>
        <v/>
      </c>
      <c r="O12" s="78" t="str">
        <f>IF(O$4,SUMIFS(INDEX(Журнал!$D$5:$O$1000,0,O$3),Журнал!$A$5:$A$1000,O$3,Журнал!$B$5:$B$1000,$A12),"")</f>
        <v/>
      </c>
      <c r="Q12" s="78" t="str">
        <f>IF(Q$4,SUMIFS(INDEX(Журнал!$D$5:$O$1000,0,Q$3),Журнал!$A$5:$A$1000,Q$3-1,Журнал!$B$5:$B$1000,$A12),"")</f>
        <v/>
      </c>
      <c r="R12" s="78" t="str">
        <f>IF(R$4,SUMIFS(INDEX(Журнал!$D$5:$O$1000,0,R$3),Журнал!$A$5:$A$1000,R$3-1,Журнал!$B$5:$B$1000,$A12),"")</f>
        <v/>
      </c>
      <c r="S12" s="78" t="str">
        <f>IF(S$4,SUMIFS(INDEX(Журнал!$D$5:$O$1000,0,S$3),Журнал!$A$5:$A$1000,S$3-1,Журнал!$B$5:$B$1000,$A12),"")</f>
        <v/>
      </c>
      <c r="T12" s="78" t="str">
        <f>IF(T$4,SUMIFS(INDEX(Журнал!$D$5:$O$1000,0,T$3),Журнал!$A$5:$A$1000,T$3-1,Журнал!$B$5:$B$1000,$A12),"")</f>
        <v/>
      </c>
      <c r="U12" s="78" t="str">
        <f>IF(U$4,SUMIFS(INDEX(Журнал!$D$5:$O$1000,0,U$3),Журнал!$A$5:$A$1000,U$3-1,Журнал!$B$5:$B$1000,$A12),"")</f>
        <v/>
      </c>
      <c r="V12" s="78" t="str">
        <f>IF(V$4,SUMIFS(INDEX(Журнал!$D$5:$O$1000,0,V$3),Журнал!$A$5:$A$1000,V$3-1,Журнал!$B$5:$B$1000,$A12),"")</f>
        <v/>
      </c>
      <c r="W12" s="78" t="str">
        <f>IF(W$4,SUMIFS(INDEX(Журнал!$D$5:$O$1000,0,W$3),Журнал!$A$5:$A$1000,W$3-1,Журнал!$B$5:$B$1000,$A12),"")</f>
        <v/>
      </c>
      <c r="X12" s="78" t="str">
        <f>IF(X$4,SUMIFS(INDEX(Журнал!$D$5:$O$1000,0,X$3),Журнал!$A$5:$A$1000,X$3-1,Журнал!$B$5:$B$1000,$A12),"")</f>
        <v/>
      </c>
      <c r="Y12" s="78">
        <f>IF(Y$4,SUMIFS(INDEX(Журнал!$D$5:$O$1000,0,Y$3),Журнал!$A$5:$A$1000,Y$3-1,Журнал!$B$5:$B$1000,$A12),"")</f>
        <v>121.332202786227</v>
      </c>
      <c r="Z12" s="78">
        <f>IF(Z$4,SUMIFS(INDEX(Журнал!$D$5:$O$1000,0,Z$3),Журнал!$A$5:$A$1000,Z$3-1,Журнал!$B$5:$B$1000,$A12),"")</f>
        <v>47.0922156328493</v>
      </c>
      <c r="AA12" s="78" t="str">
        <f>IF(AA$4,SUMIFS(INDEX(Журнал!$D$5:$O$1000,0,AA$3),Журнал!$A$5:$A$1000,AA$3-1,Журнал!$B$5:$B$1000,$A12),"")</f>
        <v/>
      </c>
      <c r="AB12" s="78" t="str">
        <f>IF(AB$4,SUMIFS(INDEX(Журнал!$D$5:$O$1000,0,AB$3),Журнал!$A$5:$A$1000,AB$3-1,Журнал!$B$5:$B$1000,$A12),"")</f>
        <v/>
      </c>
      <c r="AD12" s="21" t="str">
        <f>IF(AD$4,ABS(D12-Q12),"")</f>
        <v/>
      </c>
      <c r="AE12" s="21" t="str">
        <f>IF(AE$4,ABS(E12-R12),"")</f>
        <v/>
      </c>
      <c r="AF12" s="21" t="str">
        <f>IF(AF$4,ABS(F12-S12),"")</f>
        <v/>
      </c>
      <c r="AG12" s="21" t="str">
        <f>IF(AG$4,ABS(G12-T12),"")</f>
        <v/>
      </c>
      <c r="AH12" s="21" t="str">
        <f>IF(AH$4,ABS(H12-U12),"")</f>
        <v/>
      </c>
      <c r="AI12" s="21" t="str">
        <f>IF(AI$4,ABS(I12-V12),"")</f>
        <v/>
      </c>
      <c r="AJ12" s="21" t="str">
        <f>IF(AJ$4,ABS(J12-W12),"")</f>
        <v/>
      </c>
      <c r="AK12" s="21" t="str">
        <f>IF(AK$4,ABS(K12-X12),"")</f>
        <v/>
      </c>
      <c r="AL12" s="21">
        <f>IF(AL$4,ABS(L12-Y12),"")</f>
        <v>121.332202786227</v>
      </c>
      <c r="AM12" s="21" t="str">
        <f>IF(AM$4,ABS(M12-Z12),"")</f>
        <v/>
      </c>
      <c r="AN12" s="21" t="str">
        <f>IF(AN$4,ABS(N12-AA12),"")</f>
        <v/>
      </c>
      <c r="AO12" s="21" t="str">
        <f>IF(AO$4,ABS(O12-AB12),"")</f>
        <v/>
      </c>
      <c r="AQ12" s="21" t="str">
        <f>IF(AD$4,ABS(D12),"")</f>
        <v/>
      </c>
      <c r="AR12" s="21" t="str">
        <f>IF(AE$4,ABS(E12),"")</f>
        <v/>
      </c>
      <c r="AS12" s="21" t="str">
        <f>IF(AF$4,ABS(F12),"")</f>
        <v/>
      </c>
      <c r="AT12" s="21" t="str">
        <f>IF(AG$4,ABS(G12),"")</f>
        <v/>
      </c>
      <c r="AU12" s="21" t="str">
        <f>IF(AH$4,ABS(H12),"")</f>
        <v/>
      </c>
      <c r="AV12" s="21" t="str">
        <f>IF(AI$4,ABS(I12),"")</f>
        <v/>
      </c>
      <c r="AW12" s="21" t="str">
        <f>IF(AJ$4,ABS(J12),"")</f>
        <v/>
      </c>
      <c r="AX12" s="21" t="str">
        <f>IF(AK$4,ABS(K12),"")</f>
        <v/>
      </c>
      <c r="AY12" s="21">
        <f>IF(AL$4,ABS(L12),"")</f>
        <v>0</v>
      </c>
      <c r="AZ12" s="21" t="str">
        <f>IF(AM$4,ABS(M12),"")</f>
        <v/>
      </c>
      <c r="BA12" s="21" t="str">
        <f>IF(AN$4,ABS(N12),"")</f>
        <v/>
      </c>
      <c r="BB12" s="21" t="str">
        <f>IF(AO$4,ABS(O12),"")</f>
        <v/>
      </c>
    </row>
    <row r="13">
      <c r="A13" s="5" t="inlineStr">
        <is>
          <t>Выручка: POSM</t>
        </is>
      </c>
      <c r="B13" s="5" t="inlineStr">
        <is>
          <t>Other и POSM</t>
        </is>
      </c>
      <c r="C13" s="8" t="inlineStr">
        <is>
          <t>Выручка</t>
        </is>
      </c>
      <c r="D13" s="78" t="str">
        <f>IF(D$4,SUMIFS(INDEX(Журнал!$D$5:$O$1000,0,D$3),Журнал!$A$5:$A$1000,D$3,Журнал!$B$5:$B$1000,$A13),"")</f>
        <v/>
      </c>
      <c r="E13" s="78" t="str">
        <f>IF(E$4,SUMIFS(INDEX(Журнал!$D$5:$O$1000,0,E$3),Журнал!$A$5:$A$1000,E$3,Журнал!$B$5:$B$1000,$A13),"")</f>
        <v/>
      </c>
      <c r="F13" s="78" t="str">
        <f>IF(F$4,SUMIFS(INDEX(Журнал!$D$5:$O$1000,0,F$3),Журнал!$A$5:$A$1000,F$3,Журнал!$B$5:$B$1000,$A13),"")</f>
        <v/>
      </c>
      <c r="G13" s="78" t="str">
        <f>IF(G$4,SUMIFS(INDEX(Журнал!$D$5:$O$1000,0,G$3),Журнал!$A$5:$A$1000,G$3,Журнал!$B$5:$B$1000,$A13),"")</f>
        <v/>
      </c>
      <c r="H13" s="78" t="str">
        <f>IF(H$4,SUMIFS(INDEX(Журнал!$D$5:$O$1000,0,H$3),Журнал!$A$5:$A$1000,H$3,Журнал!$B$5:$B$1000,$A13),"")</f>
        <v/>
      </c>
      <c r="I13" s="78" t="str">
        <f>IF(I$4,SUMIFS(INDEX(Журнал!$D$5:$O$1000,0,I$3),Журнал!$A$5:$A$1000,I$3,Журнал!$B$5:$B$1000,$A13),"")</f>
        <v/>
      </c>
      <c r="J13" s="78" t="str">
        <f>IF(J$4,SUMIFS(INDEX(Журнал!$D$5:$O$1000,0,J$3),Журнал!$A$5:$A$1000,J$3,Журнал!$B$5:$B$1000,$A13),"")</f>
        <v/>
      </c>
      <c r="K13" s="78">
        <f>IF(K$4,SUMIFS(INDEX(Журнал!$D$5:$O$1000,0,K$3),Журнал!$A$5:$A$1000,K$3,Журнал!$B$5:$B$1000,$A13),"")</f>
        <v>3.08707801639343</v>
      </c>
      <c r="L13" s="78">
        <f>IF(L$4,SUMIFS(INDEX(Журнал!$D$5:$O$1000,0,L$3),Журнал!$A$5:$A$1000,L$3,Журнал!$B$5:$B$1000,$A13),"")</f>
        <v>0.4562211263</v>
      </c>
      <c r="M13" s="78" t="str">
        <f>IF(M$4,SUMIFS(INDEX(Журнал!$D$5:$O$1000,0,M$3),Журнал!$A$5:$A$1000,M$3,Журнал!$B$5:$B$1000,$A13),"")</f>
        <v/>
      </c>
      <c r="N13" s="78" t="str">
        <f>IF(N$4,SUMIFS(INDEX(Журнал!$D$5:$O$1000,0,N$3),Журнал!$A$5:$A$1000,N$3,Журнал!$B$5:$B$1000,$A13),"")</f>
        <v/>
      </c>
      <c r="O13" s="78" t="str">
        <f>IF(O$4,SUMIFS(INDEX(Журнал!$D$5:$O$1000,0,O$3),Журнал!$A$5:$A$1000,O$3,Журнал!$B$5:$B$1000,$A13),"")</f>
        <v/>
      </c>
      <c r="Q13" s="78" t="str">
        <f>IF(Q$4,SUMIFS(INDEX(Журнал!$D$5:$O$1000,0,Q$3),Журнал!$A$5:$A$1000,Q$3-1,Журнал!$B$5:$B$1000,$A13),"")</f>
        <v/>
      </c>
      <c r="R13" s="78" t="str">
        <f>IF(R$4,SUMIFS(INDEX(Журнал!$D$5:$O$1000,0,R$3),Журнал!$A$5:$A$1000,R$3-1,Журнал!$B$5:$B$1000,$A13),"")</f>
        <v/>
      </c>
      <c r="S13" s="78" t="str">
        <f>IF(S$4,SUMIFS(INDEX(Журнал!$D$5:$O$1000,0,S$3),Журнал!$A$5:$A$1000,S$3-1,Журнал!$B$5:$B$1000,$A13),"")</f>
        <v/>
      </c>
      <c r="T13" s="78" t="str">
        <f>IF(T$4,SUMIFS(INDEX(Журнал!$D$5:$O$1000,0,T$3),Журнал!$A$5:$A$1000,T$3-1,Журнал!$B$5:$B$1000,$A13),"")</f>
        <v/>
      </c>
      <c r="U13" s="78" t="str">
        <f>IF(U$4,SUMIFS(INDEX(Журнал!$D$5:$O$1000,0,U$3),Журнал!$A$5:$A$1000,U$3-1,Журнал!$B$5:$B$1000,$A13),"")</f>
        <v/>
      </c>
      <c r="V13" s="78" t="str">
        <f>IF(V$4,SUMIFS(INDEX(Журнал!$D$5:$O$1000,0,V$3),Журнал!$A$5:$A$1000,V$3-1,Журнал!$B$5:$B$1000,$A13),"")</f>
        <v/>
      </c>
      <c r="W13" s="78" t="str">
        <f>IF(W$4,SUMIFS(INDEX(Журнал!$D$5:$O$1000,0,W$3),Журнал!$A$5:$A$1000,W$3-1,Журнал!$B$5:$B$1000,$A13),"")</f>
        <v/>
      </c>
      <c r="X13" s="78" t="str">
        <f>IF(X$4,SUMIFS(INDEX(Журнал!$D$5:$O$1000,0,X$3),Журнал!$A$5:$A$1000,X$3-1,Журнал!$B$5:$B$1000,$A13),"")</f>
        <v/>
      </c>
      <c r="Y13" s="78">
        <f>IF(Y$4,SUMIFS(INDEX(Журнал!$D$5:$O$1000,0,Y$3),Журнал!$A$5:$A$1000,Y$3-1,Журнал!$B$5:$B$1000,$A13),"")</f>
        <v>2.51784720765027</v>
      </c>
      <c r="Z13" s="78">
        <f>IF(Z$4,SUMIFS(INDEX(Журнал!$D$5:$O$1000,0,Z$3),Журнал!$A$5:$A$1000,Z$3-1,Журнал!$B$5:$B$1000,$A13),"")</f>
        <v>2.66992091641693</v>
      </c>
      <c r="AA13" s="78" t="str">
        <f>IF(AA$4,SUMIFS(INDEX(Журнал!$D$5:$O$1000,0,AA$3),Журнал!$A$5:$A$1000,AA$3-1,Журнал!$B$5:$B$1000,$A13),"")</f>
        <v/>
      </c>
      <c r="AB13" s="78" t="str">
        <f>IF(AB$4,SUMIFS(INDEX(Журнал!$D$5:$O$1000,0,AB$3),Журнал!$A$5:$A$1000,AB$3-1,Журнал!$B$5:$B$1000,$A13),"")</f>
        <v/>
      </c>
      <c r="AD13" s="21" t="str">
        <f>IF(AD$4,ABS(D13-Q13),"")</f>
        <v/>
      </c>
      <c r="AE13" s="21" t="str">
        <f>IF(AE$4,ABS(E13-R13),"")</f>
        <v/>
      </c>
      <c r="AF13" s="21" t="str">
        <f>IF(AF$4,ABS(F13-S13),"")</f>
        <v/>
      </c>
      <c r="AG13" s="21" t="str">
        <f>IF(AG$4,ABS(G13-T13),"")</f>
        <v/>
      </c>
      <c r="AH13" s="21" t="str">
        <f>IF(AH$4,ABS(H13-U13),"")</f>
        <v/>
      </c>
      <c r="AI13" s="21" t="str">
        <f>IF(AI$4,ABS(I13-V13),"")</f>
        <v/>
      </c>
      <c r="AJ13" s="21" t="str">
        <f>IF(AJ$4,ABS(J13-W13),"")</f>
        <v/>
      </c>
      <c r="AK13" s="21" t="str">
        <f>IF(AK$4,ABS(K13-X13),"")</f>
        <v/>
      </c>
      <c r="AL13" s="21">
        <f>IF(AL$4,ABS(L13-Y13),"")</f>
        <v>2.06162608135027</v>
      </c>
      <c r="AM13" s="21" t="str">
        <f>IF(AM$4,ABS(M13-Z13),"")</f>
        <v/>
      </c>
      <c r="AN13" s="21" t="str">
        <f>IF(AN$4,ABS(N13-AA13),"")</f>
        <v/>
      </c>
      <c r="AO13" s="21" t="str">
        <f>IF(AO$4,ABS(O13-AB13),"")</f>
        <v/>
      </c>
      <c r="AQ13" s="21" t="str">
        <f>IF(AD$4,ABS(D13),"")</f>
        <v/>
      </c>
      <c r="AR13" s="21" t="str">
        <f>IF(AE$4,ABS(E13),"")</f>
        <v/>
      </c>
      <c r="AS13" s="21" t="str">
        <f>IF(AF$4,ABS(F13),"")</f>
        <v/>
      </c>
      <c r="AT13" s="21" t="str">
        <f>IF(AG$4,ABS(G13),"")</f>
        <v/>
      </c>
      <c r="AU13" s="21" t="str">
        <f>IF(AH$4,ABS(H13),"")</f>
        <v/>
      </c>
      <c r="AV13" s="21" t="str">
        <f>IF(AI$4,ABS(I13),"")</f>
        <v/>
      </c>
      <c r="AW13" s="21" t="str">
        <f>IF(AJ$4,ABS(J13),"")</f>
        <v/>
      </c>
      <c r="AX13" s="21" t="str">
        <f>IF(AK$4,ABS(K13),"")</f>
        <v/>
      </c>
      <c r="AY13" s="21">
        <f>IF(AL$4,ABS(L13),"")</f>
        <v>0.4562211263</v>
      </c>
      <c r="AZ13" s="21" t="str">
        <f>IF(AM$4,ABS(M13),"")</f>
        <v/>
      </c>
      <c r="BA13" s="21" t="str">
        <f>IF(AN$4,ABS(N13),"")</f>
        <v/>
      </c>
      <c r="BB13" s="21" t="str">
        <f>IF(AO$4,ABS(O13),"")</f>
        <v/>
      </c>
    </row>
    <row r="14">
      <c r="A14" s="5" t="inlineStr">
        <is>
          <t>Выручка: Other</t>
        </is>
      </c>
      <c r="B14" s="5" t="inlineStr">
        <is>
          <t>Other и POSM</t>
        </is>
      </c>
      <c r="C14" s="8" t="inlineStr">
        <is>
          <t>Выручка</t>
        </is>
      </c>
      <c r="D14" s="78" t="str">
        <f>IF(D$4,SUMIFS(INDEX(Журнал!$D$5:$O$1000,0,D$3),Журнал!$A$5:$A$1000,D$3,Журнал!$B$5:$B$1000,$A14),"")</f>
        <v/>
      </c>
      <c r="E14" s="78" t="str">
        <f>IF(E$4,SUMIFS(INDEX(Журнал!$D$5:$O$1000,0,E$3),Журнал!$A$5:$A$1000,E$3,Журнал!$B$5:$B$1000,$A14),"")</f>
        <v/>
      </c>
      <c r="F14" s="78" t="str">
        <f>IF(F$4,SUMIFS(INDEX(Журнал!$D$5:$O$1000,0,F$3),Журнал!$A$5:$A$1000,F$3,Журнал!$B$5:$B$1000,$A14),"")</f>
        <v/>
      </c>
      <c r="G14" s="78" t="str">
        <f>IF(G$4,SUMIFS(INDEX(Журнал!$D$5:$O$1000,0,G$3),Журнал!$A$5:$A$1000,G$3,Журнал!$B$5:$B$1000,$A14),"")</f>
        <v/>
      </c>
      <c r="H14" s="78" t="str">
        <f>IF(H$4,SUMIFS(INDEX(Журнал!$D$5:$O$1000,0,H$3),Журнал!$A$5:$A$1000,H$3,Журнал!$B$5:$B$1000,$A14),"")</f>
        <v/>
      </c>
      <c r="I14" s="78" t="str">
        <f>IF(I$4,SUMIFS(INDEX(Журнал!$D$5:$O$1000,0,I$3),Журнал!$A$5:$A$1000,I$3,Журнал!$B$5:$B$1000,$A14),"")</f>
        <v/>
      </c>
      <c r="J14" s="78" t="str">
        <f>IF(J$4,SUMIFS(INDEX(Журнал!$D$5:$O$1000,0,J$3),Журнал!$A$5:$A$1000,J$3,Журнал!$B$5:$B$1000,$A14),"")</f>
        <v/>
      </c>
      <c r="K14" s="78">
        <f>IF(K$4,SUMIFS(INDEX(Журнал!$D$5:$O$1000,0,K$3),Журнал!$A$5:$A$1000,K$3,Журнал!$B$5:$B$1000,$A14),"")</f>
        <v>150.496789282131</v>
      </c>
      <c r="L14" s="78">
        <f>IF(L$4,SUMIFS(INDEX(Журнал!$D$5:$O$1000,0,L$3),Журнал!$A$5:$A$1000,L$3,Журнал!$B$5:$B$1000,$A14),"")</f>
        <v>94.8117974986673</v>
      </c>
      <c r="M14" s="78" t="str">
        <f>IF(M$4,SUMIFS(INDEX(Журнал!$D$5:$O$1000,0,M$3),Журнал!$A$5:$A$1000,M$3,Журнал!$B$5:$B$1000,$A14),"")</f>
        <v/>
      </c>
      <c r="N14" s="78" t="str">
        <f>IF(N$4,SUMIFS(INDEX(Журнал!$D$5:$O$1000,0,N$3),Журнал!$A$5:$A$1000,N$3,Журнал!$B$5:$B$1000,$A14),"")</f>
        <v/>
      </c>
      <c r="O14" s="78" t="str">
        <f>IF(O$4,SUMIFS(INDEX(Журнал!$D$5:$O$1000,0,O$3),Журнал!$A$5:$A$1000,O$3,Журнал!$B$5:$B$1000,$A14),"")</f>
        <v/>
      </c>
      <c r="Q14" s="78" t="str">
        <f>IF(Q$4,SUMIFS(INDEX(Журнал!$D$5:$O$1000,0,Q$3),Журнал!$A$5:$A$1000,Q$3-1,Журнал!$B$5:$B$1000,$A14),"")</f>
        <v/>
      </c>
      <c r="R14" s="78" t="str">
        <f>IF(R$4,SUMIFS(INDEX(Журнал!$D$5:$O$1000,0,R$3),Журнал!$A$5:$A$1000,R$3-1,Журнал!$B$5:$B$1000,$A14),"")</f>
        <v/>
      </c>
      <c r="S14" s="78" t="str">
        <f>IF(S$4,SUMIFS(INDEX(Журнал!$D$5:$O$1000,0,S$3),Журнал!$A$5:$A$1000,S$3-1,Журнал!$B$5:$B$1000,$A14),"")</f>
        <v/>
      </c>
      <c r="T14" s="78" t="str">
        <f>IF(T$4,SUMIFS(INDEX(Журнал!$D$5:$O$1000,0,T$3),Журнал!$A$5:$A$1000,T$3-1,Журнал!$B$5:$B$1000,$A14),"")</f>
        <v/>
      </c>
      <c r="U14" s="78" t="str">
        <f>IF(U$4,SUMIFS(INDEX(Журнал!$D$5:$O$1000,0,U$3),Журнал!$A$5:$A$1000,U$3-1,Журнал!$B$5:$B$1000,$A14),"")</f>
        <v/>
      </c>
      <c r="V14" s="78" t="str">
        <f>IF(V$4,SUMIFS(INDEX(Журнал!$D$5:$O$1000,0,V$3),Журнал!$A$5:$A$1000,V$3-1,Журнал!$B$5:$B$1000,$A14),"")</f>
        <v/>
      </c>
      <c r="W14" s="78" t="str">
        <f>IF(W$4,SUMIFS(INDEX(Журнал!$D$5:$O$1000,0,W$3),Журнал!$A$5:$A$1000,W$3-1,Журнал!$B$5:$B$1000,$A14),"")</f>
        <v/>
      </c>
      <c r="X14" s="78" t="str">
        <f>IF(X$4,SUMIFS(INDEX(Журнал!$D$5:$O$1000,0,X$3),Журнал!$A$5:$A$1000,X$3-1,Журнал!$B$5:$B$1000,$A14),"")</f>
        <v/>
      </c>
      <c r="Y14" s="78">
        <f>IF(Y$4,SUMIFS(INDEX(Журнал!$D$5:$O$1000,0,Y$3),Журнал!$A$5:$A$1000,Y$3-1,Журнал!$B$5:$B$1000,$A14),"")</f>
        <v>0</v>
      </c>
      <c r="Z14" s="78">
        <f>IF(Z$4,SUMIFS(INDEX(Журнал!$D$5:$O$1000,0,Z$3),Журнал!$A$5:$A$1000,Z$3-1,Журнал!$B$5:$B$1000,$A14),"")</f>
        <v>0</v>
      </c>
      <c r="AA14" s="78" t="str">
        <f>IF(AA$4,SUMIFS(INDEX(Журнал!$D$5:$O$1000,0,AA$3),Журнал!$A$5:$A$1000,AA$3-1,Журнал!$B$5:$B$1000,$A14),"")</f>
        <v/>
      </c>
      <c r="AB14" s="78" t="str">
        <f>IF(AB$4,SUMIFS(INDEX(Журнал!$D$5:$O$1000,0,AB$3),Журнал!$A$5:$A$1000,AB$3-1,Журнал!$B$5:$B$1000,$A14),"")</f>
        <v/>
      </c>
      <c r="AD14" s="21" t="str">
        <f>IF(AD$4,ABS(D14-Q14),"")</f>
        <v/>
      </c>
      <c r="AE14" s="21" t="str">
        <f>IF(AE$4,ABS(E14-R14),"")</f>
        <v/>
      </c>
      <c r="AF14" s="21" t="str">
        <f>IF(AF$4,ABS(F14-S14),"")</f>
        <v/>
      </c>
      <c r="AG14" s="21" t="str">
        <f>IF(AG$4,ABS(G14-T14),"")</f>
        <v/>
      </c>
      <c r="AH14" s="21" t="str">
        <f>IF(AH$4,ABS(H14-U14),"")</f>
        <v/>
      </c>
      <c r="AI14" s="21" t="str">
        <f>IF(AI$4,ABS(I14-V14),"")</f>
        <v/>
      </c>
      <c r="AJ14" s="21" t="str">
        <f>IF(AJ$4,ABS(J14-W14),"")</f>
        <v/>
      </c>
      <c r="AK14" s="21" t="str">
        <f>IF(AK$4,ABS(K14-X14),"")</f>
        <v/>
      </c>
      <c r="AL14" s="21">
        <f>IF(AL$4,ABS(L14-Y14),"")</f>
        <v>94.8117974986673</v>
      </c>
      <c r="AM14" s="21" t="str">
        <f>IF(AM$4,ABS(M14-Z14),"")</f>
        <v/>
      </c>
      <c r="AN14" s="21" t="str">
        <f>IF(AN$4,ABS(N14-AA14),"")</f>
        <v/>
      </c>
      <c r="AO14" s="21" t="str">
        <f>IF(AO$4,ABS(O14-AB14),"")</f>
        <v/>
      </c>
      <c r="AQ14" s="21" t="str">
        <f>IF(AD$4,ABS(D14),"")</f>
        <v/>
      </c>
      <c r="AR14" s="21" t="str">
        <f>IF(AE$4,ABS(E14),"")</f>
        <v/>
      </c>
      <c r="AS14" s="21" t="str">
        <f>IF(AF$4,ABS(F14),"")</f>
        <v/>
      </c>
      <c r="AT14" s="21" t="str">
        <f>IF(AG$4,ABS(G14),"")</f>
        <v/>
      </c>
      <c r="AU14" s="21" t="str">
        <f>IF(AH$4,ABS(H14),"")</f>
        <v/>
      </c>
      <c r="AV14" s="21" t="str">
        <f>IF(AI$4,ABS(I14),"")</f>
        <v/>
      </c>
      <c r="AW14" s="21" t="str">
        <f>IF(AJ$4,ABS(J14),"")</f>
        <v/>
      </c>
      <c r="AX14" s="21" t="str">
        <f>IF(AK$4,ABS(K14),"")</f>
        <v/>
      </c>
      <c r="AY14" s="21">
        <f>IF(AL$4,ABS(L14),"")</f>
        <v>94.8117974986673</v>
      </c>
      <c r="AZ14" s="21" t="str">
        <f>IF(AM$4,ABS(M14),"")</f>
        <v/>
      </c>
      <c r="BA14" s="21" t="str">
        <f>IF(AN$4,ABS(N14),"")</f>
        <v/>
      </c>
      <c r="BB14" s="21" t="str">
        <f>IF(AO$4,ABS(O14),"")</f>
        <v/>
      </c>
    </row>
    <row r="15">
      <c r="A15" s="5" t="inlineStr">
        <is>
          <t>Выручка: Кроссформатные пакеты</t>
        </is>
      </c>
      <c r="B15" s="5" t="inlineStr">
        <is>
          <t>Кроссформатные пакеты</t>
        </is>
      </c>
      <c r="C15" s="8" t="inlineStr">
        <is>
          <t>Выручка</t>
        </is>
      </c>
      <c r="D15" s="78" t="str">
        <f>IF(D$4,SUMIFS(INDEX(Журнал!$D$5:$O$1000,0,D$3),Журнал!$A$5:$A$1000,D$3,Журнал!$B$5:$B$1000,$A15),"")</f>
        <v/>
      </c>
      <c r="E15" s="78" t="str">
        <f>IF(E$4,SUMIFS(INDEX(Журнал!$D$5:$O$1000,0,E$3),Журнал!$A$5:$A$1000,E$3,Журнал!$B$5:$B$1000,$A15),"")</f>
        <v/>
      </c>
      <c r="F15" s="78" t="str">
        <f>IF(F$4,SUMIFS(INDEX(Журнал!$D$5:$O$1000,0,F$3),Журнал!$A$5:$A$1000,F$3,Журнал!$B$5:$B$1000,$A15),"")</f>
        <v/>
      </c>
      <c r="G15" s="78" t="str">
        <f>IF(G$4,SUMIFS(INDEX(Журнал!$D$5:$O$1000,0,G$3),Журнал!$A$5:$A$1000,G$3,Журнал!$B$5:$B$1000,$A15),"")</f>
        <v/>
      </c>
      <c r="H15" s="78" t="str">
        <f>IF(H$4,SUMIFS(INDEX(Журнал!$D$5:$O$1000,0,H$3),Журнал!$A$5:$A$1000,H$3,Журнал!$B$5:$B$1000,$A15),"")</f>
        <v/>
      </c>
      <c r="I15" s="78" t="str">
        <f>IF(I$4,SUMIFS(INDEX(Журнал!$D$5:$O$1000,0,I$3),Журнал!$A$5:$A$1000,I$3,Журнал!$B$5:$B$1000,$A15),"")</f>
        <v/>
      </c>
      <c r="J15" s="78" t="str">
        <f>IF(J$4,SUMIFS(INDEX(Журнал!$D$5:$O$1000,0,J$3),Журнал!$A$5:$A$1000,J$3,Журнал!$B$5:$B$1000,$A15),"")</f>
        <v/>
      </c>
      <c r="K15" s="78">
        <f>IF(K$4,SUMIFS(INDEX(Журнал!$D$5:$O$1000,0,K$3),Журнал!$A$5:$A$1000,K$3,Журнал!$B$5:$B$1000,$A15),"")</f>
        <v>33.4755066334425</v>
      </c>
      <c r="L15" s="78">
        <f>IF(L$4,SUMIFS(INDEX(Журнал!$D$5:$O$1000,0,L$3),Журнал!$A$5:$A$1000,L$3,Журнал!$B$5:$B$1000,$A15),"")</f>
        <v>4.0273691471999</v>
      </c>
      <c r="M15" s="78" t="str">
        <f>IF(M$4,SUMIFS(INDEX(Журнал!$D$5:$O$1000,0,M$3),Журнал!$A$5:$A$1000,M$3,Журнал!$B$5:$B$1000,$A15),"")</f>
        <v/>
      </c>
      <c r="N15" s="78" t="str">
        <f>IF(N$4,SUMIFS(INDEX(Журнал!$D$5:$O$1000,0,N$3),Журнал!$A$5:$A$1000,N$3,Журнал!$B$5:$B$1000,$A15),"")</f>
        <v/>
      </c>
      <c r="O15" s="78" t="str">
        <f>IF(O$4,SUMIFS(INDEX(Журнал!$D$5:$O$1000,0,O$3),Журнал!$A$5:$A$1000,O$3,Журнал!$B$5:$B$1000,$A15),"")</f>
        <v/>
      </c>
      <c r="Q15" s="78" t="str">
        <f>IF(Q$4,SUMIFS(INDEX(Журнал!$D$5:$O$1000,0,Q$3),Журнал!$A$5:$A$1000,Q$3-1,Журнал!$B$5:$B$1000,$A15),"")</f>
        <v/>
      </c>
      <c r="R15" s="78" t="str">
        <f>IF(R$4,SUMIFS(INDEX(Журнал!$D$5:$O$1000,0,R$3),Журнал!$A$5:$A$1000,R$3-1,Журнал!$B$5:$B$1000,$A15),"")</f>
        <v/>
      </c>
      <c r="S15" s="78" t="str">
        <f>IF(S$4,SUMIFS(INDEX(Журнал!$D$5:$O$1000,0,S$3),Журнал!$A$5:$A$1000,S$3-1,Журнал!$B$5:$B$1000,$A15),"")</f>
        <v/>
      </c>
      <c r="T15" s="78" t="str">
        <f>IF(T$4,SUMIFS(INDEX(Журнал!$D$5:$O$1000,0,T$3),Журнал!$A$5:$A$1000,T$3-1,Журнал!$B$5:$B$1000,$A15),"")</f>
        <v/>
      </c>
      <c r="U15" s="78" t="str">
        <f>IF(U$4,SUMIFS(INDEX(Журнал!$D$5:$O$1000,0,U$3),Журнал!$A$5:$A$1000,U$3-1,Журнал!$B$5:$B$1000,$A15),"")</f>
        <v/>
      </c>
      <c r="V15" s="78" t="str">
        <f>IF(V$4,SUMIFS(INDEX(Журнал!$D$5:$O$1000,0,V$3),Журнал!$A$5:$A$1000,V$3-1,Журнал!$B$5:$B$1000,$A15),"")</f>
        <v/>
      </c>
      <c r="W15" s="78" t="str">
        <f>IF(W$4,SUMIFS(INDEX(Журнал!$D$5:$O$1000,0,W$3),Журнал!$A$5:$A$1000,W$3-1,Журнал!$B$5:$B$1000,$A15),"")</f>
        <v/>
      </c>
      <c r="X15" s="78" t="str">
        <f>IF(X$4,SUMIFS(INDEX(Журнал!$D$5:$O$1000,0,X$3),Журнал!$A$5:$A$1000,X$3-1,Журнал!$B$5:$B$1000,$A15),"")</f>
        <v/>
      </c>
      <c r="Y15" s="78">
        <f>IF(Y$4,SUMIFS(INDEX(Журнал!$D$5:$O$1000,0,Y$3),Журнал!$A$5:$A$1000,Y$3-1,Журнал!$B$5:$B$1000,$A15),"")</f>
        <v>0</v>
      </c>
      <c r="Z15" s="78">
        <f>IF(Z$4,SUMIFS(INDEX(Журнал!$D$5:$O$1000,0,Z$3),Журнал!$A$5:$A$1000,Z$3-1,Журнал!$B$5:$B$1000,$A15),"")</f>
        <v>0</v>
      </c>
      <c r="AA15" s="78" t="str">
        <f>IF(AA$4,SUMIFS(INDEX(Журнал!$D$5:$O$1000,0,AA$3),Журнал!$A$5:$A$1000,AA$3-1,Журнал!$B$5:$B$1000,$A15),"")</f>
        <v/>
      </c>
      <c r="AB15" s="78" t="str">
        <f>IF(AB$4,SUMIFS(INDEX(Журнал!$D$5:$O$1000,0,AB$3),Журнал!$A$5:$A$1000,AB$3-1,Журнал!$B$5:$B$1000,$A15),"")</f>
        <v/>
      </c>
      <c r="AD15" s="21" t="str">
        <f>IF(AD$4,ABS(D15-Q15),"")</f>
        <v/>
      </c>
      <c r="AE15" s="21" t="str">
        <f>IF(AE$4,ABS(E15-R15),"")</f>
        <v/>
      </c>
      <c r="AF15" s="21" t="str">
        <f>IF(AF$4,ABS(F15-S15),"")</f>
        <v/>
      </c>
      <c r="AG15" s="21" t="str">
        <f>IF(AG$4,ABS(G15-T15),"")</f>
        <v/>
      </c>
      <c r="AH15" s="21" t="str">
        <f>IF(AH$4,ABS(H15-U15),"")</f>
        <v/>
      </c>
      <c r="AI15" s="21" t="str">
        <f>IF(AI$4,ABS(I15-V15),"")</f>
        <v/>
      </c>
      <c r="AJ15" s="21" t="str">
        <f>IF(AJ$4,ABS(J15-W15),"")</f>
        <v/>
      </c>
      <c r="AK15" s="21" t="str">
        <f>IF(AK$4,ABS(K15-X15),"")</f>
        <v/>
      </c>
      <c r="AL15" s="21">
        <f>IF(AL$4,ABS(L15-Y15),"")</f>
        <v>4.0273691471999</v>
      </c>
      <c r="AM15" s="21" t="str">
        <f>IF(AM$4,ABS(M15-Z15),"")</f>
        <v/>
      </c>
      <c r="AN15" s="21" t="str">
        <f>IF(AN$4,ABS(N15-AA15),"")</f>
        <v/>
      </c>
      <c r="AO15" s="21" t="str">
        <f>IF(AO$4,ABS(O15-AB15),"")</f>
        <v/>
      </c>
      <c r="AQ15" s="21" t="str">
        <f>IF(AD$4,ABS(D15),"")</f>
        <v/>
      </c>
      <c r="AR15" s="21" t="str">
        <f>IF(AE$4,ABS(E15),"")</f>
        <v/>
      </c>
      <c r="AS15" s="21" t="str">
        <f>IF(AF$4,ABS(F15),"")</f>
        <v/>
      </c>
      <c r="AT15" s="21" t="str">
        <f>IF(AG$4,ABS(G15),"")</f>
        <v/>
      </c>
      <c r="AU15" s="21" t="str">
        <f>IF(AH$4,ABS(H15),"")</f>
        <v/>
      </c>
      <c r="AV15" s="21" t="str">
        <f>IF(AI$4,ABS(I15),"")</f>
        <v/>
      </c>
      <c r="AW15" s="21" t="str">
        <f>IF(AJ$4,ABS(J15),"")</f>
        <v/>
      </c>
      <c r="AX15" s="21" t="str">
        <f>IF(AK$4,ABS(K15),"")</f>
        <v/>
      </c>
      <c r="AY15" s="21">
        <f>IF(AL$4,ABS(L15),"")</f>
        <v>4.0273691471999</v>
      </c>
      <c r="AZ15" s="21" t="str">
        <f>IF(AM$4,ABS(M15),"")</f>
        <v/>
      </c>
      <c r="BA15" s="21" t="str">
        <f>IF(AN$4,ABS(N15),"")</f>
        <v/>
      </c>
      <c r="BB15" s="21" t="str">
        <f>IF(AO$4,ABS(O15),"")</f>
        <v/>
      </c>
    </row>
    <row r="16">
      <c r="A16" s="5" t="inlineStr">
        <is>
          <t>Gross Revenue</t>
        </is>
      </c>
      <c r="B16" s="5" t="inlineStr">
        <is>
          <t>Gross Revenue</t>
        </is>
      </c>
      <c r="C16" s="8" t="inlineStr">
        <is>
          <t>Итог</t>
        </is>
      </c>
      <c r="D16" s="78" t="str">
        <f>IF(D$4,SUMIFS(INDEX(Журнал!$D$5:$O$1000,0,D$3),Журнал!$A$5:$A$1000,D$3,Журнал!$B$5:$B$1000,$A16),"")</f>
        <v/>
      </c>
      <c r="E16" s="78" t="str">
        <f>IF(E$4,SUMIFS(INDEX(Журнал!$D$5:$O$1000,0,E$3),Журнал!$A$5:$A$1000,E$3,Журнал!$B$5:$B$1000,$A16),"")</f>
        <v/>
      </c>
      <c r="F16" s="78" t="str">
        <f>IF(F$4,SUMIFS(INDEX(Журнал!$D$5:$O$1000,0,F$3),Журнал!$A$5:$A$1000,F$3,Журнал!$B$5:$B$1000,$A16),"")</f>
        <v/>
      </c>
      <c r="G16" s="78" t="str">
        <f>IF(G$4,SUMIFS(INDEX(Журнал!$D$5:$O$1000,0,G$3),Журнал!$A$5:$A$1000,G$3,Журнал!$B$5:$B$1000,$A16),"")</f>
        <v/>
      </c>
      <c r="H16" s="78" t="str">
        <f>IF(H$4,SUMIFS(INDEX(Журнал!$D$5:$O$1000,0,H$3),Журнал!$A$5:$A$1000,H$3,Журнал!$B$5:$B$1000,$A16),"")</f>
        <v/>
      </c>
      <c r="I16" s="78" t="str">
        <f>IF(I$4,SUMIFS(INDEX(Журнал!$D$5:$O$1000,0,I$3),Журнал!$A$5:$A$1000,I$3,Журнал!$B$5:$B$1000,$A16),"")</f>
        <v/>
      </c>
      <c r="J16" s="78" t="str">
        <f>IF(J$4,SUMIFS(INDEX(Журнал!$D$5:$O$1000,0,J$3),Журнал!$A$5:$A$1000,J$3,Журнал!$B$5:$B$1000,$A16),"")</f>
        <v/>
      </c>
      <c r="K16" s="78">
        <f>IF(K$4,SUMIFS(INDEX(Журнал!$D$5:$O$1000,0,K$3),Журнал!$A$5:$A$1000,K$3,Журнал!$B$5:$B$1000,$A16),"")</f>
        <v>964.110481132023</v>
      </c>
      <c r="L16" s="78">
        <f>IF(L$4,SUMIFS(INDEX(Журнал!$D$5:$O$1000,0,L$3),Журнал!$A$5:$A$1000,L$3,Журнал!$B$5:$B$1000,$A16),"")</f>
        <v>1183.19316312549</v>
      </c>
      <c r="M16" s="78" t="str">
        <f>IF(M$4,SUMIFS(INDEX(Журнал!$D$5:$O$1000,0,M$3),Журнал!$A$5:$A$1000,M$3,Журнал!$B$5:$B$1000,$A16),"")</f>
        <v/>
      </c>
      <c r="N16" s="78" t="str">
        <f>IF(N$4,SUMIFS(INDEX(Журнал!$D$5:$O$1000,0,N$3),Журнал!$A$5:$A$1000,N$3,Журнал!$B$5:$B$1000,$A16),"")</f>
        <v/>
      </c>
      <c r="O16" s="78" t="str">
        <f>IF(O$4,SUMIFS(INDEX(Журнал!$D$5:$O$1000,0,O$3),Журнал!$A$5:$A$1000,O$3,Журнал!$B$5:$B$1000,$A16),"")</f>
        <v/>
      </c>
      <c r="Q16" s="78" t="str">
        <f>IF(Q$4,SUMIFS(INDEX(Журнал!$D$5:$O$1000,0,Q$3),Журнал!$A$5:$A$1000,Q$3-1,Журнал!$B$5:$B$1000,$A16),"")</f>
        <v/>
      </c>
      <c r="R16" s="78" t="str">
        <f>IF(R$4,SUMIFS(INDEX(Журнал!$D$5:$O$1000,0,R$3),Журнал!$A$5:$A$1000,R$3-1,Журнал!$B$5:$B$1000,$A16),"")</f>
        <v/>
      </c>
      <c r="S16" s="78" t="str">
        <f>IF(S$4,SUMIFS(INDEX(Журнал!$D$5:$O$1000,0,S$3),Журнал!$A$5:$A$1000,S$3-1,Журнал!$B$5:$B$1000,$A16),"")</f>
        <v/>
      </c>
      <c r="T16" s="78" t="str">
        <f>IF(T$4,SUMIFS(INDEX(Журнал!$D$5:$O$1000,0,T$3),Журнал!$A$5:$A$1000,T$3-1,Журнал!$B$5:$B$1000,$A16),"")</f>
        <v/>
      </c>
      <c r="U16" s="78" t="str">
        <f>IF(U$4,SUMIFS(INDEX(Журнал!$D$5:$O$1000,0,U$3),Журнал!$A$5:$A$1000,U$3-1,Журнал!$B$5:$B$1000,$A16),"")</f>
        <v/>
      </c>
      <c r="V16" s="78" t="str">
        <f>IF(V$4,SUMIFS(INDEX(Журнал!$D$5:$O$1000,0,V$3),Журнал!$A$5:$A$1000,V$3-1,Журнал!$B$5:$B$1000,$A16),"")</f>
        <v/>
      </c>
      <c r="W16" s="78" t="str">
        <f>IF(W$4,SUMIFS(INDEX(Журнал!$D$5:$O$1000,0,W$3),Журнал!$A$5:$A$1000,W$3-1,Журнал!$B$5:$B$1000,$A16),"")</f>
        <v/>
      </c>
      <c r="X16" s="78" t="str">
        <f>IF(X$4,SUMIFS(INDEX(Журнал!$D$5:$O$1000,0,X$3),Журнал!$A$5:$A$1000,X$3-1,Журнал!$B$5:$B$1000,$A16),"")</f>
        <v/>
      </c>
      <c r="Y16" s="78">
        <f>IF(Y$4,SUMIFS(INDEX(Журнал!$D$5:$O$1000,0,Y$3),Журнал!$A$5:$A$1000,Y$3-1,Журнал!$B$5:$B$1000,$A16),"")</f>
        <v>1126.20049337253</v>
      </c>
      <c r="Z16" s="78">
        <f>IF(Z$4,SUMIFS(INDEX(Журнал!$D$5:$O$1000,0,Z$3),Журнал!$A$5:$A$1000,Z$3-1,Журнал!$B$5:$B$1000,$A16),"")</f>
        <v>971.690946047959</v>
      </c>
      <c r="AA16" s="78" t="str">
        <f>IF(AA$4,SUMIFS(INDEX(Журнал!$D$5:$O$1000,0,AA$3),Журнал!$A$5:$A$1000,AA$3-1,Журнал!$B$5:$B$1000,$A16),"")</f>
        <v/>
      </c>
      <c r="AB16" s="78" t="str">
        <f>IF(AB$4,SUMIFS(INDEX(Журнал!$D$5:$O$1000,0,AB$3),Журнал!$A$5:$A$1000,AB$3-1,Журнал!$B$5:$B$1000,$A16),"")</f>
        <v/>
      </c>
      <c r="AD16" s="21" t="str">
        <f>IF(AD$4,ABS(D16-Q16),"")</f>
        <v/>
      </c>
      <c r="AE16" s="21" t="str">
        <f>IF(AE$4,ABS(E16-R16),"")</f>
        <v/>
      </c>
      <c r="AF16" s="21" t="str">
        <f>IF(AF$4,ABS(F16-S16),"")</f>
        <v/>
      </c>
      <c r="AG16" s="21" t="str">
        <f>IF(AG$4,ABS(G16-T16),"")</f>
        <v/>
      </c>
      <c r="AH16" s="21" t="str">
        <f>IF(AH$4,ABS(H16-U16),"")</f>
        <v/>
      </c>
      <c r="AI16" s="21" t="str">
        <f>IF(AI$4,ABS(I16-V16),"")</f>
        <v/>
      </c>
      <c r="AJ16" s="21" t="str">
        <f>IF(AJ$4,ABS(J16-W16),"")</f>
        <v/>
      </c>
      <c r="AK16" s="21" t="str">
        <f>IF(AK$4,ABS(K16-X16),"")</f>
        <v/>
      </c>
      <c r="AL16" s="21">
        <f>IF(AL$4,ABS(L16-Y16),"")</f>
        <v>56.99266975296</v>
      </c>
      <c r="AM16" s="21" t="str">
        <f>IF(AM$4,ABS(M16-Z16),"")</f>
        <v/>
      </c>
      <c r="AN16" s="21" t="str">
        <f>IF(AN$4,ABS(N16-AA16),"")</f>
        <v/>
      </c>
      <c r="AO16" s="21" t="str">
        <f>IF(AO$4,ABS(O16-AB16),"")</f>
        <v/>
      </c>
      <c r="AQ16" s="21" t="str">
        <f>IF(AD$4,ABS(D16),"")</f>
        <v/>
      </c>
      <c r="AR16" s="21" t="str">
        <f>IF(AE$4,ABS(E16),"")</f>
        <v/>
      </c>
      <c r="AS16" s="21" t="str">
        <f>IF(AF$4,ABS(F16),"")</f>
        <v/>
      </c>
      <c r="AT16" s="21" t="str">
        <f>IF(AG$4,ABS(G16),"")</f>
        <v/>
      </c>
      <c r="AU16" s="21" t="str">
        <f>IF(AH$4,ABS(H16),"")</f>
        <v/>
      </c>
      <c r="AV16" s="21" t="str">
        <f>IF(AI$4,ABS(I16),"")</f>
        <v/>
      </c>
      <c r="AW16" s="21" t="str">
        <f>IF(AJ$4,ABS(J16),"")</f>
        <v/>
      </c>
      <c r="AX16" s="21" t="str">
        <f>IF(AK$4,ABS(K16),"")</f>
        <v/>
      </c>
      <c r="AY16" s="21">
        <f>IF(AL$4,ABS(L16),"")</f>
        <v>1183.19316312549</v>
      </c>
      <c r="AZ16" s="21" t="str">
        <f>IF(AM$4,ABS(M16),"")</f>
        <v/>
      </c>
      <c r="BA16" s="21" t="str">
        <f>IF(AN$4,ABS(N16),"")</f>
        <v/>
      </c>
      <c r="BB16" s="21" t="str">
        <f>IF(AO$4,ABS(O16),"")</f>
        <v/>
      </c>
    </row>
    <row r="17">
      <c r="A17" s="5" t="inlineStr">
        <is>
          <t>Direct cost</t>
        </is>
      </c>
      <c r="B17" s="5" t="inlineStr">
        <is>
          <t>Direct cost</t>
        </is>
      </c>
      <c r="C17" s="8" t="inlineStr">
        <is>
          <t>Расходы</t>
        </is>
      </c>
      <c r="D17" s="78" t="str">
        <f>IF(D$4,SUMIFS(INDEX(Журнал!$D$5:$O$1000,0,D$3),Журнал!$A$5:$A$1000,D$3,Журнал!$B$5:$B$1000,$A17),"")</f>
        <v/>
      </c>
      <c r="E17" s="78" t="str">
        <f>IF(E$4,SUMIFS(INDEX(Журнал!$D$5:$O$1000,0,E$3),Журнал!$A$5:$A$1000,E$3,Журнал!$B$5:$B$1000,$A17),"")</f>
        <v/>
      </c>
      <c r="F17" s="78" t="str">
        <f>IF(F$4,SUMIFS(INDEX(Журнал!$D$5:$O$1000,0,F$3),Журнал!$A$5:$A$1000,F$3,Журнал!$B$5:$B$1000,$A17),"")</f>
        <v/>
      </c>
      <c r="G17" s="78" t="str">
        <f>IF(G$4,SUMIFS(INDEX(Журнал!$D$5:$O$1000,0,G$3),Журнал!$A$5:$A$1000,G$3,Журнал!$B$5:$B$1000,$A17),"")</f>
        <v/>
      </c>
      <c r="H17" s="78" t="str">
        <f>IF(H$4,SUMIFS(INDEX(Журнал!$D$5:$O$1000,0,H$3),Журнал!$A$5:$A$1000,H$3,Журнал!$B$5:$B$1000,$A17),"")</f>
        <v/>
      </c>
      <c r="I17" s="78" t="str">
        <f>IF(I$4,SUMIFS(INDEX(Журнал!$D$5:$O$1000,0,I$3),Журнал!$A$5:$A$1000,I$3,Журнал!$B$5:$B$1000,$A17),"")</f>
        <v/>
      </c>
      <c r="J17" s="78" t="str">
        <f>IF(J$4,SUMIFS(INDEX(Журнал!$D$5:$O$1000,0,J$3),Журнал!$A$5:$A$1000,J$3,Журнал!$B$5:$B$1000,$A17),"")</f>
        <v/>
      </c>
      <c r="K17" s="78">
        <f>IF(K$4,SUMIFS(INDEX(Журнал!$D$5:$O$1000,0,K$3),Журнал!$A$5:$A$1000,K$3,Журнал!$B$5:$B$1000,$A17),"")</f>
        <v>-4.36537705</v>
      </c>
      <c r="L17" s="78">
        <f>IF(L$4,SUMIFS(INDEX(Журнал!$D$5:$O$1000,0,L$3),Журнал!$A$5:$A$1000,L$3,Журнал!$B$5:$B$1000,$A17),"")</f>
        <v>-0.92785226</v>
      </c>
      <c r="M17" s="78" t="str">
        <f>IF(M$4,SUMIFS(INDEX(Журнал!$D$5:$O$1000,0,M$3),Журнал!$A$5:$A$1000,M$3,Журнал!$B$5:$B$1000,$A17),"")</f>
        <v/>
      </c>
      <c r="N17" s="78" t="str">
        <f>IF(N$4,SUMIFS(INDEX(Журнал!$D$5:$O$1000,0,N$3),Журнал!$A$5:$A$1000,N$3,Журнал!$B$5:$B$1000,$A17),"")</f>
        <v/>
      </c>
      <c r="O17" s="78" t="str">
        <f>IF(O$4,SUMIFS(INDEX(Журнал!$D$5:$O$1000,0,O$3),Журнал!$A$5:$A$1000,O$3,Журнал!$B$5:$B$1000,$A17),"")</f>
        <v/>
      </c>
      <c r="Q17" s="78" t="str">
        <f>IF(Q$4,SUMIFS(INDEX(Журнал!$D$5:$O$1000,0,Q$3),Журнал!$A$5:$A$1000,Q$3-1,Журнал!$B$5:$B$1000,$A17),"")</f>
        <v/>
      </c>
      <c r="R17" s="78" t="str">
        <f>IF(R$4,SUMIFS(INDEX(Журнал!$D$5:$O$1000,0,R$3),Журнал!$A$5:$A$1000,R$3-1,Журнал!$B$5:$B$1000,$A17),"")</f>
        <v/>
      </c>
      <c r="S17" s="78" t="str">
        <f>IF(S$4,SUMIFS(INDEX(Журнал!$D$5:$O$1000,0,S$3),Журнал!$A$5:$A$1000,S$3-1,Журнал!$B$5:$B$1000,$A17),"")</f>
        <v/>
      </c>
      <c r="T17" s="78" t="str">
        <f>IF(T$4,SUMIFS(INDEX(Журнал!$D$5:$O$1000,0,T$3),Журнал!$A$5:$A$1000,T$3-1,Журнал!$B$5:$B$1000,$A17),"")</f>
        <v/>
      </c>
      <c r="U17" s="78" t="str">
        <f>IF(U$4,SUMIFS(INDEX(Журнал!$D$5:$O$1000,0,U$3),Журнал!$A$5:$A$1000,U$3-1,Журнал!$B$5:$B$1000,$A17),"")</f>
        <v/>
      </c>
      <c r="V17" s="78" t="str">
        <f>IF(V$4,SUMIFS(INDEX(Журнал!$D$5:$O$1000,0,V$3),Журнал!$A$5:$A$1000,V$3-1,Журнал!$B$5:$B$1000,$A17),"")</f>
        <v/>
      </c>
      <c r="W17" s="78" t="str">
        <f>IF(W$4,SUMIFS(INDEX(Журнал!$D$5:$O$1000,0,W$3),Журнал!$A$5:$A$1000,W$3-1,Журнал!$B$5:$B$1000,$A17),"")</f>
        <v/>
      </c>
      <c r="X17" s="78" t="str">
        <f>IF(X$4,SUMIFS(INDEX(Журнал!$D$5:$O$1000,0,X$3),Журнал!$A$5:$A$1000,X$3-1,Журнал!$B$5:$B$1000,$A17),"")</f>
        <v/>
      </c>
      <c r="Y17" s="78">
        <f>IF(Y$4,SUMIFS(INDEX(Журнал!$D$5:$O$1000,0,Y$3),Журнал!$A$5:$A$1000,Y$3-1,Журнал!$B$5:$B$1000,$A17),"")</f>
        <v>-34.7658006279034</v>
      </c>
      <c r="Z17" s="78">
        <f>IF(Z$4,SUMIFS(INDEX(Журнал!$D$5:$O$1000,0,Z$3),Журнал!$A$5:$A$1000,Z$3-1,Журнал!$B$5:$B$1000,$A17),"")</f>
        <v>-37.708031149277</v>
      </c>
      <c r="AA17" s="78" t="str">
        <f>IF(AA$4,SUMIFS(INDEX(Журнал!$D$5:$O$1000,0,AA$3),Журнал!$A$5:$A$1000,AA$3-1,Журнал!$B$5:$B$1000,$A17),"")</f>
        <v/>
      </c>
      <c r="AB17" s="78" t="str">
        <f>IF(AB$4,SUMIFS(INDEX(Журнал!$D$5:$O$1000,0,AB$3),Журнал!$A$5:$A$1000,AB$3-1,Журнал!$B$5:$B$1000,$A17),"")</f>
        <v/>
      </c>
      <c r="AD17" s="21" t="str">
        <f>IF(AD$4,ABS(D17-Q17),"")</f>
        <v/>
      </c>
      <c r="AE17" s="21" t="str">
        <f>IF(AE$4,ABS(E17-R17),"")</f>
        <v/>
      </c>
      <c r="AF17" s="21" t="str">
        <f>IF(AF$4,ABS(F17-S17),"")</f>
        <v/>
      </c>
      <c r="AG17" s="21" t="str">
        <f>IF(AG$4,ABS(G17-T17),"")</f>
        <v/>
      </c>
      <c r="AH17" s="21" t="str">
        <f>IF(AH$4,ABS(H17-U17),"")</f>
        <v/>
      </c>
      <c r="AI17" s="21" t="str">
        <f>IF(AI$4,ABS(I17-V17),"")</f>
        <v/>
      </c>
      <c r="AJ17" s="21" t="str">
        <f>IF(AJ$4,ABS(J17-W17),"")</f>
        <v/>
      </c>
      <c r="AK17" s="21" t="str">
        <f>IF(AK$4,ABS(K17-X17),"")</f>
        <v/>
      </c>
      <c r="AL17" s="21">
        <f>IF(AL$4,ABS(L17-Y17),"")</f>
        <v>33.8379483679034</v>
      </c>
      <c r="AM17" s="21" t="str">
        <f>IF(AM$4,ABS(M17-Z17),"")</f>
        <v/>
      </c>
      <c r="AN17" s="21" t="str">
        <f>IF(AN$4,ABS(N17-AA17),"")</f>
        <v/>
      </c>
      <c r="AO17" s="21" t="str">
        <f>IF(AO$4,ABS(O17-AB17),"")</f>
        <v/>
      </c>
      <c r="AQ17" s="21" t="str">
        <f>IF(AD$4,ABS(D17),"")</f>
        <v/>
      </c>
      <c r="AR17" s="21" t="str">
        <f>IF(AE$4,ABS(E17),"")</f>
        <v/>
      </c>
      <c r="AS17" s="21" t="str">
        <f>IF(AF$4,ABS(F17),"")</f>
        <v/>
      </c>
      <c r="AT17" s="21" t="str">
        <f>IF(AG$4,ABS(G17),"")</f>
        <v/>
      </c>
      <c r="AU17" s="21" t="str">
        <f>IF(AH$4,ABS(H17),"")</f>
        <v/>
      </c>
      <c r="AV17" s="21" t="str">
        <f>IF(AI$4,ABS(I17),"")</f>
        <v/>
      </c>
      <c r="AW17" s="21" t="str">
        <f>IF(AJ$4,ABS(J17),"")</f>
        <v/>
      </c>
      <c r="AX17" s="21" t="str">
        <f>IF(AK$4,ABS(K17),"")</f>
        <v/>
      </c>
      <c r="AY17" s="21">
        <f>IF(AL$4,ABS(L17),"")</f>
        <v>0.92785226</v>
      </c>
      <c r="AZ17" s="21" t="str">
        <f>IF(AM$4,ABS(M17),"")</f>
        <v/>
      </c>
      <c r="BA17" s="21" t="str">
        <f>IF(AN$4,ABS(N17),"")</f>
        <v/>
      </c>
      <c r="BB17" s="21" t="str">
        <f>IF(AO$4,ABS(O17),"")</f>
        <v/>
      </c>
    </row>
    <row r="18">
      <c r="A18" s="5" t="inlineStr">
        <is>
          <t>PEX</t>
        </is>
      </c>
      <c r="B18" s="5" t="inlineStr">
        <is>
          <t>PEX</t>
        </is>
      </c>
      <c r="C18" s="8" t="inlineStr">
        <is>
          <t>Расходы</t>
        </is>
      </c>
      <c r="D18" s="78" t="str">
        <f>IF(D$4,SUMIFS(INDEX(Журнал!$D$5:$O$1000,0,D$3),Журнал!$A$5:$A$1000,D$3,Журнал!$B$5:$B$1000,$A18),"")</f>
        <v/>
      </c>
      <c r="E18" s="78" t="str">
        <f>IF(E$4,SUMIFS(INDEX(Журнал!$D$5:$O$1000,0,E$3),Журнал!$A$5:$A$1000,E$3,Журнал!$B$5:$B$1000,$A18),"")</f>
        <v/>
      </c>
      <c r="F18" s="78" t="str">
        <f>IF(F$4,SUMIFS(INDEX(Журнал!$D$5:$O$1000,0,F$3),Журнал!$A$5:$A$1000,F$3,Журнал!$B$5:$B$1000,$A18),"")</f>
        <v/>
      </c>
      <c r="G18" s="78" t="str">
        <f>IF(G$4,SUMIFS(INDEX(Журнал!$D$5:$O$1000,0,G$3),Журнал!$A$5:$A$1000,G$3,Журнал!$B$5:$B$1000,$A18),"")</f>
        <v/>
      </c>
      <c r="H18" s="78" t="str">
        <f>IF(H$4,SUMIFS(INDEX(Журнал!$D$5:$O$1000,0,H$3),Журнал!$A$5:$A$1000,H$3,Журнал!$B$5:$B$1000,$A18),"")</f>
        <v/>
      </c>
      <c r="I18" s="78" t="str">
        <f>IF(I$4,SUMIFS(INDEX(Журнал!$D$5:$O$1000,0,I$3),Журнал!$A$5:$A$1000,I$3,Журнал!$B$5:$B$1000,$A18),"")</f>
        <v/>
      </c>
      <c r="J18" s="78" t="str">
        <f>IF(J$4,SUMIFS(INDEX(Журнал!$D$5:$O$1000,0,J$3),Журнал!$A$5:$A$1000,J$3,Журнал!$B$5:$B$1000,$A18),"")</f>
        <v/>
      </c>
      <c r="K18" s="78">
        <f>IF(K$4,SUMIFS(INDEX(Журнал!$D$5:$O$1000,0,K$3),Журнал!$A$5:$A$1000,K$3,Журнал!$B$5:$B$1000,$A18),"")</f>
        <v>-111.304741772561</v>
      </c>
      <c r="L18" s="78">
        <f>IF(L$4,SUMIFS(INDEX(Журнал!$D$5:$O$1000,0,L$3),Журнал!$A$5:$A$1000,L$3,Журнал!$B$5:$B$1000,$A18),"")</f>
        <v>62.4564056952867</v>
      </c>
      <c r="M18" s="78" t="str">
        <f>IF(M$4,SUMIFS(INDEX(Журнал!$D$5:$O$1000,0,M$3),Журнал!$A$5:$A$1000,M$3,Журнал!$B$5:$B$1000,$A18),"")</f>
        <v/>
      </c>
      <c r="N18" s="78" t="str">
        <f>IF(N$4,SUMIFS(INDEX(Журнал!$D$5:$O$1000,0,N$3),Журнал!$A$5:$A$1000,N$3,Журнал!$B$5:$B$1000,$A18),"")</f>
        <v/>
      </c>
      <c r="O18" s="78" t="str">
        <f>IF(O$4,SUMIFS(INDEX(Журнал!$D$5:$O$1000,0,O$3),Журнал!$A$5:$A$1000,O$3,Журнал!$B$5:$B$1000,$A18),"")</f>
        <v/>
      </c>
      <c r="Q18" s="78" t="str">
        <f>IF(Q$4,SUMIFS(INDEX(Журнал!$D$5:$O$1000,0,Q$3),Журнал!$A$5:$A$1000,Q$3-1,Журнал!$B$5:$B$1000,$A18),"")</f>
        <v/>
      </c>
      <c r="R18" s="78" t="str">
        <f>IF(R$4,SUMIFS(INDEX(Журнал!$D$5:$O$1000,0,R$3),Журнал!$A$5:$A$1000,R$3-1,Журнал!$B$5:$B$1000,$A18),"")</f>
        <v/>
      </c>
      <c r="S18" s="78" t="str">
        <f>IF(S$4,SUMIFS(INDEX(Журнал!$D$5:$O$1000,0,S$3),Журнал!$A$5:$A$1000,S$3-1,Журнал!$B$5:$B$1000,$A18),"")</f>
        <v/>
      </c>
      <c r="T18" s="78" t="str">
        <f>IF(T$4,SUMIFS(INDEX(Журнал!$D$5:$O$1000,0,T$3),Журнал!$A$5:$A$1000,T$3-1,Журнал!$B$5:$B$1000,$A18),"")</f>
        <v/>
      </c>
      <c r="U18" s="78" t="str">
        <f>IF(U$4,SUMIFS(INDEX(Журнал!$D$5:$O$1000,0,U$3),Журнал!$A$5:$A$1000,U$3-1,Журнал!$B$5:$B$1000,$A18),"")</f>
        <v/>
      </c>
      <c r="V18" s="78" t="str">
        <f>IF(V$4,SUMIFS(INDEX(Журнал!$D$5:$O$1000,0,V$3),Журнал!$A$5:$A$1000,V$3-1,Журнал!$B$5:$B$1000,$A18),"")</f>
        <v/>
      </c>
      <c r="W18" s="78" t="str">
        <f>IF(W$4,SUMIFS(INDEX(Журнал!$D$5:$O$1000,0,W$3),Журнал!$A$5:$A$1000,W$3-1,Журнал!$B$5:$B$1000,$A18),"")</f>
        <v/>
      </c>
      <c r="X18" s="78" t="str">
        <f>IF(X$4,SUMIFS(INDEX(Журнал!$D$5:$O$1000,0,X$3),Журнал!$A$5:$A$1000,X$3-1,Журнал!$B$5:$B$1000,$A18),"")</f>
        <v/>
      </c>
      <c r="Y18" s="78">
        <f>IF(Y$4,SUMIFS(INDEX(Журнал!$D$5:$O$1000,0,Y$3),Журнал!$A$5:$A$1000,Y$3-1,Журнал!$B$5:$B$1000,$A18),"")</f>
        <v>-111.51028275114</v>
      </c>
      <c r="Z18" s="78">
        <f>IF(Z$4,SUMIFS(INDEX(Журнал!$D$5:$O$1000,0,Z$3),Журнал!$A$5:$A$1000,Z$3-1,Журнал!$B$5:$B$1000,$A18),"")</f>
        <v>-89.6943252451799</v>
      </c>
      <c r="AA18" s="78" t="str">
        <f>IF(AA$4,SUMIFS(INDEX(Журнал!$D$5:$O$1000,0,AA$3),Журнал!$A$5:$A$1000,AA$3-1,Журнал!$B$5:$B$1000,$A18),"")</f>
        <v/>
      </c>
      <c r="AB18" s="78" t="str">
        <f>IF(AB$4,SUMIFS(INDEX(Журнал!$D$5:$O$1000,0,AB$3),Журнал!$A$5:$A$1000,AB$3-1,Журнал!$B$5:$B$1000,$A18),"")</f>
        <v/>
      </c>
      <c r="AD18" s="21" t="str">
        <f>IF(AD$4,ABS(D18-Q18),"")</f>
        <v/>
      </c>
      <c r="AE18" s="21" t="str">
        <f>IF(AE$4,ABS(E18-R18),"")</f>
        <v/>
      </c>
      <c r="AF18" s="21" t="str">
        <f>IF(AF$4,ABS(F18-S18),"")</f>
        <v/>
      </c>
      <c r="AG18" s="21" t="str">
        <f>IF(AG$4,ABS(G18-T18),"")</f>
        <v/>
      </c>
      <c r="AH18" s="21" t="str">
        <f>IF(AH$4,ABS(H18-U18),"")</f>
        <v/>
      </c>
      <c r="AI18" s="21" t="str">
        <f>IF(AI$4,ABS(I18-V18),"")</f>
        <v/>
      </c>
      <c r="AJ18" s="21" t="str">
        <f>IF(AJ$4,ABS(J18-W18),"")</f>
        <v/>
      </c>
      <c r="AK18" s="21" t="str">
        <f>IF(AK$4,ABS(K18-X18),"")</f>
        <v/>
      </c>
      <c r="AL18" s="21">
        <f>IF(AL$4,ABS(L18-Y18),"")</f>
        <v>173.966688446426</v>
      </c>
      <c r="AM18" s="21" t="str">
        <f>IF(AM$4,ABS(M18-Z18),"")</f>
        <v/>
      </c>
      <c r="AN18" s="21" t="str">
        <f>IF(AN$4,ABS(N18-AA18),"")</f>
        <v/>
      </c>
      <c r="AO18" s="21" t="str">
        <f>IF(AO$4,ABS(O18-AB18),"")</f>
        <v/>
      </c>
      <c r="AQ18" s="21" t="str">
        <f>IF(AD$4,ABS(D18),"")</f>
        <v/>
      </c>
      <c r="AR18" s="21" t="str">
        <f>IF(AE$4,ABS(E18),"")</f>
        <v/>
      </c>
      <c r="AS18" s="21" t="str">
        <f>IF(AF$4,ABS(F18),"")</f>
        <v/>
      </c>
      <c r="AT18" s="21" t="str">
        <f>IF(AG$4,ABS(G18),"")</f>
        <v/>
      </c>
      <c r="AU18" s="21" t="str">
        <f>IF(AH$4,ABS(H18),"")</f>
        <v/>
      </c>
      <c r="AV18" s="21" t="str">
        <f>IF(AI$4,ABS(I18),"")</f>
        <v/>
      </c>
      <c r="AW18" s="21" t="str">
        <f>IF(AJ$4,ABS(J18),"")</f>
        <v/>
      </c>
      <c r="AX18" s="21" t="str">
        <f>IF(AK$4,ABS(K18),"")</f>
        <v/>
      </c>
      <c r="AY18" s="21">
        <f>IF(AL$4,ABS(L18),"")</f>
        <v>62.4564056952867</v>
      </c>
      <c r="AZ18" s="21" t="str">
        <f>IF(AM$4,ABS(M18),"")</f>
        <v/>
      </c>
      <c r="BA18" s="21" t="str">
        <f>IF(AN$4,ABS(N18),"")</f>
        <v/>
      </c>
      <c r="BB18" s="21" t="str">
        <f>IF(AO$4,ABS(O18),"")</f>
        <v/>
      </c>
    </row>
    <row r="19">
      <c r="A19" s="5" t="inlineStr">
        <is>
          <t>Other PEX</t>
        </is>
      </c>
      <c r="B19" s="5" t="inlineStr">
        <is>
          <t>Other PEX</t>
        </is>
      </c>
      <c r="C19" s="8" t="inlineStr">
        <is>
          <t>Расходы</t>
        </is>
      </c>
      <c r="D19" s="78" t="str">
        <f>IF(D$4,SUMIFS(INDEX(Журнал!$D$5:$O$1000,0,D$3),Журнал!$A$5:$A$1000,D$3,Журнал!$B$5:$B$1000,$A19),"")</f>
        <v/>
      </c>
      <c r="E19" s="78" t="str">
        <f>IF(E$4,SUMIFS(INDEX(Журнал!$D$5:$O$1000,0,E$3),Журнал!$A$5:$A$1000,E$3,Журнал!$B$5:$B$1000,$A19),"")</f>
        <v/>
      </c>
      <c r="F19" s="78" t="str">
        <f>IF(F$4,SUMIFS(INDEX(Журнал!$D$5:$O$1000,0,F$3),Журнал!$A$5:$A$1000,F$3,Журнал!$B$5:$B$1000,$A19),"")</f>
        <v/>
      </c>
      <c r="G19" s="78" t="str">
        <f>IF(G$4,SUMIFS(INDEX(Журнал!$D$5:$O$1000,0,G$3),Журнал!$A$5:$A$1000,G$3,Журнал!$B$5:$B$1000,$A19),"")</f>
        <v/>
      </c>
      <c r="H19" s="78" t="str">
        <f>IF(H$4,SUMIFS(INDEX(Журнал!$D$5:$O$1000,0,H$3),Журнал!$A$5:$A$1000,H$3,Журнал!$B$5:$B$1000,$A19),"")</f>
        <v/>
      </c>
      <c r="I19" s="78" t="str">
        <f>IF(I$4,SUMIFS(INDEX(Журнал!$D$5:$O$1000,0,I$3),Журнал!$A$5:$A$1000,I$3,Журнал!$B$5:$B$1000,$A19),"")</f>
        <v/>
      </c>
      <c r="J19" s="78" t="str">
        <f>IF(J$4,SUMIFS(INDEX(Журнал!$D$5:$O$1000,0,J$3),Журнал!$A$5:$A$1000,J$3,Журнал!$B$5:$B$1000,$A19),"")</f>
        <v/>
      </c>
      <c r="K19" s="78">
        <f>IF(K$4,SUMIFS(INDEX(Журнал!$D$5:$O$1000,0,K$3),Журнал!$A$5:$A$1000,K$3,Журнал!$B$5:$B$1000,$A19),"")</f>
        <v>-3.16998826570094</v>
      </c>
      <c r="L19" s="78">
        <f>IF(L$4,SUMIFS(INDEX(Журнал!$D$5:$O$1000,0,L$3),Журнал!$A$5:$A$1000,L$3,Журнал!$B$5:$B$1000,$A19),"")</f>
        <v>-0.211306162631583</v>
      </c>
      <c r="M19" s="78" t="str">
        <f>IF(M$4,SUMIFS(INDEX(Журнал!$D$5:$O$1000,0,M$3),Журнал!$A$5:$A$1000,M$3,Журнал!$B$5:$B$1000,$A19),"")</f>
        <v/>
      </c>
      <c r="N19" s="78" t="str">
        <f>IF(N$4,SUMIFS(INDEX(Журнал!$D$5:$O$1000,0,N$3),Журнал!$A$5:$A$1000,N$3,Журнал!$B$5:$B$1000,$A19),"")</f>
        <v/>
      </c>
      <c r="O19" s="78" t="str">
        <f>IF(O$4,SUMIFS(INDEX(Журнал!$D$5:$O$1000,0,O$3),Журнал!$A$5:$A$1000,O$3,Журнал!$B$5:$B$1000,$A19),"")</f>
        <v/>
      </c>
      <c r="Q19" s="78" t="str">
        <f>IF(Q$4,SUMIFS(INDEX(Журнал!$D$5:$O$1000,0,Q$3),Журнал!$A$5:$A$1000,Q$3-1,Журнал!$B$5:$B$1000,$A19),"")</f>
        <v/>
      </c>
      <c r="R19" s="78" t="str">
        <f>IF(R$4,SUMIFS(INDEX(Журнал!$D$5:$O$1000,0,R$3),Журнал!$A$5:$A$1000,R$3-1,Журнал!$B$5:$B$1000,$A19),"")</f>
        <v/>
      </c>
      <c r="S19" s="78" t="str">
        <f>IF(S$4,SUMIFS(INDEX(Журнал!$D$5:$O$1000,0,S$3),Журнал!$A$5:$A$1000,S$3-1,Журнал!$B$5:$B$1000,$A19),"")</f>
        <v/>
      </c>
      <c r="T19" s="78" t="str">
        <f>IF(T$4,SUMIFS(INDEX(Журнал!$D$5:$O$1000,0,T$3),Журнал!$A$5:$A$1000,T$3-1,Журнал!$B$5:$B$1000,$A19),"")</f>
        <v/>
      </c>
      <c r="U19" s="78" t="str">
        <f>IF(U$4,SUMIFS(INDEX(Журнал!$D$5:$O$1000,0,U$3),Журнал!$A$5:$A$1000,U$3-1,Журнал!$B$5:$B$1000,$A19),"")</f>
        <v/>
      </c>
      <c r="V19" s="78" t="str">
        <f>IF(V$4,SUMIFS(INDEX(Журнал!$D$5:$O$1000,0,V$3),Журнал!$A$5:$A$1000,V$3-1,Журнал!$B$5:$B$1000,$A19),"")</f>
        <v/>
      </c>
      <c r="W19" s="78" t="str">
        <f>IF(W$4,SUMIFS(INDEX(Журнал!$D$5:$O$1000,0,W$3),Журнал!$A$5:$A$1000,W$3-1,Журнал!$B$5:$B$1000,$A19),"")</f>
        <v/>
      </c>
      <c r="X19" s="78" t="str">
        <f>IF(X$4,SUMIFS(INDEX(Журнал!$D$5:$O$1000,0,X$3),Журнал!$A$5:$A$1000,X$3-1,Журнал!$B$5:$B$1000,$A19),"")</f>
        <v/>
      </c>
      <c r="Y19" s="78">
        <f>IF(Y$4,SUMIFS(INDEX(Журнал!$D$5:$O$1000,0,Y$3),Журнал!$A$5:$A$1000,Y$3-1,Журнал!$B$5:$B$1000,$A19),"")</f>
        <v>-4.33863391461458</v>
      </c>
      <c r="Z19" s="78">
        <f>IF(Z$4,SUMIFS(INDEX(Журнал!$D$5:$O$1000,0,Z$3),Журнал!$A$5:$A$1000,Z$3-1,Журнал!$B$5:$B$1000,$A19),"")</f>
        <v>-5.80732307423639</v>
      </c>
      <c r="AA19" s="78" t="str">
        <f>IF(AA$4,SUMIFS(INDEX(Журнал!$D$5:$O$1000,0,AA$3),Журнал!$A$5:$A$1000,AA$3-1,Журнал!$B$5:$B$1000,$A19),"")</f>
        <v/>
      </c>
      <c r="AB19" s="78" t="str">
        <f>IF(AB$4,SUMIFS(INDEX(Журнал!$D$5:$O$1000,0,AB$3),Журнал!$A$5:$A$1000,AB$3-1,Журнал!$B$5:$B$1000,$A19),"")</f>
        <v/>
      </c>
      <c r="AD19" s="21" t="str">
        <f>IF(AD$4,ABS(D19-Q19),"")</f>
        <v/>
      </c>
      <c r="AE19" s="21" t="str">
        <f>IF(AE$4,ABS(E19-R19),"")</f>
        <v/>
      </c>
      <c r="AF19" s="21" t="str">
        <f>IF(AF$4,ABS(F19-S19),"")</f>
        <v/>
      </c>
      <c r="AG19" s="21" t="str">
        <f>IF(AG$4,ABS(G19-T19),"")</f>
        <v/>
      </c>
      <c r="AH19" s="21" t="str">
        <f>IF(AH$4,ABS(H19-U19),"")</f>
        <v/>
      </c>
      <c r="AI19" s="21" t="str">
        <f>IF(AI$4,ABS(I19-V19),"")</f>
        <v/>
      </c>
      <c r="AJ19" s="21" t="str">
        <f>IF(AJ$4,ABS(J19-W19),"")</f>
        <v/>
      </c>
      <c r="AK19" s="21" t="str">
        <f>IF(AK$4,ABS(K19-X19),"")</f>
        <v/>
      </c>
      <c r="AL19" s="21">
        <f>IF(AL$4,ABS(L19-Y19),"")</f>
        <v>4.127327751983</v>
      </c>
      <c r="AM19" s="21" t="str">
        <f>IF(AM$4,ABS(M19-Z19),"")</f>
        <v/>
      </c>
      <c r="AN19" s="21" t="str">
        <f>IF(AN$4,ABS(N19-AA19),"")</f>
        <v/>
      </c>
      <c r="AO19" s="21" t="str">
        <f>IF(AO$4,ABS(O19-AB19),"")</f>
        <v/>
      </c>
      <c r="AQ19" s="21" t="str">
        <f>IF(AD$4,ABS(D19),"")</f>
        <v/>
      </c>
      <c r="AR19" s="21" t="str">
        <f>IF(AE$4,ABS(E19),"")</f>
        <v/>
      </c>
      <c r="AS19" s="21" t="str">
        <f>IF(AF$4,ABS(F19),"")</f>
        <v/>
      </c>
      <c r="AT19" s="21" t="str">
        <f>IF(AG$4,ABS(G19),"")</f>
        <v/>
      </c>
      <c r="AU19" s="21" t="str">
        <f>IF(AH$4,ABS(H19),"")</f>
        <v/>
      </c>
      <c r="AV19" s="21" t="str">
        <f>IF(AI$4,ABS(I19),"")</f>
        <v/>
      </c>
      <c r="AW19" s="21" t="str">
        <f>IF(AJ$4,ABS(J19),"")</f>
        <v/>
      </c>
      <c r="AX19" s="21" t="str">
        <f>IF(AK$4,ABS(K19),"")</f>
        <v/>
      </c>
      <c r="AY19" s="21">
        <f>IF(AL$4,ABS(L19),"")</f>
        <v>0.211306162631583</v>
      </c>
      <c r="AZ19" s="21" t="str">
        <f>IF(AM$4,ABS(M19),"")</f>
        <v/>
      </c>
      <c r="BA19" s="21" t="str">
        <f>IF(AN$4,ABS(N19),"")</f>
        <v/>
      </c>
      <c r="BB19" s="21" t="str">
        <f>IF(AO$4,ABS(O19),"")</f>
        <v/>
      </c>
    </row>
    <row r="20">
      <c r="A20" s="5" t="inlineStr">
        <is>
          <t>Marketing</t>
        </is>
      </c>
      <c r="B20" s="5" t="inlineStr">
        <is>
          <t>Marketing</t>
        </is>
      </c>
      <c r="C20" s="8" t="inlineStr">
        <is>
          <t>Расходы</t>
        </is>
      </c>
      <c r="D20" s="78" t="str">
        <f>IF(D$4,SUMIFS(INDEX(Журнал!$D$5:$O$1000,0,D$3),Журнал!$A$5:$A$1000,D$3,Журнал!$B$5:$B$1000,$A20),"")</f>
        <v/>
      </c>
      <c r="E20" s="78" t="str">
        <f>IF(E$4,SUMIFS(INDEX(Журнал!$D$5:$O$1000,0,E$3),Журнал!$A$5:$A$1000,E$3,Журнал!$B$5:$B$1000,$A20),"")</f>
        <v/>
      </c>
      <c r="F20" s="78" t="str">
        <f>IF(F$4,SUMIFS(INDEX(Журнал!$D$5:$O$1000,0,F$3),Журнал!$A$5:$A$1000,F$3,Журнал!$B$5:$B$1000,$A20),"")</f>
        <v/>
      </c>
      <c r="G20" s="78" t="str">
        <f>IF(G$4,SUMIFS(INDEX(Журнал!$D$5:$O$1000,0,G$3),Журнал!$A$5:$A$1000,G$3,Журнал!$B$5:$B$1000,$A20),"")</f>
        <v/>
      </c>
      <c r="H20" s="78" t="str">
        <f>IF(H$4,SUMIFS(INDEX(Журнал!$D$5:$O$1000,0,H$3),Журнал!$A$5:$A$1000,H$3,Журнал!$B$5:$B$1000,$A20),"")</f>
        <v/>
      </c>
      <c r="I20" s="78" t="str">
        <f>IF(I$4,SUMIFS(INDEX(Журнал!$D$5:$O$1000,0,I$3),Журнал!$A$5:$A$1000,I$3,Журнал!$B$5:$B$1000,$A20),"")</f>
        <v/>
      </c>
      <c r="J20" s="78" t="str">
        <f>IF(J$4,SUMIFS(INDEX(Журнал!$D$5:$O$1000,0,J$3),Журнал!$A$5:$A$1000,J$3,Журнал!$B$5:$B$1000,$A20),"")</f>
        <v/>
      </c>
      <c r="K20" s="78">
        <f>IF(K$4,SUMIFS(INDEX(Журнал!$D$5:$O$1000,0,K$3),Журнал!$A$5:$A$1000,K$3,Журнал!$B$5:$B$1000,$A20),"")</f>
        <v>-82.79719141</v>
      </c>
      <c r="L20" s="78">
        <f>IF(L$4,SUMIFS(INDEX(Журнал!$D$5:$O$1000,0,L$3),Журнал!$A$5:$A$1000,L$3,Журнал!$B$5:$B$1000,$A20),"")</f>
        <v>-105.089188</v>
      </c>
      <c r="M20" s="78" t="str">
        <f>IF(M$4,SUMIFS(INDEX(Журнал!$D$5:$O$1000,0,M$3),Журнал!$A$5:$A$1000,M$3,Журнал!$B$5:$B$1000,$A20),"")</f>
        <v/>
      </c>
      <c r="N20" s="78" t="str">
        <f>IF(N$4,SUMIFS(INDEX(Журнал!$D$5:$O$1000,0,N$3),Журнал!$A$5:$A$1000,N$3,Журнал!$B$5:$B$1000,$A20),"")</f>
        <v/>
      </c>
      <c r="O20" s="78" t="str">
        <f>IF(O$4,SUMIFS(INDEX(Журнал!$D$5:$O$1000,0,O$3),Журнал!$A$5:$A$1000,O$3,Журнал!$B$5:$B$1000,$A20),"")</f>
        <v/>
      </c>
      <c r="Q20" s="78" t="str">
        <f>IF(Q$4,SUMIFS(INDEX(Журнал!$D$5:$O$1000,0,Q$3),Журнал!$A$5:$A$1000,Q$3-1,Журнал!$B$5:$B$1000,$A20),"")</f>
        <v/>
      </c>
      <c r="R20" s="78" t="str">
        <f>IF(R$4,SUMIFS(INDEX(Журнал!$D$5:$O$1000,0,R$3),Журнал!$A$5:$A$1000,R$3-1,Журнал!$B$5:$B$1000,$A20),"")</f>
        <v/>
      </c>
      <c r="S20" s="78" t="str">
        <f>IF(S$4,SUMIFS(INDEX(Журнал!$D$5:$O$1000,0,S$3),Журнал!$A$5:$A$1000,S$3-1,Журнал!$B$5:$B$1000,$A20),"")</f>
        <v/>
      </c>
      <c r="T20" s="78" t="str">
        <f>IF(T$4,SUMIFS(INDEX(Журнал!$D$5:$O$1000,0,T$3),Журнал!$A$5:$A$1000,T$3-1,Журнал!$B$5:$B$1000,$A20),"")</f>
        <v/>
      </c>
      <c r="U20" s="78" t="str">
        <f>IF(U$4,SUMIFS(INDEX(Журнал!$D$5:$O$1000,0,U$3),Журнал!$A$5:$A$1000,U$3-1,Журнал!$B$5:$B$1000,$A20),"")</f>
        <v/>
      </c>
      <c r="V20" s="78" t="str">
        <f>IF(V$4,SUMIFS(INDEX(Журнал!$D$5:$O$1000,0,V$3),Журнал!$A$5:$A$1000,V$3-1,Журнал!$B$5:$B$1000,$A20),"")</f>
        <v/>
      </c>
      <c r="W20" s="78" t="str">
        <f>IF(W$4,SUMIFS(INDEX(Журнал!$D$5:$O$1000,0,W$3),Журнал!$A$5:$A$1000,W$3-1,Журнал!$B$5:$B$1000,$A20),"")</f>
        <v/>
      </c>
      <c r="X20" s="78" t="str">
        <f>IF(X$4,SUMIFS(INDEX(Журнал!$D$5:$O$1000,0,X$3),Журнал!$A$5:$A$1000,X$3-1,Журнал!$B$5:$B$1000,$A20),"")</f>
        <v/>
      </c>
      <c r="Y20" s="78">
        <f>IF(Y$4,SUMIFS(INDEX(Журнал!$D$5:$O$1000,0,Y$3),Журнал!$A$5:$A$1000,Y$3-1,Журнал!$B$5:$B$1000,$A20),"")</f>
        <v>-348.750338137281</v>
      </c>
      <c r="Z20" s="78">
        <f>IF(Z$4,SUMIFS(INDEX(Журнал!$D$5:$O$1000,0,Z$3),Журнал!$A$5:$A$1000,Z$3-1,Журнал!$B$5:$B$1000,$A20),"")</f>
        <v>-101.49894799297</v>
      </c>
      <c r="AA20" s="78" t="str">
        <f>IF(AA$4,SUMIFS(INDEX(Журнал!$D$5:$O$1000,0,AA$3),Журнал!$A$5:$A$1000,AA$3-1,Журнал!$B$5:$B$1000,$A20),"")</f>
        <v/>
      </c>
      <c r="AB20" s="78" t="str">
        <f>IF(AB$4,SUMIFS(INDEX(Журнал!$D$5:$O$1000,0,AB$3),Журнал!$A$5:$A$1000,AB$3-1,Журнал!$B$5:$B$1000,$A20),"")</f>
        <v/>
      </c>
      <c r="AD20" s="21" t="str">
        <f>IF(AD$4,ABS(D20-Q20),"")</f>
        <v/>
      </c>
      <c r="AE20" s="21" t="str">
        <f>IF(AE$4,ABS(E20-R20),"")</f>
        <v/>
      </c>
      <c r="AF20" s="21" t="str">
        <f>IF(AF$4,ABS(F20-S20),"")</f>
        <v/>
      </c>
      <c r="AG20" s="21" t="str">
        <f>IF(AG$4,ABS(G20-T20),"")</f>
        <v/>
      </c>
      <c r="AH20" s="21" t="str">
        <f>IF(AH$4,ABS(H20-U20),"")</f>
        <v/>
      </c>
      <c r="AI20" s="21" t="str">
        <f>IF(AI$4,ABS(I20-V20),"")</f>
        <v/>
      </c>
      <c r="AJ20" s="21" t="str">
        <f>IF(AJ$4,ABS(J20-W20),"")</f>
        <v/>
      </c>
      <c r="AK20" s="21" t="str">
        <f>IF(AK$4,ABS(K20-X20),"")</f>
        <v/>
      </c>
      <c r="AL20" s="21">
        <f>IF(AL$4,ABS(L20-Y20),"")</f>
        <v>243.661150137281</v>
      </c>
      <c r="AM20" s="21" t="str">
        <f>IF(AM$4,ABS(M20-Z20),"")</f>
        <v/>
      </c>
      <c r="AN20" s="21" t="str">
        <f>IF(AN$4,ABS(N20-AA20),"")</f>
        <v/>
      </c>
      <c r="AO20" s="21" t="str">
        <f>IF(AO$4,ABS(O20-AB20),"")</f>
        <v/>
      </c>
      <c r="AQ20" s="21" t="str">
        <f>IF(AD$4,ABS(D20),"")</f>
        <v/>
      </c>
      <c r="AR20" s="21" t="str">
        <f>IF(AE$4,ABS(E20),"")</f>
        <v/>
      </c>
      <c r="AS20" s="21" t="str">
        <f>IF(AF$4,ABS(F20),"")</f>
        <v/>
      </c>
      <c r="AT20" s="21" t="str">
        <f>IF(AG$4,ABS(G20),"")</f>
        <v/>
      </c>
      <c r="AU20" s="21" t="str">
        <f>IF(AH$4,ABS(H20),"")</f>
        <v/>
      </c>
      <c r="AV20" s="21" t="str">
        <f>IF(AI$4,ABS(I20),"")</f>
        <v/>
      </c>
      <c r="AW20" s="21" t="str">
        <f>IF(AJ$4,ABS(J20),"")</f>
        <v/>
      </c>
      <c r="AX20" s="21" t="str">
        <f>IF(AK$4,ABS(K20),"")</f>
        <v/>
      </c>
      <c r="AY20" s="21">
        <f>IF(AL$4,ABS(L20),"")</f>
        <v>105.089188</v>
      </c>
      <c r="AZ20" s="21" t="str">
        <f>IF(AM$4,ABS(M20),"")</f>
        <v/>
      </c>
      <c r="BA20" s="21" t="str">
        <f>IF(AN$4,ABS(N20),"")</f>
        <v/>
      </c>
      <c r="BB20" s="21" t="str">
        <f>IF(AO$4,ABS(O20),"")</f>
        <v/>
      </c>
    </row>
    <row r="21">
      <c r="A21" s="5" t="inlineStr">
        <is>
          <t>IT</t>
        </is>
      </c>
      <c r="B21" s="5" t="inlineStr">
        <is>
          <t>IT</t>
        </is>
      </c>
      <c r="C21" s="8" t="inlineStr">
        <is>
          <t>Расходы</t>
        </is>
      </c>
      <c r="D21" s="78" t="str">
        <f>IF(D$4,SUMIFS(INDEX(Журнал!$D$5:$O$1000,0,D$3),Журнал!$A$5:$A$1000,D$3,Журнал!$B$5:$B$1000,$A21),"")</f>
        <v/>
      </c>
      <c r="E21" s="78" t="str">
        <f>IF(E$4,SUMIFS(INDEX(Журнал!$D$5:$O$1000,0,E$3),Журнал!$A$5:$A$1000,E$3,Журнал!$B$5:$B$1000,$A21),"")</f>
        <v/>
      </c>
      <c r="F21" s="78" t="str">
        <f>IF(F$4,SUMIFS(INDEX(Журнал!$D$5:$O$1000,0,F$3),Журнал!$A$5:$A$1000,F$3,Журнал!$B$5:$B$1000,$A21),"")</f>
        <v/>
      </c>
      <c r="G21" s="78" t="str">
        <f>IF(G$4,SUMIFS(INDEX(Журнал!$D$5:$O$1000,0,G$3),Журнал!$A$5:$A$1000,G$3,Журнал!$B$5:$B$1000,$A21),"")</f>
        <v/>
      </c>
      <c r="H21" s="78" t="str">
        <f>IF(H$4,SUMIFS(INDEX(Журнал!$D$5:$O$1000,0,H$3),Журнал!$A$5:$A$1000,H$3,Журнал!$B$5:$B$1000,$A21),"")</f>
        <v/>
      </c>
      <c r="I21" s="78" t="str">
        <f>IF(I$4,SUMIFS(INDEX(Журнал!$D$5:$O$1000,0,I$3),Журнал!$A$5:$A$1000,I$3,Журнал!$B$5:$B$1000,$A21),"")</f>
        <v/>
      </c>
      <c r="J21" s="78" t="str">
        <f>IF(J$4,SUMIFS(INDEX(Журнал!$D$5:$O$1000,0,J$3),Журнал!$A$5:$A$1000,J$3,Журнал!$B$5:$B$1000,$A21),"")</f>
        <v/>
      </c>
      <c r="K21" s="78">
        <f>IF(K$4,SUMIFS(INDEX(Журнал!$D$5:$O$1000,0,K$3),Журнал!$A$5:$A$1000,K$3,Журнал!$B$5:$B$1000,$A21),"")</f>
        <v>-0.96429323</v>
      </c>
      <c r="L21" s="78">
        <f>IF(L$4,SUMIFS(INDEX(Журнал!$D$5:$O$1000,0,L$3),Журнал!$A$5:$A$1000,L$3,Журнал!$B$5:$B$1000,$A21),"")</f>
        <v>-3.8875147</v>
      </c>
      <c r="M21" s="78" t="str">
        <f>IF(M$4,SUMIFS(INDEX(Журнал!$D$5:$O$1000,0,M$3),Журнал!$A$5:$A$1000,M$3,Журнал!$B$5:$B$1000,$A21),"")</f>
        <v/>
      </c>
      <c r="N21" s="78" t="str">
        <f>IF(N$4,SUMIFS(INDEX(Журнал!$D$5:$O$1000,0,N$3),Журнал!$A$5:$A$1000,N$3,Журнал!$B$5:$B$1000,$A21),"")</f>
        <v/>
      </c>
      <c r="O21" s="78" t="str">
        <f>IF(O$4,SUMIFS(INDEX(Журнал!$D$5:$O$1000,0,O$3),Журнал!$A$5:$A$1000,O$3,Журнал!$B$5:$B$1000,$A21),"")</f>
        <v/>
      </c>
      <c r="Q21" s="78" t="str">
        <f>IF(Q$4,SUMIFS(INDEX(Журнал!$D$5:$O$1000,0,Q$3),Журнал!$A$5:$A$1000,Q$3-1,Журнал!$B$5:$B$1000,$A21),"")</f>
        <v/>
      </c>
      <c r="R21" s="78" t="str">
        <f>IF(R$4,SUMIFS(INDEX(Журнал!$D$5:$O$1000,0,R$3),Журнал!$A$5:$A$1000,R$3-1,Журнал!$B$5:$B$1000,$A21),"")</f>
        <v/>
      </c>
      <c r="S21" s="78" t="str">
        <f>IF(S$4,SUMIFS(INDEX(Журнал!$D$5:$O$1000,0,S$3),Журнал!$A$5:$A$1000,S$3-1,Журнал!$B$5:$B$1000,$A21),"")</f>
        <v/>
      </c>
      <c r="T21" s="78" t="str">
        <f>IF(T$4,SUMIFS(INDEX(Журнал!$D$5:$O$1000,0,T$3),Журнал!$A$5:$A$1000,T$3-1,Журнал!$B$5:$B$1000,$A21),"")</f>
        <v/>
      </c>
      <c r="U21" s="78" t="str">
        <f>IF(U$4,SUMIFS(INDEX(Журнал!$D$5:$O$1000,0,U$3),Журнал!$A$5:$A$1000,U$3-1,Журнал!$B$5:$B$1000,$A21),"")</f>
        <v/>
      </c>
      <c r="V21" s="78" t="str">
        <f>IF(V$4,SUMIFS(INDEX(Журнал!$D$5:$O$1000,0,V$3),Журнал!$A$5:$A$1000,V$3-1,Журнал!$B$5:$B$1000,$A21),"")</f>
        <v/>
      </c>
      <c r="W21" s="78" t="str">
        <f>IF(W$4,SUMIFS(INDEX(Журнал!$D$5:$O$1000,0,W$3),Журнал!$A$5:$A$1000,W$3-1,Журнал!$B$5:$B$1000,$A21),"")</f>
        <v/>
      </c>
      <c r="X21" s="78" t="str">
        <f>IF(X$4,SUMIFS(INDEX(Журнал!$D$5:$O$1000,0,X$3),Журнал!$A$5:$A$1000,X$3-1,Журнал!$B$5:$B$1000,$A21),"")</f>
        <v/>
      </c>
      <c r="Y21" s="78">
        <f>IF(Y$4,SUMIFS(INDEX(Журнал!$D$5:$O$1000,0,Y$3),Журнал!$A$5:$A$1000,Y$3-1,Журнал!$B$5:$B$1000,$A21),"")</f>
        <v>-1.28350724</v>
      </c>
      <c r="Z21" s="78">
        <f>IF(Z$4,SUMIFS(INDEX(Журнал!$D$5:$O$1000,0,Z$3),Журнал!$A$5:$A$1000,Z$3-1,Журнал!$B$5:$B$1000,$A21),"")</f>
        <v>-1.85798722666667</v>
      </c>
      <c r="AA21" s="78" t="str">
        <f>IF(AA$4,SUMIFS(INDEX(Журнал!$D$5:$O$1000,0,AA$3),Журнал!$A$5:$A$1000,AA$3-1,Журнал!$B$5:$B$1000,$A21),"")</f>
        <v/>
      </c>
      <c r="AB21" s="78" t="str">
        <f>IF(AB$4,SUMIFS(INDEX(Журнал!$D$5:$O$1000,0,AB$3),Журнал!$A$5:$A$1000,AB$3-1,Журнал!$B$5:$B$1000,$A21),"")</f>
        <v/>
      </c>
      <c r="AD21" s="21" t="str">
        <f>IF(AD$4,ABS(D21-Q21),"")</f>
        <v/>
      </c>
      <c r="AE21" s="21" t="str">
        <f>IF(AE$4,ABS(E21-R21),"")</f>
        <v/>
      </c>
      <c r="AF21" s="21" t="str">
        <f>IF(AF$4,ABS(F21-S21),"")</f>
        <v/>
      </c>
      <c r="AG21" s="21" t="str">
        <f>IF(AG$4,ABS(G21-T21),"")</f>
        <v/>
      </c>
      <c r="AH21" s="21" t="str">
        <f>IF(AH$4,ABS(H21-U21),"")</f>
        <v/>
      </c>
      <c r="AI21" s="21" t="str">
        <f>IF(AI$4,ABS(I21-V21),"")</f>
        <v/>
      </c>
      <c r="AJ21" s="21" t="str">
        <f>IF(AJ$4,ABS(J21-W21),"")</f>
        <v/>
      </c>
      <c r="AK21" s="21" t="str">
        <f>IF(AK$4,ABS(K21-X21),"")</f>
        <v/>
      </c>
      <c r="AL21" s="21">
        <f>IF(AL$4,ABS(L21-Y21),"")</f>
        <v>2.60400746</v>
      </c>
      <c r="AM21" s="21" t="str">
        <f>IF(AM$4,ABS(M21-Z21),"")</f>
        <v/>
      </c>
      <c r="AN21" s="21" t="str">
        <f>IF(AN$4,ABS(N21-AA21),"")</f>
        <v/>
      </c>
      <c r="AO21" s="21" t="str">
        <f>IF(AO$4,ABS(O21-AB21),"")</f>
        <v/>
      </c>
      <c r="AQ21" s="21" t="str">
        <f>IF(AD$4,ABS(D21),"")</f>
        <v/>
      </c>
      <c r="AR21" s="21" t="str">
        <f>IF(AE$4,ABS(E21),"")</f>
        <v/>
      </c>
      <c r="AS21" s="21" t="str">
        <f>IF(AF$4,ABS(F21),"")</f>
        <v/>
      </c>
      <c r="AT21" s="21" t="str">
        <f>IF(AG$4,ABS(G21),"")</f>
        <v/>
      </c>
      <c r="AU21" s="21" t="str">
        <f>IF(AH$4,ABS(H21),"")</f>
        <v/>
      </c>
      <c r="AV21" s="21" t="str">
        <f>IF(AI$4,ABS(I21),"")</f>
        <v/>
      </c>
      <c r="AW21" s="21" t="str">
        <f>IF(AJ$4,ABS(J21),"")</f>
        <v/>
      </c>
      <c r="AX21" s="21" t="str">
        <f>IF(AK$4,ABS(K21),"")</f>
        <v/>
      </c>
      <c r="AY21" s="21">
        <f>IF(AL$4,ABS(L21),"")</f>
        <v>3.8875147</v>
      </c>
      <c r="AZ21" s="21" t="str">
        <f>IF(AM$4,ABS(M21),"")</f>
        <v/>
      </c>
      <c r="BA21" s="21" t="str">
        <f>IF(AN$4,ABS(N21),"")</f>
        <v/>
      </c>
      <c r="BB21" s="21" t="str">
        <f>IF(AO$4,ABS(O21),"")</f>
        <v/>
      </c>
    </row>
    <row r="22">
      <c r="A22" s="5" t="inlineStr">
        <is>
          <t>Other OPEX</t>
        </is>
      </c>
      <c r="B22" s="5" t="inlineStr">
        <is>
          <t>Other OPEX</t>
        </is>
      </c>
      <c r="C22" s="8" t="inlineStr">
        <is>
          <t>Расходы</t>
        </is>
      </c>
      <c r="D22" s="78" t="str">
        <f>IF(D$4,SUMIFS(INDEX(Журнал!$D$5:$O$1000,0,D$3),Журнал!$A$5:$A$1000,D$3,Журнал!$B$5:$B$1000,$A22),"")</f>
        <v/>
      </c>
      <c r="E22" s="78" t="str">
        <f>IF(E$4,SUMIFS(INDEX(Журнал!$D$5:$O$1000,0,E$3),Журнал!$A$5:$A$1000,E$3,Журнал!$B$5:$B$1000,$A22),"")</f>
        <v/>
      </c>
      <c r="F22" s="78" t="str">
        <f>IF(F$4,SUMIFS(INDEX(Журнал!$D$5:$O$1000,0,F$3),Журнал!$A$5:$A$1000,F$3,Журнал!$B$5:$B$1000,$A22),"")</f>
        <v/>
      </c>
      <c r="G22" s="78" t="str">
        <f>IF(G$4,SUMIFS(INDEX(Журнал!$D$5:$O$1000,0,G$3),Журнал!$A$5:$A$1000,G$3,Журнал!$B$5:$B$1000,$A22),"")</f>
        <v/>
      </c>
      <c r="H22" s="78" t="str">
        <f>IF(H$4,SUMIFS(INDEX(Журнал!$D$5:$O$1000,0,H$3),Журнал!$A$5:$A$1000,H$3,Журнал!$B$5:$B$1000,$A22),"")</f>
        <v/>
      </c>
      <c r="I22" s="78" t="str">
        <f>IF(I$4,SUMIFS(INDEX(Журнал!$D$5:$O$1000,0,I$3),Журнал!$A$5:$A$1000,I$3,Журнал!$B$5:$B$1000,$A22),"")</f>
        <v/>
      </c>
      <c r="J22" s="78" t="str">
        <f>IF(J$4,SUMIFS(INDEX(Журнал!$D$5:$O$1000,0,J$3),Журнал!$A$5:$A$1000,J$3,Журнал!$B$5:$B$1000,$A22),"")</f>
        <v/>
      </c>
      <c r="K22" s="78">
        <f>IF(K$4,SUMIFS(INDEX(Журнал!$D$5:$O$1000,0,K$3),Журнал!$A$5:$A$1000,K$3,Журнал!$B$5:$B$1000,$A22),"")</f>
        <v>-6.33905092</v>
      </c>
      <c r="L22" s="78">
        <f>IF(L$4,SUMIFS(INDEX(Журнал!$D$5:$O$1000,0,L$3),Журнал!$A$5:$A$1000,L$3,Журнал!$B$5:$B$1000,$A22),"")</f>
        <v>-9.12317528</v>
      </c>
      <c r="M22" s="78" t="str">
        <f>IF(M$4,SUMIFS(INDEX(Журнал!$D$5:$O$1000,0,M$3),Журнал!$A$5:$A$1000,M$3,Журнал!$B$5:$B$1000,$A22),"")</f>
        <v/>
      </c>
      <c r="N22" s="78" t="str">
        <f>IF(N$4,SUMIFS(INDEX(Журнал!$D$5:$O$1000,0,N$3),Журнал!$A$5:$A$1000,N$3,Журнал!$B$5:$B$1000,$A22),"")</f>
        <v/>
      </c>
      <c r="O22" s="78" t="str">
        <f>IF(O$4,SUMIFS(INDEX(Журнал!$D$5:$O$1000,0,O$3),Журнал!$A$5:$A$1000,O$3,Журнал!$B$5:$B$1000,$A22),"")</f>
        <v/>
      </c>
      <c r="Q22" s="78" t="str">
        <f>IF(Q$4,SUMIFS(INDEX(Журнал!$D$5:$O$1000,0,Q$3),Журнал!$A$5:$A$1000,Q$3-1,Журнал!$B$5:$B$1000,$A22),"")</f>
        <v/>
      </c>
      <c r="R22" s="78" t="str">
        <f>IF(R$4,SUMIFS(INDEX(Журнал!$D$5:$O$1000,0,R$3),Журнал!$A$5:$A$1000,R$3-1,Журнал!$B$5:$B$1000,$A22),"")</f>
        <v/>
      </c>
      <c r="S22" s="78" t="str">
        <f>IF(S$4,SUMIFS(INDEX(Журнал!$D$5:$O$1000,0,S$3),Журнал!$A$5:$A$1000,S$3-1,Журнал!$B$5:$B$1000,$A22),"")</f>
        <v/>
      </c>
      <c r="T22" s="78" t="str">
        <f>IF(T$4,SUMIFS(INDEX(Журнал!$D$5:$O$1000,0,T$3),Журнал!$A$5:$A$1000,T$3-1,Журнал!$B$5:$B$1000,$A22),"")</f>
        <v/>
      </c>
      <c r="U22" s="78" t="str">
        <f>IF(U$4,SUMIFS(INDEX(Журнал!$D$5:$O$1000,0,U$3),Журнал!$A$5:$A$1000,U$3-1,Журнал!$B$5:$B$1000,$A22),"")</f>
        <v/>
      </c>
      <c r="V22" s="78" t="str">
        <f>IF(V$4,SUMIFS(INDEX(Журнал!$D$5:$O$1000,0,V$3),Журнал!$A$5:$A$1000,V$3-1,Журнал!$B$5:$B$1000,$A22),"")</f>
        <v/>
      </c>
      <c r="W22" s="78" t="str">
        <f>IF(W$4,SUMIFS(INDEX(Журнал!$D$5:$O$1000,0,W$3),Журнал!$A$5:$A$1000,W$3-1,Журнал!$B$5:$B$1000,$A22),"")</f>
        <v/>
      </c>
      <c r="X22" s="78" t="str">
        <f>IF(X$4,SUMIFS(INDEX(Журнал!$D$5:$O$1000,0,X$3),Журнал!$A$5:$A$1000,X$3-1,Журнал!$B$5:$B$1000,$A22),"")</f>
        <v/>
      </c>
      <c r="Y22" s="78">
        <f>IF(Y$4,SUMIFS(INDEX(Журнал!$D$5:$O$1000,0,Y$3),Журнал!$A$5:$A$1000,Y$3-1,Журнал!$B$5:$B$1000,$A22),"")</f>
        <v>-5.04728405703625</v>
      </c>
      <c r="Z22" s="78">
        <f>IF(Z$4,SUMIFS(INDEX(Журнал!$D$5:$O$1000,0,Z$3),Журнал!$A$5:$A$1000,Z$3-1,Журнал!$B$5:$B$1000,$A22),"")</f>
        <v>-5.64965270667597</v>
      </c>
      <c r="AA22" s="78" t="str">
        <f>IF(AA$4,SUMIFS(INDEX(Журнал!$D$5:$O$1000,0,AA$3),Журнал!$A$5:$A$1000,AA$3-1,Журнал!$B$5:$B$1000,$A22),"")</f>
        <v/>
      </c>
      <c r="AB22" s="78" t="str">
        <f>IF(AB$4,SUMIFS(INDEX(Журнал!$D$5:$O$1000,0,AB$3),Журнал!$A$5:$A$1000,AB$3-1,Журнал!$B$5:$B$1000,$A22),"")</f>
        <v/>
      </c>
      <c r="AD22" s="21" t="str">
        <f>IF(AD$4,ABS(D22-Q22),"")</f>
        <v/>
      </c>
      <c r="AE22" s="21" t="str">
        <f>IF(AE$4,ABS(E22-R22),"")</f>
        <v/>
      </c>
      <c r="AF22" s="21" t="str">
        <f>IF(AF$4,ABS(F22-S22),"")</f>
        <v/>
      </c>
      <c r="AG22" s="21" t="str">
        <f>IF(AG$4,ABS(G22-T22),"")</f>
        <v/>
      </c>
      <c r="AH22" s="21" t="str">
        <f>IF(AH$4,ABS(H22-U22),"")</f>
        <v/>
      </c>
      <c r="AI22" s="21" t="str">
        <f>IF(AI$4,ABS(I22-V22),"")</f>
        <v/>
      </c>
      <c r="AJ22" s="21" t="str">
        <f>IF(AJ$4,ABS(J22-W22),"")</f>
        <v/>
      </c>
      <c r="AK22" s="21" t="str">
        <f>IF(AK$4,ABS(K22-X22),"")</f>
        <v/>
      </c>
      <c r="AL22" s="21">
        <f>IF(AL$4,ABS(L22-Y22),"")</f>
        <v>4.07589122296375</v>
      </c>
      <c r="AM22" s="21" t="str">
        <f>IF(AM$4,ABS(M22-Z22),"")</f>
        <v/>
      </c>
      <c r="AN22" s="21" t="str">
        <f>IF(AN$4,ABS(N22-AA22),"")</f>
        <v/>
      </c>
      <c r="AO22" s="21" t="str">
        <f>IF(AO$4,ABS(O22-AB22),"")</f>
        <v/>
      </c>
      <c r="AQ22" s="21" t="str">
        <f>IF(AD$4,ABS(D22),"")</f>
        <v/>
      </c>
      <c r="AR22" s="21" t="str">
        <f>IF(AE$4,ABS(E22),"")</f>
        <v/>
      </c>
      <c r="AS22" s="21" t="str">
        <f>IF(AF$4,ABS(F22),"")</f>
        <v/>
      </c>
      <c r="AT22" s="21" t="str">
        <f>IF(AG$4,ABS(G22),"")</f>
        <v/>
      </c>
      <c r="AU22" s="21" t="str">
        <f>IF(AH$4,ABS(H22),"")</f>
        <v/>
      </c>
      <c r="AV22" s="21" t="str">
        <f>IF(AI$4,ABS(I22),"")</f>
        <v/>
      </c>
      <c r="AW22" s="21" t="str">
        <f>IF(AJ$4,ABS(J22),"")</f>
        <v/>
      </c>
      <c r="AX22" s="21" t="str">
        <f>IF(AK$4,ABS(K22),"")</f>
        <v/>
      </c>
      <c r="AY22" s="21">
        <f>IF(AL$4,ABS(L22),"")</f>
        <v>9.12317528</v>
      </c>
      <c r="AZ22" s="21" t="str">
        <f>IF(AM$4,ABS(M22),"")</f>
        <v/>
      </c>
      <c r="BA22" s="21" t="str">
        <f>IF(AN$4,ABS(N22),"")</f>
        <v/>
      </c>
      <c r="BB22" s="21" t="str">
        <f>IF(AO$4,ABS(O22),"")</f>
        <v/>
      </c>
    </row>
    <row r="23">
      <c r="A23" s="5" t="inlineStr">
        <is>
          <t>OPEX</t>
        </is>
      </c>
      <c r="B23" s="5" t="inlineStr">
        <is>
          <t>OPEX</t>
        </is>
      </c>
      <c r="C23" s="8" t="inlineStr">
        <is>
          <t>Итог</t>
        </is>
      </c>
      <c r="D23" s="78" t="str">
        <f>IF(D$4,SUMIFS(INDEX(Журнал!$D$5:$O$1000,0,D$3),Журнал!$A$5:$A$1000,D$3,Журнал!$B$5:$B$1000,$A23),"")</f>
        <v/>
      </c>
      <c r="E23" s="78" t="str">
        <f>IF(E$4,SUMIFS(INDEX(Журнал!$D$5:$O$1000,0,E$3),Журнал!$A$5:$A$1000,E$3,Журнал!$B$5:$B$1000,$A23),"")</f>
        <v/>
      </c>
      <c r="F23" s="78" t="str">
        <f>IF(F$4,SUMIFS(INDEX(Журнал!$D$5:$O$1000,0,F$3),Журнал!$A$5:$A$1000,F$3,Журнал!$B$5:$B$1000,$A23),"")</f>
        <v/>
      </c>
      <c r="G23" s="78" t="str">
        <f>IF(G$4,SUMIFS(INDEX(Журнал!$D$5:$O$1000,0,G$3),Журнал!$A$5:$A$1000,G$3,Журнал!$B$5:$B$1000,$A23),"")</f>
        <v/>
      </c>
      <c r="H23" s="78" t="str">
        <f>IF(H$4,SUMIFS(INDEX(Журнал!$D$5:$O$1000,0,H$3),Журнал!$A$5:$A$1000,H$3,Журнал!$B$5:$B$1000,$A23),"")</f>
        <v/>
      </c>
      <c r="I23" s="78" t="str">
        <f>IF(I$4,SUMIFS(INDEX(Журнал!$D$5:$O$1000,0,I$3),Журнал!$A$5:$A$1000,I$3,Журнал!$B$5:$B$1000,$A23),"")</f>
        <v/>
      </c>
      <c r="J23" s="78" t="str">
        <f>IF(J$4,SUMIFS(INDEX(Журнал!$D$5:$O$1000,0,J$3),Журнал!$A$5:$A$1000,J$3,Журнал!$B$5:$B$1000,$A23),"")</f>
        <v/>
      </c>
      <c r="K23" s="78">
        <f>IF(K$4,SUMIFS(INDEX(Журнал!$D$5:$O$1000,0,K$3),Журнал!$A$5:$A$1000,K$3,Журнал!$B$5:$B$1000,$A23),"")</f>
        <v>-204.575265598262</v>
      </c>
      <c r="L23" s="78">
        <f>IF(L$4,SUMIFS(INDEX(Журнал!$D$5:$O$1000,0,L$3),Журнал!$A$5:$A$1000,L$3,Журнал!$B$5:$B$1000,$A23),"")</f>
        <v>-55.8547784473449</v>
      </c>
      <c r="M23" s="78" t="str">
        <f>IF(M$4,SUMIFS(INDEX(Журнал!$D$5:$O$1000,0,M$3),Журнал!$A$5:$A$1000,M$3,Журнал!$B$5:$B$1000,$A23),"")</f>
        <v/>
      </c>
      <c r="N23" s="78" t="str">
        <f>IF(N$4,SUMIFS(INDEX(Журнал!$D$5:$O$1000,0,N$3),Журнал!$A$5:$A$1000,N$3,Журнал!$B$5:$B$1000,$A23),"")</f>
        <v/>
      </c>
      <c r="O23" s="78" t="str">
        <f>IF(O$4,SUMIFS(INDEX(Журнал!$D$5:$O$1000,0,O$3),Журнал!$A$5:$A$1000,O$3,Журнал!$B$5:$B$1000,$A23),"")</f>
        <v/>
      </c>
      <c r="Q23" s="78" t="str">
        <f>IF(Q$4,SUMIFS(INDEX(Журнал!$D$5:$O$1000,0,Q$3),Журнал!$A$5:$A$1000,Q$3-1,Журнал!$B$5:$B$1000,$A23),"")</f>
        <v/>
      </c>
      <c r="R23" s="78" t="str">
        <f>IF(R$4,SUMIFS(INDEX(Журнал!$D$5:$O$1000,0,R$3),Журнал!$A$5:$A$1000,R$3-1,Журнал!$B$5:$B$1000,$A23),"")</f>
        <v/>
      </c>
      <c r="S23" s="78" t="str">
        <f>IF(S$4,SUMIFS(INDEX(Журнал!$D$5:$O$1000,0,S$3),Журнал!$A$5:$A$1000,S$3-1,Журнал!$B$5:$B$1000,$A23),"")</f>
        <v/>
      </c>
      <c r="T23" s="78" t="str">
        <f>IF(T$4,SUMIFS(INDEX(Журнал!$D$5:$O$1000,0,T$3),Журнал!$A$5:$A$1000,T$3-1,Журнал!$B$5:$B$1000,$A23),"")</f>
        <v/>
      </c>
      <c r="U23" s="78" t="str">
        <f>IF(U$4,SUMIFS(INDEX(Журнал!$D$5:$O$1000,0,U$3),Журнал!$A$5:$A$1000,U$3-1,Журнал!$B$5:$B$1000,$A23),"")</f>
        <v/>
      </c>
      <c r="V23" s="78" t="str">
        <f>IF(V$4,SUMIFS(INDEX(Журнал!$D$5:$O$1000,0,V$3),Журнал!$A$5:$A$1000,V$3-1,Журнал!$B$5:$B$1000,$A23),"")</f>
        <v/>
      </c>
      <c r="W23" s="78" t="str">
        <f>IF(W$4,SUMIFS(INDEX(Журнал!$D$5:$O$1000,0,W$3),Журнал!$A$5:$A$1000,W$3-1,Журнал!$B$5:$B$1000,$A23),"")</f>
        <v/>
      </c>
      <c r="X23" s="78" t="str">
        <f>IF(X$4,SUMIFS(INDEX(Журнал!$D$5:$O$1000,0,X$3),Журнал!$A$5:$A$1000,X$3-1,Журнал!$B$5:$B$1000,$A23),"")</f>
        <v/>
      </c>
      <c r="Y23" s="78">
        <f>IF(Y$4,SUMIFS(INDEX(Журнал!$D$5:$O$1000,0,Y$3),Журнал!$A$5:$A$1000,Y$3-1,Журнал!$B$5:$B$1000,$A23),"")</f>
        <v>-470.930046100071</v>
      </c>
      <c r="Z23" s="78">
        <f>IF(Z$4,SUMIFS(INDEX(Журнал!$D$5:$O$1000,0,Z$3),Журнал!$A$5:$A$1000,Z$3-1,Журнал!$B$5:$B$1000,$A23),"")</f>
        <v>-204.508236245729</v>
      </c>
      <c r="AA23" s="78" t="str">
        <f>IF(AA$4,SUMIFS(INDEX(Журнал!$D$5:$O$1000,0,AA$3),Журнал!$A$5:$A$1000,AA$3-1,Журнал!$B$5:$B$1000,$A23),"")</f>
        <v/>
      </c>
      <c r="AB23" s="78" t="str">
        <f>IF(AB$4,SUMIFS(INDEX(Журнал!$D$5:$O$1000,0,AB$3),Журнал!$A$5:$A$1000,AB$3-1,Журнал!$B$5:$B$1000,$A23),"")</f>
        <v/>
      </c>
      <c r="AD23" s="21" t="str">
        <f>IF(AD$4,ABS(D23-Q23),"")</f>
        <v/>
      </c>
      <c r="AE23" s="21" t="str">
        <f>IF(AE$4,ABS(E23-R23),"")</f>
        <v/>
      </c>
      <c r="AF23" s="21" t="str">
        <f>IF(AF$4,ABS(F23-S23),"")</f>
        <v/>
      </c>
      <c r="AG23" s="21" t="str">
        <f>IF(AG$4,ABS(G23-T23),"")</f>
        <v/>
      </c>
      <c r="AH23" s="21" t="str">
        <f>IF(AH$4,ABS(H23-U23),"")</f>
        <v/>
      </c>
      <c r="AI23" s="21" t="str">
        <f>IF(AI$4,ABS(I23-V23),"")</f>
        <v/>
      </c>
      <c r="AJ23" s="21" t="str">
        <f>IF(AJ$4,ABS(J23-W23),"")</f>
        <v/>
      </c>
      <c r="AK23" s="21" t="str">
        <f>IF(AK$4,ABS(K23-X23),"")</f>
        <v/>
      </c>
      <c r="AL23" s="21">
        <f>IF(AL$4,ABS(L23-Y23),"")</f>
        <v>415.075267652726</v>
      </c>
      <c r="AM23" s="21" t="str">
        <f>IF(AM$4,ABS(M23-Z23),"")</f>
        <v/>
      </c>
      <c r="AN23" s="21" t="str">
        <f>IF(AN$4,ABS(N23-AA23),"")</f>
        <v/>
      </c>
      <c r="AO23" s="21" t="str">
        <f>IF(AO$4,ABS(O23-AB23),"")</f>
        <v/>
      </c>
      <c r="AQ23" s="21" t="str">
        <f>IF(AD$4,ABS(D23),"")</f>
        <v/>
      </c>
      <c r="AR23" s="21" t="str">
        <f>IF(AE$4,ABS(E23),"")</f>
        <v/>
      </c>
      <c r="AS23" s="21" t="str">
        <f>IF(AF$4,ABS(F23),"")</f>
        <v/>
      </c>
      <c r="AT23" s="21" t="str">
        <f>IF(AG$4,ABS(G23),"")</f>
        <v/>
      </c>
      <c r="AU23" s="21" t="str">
        <f>IF(AH$4,ABS(H23),"")</f>
        <v/>
      </c>
      <c r="AV23" s="21" t="str">
        <f>IF(AI$4,ABS(I23),"")</f>
        <v/>
      </c>
      <c r="AW23" s="21" t="str">
        <f>IF(AJ$4,ABS(J23),"")</f>
        <v/>
      </c>
      <c r="AX23" s="21" t="str">
        <f>IF(AK$4,ABS(K23),"")</f>
        <v/>
      </c>
      <c r="AY23" s="21">
        <f>IF(AL$4,ABS(L23),"")</f>
        <v>55.8547784473449</v>
      </c>
      <c r="AZ23" s="21" t="str">
        <f>IF(AM$4,ABS(M23),"")</f>
        <v/>
      </c>
      <c r="BA23" s="21" t="str">
        <f>IF(AN$4,ABS(N23),"")</f>
        <v/>
      </c>
      <c r="BB23" s="21" t="str">
        <f>IF(AO$4,ABS(O23),"")</f>
        <v/>
      </c>
    </row>
    <row r="24">
      <c r="A24" s="5" t="inlineStr">
        <is>
          <t>EBITDA</t>
        </is>
      </c>
      <c r="B24" s="5" t="inlineStr">
        <is>
          <t>EBITDA</t>
        </is>
      </c>
      <c r="C24" s="8" t="inlineStr">
        <is>
          <t>Итог</t>
        </is>
      </c>
      <c r="D24" s="78" t="str">
        <f>IF(D$4,SUMIFS(INDEX(Журнал!$D$5:$O$1000,0,D$3),Журнал!$A$5:$A$1000,D$3,Журнал!$B$5:$B$1000,$A24),"")</f>
        <v/>
      </c>
      <c r="E24" s="78" t="str">
        <f>IF(E$4,SUMIFS(INDEX(Журнал!$D$5:$O$1000,0,E$3),Журнал!$A$5:$A$1000,E$3,Журнал!$B$5:$B$1000,$A24),"")</f>
        <v/>
      </c>
      <c r="F24" s="78" t="str">
        <f>IF(F$4,SUMIFS(INDEX(Журнал!$D$5:$O$1000,0,F$3),Журнал!$A$5:$A$1000,F$3,Журнал!$B$5:$B$1000,$A24),"")</f>
        <v/>
      </c>
      <c r="G24" s="78" t="str">
        <f>IF(G$4,SUMIFS(INDEX(Журнал!$D$5:$O$1000,0,G$3),Журнал!$A$5:$A$1000,G$3,Журнал!$B$5:$B$1000,$A24),"")</f>
        <v/>
      </c>
      <c r="H24" s="78" t="str">
        <f>IF(H$4,SUMIFS(INDEX(Журнал!$D$5:$O$1000,0,H$3),Журнал!$A$5:$A$1000,H$3,Журнал!$B$5:$B$1000,$A24),"")</f>
        <v/>
      </c>
      <c r="I24" s="78" t="str">
        <f>IF(I$4,SUMIFS(INDEX(Журнал!$D$5:$O$1000,0,I$3),Журнал!$A$5:$A$1000,I$3,Журнал!$B$5:$B$1000,$A24),"")</f>
        <v/>
      </c>
      <c r="J24" s="78" t="str">
        <f>IF(J$4,SUMIFS(INDEX(Журнал!$D$5:$O$1000,0,J$3),Журнал!$A$5:$A$1000,J$3,Журнал!$B$5:$B$1000,$A24),"")</f>
        <v/>
      </c>
      <c r="K24" s="78">
        <f>IF(K$4,SUMIFS(INDEX(Журнал!$D$5:$O$1000,0,K$3),Журнал!$A$5:$A$1000,K$3,Журнал!$B$5:$B$1000,$A24),"")</f>
        <v>755.169838483761</v>
      </c>
      <c r="L24" s="78">
        <f>IF(L$4,SUMIFS(INDEX(Журнал!$D$5:$O$1000,0,L$3),Журнал!$A$5:$A$1000,L$3,Журнал!$B$5:$B$1000,$A24),"")</f>
        <v>1126.41053241814</v>
      </c>
      <c r="M24" s="78" t="str">
        <f>IF(M$4,SUMIFS(INDEX(Журнал!$D$5:$O$1000,0,M$3),Журнал!$A$5:$A$1000,M$3,Журнал!$B$5:$B$1000,$A24),"")</f>
        <v/>
      </c>
      <c r="N24" s="78" t="str">
        <f>IF(N$4,SUMIFS(INDEX(Журнал!$D$5:$O$1000,0,N$3),Журнал!$A$5:$A$1000,N$3,Журнал!$B$5:$B$1000,$A24),"")</f>
        <v/>
      </c>
      <c r="O24" s="78" t="str">
        <f>IF(O$4,SUMIFS(INDEX(Журнал!$D$5:$O$1000,0,O$3),Журнал!$A$5:$A$1000,O$3,Журнал!$B$5:$B$1000,$A24),"")</f>
        <v/>
      </c>
      <c r="Q24" s="78" t="str">
        <f>IF(Q$4,SUMIFS(INDEX(Журнал!$D$5:$O$1000,0,Q$3),Журнал!$A$5:$A$1000,Q$3-1,Журнал!$B$5:$B$1000,$A24),"")</f>
        <v/>
      </c>
      <c r="R24" s="78" t="str">
        <f>IF(R$4,SUMIFS(INDEX(Журнал!$D$5:$O$1000,0,R$3),Журнал!$A$5:$A$1000,R$3-1,Журнал!$B$5:$B$1000,$A24),"")</f>
        <v/>
      </c>
      <c r="S24" s="78" t="str">
        <f>IF(S$4,SUMIFS(INDEX(Журнал!$D$5:$O$1000,0,S$3),Журнал!$A$5:$A$1000,S$3-1,Журнал!$B$5:$B$1000,$A24),"")</f>
        <v/>
      </c>
      <c r="T24" s="78" t="str">
        <f>IF(T$4,SUMIFS(INDEX(Журнал!$D$5:$O$1000,0,T$3),Журнал!$A$5:$A$1000,T$3-1,Журнал!$B$5:$B$1000,$A24),"")</f>
        <v/>
      </c>
      <c r="U24" s="78" t="str">
        <f>IF(U$4,SUMIFS(INDEX(Журнал!$D$5:$O$1000,0,U$3),Журнал!$A$5:$A$1000,U$3-1,Журнал!$B$5:$B$1000,$A24),"")</f>
        <v/>
      </c>
      <c r="V24" s="78" t="str">
        <f>IF(V$4,SUMIFS(INDEX(Журнал!$D$5:$O$1000,0,V$3),Журнал!$A$5:$A$1000,V$3-1,Журнал!$B$5:$B$1000,$A24),"")</f>
        <v/>
      </c>
      <c r="W24" s="78" t="str">
        <f>IF(W$4,SUMIFS(INDEX(Журнал!$D$5:$O$1000,0,W$3),Журнал!$A$5:$A$1000,W$3-1,Журнал!$B$5:$B$1000,$A24),"")</f>
        <v/>
      </c>
      <c r="X24" s="78" t="str">
        <f>IF(X$4,SUMIFS(INDEX(Журнал!$D$5:$O$1000,0,X$3),Журнал!$A$5:$A$1000,X$3-1,Журнал!$B$5:$B$1000,$A24),"")</f>
        <v/>
      </c>
      <c r="Y24" s="78">
        <f>IF(Y$4,SUMIFS(INDEX(Журнал!$D$5:$O$1000,0,Y$3),Журнал!$A$5:$A$1000,Y$3-1,Журнал!$B$5:$B$1000,$A24),"")</f>
        <v>620.504646644553</v>
      </c>
      <c r="Z24" s="78">
        <f>IF(Z$4,SUMIFS(INDEX(Журнал!$D$5:$O$1000,0,Z$3),Журнал!$A$5:$A$1000,Z$3-1,Журнал!$B$5:$B$1000,$A24),"")</f>
        <v>729.474678652954</v>
      </c>
      <c r="AA24" s="78" t="str">
        <f>IF(AA$4,SUMIFS(INDEX(Журнал!$D$5:$O$1000,0,AA$3),Журнал!$A$5:$A$1000,AA$3-1,Журнал!$B$5:$B$1000,$A24),"")</f>
        <v/>
      </c>
      <c r="AB24" s="78" t="str">
        <f>IF(AB$4,SUMIFS(INDEX(Журнал!$D$5:$O$1000,0,AB$3),Журнал!$A$5:$A$1000,AB$3-1,Журнал!$B$5:$B$1000,$A24),"")</f>
        <v/>
      </c>
      <c r="AD24" s="21" t="str">
        <f>IF(AD$4,ABS(D24-Q24),"")</f>
        <v/>
      </c>
      <c r="AE24" s="21" t="str">
        <f>IF(AE$4,ABS(E24-R24),"")</f>
        <v/>
      </c>
      <c r="AF24" s="21" t="str">
        <f>IF(AF$4,ABS(F24-S24),"")</f>
        <v/>
      </c>
      <c r="AG24" s="21" t="str">
        <f>IF(AG$4,ABS(G24-T24),"")</f>
        <v/>
      </c>
      <c r="AH24" s="21" t="str">
        <f>IF(AH$4,ABS(H24-U24),"")</f>
        <v/>
      </c>
      <c r="AI24" s="21" t="str">
        <f>IF(AI$4,ABS(I24-V24),"")</f>
        <v/>
      </c>
      <c r="AJ24" s="21" t="str">
        <f>IF(AJ$4,ABS(J24-W24),"")</f>
        <v/>
      </c>
      <c r="AK24" s="21" t="str">
        <f>IF(AK$4,ABS(K24-X24),"")</f>
        <v/>
      </c>
      <c r="AL24" s="21">
        <f>IF(AL$4,ABS(L24-Y24),"")</f>
        <v>505.90588577359</v>
      </c>
      <c r="AM24" s="21" t="str">
        <f>IF(AM$4,ABS(M24-Z24),"")</f>
        <v/>
      </c>
      <c r="AN24" s="21" t="str">
        <f>IF(AN$4,ABS(N24-AA24),"")</f>
        <v/>
      </c>
      <c r="AO24" s="21" t="str">
        <f>IF(AO$4,ABS(O24-AB24),"")</f>
        <v/>
      </c>
      <c r="AQ24" s="21" t="str">
        <f>IF(AD$4,ABS(D24),"")</f>
        <v/>
      </c>
      <c r="AR24" s="21" t="str">
        <f>IF(AE$4,ABS(E24),"")</f>
        <v/>
      </c>
      <c r="AS24" s="21" t="str">
        <f>IF(AF$4,ABS(F24),"")</f>
        <v/>
      </c>
      <c r="AT24" s="21" t="str">
        <f>IF(AG$4,ABS(G24),"")</f>
        <v/>
      </c>
      <c r="AU24" s="21" t="str">
        <f>IF(AH$4,ABS(H24),"")</f>
        <v/>
      </c>
      <c r="AV24" s="21" t="str">
        <f>IF(AI$4,ABS(I24),"")</f>
        <v/>
      </c>
      <c r="AW24" s="21" t="str">
        <f>IF(AJ$4,ABS(J24),"")</f>
        <v/>
      </c>
      <c r="AX24" s="21" t="str">
        <f>IF(AK$4,ABS(K24),"")</f>
        <v/>
      </c>
      <c r="AY24" s="21">
        <f>IF(AL$4,ABS(L24),"")</f>
        <v>1126.41053241814</v>
      </c>
      <c r="AZ24" s="21" t="str">
        <f>IF(AM$4,ABS(M24),"")</f>
        <v/>
      </c>
      <c r="BA24" s="21" t="str">
        <f>IF(AN$4,ABS(N24),"")</f>
        <v/>
      </c>
      <c r="BB24" s="21" t="str">
        <f>IF(AO$4,ABS(O24),"")</f>
        <v/>
      </c>
    </row>
    <row r="25">
      <c r="A25" s="5" t="inlineStr">
        <is>
          <t>Capex</t>
        </is>
      </c>
      <c r="B25" s="5" t="inlineStr">
        <is>
          <t>Capex</t>
        </is>
      </c>
      <c r="C25" s="8" t="inlineStr">
        <is>
          <t>Расходы</t>
        </is>
      </c>
      <c r="D25" s="78" t="str">
        <f>IF(D$4,SUMIFS(INDEX(Журнал!$D$5:$O$1000,0,D$3),Журнал!$A$5:$A$1000,D$3,Журнал!$B$5:$B$1000,$A25),"")</f>
        <v/>
      </c>
      <c r="E25" s="78" t="str">
        <f>IF(E$4,SUMIFS(INDEX(Журнал!$D$5:$O$1000,0,E$3),Журнал!$A$5:$A$1000,E$3,Журнал!$B$5:$B$1000,$A25),"")</f>
        <v/>
      </c>
      <c r="F25" s="78" t="str">
        <f>IF(F$4,SUMIFS(INDEX(Журнал!$D$5:$O$1000,0,F$3),Журнал!$A$5:$A$1000,F$3,Журнал!$B$5:$B$1000,$A25),"")</f>
        <v/>
      </c>
      <c r="G25" s="78" t="str">
        <f>IF(G$4,SUMIFS(INDEX(Журнал!$D$5:$O$1000,0,G$3),Журнал!$A$5:$A$1000,G$3,Журнал!$B$5:$B$1000,$A25),"")</f>
        <v/>
      </c>
      <c r="H25" s="78" t="str">
        <f>IF(H$4,SUMIFS(INDEX(Журнал!$D$5:$O$1000,0,H$3),Журнал!$A$5:$A$1000,H$3,Журнал!$B$5:$B$1000,$A25),"")</f>
        <v/>
      </c>
      <c r="I25" s="78" t="str">
        <f>IF(I$4,SUMIFS(INDEX(Журнал!$D$5:$O$1000,0,I$3),Журнал!$A$5:$A$1000,I$3,Журнал!$B$5:$B$1000,$A25),"")</f>
        <v/>
      </c>
      <c r="J25" s="78" t="str">
        <f>IF(J$4,SUMIFS(INDEX(Журнал!$D$5:$O$1000,0,J$3),Журнал!$A$5:$A$1000,J$3,Журнал!$B$5:$B$1000,$A25),"")</f>
        <v/>
      </c>
      <c r="K25" s="78">
        <f>IF(K$4,SUMIFS(INDEX(Журнал!$D$5:$O$1000,0,K$3),Журнал!$A$5:$A$1000,K$3,Журнал!$B$5:$B$1000,$A25),"")</f>
        <v>-86.85351879</v>
      </c>
      <c r="L25" s="78">
        <f>IF(L$4,SUMIFS(INDEX(Журнал!$D$5:$O$1000,0,L$3),Журнал!$A$5:$A$1000,L$3,Журнал!$B$5:$B$1000,$A25),"")</f>
        <v>-185.76541681</v>
      </c>
      <c r="M25" s="78" t="str">
        <f>IF(M$4,SUMIFS(INDEX(Журнал!$D$5:$O$1000,0,M$3),Журнал!$A$5:$A$1000,M$3,Журнал!$B$5:$B$1000,$A25),"")</f>
        <v/>
      </c>
      <c r="N25" s="78" t="str">
        <f>IF(N$4,SUMIFS(INDEX(Журнал!$D$5:$O$1000,0,N$3),Журнал!$A$5:$A$1000,N$3,Журнал!$B$5:$B$1000,$A25),"")</f>
        <v/>
      </c>
      <c r="O25" s="78" t="str">
        <f>IF(O$4,SUMIFS(INDEX(Журнал!$D$5:$O$1000,0,O$3),Журнал!$A$5:$A$1000,O$3,Журнал!$B$5:$B$1000,$A25),"")</f>
        <v/>
      </c>
      <c r="Q25" s="78" t="str">
        <f>IF(Q$4,SUMIFS(INDEX(Журнал!$D$5:$O$1000,0,Q$3),Журнал!$A$5:$A$1000,Q$3-1,Журнал!$B$5:$B$1000,$A25),"")</f>
        <v/>
      </c>
      <c r="R25" s="78" t="str">
        <f>IF(R$4,SUMIFS(INDEX(Журнал!$D$5:$O$1000,0,R$3),Журнал!$A$5:$A$1000,R$3-1,Журнал!$B$5:$B$1000,$A25),"")</f>
        <v/>
      </c>
      <c r="S25" s="78" t="str">
        <f>IF(S$4,SUMIFS(INDEX(Журнал!$D$5:$O$1000,0,S$3),Журнал!$A$5:$A$1000,S$3-1,Журнал!$B$5:$B$1000,$A25),"")</f>
        <v/>
      </c>
      <c r="T25" s="78" t="str">
        <f>IF(T$4,SUMIFS(INDEX(Журнал!$D$5:$O$1000,0,T$3),Журнал!$A$5:$A$1000,T$3-1,Журнал!$B$5:$B$1000,$A25),"")</f>
        <v/>
      </c>
      <c r="U25" s="78" t="str">
        <f>IF(U$4,SUMIFS(INDEX(Журнал!$D$5:$O$1000,0,U$3),Журнал!$A$5:$A$1000,U$3-1,Журнал!$B$5:$B$1000,$A25),"")</f>
        <v/>
      </c>
      <c r="V25" s="78" t="str">
        <f>IF(V$4,SUMIFS(INDEX(Журнал!$D$5:$O$1000,0,V$3),Журнал!$A$5:$A$1000,V$3-1,Журнал!$B$5:$B$1000,$A25),"")</f>
        <v/>
      </c>
      <c r="W25" s="78" t="str">
        <f>IF(W$4,SUMIFS(INDEX(Журнал!$D$5:$O$1000,0,W$3),Журнал!$A$5:$A$1000,W$3-1,Журнал!$B$5:$B$1000,$A25),"")</f>
        <v/>
      </c>
      <c r="X25" s="78" t="str">
        <f>IF(X$4,SUMIFS(INDEX(Журнал!$D$5:$O$1000,0,X$3),Журнал!$A$5:$A$1000,X$3-1,Журнал!$B$5:$B$1000,$A25),"")</f>
        <v/>
      </c>
      <c r="Y25" s="78">
        <f>IF(Y$4,SUMIFS(INDEX(Журнал!$D$5:$O$1000,0,Y$3),Журнал!$A$5:$A$1000,Y$3-1,Журнал!$B$5:$B$1000,$A25),"")</f>
        <v>-242.709711716802</v>
      </c>
      <c r="Z25" s="78">
        <f>IF(Z$4,SUMIFS(INDEX(Журнал!$D$5:$O$1000,0,Z$3),Журнал!$A$5:$A$1000,Z$3-1,Журнал!$B$5:$B$1000,$A25),"")</f>
        <v>-31.6960520599198</v>
      </c>
      <c r="AA25" s="78" t="str">
        <f>IF(AA$4,SUMIFS(INDEX(Журнал!$D$5:$O$1000,0,AA$3),Журнал!$A$5:$A$1000,AA$3-1,Журнал!$B$5:$B$1000,$A25),"")</f>
        <v/>
      </c>
      <c r="AB25" s="78" t="str">
        <f>IF(AB$4,SUMIFS(INDEX(Журнал!$D$5:$O$1000,0,AB$3),Журнал!$A$5:$A$1000,AB$3-1,Журнал!$B$5:$B$1000,$A25),"")</f>
        <v/>
      </c>
      <c r="AD25" s="21" t="str">
        <f>IF(AD$4,ABS(D25-Q25),"")</f>
        <v/>
      </c>
      <c r="AE25" s="21" t="str">
        <f>IF(AE$4,ABS(E25-R25),"")</f>
        <v/>
      </c>
      <c r="AF25" s="21" t="str">
        <f>IF(AF$4,ABS(F25-S25),"")</f>
        <v/>
      </c>
      <c r="AG25" s="21" t="str">
        <f>IF(AG$4,ABS(G25-T25),"")</f>
        <v/>
      </c>
      <c r="AH25" s="21" t="str">
        <f>IF(AH$4,ABS(H25-U25),"")</f>
        <v/>
      </c>
      <c r="AI25" s="21" t="str">
        <f>IF(AI$4,ABS(I25-V25),"")</f>
        <v/>
      </c>
      <c r="AJ25" s="21" t="str">
        <f>IF(AJ$4,ABS(J25-W25),"")</f>
        <v/>
      </c>
      <c r="AK25" s="21" t="str">
        <f>IF(AK$4,ABS(K25-X25),"")</f>
        <v/>
      </c>
      <c r="AL25" s="21">
        <f>IF(AL$4,ABS(L25-Y25),"")</f>
        <v>56.9442949068023</v>
      </c>
      <c r="AM25" s="21" t="str">
        <f>IF(AM$4,ABS(M25-Z25),"")</f>
        <v/>
      </c>
      <c r="AN25" s="21" t="str">
        <f>IF(AN$4,ABS(N25-AA25),"")</f>
        <v/>
      </c>
      <c r="AO25" s="21" t="str">
        <f>IF(AO$4,ABS(O25-AB25),"")</f>
        <v/>
      </c>
      <c r="AQ25" s="21" t="str">
        <f>IF(AD$4,ABS(D25),"")</f>
        <v/>
      </c>
      <c r="AR25" s="21" t="str">
        <f>IF(AE$4,ABS(E25),"")</f>
        <v/>
      </c>
      <c r="AS25" s="21" t="str">
        <f>IF(AF$4,ABS(F25),"")</f>
        <v/>
      </c>
      <c r="AT25" s="21" t="str">
        <f>IF(AG$4,ABS(G25),"")</f>
        <v/>
      </c>
      <c r="AU25" s="21" t="str">
        <f>IF(AH$4,ABS(H25),"")</f>
        <v/>
      </c>
      <c r="AV25" s="21" t="str">
        <f>IF(AI$4,ABS(I25),"")</f>
        <v/>
      </c>
      <c r="AW25" s="21" t="str">
        <f>IF(AJ$4,ABS(J25),"")</f>
        <v/>
      </c>
      <c r="AX25" s="21" t="str">
        <f>IF(AK$4,ABS(K25),"")</f>
        <v/>
      </c>
      <c r="AY25" s="21">
        <f>IF(AL$4,ABS(L25),"")</f>
        <v>185.76541681</v>
      </c>
      <c r="AZ25" s="21" t="str">
        <f>IF(AM$4,ABS(M25),"")</f>
        <v/>
      </c>
      <c r="BA25" s="21" t="str">
        <f>IF(AN$4,ABS(N25),"")</f>
        <v/>
      </c>
      <c r="BB25" s="21" t="str">
        <f>IF(AO$4,ABS(O25),"")</f>
        <v/>
      </c>
    </row>
    <row r="26">
      <c r="A26" s="5" t="inlineStr">
        <is>
          <t>FCF</t>
        </is>
      </c>
      <c r="B26" s="5" t="inlineStr">
        <is>
          <t>FCF</t>
        </is>
      </c>
      <c r="C26" s="8" t="inlineStr">
        <is>
          <t>Итог</t>
        </is>
      </c>
      <c r="D26" s="78" t="str">
        <f>IF(D$4,SUMIFS(INDEX(Журнал!$D$5:$O$1000,0,D$3),Журнал!$A$5:$A$1000,D$3,Журнал!$B$5:$B$1000,$A26),"")</f>
        <v/>
      </c>
      <c r="E26" s="78" t="str">
        <f>IF(E$4,SUMIFS(INDEX(Журнал!$D$5:$O$1000,0,E$3),Журнал!$A$5:$A$1000,E$3,Журнал!$B$5:$B$1000,$A26),"")</f>
        <v/>
      </c>
      <c r="F26" s="78" t="str">
        <f>IF(F$4,SUMIFS(INDEX(Журнал!$D$5:$O$1000,0,F$3),Журнал!$A$5:$A$1000,F$3,Журнал!$B$5:$B$1000,$A26),"")</f>
        <v/>
      </c>
      <c r="G26" s="78" t="str">
        <f>IF(G$4,SUMIFS(INDEX(Журнал!$D$5:$O$1000,0,G$3),Журнал!$A$5:$A$1000,G$3,Журнал!$B$5:$B$1000,$A26),"")</f>
        <v/>
      </c>
      <c r="H26" s="78" t="str">
        <f>IF(H$4,SUMIFS(INDEX(Журнал!$D$5:$O$1000,0,H$3),Журнал!$A$5:$A$1000,H$3,Журнал!$B$5:$B$1000,$A26),"")</f>
        <v/>
      </c>
      <c r="I26" s="78" t="str">
        <f>IF(I$4,SUMIFS(INDEX(Журнал!$D$5:$O$1000,0,I$3),Журнал!$A$5:$A$1000,I$3,Журнал!$B$5:$B$1000,$A26),"")</f>
        <v/>
      </c>
      <c r="J26" s="78" t="str">
        <f>IF(J$4,SUMIFS(INDEX(Журнал!$D$5:$O$1000,0,J$3),Журнал!$A$5:$A$1000,J$3,Журнал!$B$5:$B$1000,$A26),"")</f>
        <v/>
      </c>
      <c r="K26" s="78">
        <f>IF(K$4,SUMIFS(INDEX(Журнал!$D$5:$O$1000,0,K$3),Журнал!$A$5:$A$1000,K$3,Журнал!$B$5:$B$1000,$A26),"")</f>
        <v>668.316319693761</v>
      </c>
      <c r="L26" s="78">
        <f>IF(L$4,SUMIFS(INDEX(Журнал!$D$5:$O$1000,0,L$3),Журнал!$A$5:$A$1000,L$3,Журнал!$B$5:$B$1000,$A26),"")</f>
        <v>940.645115608143</v>
      </c>
      <c r="M26" s="78" t="str">
        <f>IF(M$4,SUMIFS(INDEX(Журнал!$D$5:$O$1000,0,M$3),Журнал!$A$5:$A$1000,M$3,Журнал!$B$5:$B$1000,$A26),"")</f>
        <v/>
      </c>
      <c r="N26" s="78" t="str">
        <f>IF(N$4,SUMIFS(INDEX(Журнал!$D$5:$O$1000,0,N$3),Журнал!$A$5:$A$1000,N$3,Журнал!$B$5:$B$1000,$A26),"")</f>
        <v/>
      </c>
      <c r="O26" s="78" t="str">
        <f>IF(O$4,SUMIFS(INDEX(Журнал!$D$5:$O$1000,0,O$3),Журнал!$A$5:$A$1000,O$3,Журнал!$B$5:$B$1000,$A26),"")</f>
        <v/>
      </c>
      <c r="Q26" s="78" t="str">
        <f>IF(Q$4,SUMIFS(INDEX(Журнал!$D$5:$O$1000,0,Q$3),Журнал!$A$5:$A$1000,Q$3-1,Журнал!$B$5:$B$1000,$A26),"")</f>
        <v/>
      </c>
      <c r="R26" s="78" t="str">
        <f>IF(R$4,SUMIFS(INDEX(Журнал!$D$5:$O$1000,0,R$3),Журнал!$A$5:$A$1000,R$3-1,Журнал!$B$5:$B$1000,$A26),"")</f>
        <v/>
      </c>
      <c r="S26" s="78" t="str">
        <f>IF(S$4,SUMIFS(INDEX(Журнал!$D$5:$O$1000,0,S$3),Журнал!$A$5:$A$1000,S$3-1,Журнал!$B$5:$B$1000,$A26),"")</f>
        <v/>
      </c>
      <c r="T26" s="78" t="str">
        <f>IF(T$4,SUMIFS(INDEX(Журнал!$D$5:$O$1000,0,T$3),Журнал!$A$5:$A$1000,T$3-1,Журнал!$B$5:$B$1000,$A26),"")</f>
        <v/>
      </c>
      <c r="U26" s="78" t="str">
        <f>IF(U$4,SUMIFS(INDEX(Журнал!$D$5:$O$1000,0,U$3),Журнал!$A$5:$A$1000,U$3-1,Журнал!$B$5:$B$1000,$A26),"")</f>
        <v/>
      </c>
      <c r="V26" s="78" t="str">
        <f>IF(V$4,SUMIFS(INDEX(Журнал!$D$5:$O$1000,0,V$3),Журнал!$A$5:$A$1000,V$3-1,Журнал!$B$5:$B$1000,$A26),"")</f>
        <v/>
      </c>
      <c r="W26" s="78" t="str">
        <f>IF(W$4,SUMIFS(INDEX(Журнал!$D$5:$O$1000,0,W$3),Журнал!$A$5:$A$1000,W$3-1,Журнал!$B$5:$B$1000,$A26),"")</f>
        <v/>
      </c>
      <c r="X26" s="78" t="str">
        <f>IF(X$4,SUMIFS(INDEX(Журнал!$D$5:$O$1000,0,X$3),Журнал!$A$5:$A$1000,X$3-1,Журнал!$B$5:$B$1000,$A26),"")</f>
        <v/>
      </c>
      <c r="Y26" s="78">
        <f>IF(Y$4,SUMIFS(INDEX(Журнал!$D$5:$O$1000,0,Y$3),Журнал!$A$5:$A$1000,Y$3-1,Журнал!$B$5:$B$1000,$A26),"")</f>
        <v>377.794934927751</v>
      </c>
      <c r="Z26" s="78">
        <f>IF(Z$4,SUMIFS(INDEX(Журнал!$D$5:$O$1000,0,Z$3),Журнал!$A$5:$A$1000,Z$3-1,Журнал!$B$5:$B$1000,$A26),"")</f>
        <v>697.778626593034</v>
      </c>
      <c r="AA26" s="78" t="str">
        <f>IF(AA$4,SUMIFS(INDEX(Журнал!$D$5:$O$1000,0,AA$3),Журнал!$A$5:$A$1000,AA$3-1,Журнал!$B$5:$B$1000,$A26),"")</f>
        <v/>
      </c>
      <c r="AB26" s="78" t="str">
        <f>IF(AB$4,SUMIFS(INDEX(Журнал!$D$5:$O$1000,0,AB$3),Журнал!$A$5:$A$1000,AB$3-1,Журнал!$B$5:$B$1000,$A26),"")</f>
        <v/>
      </c>
      <c r="AD26" s="21" t="str">
        <f>IF(AD$4,ABS(D26-Q26),"")</f>
        <v/>
      </c>
      <c r="AE26" s="21" t="str">
        <f>IF(AE$4,ABS(E26-R26),"")</f>
        <v/>
      </c>
      <c r="AF26" s="21" t="str">
        <f>IF(AF$4,ABS(F26-S26),"")</f>
        <v/>
      </c>
      <c r="AG26" s="21" t="str">
        <f>IF(AG$4,ABS(G26-T26),"")</f>
        <v/>
      </c>
      <c r="AH26" s="21" t="str">
        <f>IF(AH$4,ABS(H26-U26),"")</f>
        <v/>
      </c>
      <c r="AI26" s="21" t="str">
        <f>IF(AI$4,ABS(I26-V26),"")</f>
        <v/>
      </c>
      <c r="AJ26" s="21" t="str">
        <f>IF(AJ$4,ABS(J26-W26),"")</f>
        <v/>
      </c>
      <c r="AK26" s="21" t="str">
        <f>IF(AK$4,ABS(K26-X26),"")</f>
        <v/>
      </c>
      <c r="AL26" s="21">
        <f>IF(AL$4,ABS(L26-Y26),"")</f>
        <v>562.850180680392</v>
      </c>
      <c r="AM26" s="21" t="str">
        <f>IF(AM$4,ABS(M26-Z26),"")</f>
        <v/>
      </c>
      <c r="AN26" s="21" t="str">
        <f>IF(AN$4,ABS(N26-AA26),"")</f>
        <v/>
      </c>
      <c r="AO26" s="21" t="str">
        <f>IF(AO$4,ABS(O26-AB26),"")</f>
        <v/>
      </c>
      <c r="AQ26" s="21" t="str">
        <f>IF(AD$4,ABS(D26),"")</f>
        <v/>
      </c>
      <c r="AR26" s="21" t="str">
        <f>IF(AE$4,ABS(E26),"")</f>
        <v/>
      </c>
      <c r="AS26" s="21" t="str">
        <f>IF(AF$4,ABS(F26),"")</f>
        <v/>
      </c>
      <c r="AT26" s="21" t="str">
        <f>IF(AG$4,ABS(G26),"")</f>
        <v/>
      </c>
      <c r="AU26" s="21" t="str">
        <f>IF(AH$4,ABS(H26),"")</f>
        <v/>
      </c>
      <c r="AV26" s="21" t="str">
        <f>IF(AI$4,ABS(I26),"")</f>
        <v/>
      </c>
      <c r="AW26" s="21" t="str">
        <f>IF(AJ$4,ABS(J26),"")</f>
        <v/>
      </c>
      <c r="AX26" s="21" t="str">
        <f>IF(AK$4,ABS(K26),"")</f>
        <v/>
      </c>
      <c r="AY26" s="21">
        <f>IF(AL$4,ABS(L26),"")</f>
        <v>940.645115608143</v>
      </c>
      <c r="AZ26" s="21" t="str">
        <f>IF(AM$4,ABS(M26),"")</f>
        <v/>
      </c>
      <c r="BA26" s="21" t="str">
        <f>IF(AN$4,ABS(N26),"")</f>
        <v/>
      </c>
      <c r="BB26" s="21" t="str">
        <f>IF(AO$4,ABS(O26),"")</f>
        <v/>
      </c>
    </row>
    <row r="27">
      <c r="A27" s="5" t="inlineStr">
        <is>
          <t>EBITDA для КПЭ</t>
        </is>
      </c>
      <c r="B27" s="5" t="inlineStr">
        <is>
          <t>EBITDA для КПЭ</t>
        </is>
      </c>
      <c r="C27" s="8" t="inlineStr">
        <is>
          <t>КПЭ</t>
        </is>
      </c>
      <c r="D27" s="78" t="str">
        <f>IF(D$4,SUMIFS(INDEX(Журнал!$D$5:$O$1000,0,D$3),Журнал!$A$5:$A$1000,D$3,Журнал!$B$5:$B$1000,$A27),"")</f>
        <v/>
      </c>
      <c r="E27" s="78" t="str">
        <f>IF(E$4,SUMIFS(INDEX(Журнал!$D$5:$O$1000,0,E$3),Журнал!$A$5:$A$1000,E$3,Журнал!$B$5:$B$1000,$A27),"")</f>
        <v/>
      </c>
      <c r="F27" s="78" t="str">
        <f>IF(F$4,SUMIFS(INDEX(Журнал!$D$5:$O$1000,0,F$3),Журнал!$A$5:$A$1000,F$3,Журнал!$B$5:$B$1000,$A27),"")</f>
        <v/>
      </c>
      <c r="G27" s="78" t="str">
        <f>IF(G$4,SUMIFS(INDEX(Журнал!$D$5:$O$1000,0,G$3),Журнал!$A$5:$A$1000,G$3,Журнал!$B$5:$B$1000,$A27),"")</f>
        <v/>
      </c>
      <c r="H27" s="78" t="str">
        <f>IF(H$4,SUMIFS(INDEX(Журнал!$D$5:$O$1000,0,H$3),Журнал!$A$5:$A$1000,H$3,Журнал!$B$5:$B$1000,$A27),"")</f>
        <v/>
      </c>
      <c r="I27" s="78" t="str">
        <f>IF(I$4,SUMIFS(INDEX(Журнал!$D$5:$O$1000,0,I$3),Журнал!$A$5:$A$1000,I$3,Журнал!$B$5:$B$1000,$A27),"")</f>
        <v/>
      </c>
      <c r="J27" s="78" t="str">
        <f>IF(J$4,SUMIFS(INDEX(Журнал!$D$5:$O$1000,0,J$3),Журнал!$A$5:$A$1000,J$3,Журнал!$B$5:$B$1000,$A27),"")</f>
        <v/>
      </c>
      <c r="K27" s="78">
        <f>IF(K$4,SUMIFS(INDEX(Журнал!$D$5:$O$1000,0,K$3),Журнал!$A$5:$A$1000,K$3,Журнал!$B$5:$B$1000,$A27),"")</f>
        <v>555.502626166409</v>
      </c>
      <c r="L27" s="78">
        <f>IF(L$4,SUMIFS(INDEX(Журнал!$D$5:$O$1000,0,L$3),Журнал!$A$5:$A$1000,L$3,Журнал!$B$5:$B$1000,$A27),"")</f>
        <v>803.396833788006</v>
      </c>
      <c r="M27" s="78" t="str">
        <f>IF(M$4,SUMIFS(INDEX(Журнал!$D$5:$O$1000,0,M$3),Журнал!$A$5:$A$1000,M$3,Журнал!$B$5:$B$1000,$A27),"")</f>
        <v/>
      </c>
      <c r="N27" s="78" t="str">
        <f>IF(N$4,SUMIFS(INDEX(Журнал!$D$5:$O$1000,0,N$3),Журнал!$A$5:$A$1000,N$3,Журнал!$B$5:$B$1000,$A27),"")</f>
        <v/>
      </c>
      <c r="O27" s="78" t="str">
        <f>IF(O$4,SUMIFS(INDEX(Журнал!$D$5:$O$1000,0,O$3),Журнал!$A$5:$A$1000,O$3,Журнал!$B$5:$B$1000,$A27),"")</f>
        <v/>
      </c>
      <c r="Q27" s="78" t="str">
        <f>IF(Q$4,SUMIFS(INDEX(Журнал!$D$5:$O$1000,0,Q$3),Журнал!$A$5:$A$1000,Q$3-1,Журнал!$B$5:$B$1000,$A27),"")</f>
        <v/>
      </c>
      <c r="R27" s="78" t="str">
        <f>IF(R$4,SUMIFS(INDEX(Журнал!$D$5:$O$1000,0,R$3),Журнал!$A$5:$A$1000,R$3-1,Журнал!$B$5:$B$1000,$A27),"")</f>
        <v/>
      </c>
      <c r="S27" s="78" t="str">
        <f>IF(S$4,SUMIFS(INDEX(Журнал!$D$5:$O$1000,0,S$3),Журнал!$A$5:$A$1000,S$3-1,Журнал!$B$5:$B$1000,$A27),"")</f>
        <v/>
      </c>
      <c r="T27" s="78" t="str">
        <f>IF(T$4,SUMIFS(INDEX(Журнал!$D$5:$O$1000,0,T$3),Журнал!$A$5:$A$1000,T$3-1,Журнал!$B$5:$B$1000,$A27),"")</f>
        <v/>
      </c>
      <c r="U27" s="78" t="str">
        <f>IF(U$4,SUMIFS(INDEX(Журнал!$D$5:$O$1000,0,U$3),Журнал!$A$5:$A$1000,U$3-1,Журнал!$B$5:$B$1000,$A27),"")</f>
        <v/>
      </c>
      <c r="V27" s="78" t="str">
        <f>IF(V$4,SUMIFS(INDEX(Журнал!$D$5:$O$1000,0,V$3),Журнал!$A$5:$A$1000,V$3-1,Журнал!$B$5:$B$1000,$A27),"")</f>
        <v/>
      </c>
      <c r="W27" s="78" t="str">
        <f>IF(W$4,SUMIFS(INDEX(Журнал!$D$5:$O$1000,0,W$3),Журнал!$A$5:$A$1000,W$3-1,Журнал!$B$5:$B$1000,$A27),"")</f>
        <v/>
      </c>
      <c r="X27" s="78" t="str">
        <f>IF(X$4,SUMIFS(INDEX(Журнал!$D$5:$O$1000,0,X$3),Журнал!$A$5:$A$1000,X$3-1,Журнал!$B$5:$B$1000,$A27),"")</f>
        <v/>
      </c>
      <c r="Y27" s="78">
        <f>IF(Y$4,SUMIFS(INDEX(Журнал!$D$5:$O$1000,0,Y$3),Журнал!$A$5:$A$1000,Y$3-1,Журнал!$B$5:$B$1000,$A27),"")</f>
        <v>111.253210695852</v>
      </c>
      <c r="Z27" s="78">
        <f>IF(Z$4,SUMIFS(INDEX(Журнал!$D$5:$O$1000,0,Z$3),Журнал!$A$5:$A$1000,Z$3-1,Журнал!$B$5:$B$1000,$A27),"")</f>
        <v>395.693856735145</v>
      </c>
      <c r="AA27" s="78" t="str">
        <f>IF(AA$4,SUMIFS(INDEX(Журнал!$D$5:$O$1000,0,AA$3),Журнал!$A$5:$A$1000,AA$3-1,Журнал!$B$5:$B$1000,$A27),"")</f>
        <v/>
      </c>
      <c r="AB27" s="78" t="str">
        <f>IF(AB$4,SUMIFS(INDEX(Журнал!$D$5:$O$1000,0,AB$3),Журнал!$A$5:$A$1000,AB$3-1,Журнал!$B$5:$B$1000,$A27),"")</f>
        <v/>
      </c>
      <c r="AD27" s="21" t="str">
        <f>IF(AD$4,ABS(D27-Q27),"")</f>
        <v/>
      </c>
      <c r="AE27" s="21" t="str">
        <f>IF(AE$4,ABS(E27-R27),"")</f>
        <v/>
      </c>
      <c r="AF27" s="21" t="str">
        <f>IF(AF$4,ABS(F27-S27),"")</f>
        <v/>
      </c>
      <c r="AG27" s="21" t="str">
        <f>IF(AG$4,ABS(G27-T27),"")</f>
        <v/>
      </c>
      <c r="AH27" s="21" t="str">
        <f>IF(AH$4,ABS(H27-U27),"")</f>
        <v/>
      </c>
      <c r="AI27" s="21" t="str">
        <f>IF(AI$4,ABS(I27-V27),"")</f>
        <v/>
      </c>
      <c r="AJ27" s="21" t="str">
        <f>IF(AJ$4,ABS(J27-W27),"")</f>
        <v/>
      </c>
      <c r="AK27" s="21" t="str">
        <f>IF(AK$4,ABS(K27-X27),"")</f>
        <v/>
      </c>
      <c r="AL27" s="21">
        <f>IF(AL$4,ABS(L27-Y27),"")</f>
        <v>692.143623092154</v>
      </c>
      <c r="AM27" s="21" t="str">
        <f>IF(AM$4,ABS(M27-Z27),"")</f>
        <v/>
      </c>
      <c r="AN27" s="21" t="str">
        <f>IF(AN$4,ABS(N27-AA27),"")</f>
        <v/>
      </c>
      <c r="AO27" s="21" t="str">
        <f>IF(AO$4,ABS(O27-AB27),"")</f>
        <v/>
      </c>
      <c r="AQ27" s="21" t="str">
        <f>IF(AD$4,ABS(D27),"")</f>
        <v/>
      </c>
      <c r="AR27" s="21" t="str">
        <f>IF(AE$4,ABS(E27),"")</f>
        <v/>
      </c>
      <c r="AS27" s="21" t="str">
        <f>IF(AF$4,ABS(F27),"")</f>
        <v/>
      </c>
      <c r="AT27" s="21" t="str">
        <f>IF(AG$4,ABS(G27),"")</f>
        <v/>
      </c>
      <c r="AU27" s="21" t="str">
        <f>IF(AH$4,ABS(H27),"")</f>
        <v/>
      </c>
      <c r="AV27" s="21" t="str">
        <f>IF(AI$4,ABS(I27),"")</f>
        <v/>
      </c>
      <c r="AW27" s="21" t="str">
        <f>IF(AJ$4,ABS(J27),"")</f>
        <v/>
      </c>
      <c r="AX27" s="21" t="str">
        <f>IF(AK$4,ABS(K27),"")</f>
        <v/>
      </c>
      <c r="AY27" s="21">
        <f>IF(AL$4,ABS(L27),"")</f>
        <v>803.396833788006</v>
      </c>
      <c r="AZ27" s="21" t="str">
        <f>IF(AM$4,ABS(M27),"")</f>
        <v/>
      </c>
      <c r="BA27" s="21" t="str">
        <f>IF(AN$4,ABS(N27),"")</f>
        <v/>
      </c>
      <c r="BB27" s="21" t="str">
        <f>IF(AO$4,ABS(O27),"")</f>
        <v/>
      </c>
    </row>
    <row r="28">
      <c r="A28" s="5" t="inlineStr">
        <is>
          <t>Некоммерческие поставщики</t>
        </is>
      </c>
      <c r="B28" s="5" t="inlineStr">
        <is>
          <t>Некоммерческие поставщики</t>
        </is>
      </c>
      <c r="C28" s="8" t="inlineStr">
        <is>
          <t>КПЭ</t>
        </is>
      </c>
      <c r="D28" s="78" t="str">
        <f>IF(D$4,SUMIFS(INDEX(Журнал!$D$5:$O$1000,0,D$3),Журнал!$A$5:$A$1000,D$3,Журнал!$B$5:$B$1000,$A28),"")</f>
        <v/>
      </c>
      <c r="E28" s="78" t="str">
        <f>IF(E$4,SUMIFS(INDEX(Журнал!$D$5:$O$1000,0,E$3),Журнал!$A$5:$A$1000,E$3,Журнал!$B$5:$B$1000,$A28),"")</f>
        <v/>
      </c>
      <c r="F28" s="78" t="str">
        <f>IF(F$4,SUMIFS(INDEX(Журнал!$D$5:$O$1000,0,F$3),Журнал!$A$5:$A$1000,F$3,Журнал!$B$5:$B$1000,$A28),"")</f>
        <v/>
      </c>
      <c r="G28" s="78" t="str">
        <f>IF(G$4,SUMIFS(INDEX(Журнал!$D$5:$O$1000,0,G$3),Журнал!$A$5:$A$1000,G$3,Журнал!$B$5:$B$1000,$A28),"")</f>
        <v/>
      </c>
      <c r="H28" s="78" t="str">
        <f>IF(H$4,SUMIFS(INDEX(Журнал!$D$5:$O$1000,0,H$3),Журнал!$A$5:$A$1000,H$3,Журнал!$B$5:$B$1000,$A28),"")</f>
        <v/>
      </c>
      <c r="I28" s="78" t="str">
        <f>IF(I$4,SUMIFS(INDEX(Журнал!$D$5:$O$1000,0,I$3),Журнал!$A$5:$A$1000,I$3,Журнал!$B$5:$B$1000,$A28),"")</f>
        <v/>
      </c>
      <c r="J28" s="78" t="str">
        <f>IF(J$4,SUMIFS(INDEX(Журнал!$D$5:$O$1000,0,J$3),Журнал!$A$5:$A$1000,J$3,Журнал!$B$5:$B$1000,$A28),"")</f>
        <v/>
      </c>
      <c r="K28" s="78">
        <f>IF(K$4,SUMIFS(INDEX(Журнал!$D$5:$O$1000,0,K$3),Журнал!$A$5:$A$1000,K$3,Журнал!$B$5:$B$1000,$A28),"")</f>
        <v>108.128357785504</v>
      </c>
      <c r="L28" s="78">
        <f>IF(L$4,SUMIFS(INDEX(Журнал!$D$5:$O$1000,0,L$3),Журнал!$A$5:$A$1000,L$3,Журнал!$B$5:$B$1000,$A28),"")</f>
        <v>118.037098840277</v>
      </c>
      <c r="M28" s="78" t="str">
        <f>IF(M$4,SUMIFS(INDEX(Журнал!$D$5:$O$1000,0,M$3),Журнал!$A$5:$A$1000,M$3,Журнал!$B$5:$B$1000,$A28),"")</f>
        <v/>
      </c>
      <c r="N28" s="78" t="str">
        <f>IF(N$4,SUMIFS(INDEX(Журнал!$D$5:$O$1000,0,N$3),Журнал!$A$5:$A$1000,N$3,Журнал!$B$5:$B$1000,$A28),"")</f>
        <v/>
      </c>
      <c r="O28" s="78" t="str">
        <f>IF(O$4,SUMIFS(INDEX(Журнал!$D$5:$O$1000,0,O$3),Журнал!$A$5:$A$1000,O$3,Журнал!$B$5:$B$1000,$A28),"")</f>
        <v/>
      </c>
      <c r="Q28" s="78" t="str">
        <f>IF(Q$4,SUMIFS(INDEX(Журнал!$D$5:$O$1000,0,Q$3),Журнал!$A$5:$A$1000,Q$3-1,Журнал!$B$5:$B$1000,$A28),"")</f>
        <v/>
      </c>
      <c r="R28" s="78" t="str">
        <f>IF(R$4,SUMIFS(INDEX(Журнал!$D$5:$O$1000,0,R$3),Журнал!$A$5:$A$1000,R$3-1,Журнал!$B$5:$B$1000,$A28),"")</f>
        <v/>
      </c>
      <c r="S28" s="78" t="str">
        <f>IF(S$4,SUMIFS(INDEX(Журнал!$D$5:$O$1000,0,S$3),Журнал!$A$5:$A$1000,S$3-1,Журнал!$B$5:$B$1000,$A28),"")</f>
        <v/>
      </c>
      <c r="T28" s="78" t="str">
        <f>IF(T$4,SUMIFS(INDEX(Журнал!$D$5:$O$1000,0,T$3),Журнал!$A$5:$A$1000,T$3-1,Журнал!$B$5:$B$1000,$A28),"")</f>
        <v/>
      </c>
      <c r="U28" s="78" t="str">
        <f>IF(U$4,SUMIFS(INDEX(Журнал!$D$5:$O$1000,0,U$3),Журнал!$A$5:$A$1000,U$3-1,Журнал!$B$5:$B$1000,$A28),"")</f>
        <v/>
      </c>
      <c r="V28" s="78" t="str">
        <f>IF(V$4,SUMIFS(INDEX(Журнал!$D$5:$O$1000,0,V$3),Журнал!$A$5:$A$1000,V$3-1,Журнал!$B$5:$B$1000,$A28),"")</f>
        <v/>
      </c>
      <c r="W28" s="78" t="str">
        <f>IF(W$4,SUMIFS(INDEX(Журнал!$D$5:$O$1000,0,W$3),Журнал!$A$5:$A$1000,W$3-1,Журнал!$B$5:$B$1000,$A28),"")</f>
        <v/>
      </c>
      <c r="X28" s="78" t="str">
        <f>IF(X$4,SUMIFS(INDEX(Журнал!$D$5:$O$1000,0,X$3),Журнал!$A$5:$A$1000,X$3-1,Журнал!$B$5:$B$1000,$A28),"")</f>
        <v/>
      </c>
      <c r="Y28" s="78">
        <f>IF(Y$4,SUMIFS(INDEX(Журнал!$D$5:$O$1000,0,Y$3),Журнал!$A$5:$A$1000,Y$3-1,Журнал!$B$5:$B$1000,$A28),"")</f>
        <v>120.099874582948</v>
      </c>
      <c r="Z28" s="78">
        <f>IF(Z$4,SUMIFS(INDEX(Журнал!$D$5:$O$1000,0,Z$3),Журнал!$A$5:$A$1000,Z$3-1,Журнал!$B$5:$B$1000,$A28),"")</f>
        <v>112.034348162092</v>
      </c>
      <c r="AA28" s="78" t="str">
        <f>IF(AA$4,SUMIFS(INDEX(Журнал!$D$5:$O$1000,0,AA$3),Журнал!$A$5:$A$1000,AA$3-1,Журнал!$B$5:$B$1000,$A28),"")</f>
        <v/>
      </c>
      <c r="AB28" s="78" t="str">
        <f>IF(AB$4,SUMIFS(INDEX(Журнал!$D$5:$O$1000,0,AB$3),Журнал!$A$5:$A$1000,AB$3-1,Журнал!$B$5:$B$1000,$A28),"")</f>
        <v/>
      </c>
      <c r="AD28" s="21" t="str">
        <f>IF(AD$4,ABS(D28-Q28),"")</f>
        <v/>
      </c>
      <c r="AE28" s="21" t="str">
        <f>IF(AE$4,ABS(E28-R28),"")</f>
        <v/>
      </c>
      <c r="AF28" s="21" t="str">
        <f>IF(AF$4,ABS(F28-S28),"")</f>
        <v/>
      </c>
      <c r="AG28" s="21" t="str">
        <f>IF(AG$4,ABS(G28-T28),"")</f>
        <v/>
      </c>
      <c r="AH28" s="21" t="str">
        <f>IF(AH$4,ABS(H28-U28),"")</f>
        <v/>
      </c>
      <c r="AI28" s="21" t="str">
        <f>IF(AI$4,ABS(I28-V28),"")</f>
        <v/>
      </c>
      <c r="AJ28" s="21" t="str">
        <f>IF(AJ$4,ABS(J28-W28),"")</f>
        <v/>
      </c>
      <c r="AK28" s="21" t="str">
        <f>IF(AK$4,ABS(K28-X28),"")</f>
        <v/>
      </c>
      <c r="AL28" s="21">
        <f>IF(AL$4,ABS(L28-Y28),"")</f>
        <v>2.06277574267081</v>
      </c>
      <c r="AM28" s="21" t="str">
        <f>IF(AM$4,ABS(M28-Z28),"")</f>
        <v/>
      </c>
      <c r="AN28" s="21" t="str">
        <f>IF(AN$4,ABS(N28-AA28),"")</f>
        <v/>
      </c>
      <c r="AO28" s="21" t="str">
        <f>IF(AO$4,ABS(O28-AB28),"")</f>
        <v/>
      </c>
      <c r="AQ28" s="21" t="str">
        <f>IF(AD$4,ABS(D28),"")</f>
        <v/>
      </c>
      <c r="AR28" s="21" t="str">
        <f>IF(AE$4,ABS(E28),"")</f>
        <v/>
      </c>
      <c r="AS28" s="21" t="str">
        <f>IF(AF$4,ABS(F28),"")</f>
        <v/>
      </c>
      <c r="AT28" s="21" t="str">
        <f>IF(AG$4,ABS(G28),"")</f>
        <v/>
      </c>
      <c r="AU28" s="21" t="str">
        <f>IF(AH$4,ABS(H28),"")</f>
        <v/>
      </c>
      <c r="AV28" s="21" t="str">
        <f>IF(AI$4,ABS(I28),"")</f>
        <v/>
      </c>
      <c r="AW28" s="21" t="str">
        <f>IF(AJ$4,ABS(J28),"")</f>
        <v/>
      </c>
      <c r="AX28" s="21" t="str">
        <f>IF(AK$4,ABS(K28),"")</f>
        <v/>
      </c>
      <c r="AY28" s="21">
        <f>IF(AL$4,ABS(L28),"")</f>
        <v>118.037098840277</v>
      </c>
      <c r="AZ28" s="21" t="str">
        <f>IF(AM$4,ABS(M28),"")</f>
        <v/>
      </c>
      <c r="BA28" s="21" t="str">
        <f>IF(AN$4,ABS(N28),"")</f>
        <v/>
      </c>
      <c r="BB28" s="21" t="str">
        <f>IF(AO$4,ABS(O28),"")</f>
        <v/>
      </c>
    </row>
    <row r="29">
      <c r="A29" s="5" t="inlineStr">
        <is>
          <t>Сегмент: Еком/Поставщики/База</t>
        </is>
      </c>
      <c r="B29" s="5" t="inlineStr">
        <is>
          <t>Сегмент: Еком/Поставщики/База</t>
        </is>
      </c>
      <c r="C29" s="8" t="inlineStr">
        <is>
          <t>Сегмент</t>
        </is>
      </c>
      <c r="D29" s="78" t="str">
        <f>IF(D$4,SUMIFS(INDEX(Журнал!$D$5:$O$1000,0,D$3),Журнал!$A$5:$A$1000,D$3,Журнал!$B$5:$B$1000,$A29),"")</f>
        <v/>
      </c>
      <c r="E29" s="78" t="str">
        <f>IF(E$4,SUMIFS(INDEX(Журнал!$D$5:$O$1000,0,E$3),Журнал!$A$5:$A$1000,E$3,Журнал!$B$5:$B$1000,$A29),"")</f>
        <v/>
      </c>
      <c r="F29" s="78" t="str">
        <f>IF(F$4,SUMIFS(INDEX(Журнал!$D$5:$O$1000,0,F$3),Журнал!$A$5:$A$1000,F$3,Журнал!$B$5:$B$1000,$A29),"")</f>
        <v/>
      </c>
      <c r="G29" s="78" t="str">
        <f>IF(G$4,SUMIFS(INDEX(Журнал!$D$5:$O$1000,0,G$3),Журнал!$A$5:$A$1000,G$3,Журнал!$B$5:$B$1000,$A29),"")</f>
        <v/>
      </c>
      <c r="H29" s="78" t="str">
        <f>IF(H$4,SUMIFS(INDEX(Журнал!$D$5:$O$1000,0,H$3),Журнал!$A$5:$A$1000,H$3,Журнал!$B$5:$B$1000,$A29),"")</f>
        <v/>
      </c>
      <c r="I29" s="78" t="str">
        <f>IF(I$4,SUMIFS(INDEX(Журнал!$D$5:$O$1000,0,I$3),Журнал!$A$5:$A$1000,I$3,Журнал!$B$5:$B$1000,$A29),"")</f>
        <v/>
      </c>
      <c r="J29" s="78" t="str">
        <f>IF(J$4,SUMIFS(INDEX(Журнал!$D$5:$O$1000,0,J$3),Журнал!$A$5:$A$1000,J$3,Журнал!$B$5:$B$1000,$A29),"")</f>
        <v/>
      </c>
      <c r="K29" s="78">
        <f>IF(K$4,SUMIFS(INDEX(Журнал!$D$5:$O$1000,0,K$3),Журнал!$A$5:$A$1000,K$3,Журнал!$B$5:$B$1000,$A29),"")</f>
        <v>199.667212317353</v>
      </c>
      <c r="L29" s="78">
        <f>IF(L$4,SUMIFS(INDEX(Журнал!$D$5:$O$1000,0,L$3),Журнал!$A$5:$A$1000,L$3,Журнал!$B$5:$B$1000,$A29),"")</f>
        <v>323.013698630137</v>
      </c>
      <c r="M29" s="78" t="str">
        <f>IF(M$4,SUMIFS(INDEX(Журнал!$D$5:$O$1000,0,M$3),Журнал!$A$5:$A$1000,M$3,Журнал!$B$5:$B$1000,$A29),"")</f>
        <v/>
      </c>
      <c r="N29" s="78" t="str">
        <f>IF(N$4,SUMIFS(INDEX(Журнал!$D$5:$O$1000,0,N$3),Журнал!$A$5:$A$1000,N$3,Журнал!$B$5:$B$1000,$A29),"")</f>
        <v/>
      </c>
      <c r="O29" s="78" t="str">
        <f>IF(O$4,SUMIFS(INDEX(Журнал!$D$5:$O$1000,0,O$3),Журнал!$A$5:$A$1000,O$3,Журнал!$B$5:$B$1000,$A29),"")</f>
        <v/>
      </c>
      <c r="Q29" s="78" t="str">
        <f>IF(Q$4,SUMIFS(INDEX(Журнал!$D$5:$O$1000,0,Q$3),Журнал!$A$5:$A$1000,Q$3-1,Журнал!$B$5:$B$1000,$A29),"")</f>
        <v/>
      </c>
      <c r="R29" s="78" t="str">
        <f>IF(R$4,SUMIFS(INDEX(Журнал!$D$5:$O$1000,0,R$3),Журнал!$A$5:$A$1000,R$3-1,Журнал!$B$5:$B$1000,$A29),"")</f>
        <v/>
      </c>
      <c r="S29" s="78" t="str">
        <f>IF(S$4,SUMIFS(INDEX(Журнал!$D$5:$O$1000,0,S$3),Журнал!$A$5:$A$1000,S$3-1,Журнал!$B$5:$B$1000,$A29),"")</f>
        <v/>
      </c>
      <c r="T29" s="78" t="str">
        <f>IF(T$4,SUMIFS(INDEX(Журнал!$D$5:$O$1000,0,T$3),Журнал!$A$5:$A$1000,T$3-1,Журнал!$B$5:$B$1000,$A29),"")</f>
        <v/>
      </c>
      <c r="U29" s="78" t="str">
        <f>IF(U$4,SUMIFS(INDEX(Журнал!$D$5:$O$1000,0,U$3),Журнал!$A$5:$A$1000,U$3-1,Журнал!$B$5:$B$1000,$A29),"")</f>
        <v/>
      </c>
      <c r="V29" s="78" t="str">
        <f>IF(V$4,SUMIFS(INDEX(Журнал!$D$5:$O$1000,0,V$3),Журнал!$A$5:$A$1000,V$3-1,Журнал!$B$5:$B$1000,$A29),"")</f>
        <v/>
      </c>
      <c r="W29" s="78" t="str">
        <f>IF(W$4,SUMIFS(INDEX(Журнал!$D$5:$O$1000,0,W$3),Журнал!$A$5:$A$1000,W$3-1,Журнал!$B$5:$B$1000,$A29),"")</f>
        <v/>
      </c>
      <c r="X29" s="78" t="str">
        <f>IF(X$4,SUMIFS(INDEX(Журнал!$D$5:$O$1000,0,X$3),Журнал!$A$5:$A$1000,X$3-1,Журнал!$B$5:$B$1000,$A29),"")</f>
        <v/>
      </c>
      <c r="Y29" s="78">
        <f>IF(Y$4,SUMIFS(INDEX(Журнал!$D$5:$O$1000,0,Y$3),Журнал!$A$5:$A$1000,Y$3-1,Журнал!$B$5:$B$1000,$A29),"")</f>
        <v>509.251435948701</v>
      </c>
      <c r="Z29" s="78">
        <f>IF(Z$4,SUMIFS(INDEX(Журнал!$D$5:$O$1000,0,Z$3),Журнал!$A$5:$A$1000,Z$3-1,Журнал!$B$5:$B$1000,$A29),"")</f>
        <v>333.780821917808</v>
      </c>
      <c r="AA29" s="78" t="str">
        <f>IF(AA$4,SUMIFS(INDEX(Журнал!$D$5:$O$1000,0,AA$3),Журнал!$A$5:$A$1000,AA$3-1,Журнал!$B$5:$B$1000,$A29),"")</f>
        <v/>
      </c>
      <c r="AB29" s="78" t="str">
        <f>IF(AB$4,SUMIFS(INDEX(Журнал!$D$5:$O$1000,0,AB$3),Журнал!$A$5:$A$1000,AB$3-1,Журнал!$B$5:$B$1000,$A29),"")</f>
        <v/>
      </c>
      <c r="AD29" s="21" t="str">
        <f>IF(AD$4,ABS(D29-Q29),"")</f>
        <v/>
      </c>
      <c r="AE29" s="21" t="str">
        <f>IF(AE$4,ABS(E29-R29),"")</f>
        <v/>
      </c>
      <c r="AF29" s="21" t="str">
        <f>IF(AF$4,ABS(F29-S29),"")</f>
        <v/>
      </c>
      <c r="AG29" s="21" t="str">
        <f>IF(AG$4,ABS(G29-T29),"")</f>
        <v/>
      </c>
      <c r="AH29" s="21" t="str">
        <f>IF(AH$4,ABS(H29-U29),"")</f>
        <v/>
      </c>
      <c r="AI29" s="21" t="str">
        <f>IF(AI$4,ABS(I29-V29),"")</f>
        <v/>
      </c>
      <c r="AJ29" s="21" t="str">
        <f>IF(AJ$4,ABS(J29-W29),"")</f>
        <v/>
      </c>
      <c r="AK29" s="21" t="str">
        <f>IF(AK$4,ABS(K29-X29),"")</f>
        <v/>
      </c>
      <c r="AL29" s="21">
        <f>IF(AL$4,ABS(L29-Y29),"")</f>
        <v>186.237737318564</v>
      </c>
      <c r="AM29" s="21" t="str">
        <f>IF(AM$4,ABS(M29-Z29),"")</f>
        <v/>
      </c>
      <c r="AN29" s="21" t="str">
        <f>IF(AN$4,ABS(N29-AA29),"")</f>
        <v/>
      </c>
      <c r="AO29" s="21" t="str">
        <f>IF(AO$4,ABS(O29-AB29),"")</f>
        <v/>
      </c>
      <c r="AQ29" s="21" t="str">
        <f>IF(AD$4,ABS(D29),"")</f>
        <v/>
      </c>
      <c r="AR29" s="21" t="str">
        <f>IF(AE$4,ABS(E29),"")</f>
        <v/>
      </c>
      <c r="AS29" s="21" t="str">
        <f>IF(AF$4,ABS(F29),"")</f>
        <v/>
      </c>
      <c r="AT29" s="21" t="str">
        <f>IF(AG$4,ABS(G29),"")</f>
        <v/>
      </c>
      <c r="AU29" s="21" t="str">
        <f>IF(AH$4,ABS(H29),"")</f>
        <v/>
      </c>
      <c r="AV29" s="21" t="str">
        <f>IF(AI$4,ABS(I29),"")</f>
        <v/>
      </c>
      <c r="AW29" s="21" t="str">
        <f>IF(AJ$4,ABS(J29),"")</f>
        <v/>
      </c>
      <c r="AX29" s="21" t="str">
        <f>IF(AK$4,ABS(K29),"")</f>
        <v/>
      </c>
      <c r="AY29" s="21">
        <f>IF(AL$4,ABS(L29),"")</f>
        <v>323.013698630137</v>
      </c>
      <c r="AZ29" s="21" t="str">
        <f>IF(AM$4,ABS(M29),"")</f>
        <v/>
      </c>
      <c r="BA29" s="21" t="str">
        <f>IF(AN$4,ABS(N29),"")</f>
        <v/>
      </c>
      <c r="BB29" s="21" t="str">
        <f>IF(AO$4,ABS(O29),"")</f>
        <v/>
      </c>
    </row>
    <row r="30">
      <c r="A30" s="5" t="inlineStr">
        <is>
          <t>Сегмент: Еком/Поставщики/Инкремент</t>
        </is>
      </c>
      <c r="B30" s="5" t="inlineStr">
        <is>
          <t>Сегмент: Еком/Поставщики/Инкремент</t>
        </is>
      </c>
      <c r="C30" s="8" t="inlineStr">
        <is>
          <t>Сегмент</t>
        </is>
      </c>
      <c r="D30" s="78" t="str">
        <f>IF(D$4,SUMIFS(INDEX(Журнал!$D$5:$O$1000,0,D$3),Журнал!$A$5:$A$1000,D$3,Журнал!$B$5:$B$1000,$A30),"")</f>
        <v/>
      </c>
      <c r="E30" s="78" t="str">
        <f>IF(E$4,SUMIFS(INDEX(Журнал!$D$5:$O$1000,0,E$3),Журнал!$A$5:$A$1000,E$3,Журнал!$B$5:$B$1000,$A30),"")</f>
        <v/>
      </c>
      <c r="F30" s="78" t="str">
        <f>IF(F$4,SUMIFS(INDEX(Журнал!$D$5:$O$1000,0,F$3),Журнал!$A$5:$A$1000,F$3,Журнал!$B$5:$B$1000,$A30),"")</f>
        <v/>
      </c>
      <c r="G30" s="78" t="str">
        <f>IF(G$4,SUMIFS(INDEX(Журнал!$D$5:$O$1000,0,G$3),Журнал!$A$5:$A$1000,G$3,Журнал!$B$5:$B$1000,$A30),"")</f>
        <v/>
      </c>
      <c r="H30" s="78" t="str">
        <f>IF(H$4,SUMIFS(INDEX(Журнал!$D$5:$O$1000,0,H$3),Журнал!$A$5:$A$1000,H$3,Журнал!$B$5:$B$1000,$A30),"")</f>
        <v/>
      </c>
      <c r="I30" s="78" t="str">
        <f>IF(I$4,SUMIFS(INDEX(Журнал!$D$5:$O$1000,0,I$3),Журнал!$A$5:$A$1000,I$3,Журнал!$B$5:$B$1000,$A30),"")</f>
        <v/>
      </c>
      <c r="J30" s="78" t="str">
        <f>IF(J$4,SUMIFS(INDEX(Журнал!$D$5:$O$1000,0,J$3),Журнал!$A$5:$A$1000,J$3,Журнал!$B$5:$B$1000,$A30),"")</f>
        <v/>
      </c>
      <c r="K30" s="78">
        <f>IF(K$4,SUMIFS(INDEX(Журнал!$D$5:$O$1000,0,K$3),Журнал!$A$5:$A$1000,K$3,Журнал!$B$5:$B$1000,$A30),"")</f>
        <v>161.028171577018</v>
      </c>
      <c r="L30" s="78">
        <f>IF(L$4,SUMIFS(INDEX(Журнал!$D$5:$O$1000,0,L$3),Журнал!$A$5:$A$1000,L$3,Журнал!$B$5:$B$1000,$A30),"")</f>
        <v>65.5398762769117</v>
      </c>
      <c r="M30" s="78" t="str">
        <f>IF(M$4,SUMIFS(INDEX(Журнал!$D$5:$O$1000,0,M$3),Журнал!$A$5:$A$1000,M$3,Журнал!$B$5:$B$1000,$A30),"")</f>
        <v/>
      </c>
      <c r="N30" s="78" t="str">
        <f>IF(N$4,SUMIFS(INDEX(Журнал!$D$5:$O$1000,0,N$3),Журнал!$A$5:$A$1000,N$3,Журнал!$B$5:$B$1000,$A30),"")</f>
        <v/>
      </c>
      <c r="O30" s="78" t="str">
        <f>IF(O$4,SUMIFS(INDEX(Журнал!$D$5:$O$1000,0,O$3),Журнал!$A$5:$A$1000,O$3,Журнал!$B$5:$B$1000,$A30),"")</f>
        <v/>
      </c>
      <c r="Q30" s="78" t="str">
        <f>IF(Q$4,SUMIFS(INDEX(Журнал!$D$5:$O$1000,0,Q$3),Журнал!$A$5:$A$1000,Q$3-1,Журнал!$B$5:$B$1000,$A30),"")</f>
        <v/>
      </c>
      <c r="R30" s="78" t="str">
        <f>IF(R$4,SUMIFS(INDEX(Журнал!$D$5:$O$1000,0,R$3),Журнал!$A$5:$A$1000,R$3-1,Журнал!$B$5:$B$1000,$A30),"")</f>
        <v/>
      </c>
      <c r="S30" s="78" t="str">
        <f>IF(S$4,SUMIFS(INDEX(Журнал!$D$5:$O$1000,0,S$3),Журнал!$A$5:$A$1000,S$3-1,Журнал!$B$5:$B$1000,$A30),"")</f>
        <v/>
      </c>
      <c r="T30" s="78" t="str">
        <f>IF(T$4,SUMIFS(INDEX(Журнал!$D$5:$O$1000,0,T$3),Журнал!$A$5:$A$1000,T$3-1,Журнал!$B$5:$B$1000,$A30),"")</f>
        <v/>
      </c>
      <c r="U30" s="78" t="str">
        <f>IF(U$4,SUMIFS(INDEX(Журнал!$D$5:$O$1000,0,U$3),Журнал!$A$5:$A$1000,U$3-1,Журнал!$B$5:$B$1000,$A30),"")</f>
        <v/>
      </c>
      <c r="V30" s="78" t="str">
        <f>IF(V$4,SUMIFS(INDEX(Журнал!$D$5:$O$1000,0,V$3),Журнал!$A$5:$A$1000,V$3-1,Журнал!$B$5:$B$1000,$A30),"")</f>
        <v/>
      </c>
      <c r="W30" s="78" t="str">
        <f>IF(W$4,SUMIFS(INDEX(Журнал!$D$5:$O$1000,0,W$3),Журнал!$A$5:$A$1000,W$3-1,Журнал!$B$5:$B$1000,$A30),"")</f>
        <v/>
      </c>
      <c r="X30" s="78" t="str">
        <f>IF(X$4,SUMIFS(INDEX(Журнал!$D$5:$O$1000,0,X$3),Журнал!$A$5:$A$1000,X$3-1,Журнал!$B$5:$B$1000,$A30),"")</f>
        <v/>
      </c>
      <c r="Y30" s="78">
        <f>IF(Y$4,SUMIFS(INDEX(Журнал!$D$5:$O$1000,0,Y$3),Журнал!$A$5:$A$1000,Y$3-1,Журнал!$B$5:$B$1000,$A30),"")</f>
        <v>176.720089491627</v>
      </c>
      <c r="Z30" s="78">
        <f>IF(Z$4,SUMIFS(INDEX(Журнал!$D$5:$O$1000,0,Z$3),Журнал!$A$5:$A$1000,Z$3-1,Журнал!$B$5:$B$1000,$A30),"")</f>
        <v>166.660153165571</v>
      </c>
      <c r="AA30" s="78" t="str">
        <f>IF(AA$4,SUMIFS(INDEX(Журнал!$D$5:$O$1000,0,AA$3),Журнал!$A$5:$A$1000,AA$3-1,Журнал!$B$5:$B$1000,$A30),"")</f>
        <v/>
      </c>
      <c r="AB30" s="78" t="str">
        <f>IF(AB$4,SUMIFS(INDEX(Журнал!$D$5:$O$1000,0,AB$3),Журнал!$A$5:$A$1000,AB$3-1,Журнал!$B$5:$B$1000,$A30),"")</f>
        <v/>
      </c>
      <c r="AD30" s="21" t="str">
        <f>IF(AD$4,ABS(D30-Q30),"")</f>
        <v/>
      </c>
      <c r="AE30" s="21" t="str">
        <f>IF(AE$4,ABS(E30-R30),"")</f>
        <v/>
      </c>
      <c r="AF30" s="21" t="str">
        <f>IF(AF$4,ABS(F30-S30),"")</f>
        <v/>
      </c>
      <c r="AG30" s="21" t="str">
        <f>IF(AG$4,ABS(G30-T30),"")</f>
        <v/>
      </c>
      <c r="AH30" s="21" t="str">
        <f>IF(AH$4,ABS(H30-U30),"")</f>
        <v/>
      </c>
      <c r="AI30" s="21" t="str">
        <f>IF(AI$4,ABS(I30-V30),"")</f>
        <v/>
      </c>
      <c r="AJ30" s="21" t="str">
        <f>IF(AJ$4,ABS(J30-W30),"")</f>
        <v/>
      </c>
      <c r="AK30" s="21" t="str">
        <f>IF(AK$4,ABS(K30-X30),"")</f>
        <v/>
      </c>
      <c r="AL30" s="21">
        <f>IF(AL$4,ABS(L30-Y30),"")</f>
        <v>111.180213214715</v>
      </c>
      <c r="AM30" s="21" t="str">
        <f>IF(AM$4,ABS(M30-Z30),"")</f>
        <v/>
      </c>
      <c r="AN30" s="21" t="str">
        <f>IF(AN$4,ABS(N30-AA30),"")</f>
        <v/>
      </c>
      <c r="AO30" s="21" t="str">
        <f>IF(AO$4,ABS(O30-AB30),"")</f>
        <v/>
      </c>
      <c r="AQ30" s="21" t="str">
        <f>IF(AD$4,ABS(D30),"")</f>
        <v/>
      </c>
      <c r="AR30" s="21" t="str">
        <f>IF(AE$4,ABS(E30),"")</f>
        <v/>
      </c>
      <c r="AS30" s="21" t="str">
        <f>IF(AF$4,ABS(F30),"")</f>
        <v/>
      </c>
      <c r="AT30" s="21" t="str">
        <f>IF(AG$4,ABS(G30),"")</f>
        <v/>
      </c>
      <c r="AU30" s="21" t="str">
        <f>IF(AH$4,ABS(H30),"")</f>
        <v/>
      </c>
      <c r="AV30" s="21" t="str">
        <f>IF(AI$4,ABS(I30),"")</f>
        <v/>
      </c>
      <c r="AW30" s="21" t="str">
        <f>IF(AJ$4,ABS(J30),"")</f>
        <v/>
      </c>
      <c r="AX30" s="21" t="str">
        <f>IF(AK$4,ABS(K30),"")</f>
        <v/>
      </c>
      <c r="AY30" s="21">
        <f>IF(AL$4,ABS(L30),"")</f>
        <v>65.5398762769117</v>
      </c>
      <c r="AZ30" s="21" t="str">
        <f>IF(AM$4,ABS(M30),"")</f>
        <v/>
      </c>
      <c r="BA30" s="21" t="str">
        <f>IF(AN$4,ABS(N30),"")</f>
        <v/>
      </c>
      <c r="BB30" s="21" t="str">
        <f>IF(AO$4,ABS(O30),"")</f>
        <v/>
      </c>
    </row>
    <row r="31">
      <c r="A31" s="5" t="inlineStr">
        <is>
          <t>Сегмент: Еком/Не поставщики/База</t>
        </is>
      </c>
      <c r="B31" s="5" t="inlineStr">
        <is>
          <t>Сегмент: Еком/Не поставщики/База</t>
        </is>
      </c>
      <c r="C31" s="8" t="inlineStr">
        <is>
          <t>Сегмент</t>
        </is>
      </c>
      <c r="D31" s="78" t="str">
        <f>IF(D$4,SUMIFS(INDEX(Журнал!$D$5:$O$1000,0,D$3),Журнал!$A$5:$A$1000,D$3,Журнал!$B$5:$B$1000,$A31),"")</f>
        <v/>
      </c>
      <c r="E31" s="78" t="str">
        <f>IF(E$4,SUMIFS(INDEX(Журнал!$D$5:$O$1000,0,E$3),Журнал!$A$5:$A$1000,E$3,Журнал!$B$5:$B$1000,$A31),"")</f>
        <v/>
      </c>
      <c r="F31" s="78" t="str">
        <f>IF(F$4,SUMIFS(INDEX(Журнал!$D$5:$O$1000,0,F$3),Журнал!$A$5:$A$1000,F$3,Журнал!$B$5:$B$1000,$A31),"")</f>
        <v/>
      </c>
      <c r="G31" s="78" t="str">
        <f>IF(G$4,SUMIFS(INDEX(Журнал!$D$5:$O$1000,0,G$3),Журнал!$A$5:$A$1000,G$3,Журнал!$B$5:$B$1000,$A31),"")</f>
        <v/>
      </c>
      <c r="H31" s="78" t="str">
        <f>IF(H$4,SUMIFS(INDEX(Журнал!$D$5:$O$1000,0,H$3),Журнал!$A$5:$A$1000,H$3,Журнал!$B$5:$B$1000,$A31),"")</f>
        <v/>
      </c>
      <c r="I31" s="78" t="str">
        <f>IF(I$4,SUMIFS(INDEX(Журнал!$D$5:$O$1000,0,I$3),Журнал!$A$5:$A$1000,I$3,Журнал!$B$5:$B$1000,$A31),"")</f>
        <v/>
      </c>
      <c r="J31" s="78" t="str">
        <f>IF(J$4,SUMIFS(INDEX(Журнал!$D$5:$O$1000,0,J$3),Журнал!$A$5:$A$1000,J$3,Журнал!$B$5:$B$1000,$A31),"")</f>
        <v/>
      </c>
      <c r="K31" s="78">
        <f>IF(K$4,SUMIFS(INDEX(Журнал!$D$5:$O$1000,0,K$3),Журнал!$A$5:$A$1000,K$3,Журнал!$B$5:$B$1000,$A31),"")</f>
        <v>0</v>
      </c>
      <c r="L31" s="78">
        <f>IF(L$4,SUMIFS(INDEX(Журнал!$D$5:$O$1000,0,L$3),Журнал!$A$5:$A$1000,L$3,Журнал!$B$5:$B$1000,$A31),"")</f>
        <v>0</v>
      </c>
      <c r="M31" s="78" t="str">
        <f>IF(M$4,SUMIFS(INDEX(Журнал!$D$5:$O$1000,0,M$3),Журнал!$A$5:$A$1000,M$3,Журнал!$B$5:$B$1000,$A31),"")</f>
        <v/>
      </c>
      <c r="N31" s="78" t="str">
        <f>IF(N$4,SUMIFS(INDEX(Журнал!$D$5:$O$1000,0,N$3),Журнал!$A$5:$A$1000,N$3,Журнал!$B$5:$B$1000,$A31),"")</f>
        <v/>
      </c>
      <c r="O31" s="78" t="str">
        <f>IF(O$4,SUMIFS(INDEX(Журнал!$D$5:$O$1000,0,O$3),Журнал!$A$5:$A$1000,O$3,Журнал!$B$5:$B$1000,$A31),"")</f>
        <v/>
      </c>
      <c r="Q31" s="78" t="str">
        <f>IF(Q$4,SUMIFS(INDEX(Журнал!$D$5:$O$1000,0,Q$3),Журнал!$A$5:$A$1000,Q$3-1,Журнал!$B$5:$B$1000,$A31),"")</f>
        <v/>
      </c>
      <c r="R31" s="78" t="str">
        <f>IF(R$4,SUMIFS(INDEX(Журнал!$D$5:$O$1000,0,R$3),Журнал!$A$5:$A$1000,R$3-1,Журнал!$B$5:$B$1000,$A31),"")</f>
        <v/>
      </c>
      <c r="S31" s="78" t="str">
        <f>IF(S$4,SUMIFS(INDEX(Журнал!$D$5:$O$1000,0,S$3),Журнал!$A$5:$A$1000,S$3-1,Журнал!$B$5:$B$1000,$A31),"")</f>
        <v/>
      </c>
      <c r="T31" s="78" t="str">
        <f>IF(T$4,SUMIFS(INDEX(Журнал!$D$5:$O$1000,0,T$3),Журнал!$A$5:$A$1000,T$3-1,Журнал!$B$5:$B$1000,$A31),"")</f>
        <v/>
      </c>
      <c r="U31" s="78" t="str">
        <f>IF(U$4,SUMIFS(INDEX(Журнал!$D$5:$O$1000,0,U$3),Журнал!$A$5:$A$1000,U$3-1,Журнал!$B$5:$B$1000,$A31),"")</f>
        <v/>
      </c>
      <c r="V31" s="78" t="str">
        <f>IF(V$4,SUMIFS(INDEX(Журнал!$D$5:$O$1000,0,V$3),Журнал!$A$5:$A$1000,V$3-1,Журнал!$B$5:$B$1000,$A31),"")</f>
        <v/>
      </c>
      <c r="W31" s="78" t="str">
        <f>IF(W$4,SUMIFS(INDEX(Журнал!$D$5:$O$1000,0,W$3),Журнал!$A$5:$A$1000,W$3-1,Журнал!$B$5:$B$1000,$A31),"")</f>
        <v/>
      </c>
      <c r="X31" s="78" t="str">
        <f>IF(X$4,SUMIFS(INDEX(Журнал!$D$5:$O$1000,0,X$3),Журнал!$A$5:$A$1000,X$3-1,Журнал!$B$5:$B$1000,$A31),"")</f>
        <v/>
      </c>
      <c r="Y31" s="78">
        <f>IF(Y$4,SUMIFS(INDEX(Журнал!$D$5:$O$1000,0,Y$3),Журнал!$A$5:$A$1000,Y$3-1,Журнал!$B$5:$B$1000,$A31),"")</f>
        <v>0</v>
      </c>
      <c r="Z31" s="78">
        <f>IF(Z$4,SUMIFS(INDEX(Журнал!$D$5:$O$1000,0,Z$3),Журнал!$A$5:$A$1000,Z$3-1,Журнал!$B$5:$B$1000,$A31),"")</f>
        <v>0</v>
      </c>
      <c r="AA31" s="78" t="str">
        <f>IF(AA$4,SUMIFS(INDEX(Журнал!$D$5:$O$1000,0,AA$3),Журнал!$A$5:$A$1000,AA$3-1,Журнал!$B$5:$B$1000,$A31),"")</f>
        <v/>
      </c>
      <c r="AB31" s="78" t="str">
        <f>IF(AB$4,SUMIFS(INDEX(Журнал!$D$5:$O$1000,0,AB$3),Журнал!$A$5:$A$1000,AB$3-1,Журнал!$B$5:$B$1000,$A31),"")</f>
        <v/>
      </c>
      <c r="AD31" s="21" t="str">
        <f>IF(AD$4,ABS(D31-Q31),"")</f>
        <v/>
      </c>
      <c r="AE31" s="21" t="str">
        <f>IF(AE$4,ABS(E31-R31),"")</f>
        <v/>
      </c>
      <c r="AF31" s="21" t="str">
        <f>IF(AF$4,ABS(F31-S31),"")</f>
        <v/>
      </c>
      <c r="AG31" s="21" t="str">
        <f>IF(AG$4,ABS(G31-T31),"")</f>
        <v/>
      </c>
      <c r="AH31" s="21" t="str">
        <f>IF(AH$4,ABS(H31-U31),"")</f>
        <v/>
      </c>
      <c r="AI31" s="21" t="str">
        <f>IF(AI$4,ABS(I31-V31),"")</f>
        <v/>
      </c>
      <c r="AJ31" s="21" t="str">
        <f>IF(AJ$4,ABS(J31-W31),"")</f>
        <v/>
      </c>
      <c r="AK31" s="21" t="str">
        <f>IF(AK$4,ABS(K31-X31),"")</f>
        <v/>
      </c>
      <c r="AL31" s="21">
        <f>IF(AL$4,ABS(L31-Y31),"")</f>
        <v>0</v>
      </c>
      <c r="AM31" s="21" t="str">
        <f>IF(AM$4,ABS(M31-Z31),"")</f>
        <v/>
      </c>
      <c r="AN31" s="21" t="str">
        <f>IF(AN$4,ABS(N31-AA31),"")</f>
        <v/>
      </c>
      <c r="AO31" s="21" t="str">
        <f>IF(AO$4,ABS(O31-AB31),"")</f>
        <v/>
      </c>
      <c r="AQ31" s="21" t="str">
        <f>IF(AD$4,ABS(D31),"")</f>
        <v/>
      </c>
      <c r="AR31" s="21" t="str">
        <f>IF(AE$4,ABS(E31),"")</f>
        <v/>
      </c>
      <c r="AS31" s="21" t="str">
        <f>IF(AF$4,ABS(F31),"")</f>
        <v/>
      </c>
      <c r="AT31" s="21" t="str">
        <f>IF(AG$4,ABS(G31),"")</f>
        <v/>
      </c>
      <c r="AU31" s="21" t="str">
        <f>IF(AH$4,ABS(H31),"")</f>
        <v/>
      </c>
      <c r="AV31" s="21" t="str">
        <f>IF(AI$4,ABS(I31),"")</f>
        <v/>
      </c>
      <c r="AW31" s="21" t="str">
        <f>IF(AJ$4,ABS(J31),"")</f>
        <v/>
      </c>
      <c r="AX31" s="21" t="str">
        <f>IF(AK$4,ABS(K31),"")</f>
        <v/>
      </c>
      <c r="AY31" s="21">
        <f>IF(AL$4,ABS(L31),"")</f>
        <v>0</v>
      </c>
      <c r="AZ31" s="21" t="str">
        <f>IF(AM$4,ABS(M31),"")</f>
        <v/>
      </c>
      <c r="BA31" s="21" t="str">
        <f>IF(AN$4,ABS(N31),"")</f>
        <v/>
      </c>
      <c r="BB31" s="21" t="str">
        <f>IF(AO$4,ABS(O31),"")</f>
        <v/>
      </c>
    </row>
    <row r="32">
      <c r="A32" s="5" t="inlineStr">
        <is>
          <t>Сегмент: Еком/Не поставщики/Инкремент</t>
        </is>
      </c>
      <c r="B32" s="5" t="inlineStr">
        <is>
          <t>Сегмент: Еком/Не поставщики/Инкремент</t>
        </is>
      </c>
      <c r="C32" s="8" t="inlineStr">
        <is>
          <t>Сегмент</t>
        </is>
      </c>
      <c r="D32" s="78" t="str">
        <f>IF(D$4,SUMIFS(INDEX(Журнал!$D$5:$O$1000,0,D$3),Журнал!$A$5:$A$1000,D$3,Журнал!$B$5:$B$1000,$A32),"")</f>
        <v/>
      </c>
      <c r="E32" s="78" t="str">
        <f>IF(E$4,SUMIFS(INDEX(Журнал!$D$5:$O$1000,0,E$3),Журнал!$A$5:$A$1000,E$3,Журнал!$B$5:$B$1000,$A32),"")</f>
        <v/>
      </c>
      <c r="F32" s="78" t="str">
        <f>IF(F$4,SUMIFS(INDEX(Журнал!$D$5:$O$1000,0,F$3),Журнал!$A$5:$A$1000,F$3,Журнал!$B$5:$B$1000,$A32),"")</f>
        <v/>
      </c>
      <c r="G32" s="78" t="str">
        <f>IF(G$4,SUMIFS(INDEX(Журнал!$D$5:$O$1000,0,G$3),Журнал!$A$5:$A$1000,G$3,Журнал!$B$5:$B$1000,$A32),"")</f>
        <v/>
      </c>
      <c r="H32" s="78" t="str">
        <f>IF(H$4,SUMIFS(INDEX(Журнал!$D$5:$O$1000,0,H$3),Журнал!$A$5:$A$1000,H$3,Журнал!$B$5:$B$1000,$A32),"")</f>
        <v/>
      </c>
      <c r="I32" s="78" t="str">
        <f>IF(I$4,SUMIFS(INDEX(Журнал!$D$5:$O$1000,0,I$3),Журнал!$A$5:$A$1000,I$3,Журнал!$B$5:$B$1000,$A32),"")</f>
        <v/>
      </c>
      <c r="J32" s="78" t="str">
        <f>IF(J$4,SUMIFS(INDEX(Журнал!$D$5:$O$1000,0,J$3),Журнал!$A$5:$A$1000,J$3,Журнал!$B$5:$B$1000,$A32),"")</f>
        <v/>
      </c>
      <c r="K32" s="78">
        <f>IF(K$4,SUMIFS(INDEX(Журнал!$D$5:$O$1000,0,K$3),Журнал!$A$5:$A$1000,K$3,Журнал!$B$5:$B$1000,$A32),"")</f>
        <v>39.9768614371591</v>
      </c>
      <c r="L32" s="78">
        <f>IF(L$4,SUMIFS(INDEX(Журнал!$D$5:$O$1000,0,L$3),Журнал!$A$5:$A$1000,L$3,Журнал!$B$5:$B$1000,$A32),"")</f>
        <v>69.436419975977</v>
      </c>
      <c r="M32" s="78" t="str">
        <f>IF(M$4,SUMIFS(INDEX(Журнал!$D$5:$O$1000,0,M$3),Журнал!$A$5:$A$1000,M$3,Журнал!$B$5:$B$1000,$A32),"")</f>
        <v/>
      </c>
      <c r="N32" s="78" t="str">
        <f>IF(N$4,SUMIFS(INDEX(Журнал!$D$5:$O$1000,0,N$3),Журнал!$A$5:$A$1000,N$3,Журнал!$B$5:$B$1000,$A32),"")</f>
        <v/>
      </c>
      <c r="O32" s="78" t="str">
        <f>IF(O$4,SUMIFS(INDEX(Журнал!$D$5:$O$1000,0,O$3),Журнал!$A$5:$A$1000,O$3,Журнал!$B$5:$B$1000,$A32),"")</f>
        <v/>
      </c>
      <c r="Q32" s="78" t="str">
        <f>IF(Q$4,SUMIFS(INDEX(Журнал!$D$5:$O$1000,0,Q$3),Журнал!$A$5:$A$1000,Q$3-1,Журнал!$B$5:$B$1000,$A32),"")</f>
        <v/>
      </c>
      <c r="R32" s="78" t="str">
        <f>IF(R$4,SUMIFS(INDEX(Журнал!$D$5:$O$1000,0,R$3),Журнал!$A$5:$A$1000,R$3-1,Журнал!$B$5:$B$1000,$A32),"")</f>
        <v/>
      </c>
      <c r="S32" s="78" t="str">
        <f>IF(S$4,SUMIFS(INDEX(Журнал!$D$5:$O$1000,0,S$3),Журнал!$A$5:$A$1000,S$3-1,Журнал!$B$5:$B$1000,$A32),"")</f>
        <v/>
      </c>
      <c r="T32" s="78" t="str">
        <f>IF(T$4,SUMIFS(INDEX(Журнал!$D$5:$O$1000,0,T$3),Журнал!$A$5:$A$1000,T$3-1,Журнал!$B$5:$B$1000,$A32),"")</f>
        <v/>
      </c>
      <c r="U32" s="78" t="str">
        <f>IF(U$4,SUMIFS(INDEX(Журнал!$D$5:$O$1000,0,U$3),Журнал!$A$5:$A$1000,U$3-1,Журнал!$B$5:$B$1000,$A32),"")</f>
        <v/>
      </c>
      <c r="V32" s="78" t="str">
        <f>IF(V$4,SUMIFS(INDEX(Журнал!$D$5:$O$1000,0,V$3),Журнал!$A$5:$A$1000,V$3-1,Журнал!$B$5:$B$1000,$A32),"")</f>
        <v/>
      </c>
      <c r="W32" s="78" t="str">
        <f>IF(W$4,SUMIFS(INDEX(Журнал!$D$5:$O$1000,0,W$3),Журнал!$A$5:$A$1000,W$3-1,Журнал!$B$5:$B$1000,$A32),"")</f>
        <v/>
      </c>
      <c r="X32" s="78" t="str">
        <f>IF(X$4,SUMIFS(INDEX(Журнал!$D$5:$O$1000,0,X$3),Журнал!$A$5:$A$1000,X$3-1,Журнал!$B$5:$B$1000,$A32),"")</f>
        <v/>
      </c>
      <c r="Y32" s="78">
        <f>IF(Y$4,SUMIFS(INDEX(Журнал!$D$5:$O$1000,0,Y$3),Журнал!$A$5:$A$1000,Y$3-1,Журнал!$B$5:$B$1000,$A32),"")</f>
        <v>79.3550801342752</v>
      </c>
      <c r="Z32" s="78">
        <f>IF(Z$4,SUMIFS(INDEX(Журнал!$D$5:$O$1000,0,Z$3),Журнал!$A$5:$A$1000,Z$3-1,Журнал!$B$5:$B$1000,$A32),"")</f>
        <v>60.4860782484043</v>
      </c>
      <c r="AA32" s="78" t="str">
        <f>IF(AA$4,SUMIFS(INDEX(Журнал!$D$5:$O$1000,0,AA$3),Журнал!$A$5:$A$1000,AA$3-1,Журнал!$B$5:$B$1000,$A32),"")</f>
        <v/>
      </c>
      <c r="AB32" s="78" t="str">
        <f>IF(AB$4,SUMIFS(INDEX(Журнал!$D$5:$O$1000,0,AB$3),Журнал!$A$5:$A$1000,AB$3-1,Журнал!$B$5:$B$1000,$A32),"")</f>
        <v/>
      </c>
      <c r="AD32" s="21" t="str">
        <f>IF(AD$4,ABS(D32-Q32),"")</f>
        <v/>
      </c>
      <c r="AE32" s="21" t="str">
        <f>IF(AE$4,ABS(E32-R32),"")</f>
        <v/>
      </c>
      <c r="AF32" s="21" t="str">
        <f>IF(AF$4,ABS(F32-S32),"")</f>
        <v/>
      </c>
      <c r="AG32" s="21" t="str">
        <f>IF(AG$4,ABS(G32-T32),"")</f>
        <v/>
      </c>
      <c r="AH32" s="21" t="str">
        <f>IF(AH$4,ABS(H32-U32),"")</f>
        <v/>
      </c>
      <c r="AI32" s="21" t="str">
        <f>IF(AI$4,ABS(I32-V32),"")</f>
        <v/>
      </c>
      <c r="AJ32" s="21" t="str">
        <f>IF(AJ$4,ABS(J32-W32),"")</f>
        <v/>
      </c>
      <c r="AK32" s="21" t="str">
        <f>IF(AK$4,ABS(K32-X32),"")</f>
        <v/>
      </c>
      <c r="AL32" s="21">
        <f>IF(AL$4,ABS(L32-Y32),"")</f>
        <v>9.91866015829822</v>
      </c>
      <c r="AM32" s="21" t="str">
        <f>IF(AM$4,ABS(M32-Z32),"")</f>
        <v/>
      </c>
      <c r="AN32" s="21" t="str">
        <f>IF(AN$4,ABS(N32-AA32),"")</f>
        <v/>
      </c>
      <c r="AO32" s="21" t="str">
        <f>IF(AO$4,ABS(O32-AB32),"")</f>
        <v/>
      </c>
      <c r="AQ32" s="21" t="str">
        <f>IF(AD$4,ABS(D32),"")</f>
        <v/>
      </c>
      <c r="AR32" s="21" t="str">
        <f>IF(AE$4,ABS(E32),"")</f>
        <v/>
      </c>
      <c r="AS32" s="21" t="str">
        <f>IF(AF$4,ABS(F32),"")</f>
        <v/>
      </c>
      <c r="AT32" s="21" t="str">
        <f>IF(AG$4,ABS(G32),"")</f>
        <v/>
      </c>
      <c r="AU32" s="21" t="str">
        <f>IF(AH$4,ABS(H32),"")</f>
        <v/>
      </c>
      <c r="AV32" s="21" t="str">
        <f>IF(AI$4,ABS(I32),"")</f>
        <v/>
      </c>
      <c r="AW32" s="21" t="str">
        <f>IF(AJ$4,ABS(J32),"")</f>
        <v/>
      </c>
      <c r="AX32" s="21" t="str">
        <f>IF(AK$4,ABS(K32),"")</f>
        <v/>
      </c>
      <c r="AY32" s="21">
        <f>IF(AL$4,ABS(L32),"")</f>
        <v>69.436419975977</v>
      </c>
      <c r="AZ32" s="21" t="str">
        <f>IF(AM$4,ABS(M32),"")</f>
        <v/>
      </c>
      <c r="BA32" s="21" t="str">
        <f>IF(AN$4,ABS(N32),"")</f>
        <v/>
      </c>
      <c r="BB32" s="21" t="str">
        <f>IF(AO$4,ABS(O32),"")</f>
        <v/>
      </c>
    </row>
    <row r="33">
      <c r="A33" s="5" t="inlineStr">
        <is>
          <t>Сегмент: Не еком/Поставщики/База</t>
        </is>
      </c>
      <c r="B33" s="5" t="inlineStr">
        <is>
          <t>Сегмент: Не еком/Поставщики/База</t>
        </is>
      </c>
      <c r="C33" s="8" t="inlineStr">
        <is>
          <t>Сегмент</t>
        </is>
      </c>
      <c r="D33" s="78" t="str">
        <f>IF(D$4,SUMIFS(INDEX(Журнал!$D$5:$O$1000,0,D$3),Журнал!$A$5:$A$1000,D$3,Журнал!$B$5:$B$1000,$A33),"")</f>
        <v/>
      </c>
      <c r="E33" s="78" t="str">
        <f>IF(E$4,SUMIFS(INDEX(Журнал!$D$5:$O$1000,0,E$3),Журнал!$A$5:$A$1000,E$3,Журнал!$B$5:$B$1000,$A33),"")</f>
        <v/>
      </c>
      <c r="F33" s="78" t="str">
        <f>IF(F$4,SUMIFS(INDEX(Журнал!$D$5:$O$1000,0,F$3),Журнал!$A$5:$A$1000,F$3,Журнал!$B$5:$B$1000,$A33),"")</f>
        <v/>
      </c>
      <c r="G33" s="78" t="str">
        <f>IF(G$4,SUMIFS(INDEX(Журнал!$D$5:$O$1000,0,G$3),Журнал!$A$5:$A$1000,G$3,Журнал!$B$5:$B$1000,$A33),"")</f>
        <v/>
      </c>
      <c r="H33" s="78" t="str">
        <f>IF(H$4,SUMIFS(INDEX(Журнал!$D$5:$O$1000,0,H$3),Журнал!$A$5:$A$1000,H$3,Журнал!$B$5:$B$1000,$A33),"")</f>
        <v/>
      </c>
      <c r="I33" s="78" t="str">
        <f>IF(I$4,SUMIFS(INDEX(Журнал!$D$5:$O$1000,0,I$3),Журнал!$A$5:$A$1000,I$3,Журнал!$B$5:$B$1000,$A33),"")</f>
        <v/>
      </c>
      <c r="J33" s="78" t="str">
        <f>IF(J$4,SUMIFS(INDEX(Журнал!$D$5:$O$1000,0,J$3),Журнал!$A$5:$A$1000,J$3,Журнал!$B$5:$B$1000,$A33),"")</f>
        <v/>
      </c>
      <c r="K33" s="78">
        <f>IF(K$4,SUMIFS(INDEX(Журнал!$D$5:$O$1000,0,K$3),Журнал!$A$5:$A$1000,K$3,Журнал!$B$5:$B$1000,$A33),"")</f>
        <v>245.98756772894</v>
      </c>
      <c r="L33" s="78">
        <f>IF(L$4,SUMIFS(INDEX(Журнал!$D$5:$O$1000,0,L$3),Журнал!$A$5:$A$1000,L$3,Журнал!$B$5:$B$1000,$A33),"")</f>
        <v>244.267191596222</v>
      </c>
      <c r="M33" s="78" t="str">
        <f>IF(M$4,SUMIFS(INDEX(Журнал!$D$5:$O$1000,0,M$3),Журнал!$A$5:$A$1000,M$3,Журнал!$B$5:$B$1000,$A33),"")</f>
        <v/>
      </c>
      <c r="N33" s="78" t="str">
        <f>IF(N$4,SUMIFS(INDEX(Журнал!$D$5:$O$1000,0,N$3),Журнал!$A$5:$A$1000,N$3,Журнал!$B$5:$B$1000,$A33),"")</f>
        <v/>
      </c>
      <c r="O33" s="78" t="str">
        <f>IF(O$4,SUMIFS(INDEX(Журнал!$D$5:$O$1000,0,O$3),Журнал!$A$5:$A$1000,O$3,Журнал!$B$5:$B$1000,$A33),"")</f>
        <v/>
      </c>
      <c r="Q33" s="78" t="str">
        <f>IF(Q$4,SUMIFS(INDEX(Журнал!$D$5:$O$1000,0,Q$3),Журнал!$A$5:$A$1000,Q$3-1,Журнал!$B$5:$B$1000,$A33),"")</f>
        <v/>
      </c>
      <c r="R33" s="78" t="str">
        <f>IF(R$4,SUMIFS(INDEX(Журнал!$D$5:$O$1000,0,R$3),Журнал!$A$5:$A$1000,R$3-1,Журнал!$B$5:$B$1000,$A33),"")</f>
        <v/>
      </c>
      <c r="S33" s="78" t="str">
        <f>IF(S$4,SUMIFS(INDEX(Журнал!$D$5:$O$1000,0,S$3),Журнал!$A$5:$A$1000,S$3-1,Журнал!$B$5:$B$1000,$A33),"")</f>
        <v/>
      </c>
      <c r="T33" s="78" t="str">
        <f>IF(T$4,SUMIFS(INDEX(Журнал!$D$5:$O$1000,0,T$3),Журнал!$A$5:$A$1000,T$3-1,Журнал!$B$5:$B$1000,$A33),"")</f>
        <v/>
      </c>
      <c r="U33" s="78" t="str">
        <f>IF(U$4,SUMIFS(INDEX(Журнал!$D$5:$O$1000,0,U$3),Журнал!$A$5:$A$1000,U$3-1,Журнал!$B$5:$B$1000,$A33),"")</f>
        <v/>
      </c>
      <c r="V33" s="78" t="str">
        <f>IF(V$4,SUMIFS(INDEX(Журнал!$D$5:$O$1000,0,V$3),Журнал!$A$5:$A$1000,V$3-1,Журнал!$B$5:$B$1000,$A33),"")</f>
        <v/>
      </c>
      <c r="W33" s="78" t="str">
        <f>IF(W$4,SUMIFS(INDEX(Журнал!$D$5:$O$1000,0,W$3),Журнал!$A$5:$A$1000,W$3-1,Журнал!$B$5:$B$1000,$A33),"")</f>
        <v/>
      </c>
      <c r="X33" s="78" t="str">
        <f>IF(X$4,SUMIFS(INDEX(Журнал!$D$5:$O$1000,0,X$3),Журнал!$A$5:$A$1000,X$3-1,Журнал!$B$5:$B$1000,$A33),"")</f>
        <v/>
      </c>
      <c r="Y33" s="78">
        <f>IF(Y$4,SUMIFS(INDEX(Журнал!$D$5:$O$1000,0,Y$3),Журнал!$A$5:$A$1000,Y$3-1,Журнал!$B$5:$B$1000,$A33),"")</f>
        <v>92.4386423176057</v>
      </c>
      <c r="Z33" s="78">
        <f>IF(Z$4,SUMIFS(INDEX(Журнал!$D$5:$O$1000,0,Z$3),Журнал!$A$5:$A$1000,Z$3-1,Журнал!$B$5:$B$1000,$A33),"")</f>
        <v>78.8759317345292</v>
      </c>
      <c r="AA33" s="78" t="str">
        <f>IF(AA$4,SUMIFS(INDEX(Журнал!$D$5:$O$1000,0,AA$3),Журнал!$A$5:$A$1000,AA$3-1,Журнал!$B$5:$B$1000,$A33),"")</f>
        <v/>
      </c>
      <c r="AB33" s="78" t="str">
        <f>IF(AB$4,SUMIFS(INDEX(Журнал!$D$5:$O$1000,0,AB$3),Журнал!$A$5:$A$1000,AB$3-1,Журнал!$B$5:$B$1000,$A33),"")</f>
        <v/>
      </c>
      <c r="AD33" s="21" t="str">
        <f>IF(AD$4,ABS(D33-Q33),"")</f>
        <v/>
      </c>
      <c r="AE33" s="21" t="str">
        <f>IF(AE$4,ABS(E33-R33),"")</f>
        <v/>
      </c>
      <c r="AF33" s="21" t="str">
        <f>IF(AF$4,ABS(F33-S33),"")</f>
        <v/>
      </c>
      <c r="AG33" s="21" t="str">
        <f>IF(AG$4,ABS(G33-T33),"")</f>
        <v/>
      </c>
      <c r="AH33" s="21" t="str">
        <f>IF(AH$4,ABS(H33-U33),"")</f>
        <v/>
      </c>
      <c r="AI33" s="21" t="str">
        <f>IF(AI$4,ABS(I33-V33),"")</f>
        <v/>
      </c>
      <c r="AJ33" s="21" t="str">
        <f>IF(AJ$4,ABS(J33-W33),"")</f>
        <v/>
      </c>
      <c r="AK33" s="21" t="str">
        <f>IF(AK$4,ABS(K33-X33),"")</f>
        <v/>
      </c>
      <c r="AL33" s="21">
        <f>IF(AL$4,ABS(L33-Y33),"")</f>
        <v>151.828549278616</v>
      </c>
      <c r="AM33" s="21" t="str">
        <f>IF(AM$4,ABS(M33-Z33),"")</f>
        <v/>
      </c>
      <c r="AN33" s="21" t="str">
        <f>IF(AN$4,ABS(N33-AA33),"")</f>
        <v/>
      </c>
      <c r="AO33" s="21" t="str">
        <f>IF(AO$4,ABS(O33-AB33),"")</f>
        <v/>
      </c>
      <c r="AQ33" s="21" t="str">
        <f>IF(AD$4,ABS(D33),"")</f>
        <v/>
      </c>
      <c r="AR33" s="21" t="str">
        <f>IF(AE$4,ABS(E33),"")</f>
        <v/>
      </c>
      <c r="AS33" s="21" t="str">
        <f>IF(AF$4,ABS(F33),"")</f>
        <v/>
      </c>
      <c r="AT33" s="21" t="str">
        <f>IF(AG$4,ABS(G33),"")</f>
        <v/>
      </c>
      <c r="AU33" s="21" t="str">
        <f>IF(AH$4,ABS(H33),"")</f>
        <v/>
      </c>
      <c r="AV33" s="21" t="str">
        <f>IF(AI$4,ABS(I33),"")</f>
        <v/>
      </c>
      <c r="AW33" s="21" t="str">
        <f>IF(AJ$4,ABS(J33),"")</f>
        <v/>
      </c>
      <c r="AX33" s="21" t="str">
        <f>IF(AK$4,ABS(K33),"")</f>
        <v/>
      </c>
      <c r="AY33" s="21">
        <f>IF(AL$4,ABS(L33),"")</f>
        <v>244.267191596222</v>
      </c>
      <c r="AZ33" s="21" t="str">
        <f>IF(AM$4,ABS(M33),"")</f>
        <v/>
      </c>
      <c r="BA33" s="21" t="str">
        <f>IF(AN$4,ABS(N33),"")</f>
        <v/>
      </c>
      <c r="BB33" s="21" t="str">
        <f>IF(AO$4,ABS(O33),"")</f>
        <v/>
      </c>
    </row>
    <row r="34">
      <c r="A34" s="5" t="inlineStr">
        <is>
          <t>Сегмент: Не еком/Поставщики/Инкремент</t>
        </is>
      </c>
      <c r="B34" s="5" t="inlineStr">
        <is>
          <t>Сегмент: Не еком/Поставщики/Инкремент</t>
        </is>
      </c>
      <c r="C34" s="8" t="inlineStr">
        <is>
          <t>Сегмент</t>
        </is>
      </c>
      <c r="D34" s="78" t="str">
        <f>IF(D$4,SUMIFS(INDEX(Журнал!$D$5:$O$1000,0,D$3),Журнал!$A$5:$A$1000,D$3,Журнал!$B$5:$B$1000,$A34),"")</f>
        <v/>
      </c>
      <c r="E34" s="78" t="str">
        <f>IF(E$4,SUMIFS(INDEX(Журнал!$D$5:$O$1000,0,E$3),Журнал!$A$5:$A$1000,E$3,Журнал!$B$5:$B$1000,$A34),"")</f>
        <v/>
      </c>
      <c r="F34" s="78" t="str">
        <f>IF(F$4,SUMIFS(INDEX(Журнал!$D$5:$O$1000,0,F$3),Журнал!$A$5:$A$1000,F$3,Журнал!$B$5:$B$1000,$A34),"")</f>
        <v/>
      </c>
      <c r="G34" s="78" t="str">
        <f>IF(G$4,SUMIFS(INDEX(Журнал!$D$5:$O$1000,0,G$3),Журнал!$A$5:$A$1000,G$3,Журнал!$B$5:$B$1000,$A34),"")</f>
        <v/>
      </c>
      <c r="H34" s="78" t="str">
        <f>IF(H$4,SUMIFS(INDEX(Журнал!$D$5:$O$1000,0,H$3),Журнал!$A$5:$A$1000,H$3,Журнал!$B$5:$B$1000,$A34),"")</f>
        <v/>
      </c>
      <c r="I34" s="78" t="str">
        <f>IF(I$4,SUMIFS(INDEX(Журнал!$D$5:$O$1000,0,I$3),Журнал!$A$5:$A$1000,I$3,Журнал!$B$5:$B$1000,$A34),"")</f>
        <v/>
      </c>
      <c r="J34" s="78" t="str">
        <f>IF(J$4,SUMIFS(INDEX(Журнал!$D$5:$O$1000,0,J$3),Журнал!$A$5:$A$1000,J$3,Журнал!$B$5:$B$1000,$A34),"")</f>
        <v/>
      </c>
      <c r="K34" s="78">
        <f>IF(K$4,SUMIFS(INDEX(Журнал!$D$5:$O$1000,0,K$3),Журнал!$A$5:$A$1000,K$3,Журнал!$B$5:$B$1000,$A34),"")</f>
        <v>249.299171723209</v>
      </c>
      <c r="L34" s="78">
        <f>IF(L$4,SUMIFS(INDEX(Журнал!$D$5:$O$1000,0,L$3),Журнал!$A$5:$A$1000,L$3,Журнал!$B$5:$B$1000,$A34),"")</f>
        <v>432.33529778194</v>
      </c>
      <c r="M34" s="78" t="str">
        <f>IF(M$4,SUMIFS(INDEX(Журнал!$D$5:$O$1000,0,M$3),Журнал!$A$5:$A$1000,M$3,Журнал!$B$5:$B$1000,$A34),"")</f>
        <v/>
      </c>
      <c r="N34" s="78" t="str">
        <f>IF(N$4,SUMIFS(INDEX(Журнал!$D$5:$O$1000,0,N$3),Журнал!$A$5:$A$1000,N$3,Журнал!$B$5:$B$1000,$A34),"")</f>
        <v/>
      </c>
      <c r="O34" s="78" t="str">
        <f>IF(O$4,SUMIFS(INDEX(Журнал!$D$5:$O$1000,0,O$3),Журнал!$A$5:$A$1000,O$3,Журнал!$B$5:$B$1000,$A34),"")</f>
        <v/>
      </c>
      <c r="Q34" s="78" t="str">
        <f>IF(Q$4,SUMIFS(INDEX(Журнал!$D$5:$O$1000,0,Q$3),Журнал!$A$5:$A$1000,Q$3-1,Журнал!$B$5:$B$1000,$A34),"")</f>
        <v/>
      </c>
      <c r="R34" s="78" t="str">
        <f>IF(R$4,SUMIFS(INDEX(Журнал!$D$5:$O$1000,0,R$3),Журнал!$A$5:$A$1000,R$3-1,Журнал!$B$5:$B$1000,$A34),"")</f>
        <v/>
      </c>
      <c r="S34" s="78" t="str">
        <f>IF(S$4,SUMIFS(INDEX(Журнал!$D$5:$O$1000,0,S$3),Журнал!$A$5:$A$1000,S$3-1,Журнал!$B$5:$B$1000,$A34),"")</f>
        <v/>
      </c>
      <c r="T34" s="78" t="str">
        <f>IF(T$4,SUMIFS(INDEX(Журнал!$D$5:$O$1000,0,T$3),Журнал!$A$5:$A$1000,T$3-1,Журнал!$B$5:$B$1000,$A34),"")</f>
        <v/>
      </c>
      <c r="U34" s="78" t="str">
        <f>IF(U$4,SUMIFS(INDEX(Журнал!$D$5:$O$1000,0,U$3),Журнал!$A$5:$A$1000,U$3-1,Журнал!$B$5:$B$1000,$A34),"")</f>
        <v/>
      </c>
      <c r="V34" s="78" t="str">
        <f>IF(V$4,SUMIFS(INDEX(Журнал!$D$5:$O$1000,0,V$3),Журнал!$A$5:$A$1000,V$3-1,Журнал!$B$5:$B$1000,$A34),"")</f>
        <v/>
      </c>
      <c r="W34" s="78" t="str">
        <f>IF(W$4,SUMIFS(INDEX(Журнал!$D$5:$O$1000,0,W$3),Журнал!$A$5:$A$1000,W$3-1,Журнал!$B$5:$B$1000,$A34),"")</f>
        <v/>
      </c>
      <c r="X34" s="78" t="str">
        <f>IF(X$4,SUMIFS(INDEX(Журнал!$D$5:$O$1000,0,X$3),Журнал!$A$5:$A$1000,X$3-1,Журнал!$B$5:$B$1000,$A34),"")</f>
        <v/>
      </c>
      <c r="Y34" s="78">
        <f>IF(Y$4,SUMIFS(INDEX(Журнал!$D$5:$O$1000,0,Y$3),Журнал!$A$5:$A$1000,Y$3-1,Журнал!$B$5:$B$1000,$A34),"")</f>
        <v>227.690451031646</v>
      </c>
      <c r="Z34" s="78">
        <f>IF(Z$4,SUMIFS(INDEX(Журнал!$D$5:$O$1000,0,Z$3),Журнал!$A$5:$A$1000,Z$3-1,Журнал!$B$5:$B$1000,$A34),"")</f>
        <v>280.339691067959</v>
      </c>
      <c r="AA34" s="78" t="str">
        <f>IF(AA$4,SUMIFS(INDEX(Журнал!$D$5:$O$1000,0,AA$3),Журнал!$A$5:$A$1000,AA$3-1,Журнал!$B$5:$B$1000,$A34),"")</f>
        <v/>
      </c>
      <c r="AB34" s="78" t="str">
        <f>IF(AB$4,SUMIFS(INDEX(Журнал!$D$5:$O$1000,0,AB$3),Журнал!$A$5:$A$1000,AB$3-1,Журнал!$B$5:$B$1000,$A34),"")</f>
        <v/>
      </c>
      <c r="AD34" s="21" t="str">
        <f>IF(AD$4,ABS(D34-Q34),"")</f>
        <v/>
      </c>
      <c r="AE34" s="21" t="str">
        <f>IF(AE$4,ABS(E34-R34),"")</f>
        <v/>
      </c>
      <c r="AF34" s="21" t="str">
        <f>IF(AF$4,ABS(F34-S34),"")</f>
        <v/>
      </c>
      <c r="AG34" s="21" t="str">
        <f>IF(AG$4,ABS(G34-T34),"")</f>
        <v/>
      </c>
      <c r="AH34" s="21" t="str">
        <f>IF(AH$4,ABS(H34-U34),"")</f>
        <v/>
      </c>
      <c r="AI34" s="21" t="str">
        <f>IF(AI$4,ABS(I34-V34),"")</f>
        <v/>
      </c>
      <c r="AJ34" s="21" t="str">
        <f>IF(AJ$4,ABS(J34-W34),"")</f>
        <v/>
      </c>
      <c r="AK34" s="21" t="str">
        <f>IF(AK$4,ABS(K34-X34),"")</f>
        <v/>
      </c>
      <c r="AL34" s="21">
        <f>IF(AL$4,ABS(L34-Y34),"")</f>
        <v>204.644846750294</v>
      </c>
      <c r="AM34" s="21" t="str">
        <f>IF(AM$4,ABS(M34-Z34),"")</f>
        <v/>
      </c>
      <c r="AN34" s="21" t="str">
        <f>IF(AN$4,ABS(N34-AA34),"")</f>
        <v/>
      </c>
      <c r="AO34" s="21" t="str">
        <f>IF(AO$4,ABS(O34-AB34),"")</f>
        <v/>
      </c>
      <c r="AQ34" s="21" t="str">
        <f>IF(AD$4,ABS(D34),"")</f>
        <v/>
      </c>
      <c r="AR34" s="21" t="str">
        <f>IF(AE$4,ABS(E34),"")</f>
        <v/>
      </c>
      <c r="AS34" s="21" t="str">
        <f>IF(AF$4,ABS(F34),"")</f>
        <v/>
      </c>
      <c r="AT34" s="21" t="str">
        <f>IF(AG$4,ABS(G34),"")</f>
        <v/>
      </c>
      <c r="AU34" s="21" t="str">
        <f>IF(AH$4,ABS(H34),"")</f>
        <v/>
      </c>
      <c r="AV34" s="21" t="str">
        <f>IF(AI$4,ABS(I34),"")</f>
        <v/>
      </c>
      <c r="AW34" s="21" t="str">
        <f>IF(AJ$4,ABS(J34),"")</f>
        <v/>
      </c>
      <c r="AX34" s="21" t="str">
        <f>IF(AK$4,ABS(K34),"")</f>
        <v/>
      </c>
      <c r="AY34" s="21">
        <f>IF(AL$4,ABS(L34),"")</f>
        <v>432.33529778194</v>
      </c>
      <c r="AZ34" s="21" t="str">
        <f>IF(AM$4,ABS(M34),"")</f>
        <v/>
      </c>
      <c r="BA34" s="21" t="str">
        <f>IF(AN$4,ABS(N34),"")</f>
        <v/>
      </c>
      <c r="BB34" s="21" t="str">
        <f>IF(AO$4,ABS(O34),"")</f>
        <v/>
      </c>
    </row>
    <row r="35">
      <c r="A35" s="5" t="inlineStr">
        <is>
          <t>Сегмент: Не еком/Не поставщики/База</t>
        </is>
      </c>
      <c r="B35" s="5" t="inlineStr">
        <is>
          <t>Сегмент: Не еком/Не поставщики/База</t>
        </is>
      </c>
      <c r="C35" s="8" t="inlineStr">
        <is>
          <t>Сегмент</t>
        </is>
      </c>
      <c r="D35" s="78" t="str">
        <f>IF(D$4,SUMIFS(INDEX(Журнал!$D$5:$O$1000,0,D$3),Журнал!$A$5:$A$1000,D$3,Журнал!$B$5:$B$1000,$A35),"")</f>
        <v/>
      </c>
      <c r="E35" s="78" t="str">
        <f>IF(E$4,SUMIFS(INDEX(Журнал!$D$5:$O$1000,0,E$3),Журнал!$A$5:$A$1000,E$3,Журнал!$B$5:$B$1000,$A35),"")</f>
        <v/>
      </c>
      <c r="F35" s="78" t="str">
        <f>IF(F$4,SUMIFS(INDEX(Журнал!$D$5:$O$1000,0,F$3),Журнал!$A$5:$A$1000,F$3,Журнал!$B$5:$B$1000,$A35),"")</f>
        <v/>
      </c>
      <c r="G35" s="78" t="str">
        <f>IF(G$4,SUMIFS(INDEX(Журнал!$D$5:$O$1000,0,G$3),Журнал!$A$5:$A$1000,G$3,Журнал!$B$5:$B$1000,$A35),"")</f>
        <v/>
      </c>
      <c r="H35" s="78" t="str">
        <f>IF(H$4,SUMIFS(INDEX(Журнал!$D$5:$O$1000,0,H$3),Журнал!$A$5:$A$1000,H$3,Журнал!$B$5:$B$1000,$A35),"")</f>
        <v/>
      </c>
      <c r="I35" s="78" t="str">
        <f>IF(I$4,SUMIFS(INDEX(Журнал!$D$5:$O$1000,0,I$3),Журнал!$A$5:$A$1000,I$3,Журнал!$B$5:$B$1000,$A35),"")</f>
        <v/>
      </c>
      <c r="J35" s="78" t="str">
        <f>IF(J$4,SUMIFS(INDEX(Журнал!$D$5:$O$1000,0,J$3),Журнал!$A$5:$A$1000,J$3,Журнал!$B$5:$B$1000,$A35),"")</f>
        <v/>
      </c>
      <c r="K35" s="78">
        <f>IF(K$4,SUMIFS(INDEX(Журнал!$D$5:$O$1000,0,K$3),Журнал!$A$5:$A$1000,K$3,Журнал!$B$5:$B$1000,$A35),"")</f>
        <v>0</v>
      </c>
      <c r="L35" s="78">
        <f>IF(L$4,SUMIFS(INDEX(Журнал!$D$5:$O$1000,0,L$3),Журнал!$A$5:$A$1000,L$3,Журнал!$B$5:$B$1000,$A35),"")</f>
        <v>0</v>
      </c>
      <c r="M35" s="78" t="str">
        <f>IF(M$4,SUMIFS(INDEX(Журнал!$D$5:$O$1000,0,M$3),Журнал!$A$5:$A$1000,M$3,Журнал!$B$5:$B$1000,$A35),"")</f>
        <v/>
      </c>
      <c r="N35" s="78" t="str">
        <f>IF(N$4,SUMIFS(INDEX(Журнал!$D$5:$O$1000,0,N$3),Журнал!$A$5:$A$1000,N$3,Журнал!$B$5:$B$1000,$A35),"")</f>
        <v/>
      </c>
      <c r="O35" s="78" t="str">
        <f>IF(O$4,SUMIFS(INDEX(Журнал!$D$5:$O$1000,0,O$3),Журнал!$A$5:$A$1000,O$3,Журнал!$B$5:$B$1000,$A35),"")</f>
        <v/>
      </c>
      <c r="Q35" s="78" t="str">
        <f>IF(Q$4,SUMIFS(INDEX(Журнал!$D$5:$O$1000,0,Q$3),Журнал!$A$5:$A$1000,Q$3-1,Журнал!$B$5:$B$1000,$A35),"")</f>
        <v/>
      </c>
      <c r="R35" s="78" t="str">
        <f>IF(R$4,SUMIFS(INDEX(Журнал!$D$5:$O$1000,0,R$3),Журнал!$A$5:$A$1000,R$3-1,Журнал!$B$5:$B$1000,$A35),"")</f>
        <v/>
      </c>
      <c r="S35" s="78" t="str">
        <f>IF(S$4,SUMIFS(INDEX(Журнал!$D$5:$O$1000,0,S$3),Журнал!$A$5:$A$1000,S$3-1,Журнал!$B$5:$B$1000,$A35),"")</f>
        <v/>
      </c>
      <c r="T35" s="78" t="str">
        <f>IF(T$4,SUMIFS(INDEX(Журнал!$D$5:$O$1000,0,T$3),Журнал!$A$5:$A$1000,T$3-1,Журнал!$B$5:$B$1000,$A35),"")</f>
        <v/>
      </c>
      <c r="U35" s="78" t="str">
        <f>IF(U$4,SUMIFS(INDEX(Журнал!$D$5:$O$1000,0,U$3),Журнал!$A$5:$A$1000,U$3-1,Журнал!$B$5:$B$1000,$A35),"")</f>
        <v/>
      </c>
      <c r="V35" s="78" t="str">
        <f>IF(V$4,SUMIFS(INDEX(Журнал!$D$5:$O$1000,0,V$3),Журнал!$A$5:$A$1000,V$3-1,Журнал!$B$5:$B$1000,$A35),"")</f>
        <v/>
      </c>
      <c r="W35" s="78" t="str">
        <f>IF(W$4,SUMIFS(INDEX(Журнал!$D$5:$O$1000,0,W$3),Журнал!$A$5:$A$1000,W$3-1,Журнал!$B$5:$B$1000,$A35),"")</f>
        <v/>
      </c>
      <c r="X35" s="78" t="str">
        <f>IF(X$4,SUMIFS(INDEX(Журнал!$D$5:$O$1000,0,X$3),Журнал!$A$5:$A$1000,X$3-1,Журнал!$B$5:$B$1000,$A35),"")</f>
        <v/>
      </c>
      <c r="Y35" s="78">
        <f>IF(Y$4,SUMIFS(INDEX(Журнал!$D$5:$O$1000,0,Y$3),Журнал!$A$5:$A$1000,Y$3-1,Журнал!$B$5:$B$1000,$A35),"")</f>
        <v>0</v>
      </c>
      <c r="Z35" s="78">
        <f>IF(Z$4,SUMIFS(INDEX(Журнал!$D$5:$O$1000,0,Z$3),Журнал!$A$5:$A$1000,Z$3-1,Журнал!$B$5:$B$1000,$A35),"")</f>
        <v>0</v>
      </c>
      <c r="AA35" s="78" t="str">
        <f>IF(AA$4,SUMIFS(INDEX(Журнал!$D$5:$O$1000,0,AA$3),Журнал!$A$5:$A$1000,AA$3-1,Журнал!$B$5:$B$1000,$A35),"")</f>
        <v/>
      </c>
      <c r="AB35" s="78" t="str">
        <f>IF(AB$4,SUMIFS(INDEX(Журнал!$D$5:$O$1000,0,AB$3),Журнал!$A$5:$A$1000,AB$3-1,Журнал!$B$5:$B$1000,$A35),"")</f>
        <v/>
      </c>
      <c r="AD35" s="21" t="str">
        <f>IF(AD$4,ABS(D35-Q35),"")</f>
        <v/>
      </c>
      <c r="AE35" s="21" t="str">
        <f>IF(AE$4,ABS(E35-R35),"")</f>
        <v/>
      </c>
      <c r="AF35" s="21" t="str">
        <f>IF(AF$4,ABS(F35-S35),"")</f>
        <v/>
      </c>
      <c r="AG35" s="21" t="str">
        <f>IF(AG$4,ABS(G35-T35),"")</f>
        <v/>
      </c>
      <c r="AH35" s="21" t="str">
        <f>IF(AH$4,ABS(H35-U35),"")</f>
        <v/>
      </c>
      <c r="AI35" s="21" t="str">
        <f>IF(AI$4,ABS(I35-V35),"")</f>
        <v/>
      </c>
      <c r="AJ35" s="21" t="str">
        <f>IF(AJ$4,ABS(J35-W35),"")</f>
        <v/>
      </c>
      <c r="AK35" s="21" t="str">
        <f>IF(AK$4,ABS(K35-X35),"")</f>
        <v/>
      </c>
      <c r="AL35" s="21">
        <f>IF(AL$4,ABS(L35-Y35),"")</f>
        <v>0</v>
      </c>
      <c r="AM35" s="21" t="str">
        <f>IF(AM$4,ABS(M35-Z35),"")</f>
        <v/>
      </c>
      <c r="AN35" s="21" t="str">
        <f>IF(AN$4,ABS(N35-AA35),"")</f>
        <v/>
      </c>
      <c r="AO35" s="21" t="str">
        <f>IF(AO$4,ABS(O35-AB35),"")</f>
        <v/>
      </c>
      <c r="AQ35" s="21" t="str">
        <f>IF(AD$4,ABS(D35),"")</f>
        <v/>
      </c>
      <c r="AR35" s="21" t="str">
        <f>IF(AE$4,ABS(E35),"")</f>
        <v/>
      </c>
      <c r="AS35" s="21" t="str">
        <f>IF(AF$4,ABS(F35),"")</f>
        <v/>
      </c>
      <c r="AT35" s="21" t="str">
        <f>IF(AG$4,ABS(G35),"")</f>
        <v/>
      </c>
      <c r="AU35" s="21" t="str">
        <f>IF(AH$4,ABS(H35),"")</f>
        <v/>
      </c>
      <c r="AV35" s="21" t="str">
        <f>IF(AI$4,ABS(I35),"")</f>
        <v/>
      </c>
      <c r="AW35" s="21" t="str">
        <f>IF(AJ$4,ABS(J35),"")</f>
        <v/>
      </c>
      <c r="AX35" s="21" t="str">
        <f>IF(AK$4,ABS(K35),"")</f>
        <v/>
      </c>
      <c r="AY35" s="21">
        <f>IF(AL$4,ABS(L35),"")</f>
        <v>0</v>
      </c>
      <c r="AZ35" s="21" t="str">
        <f>IF(AM$4,ABS(M35),"")</f>
        <v/>
      </c>
      <c r="BA35" s="21" t="str">
        <f>IF(AN$4,ABS(N35),"")</f>
        <v/>
      </c>
      <c r="BB35" s="21" t="str">
        <f>IF(AO$4,ABS(O35),"")</f>
        <v/>
      </c>
    </row>
    <row r="36">
      <c r="A36" s="5" t="inlineStr">
        <is>
          <t>Сегмент: Не еком/Не поставщики/Инкремент</t>
        </is>
      </c>
      <c r="B36" s="5" t="inlineStr">
        <is>
          <t>Сегмент: Не еком/Не поставщики/Инкремент</t>
        </is>
      </c>
      <c r="C36" s="8" t="inlineStr">
        <is>
          <t>Сегмент</t>
        </is>
      </c>
      <c r="D36" s="78" t="str">
        <f>IF(D$4,SUMIFS(INDEX(Журнал!$D$5:$O$1000,0,D$3),Журнал!$A$5:$A$1000,D$3,Журнал!$B$5:$B$1000,$A36),"")</f>
        <v/>
      </c>
      <c r="E36" s="78" t="str">
        <f>IF(E$4,SUMIFS(INDEX(Журнал!$D$5:$O$1000,0,E$3),Журнал!$A$5:$A$1000,E$3,Журнал!$B$5:$B$1000,$A36),"")</f>
        <v/>
      </c>
      <c r="F36" s="78" t="str">
        <f>IF(F$4,SUMIFS(INDEX(Журнал!$D$5:$O$1000,0,F$3),Журнал!$A$5:$A$1000,F$3,Журнал!$B$5:$B$1000,$A36),"")</f>
        <v/>
      </c>
      <c r="G36" s="78" t="str">
        <f>IF(G$4,SUMIFS(INDEX(Журнал!$D$5:$O$1000,0,G$3),Журнал!$A$5:$A$1000,G$3,Журнал!$B$5:$B$1000,$A36),"")</f>
        <v/>
      </c>
      <c r="H36" s="78" t="str">
        <f>IF(H$4,SUMIFS(INDEX(Журнал!$D$5:$O$1000,0,H$3),Журнал!$A$5:$A$1000,H$3,Журнал!$B$5:$B$1000,$A36),"")</f>
        <v/>
      </c>
      <c r="I36" s="78" t="str">
        <f>IF(I$4,SUMIFS(INDEX(Журнал!$D$5:$O$1000,0,I$3),Журнал!$A$5:$A$1000,I$3,Журнал!$B$5:$B$1000,$A36),"")</f>
        <v/>
      </c>
      <c r="J36" s="78" t="str">
        <f>IF(J$4,SUMIFS(INDEX(Журнал!$D$5:$O$1000,0,J$3),Журнал!$A$5:$A$1000,J$3,Журнал!$B$5:$B$1000,$A36),"")</f>
        <v/>
      </c>
      <c r="K36" s="78">
        <f>IF(K$4,SUMIFS(INDEX(Журнал!$D$5:$O$1000,0,K$3),Журнал!$A$5:$A$1000,K$3,Журнал!$B$5:$B$1000,$A36),"")</f>
        <v>68.1514963483444</v>
      </c>
      <c r="L36" s="78">
        <f>IF(L$4,SUMIFS(INDEX(Журнал!$D$5:$O$1000,0,L$3),Журнал!$A$5:$A$1000,L$3,Журнал!$B$5:$B$1000,$A36),"")</f>
        <v>48.6006788643</v>
      </c>
      <c r="M36" s="78" t="str">
        <f>IF(M$4,SUMIFS(INDEX(Журнал!$D$5:$O$1000,0,M$3),Журнал!$A$5:$A$1000,M$3,Журнал!$B$5:$B$1000,$A36),"")</f>
        <v/>
      </c>
      <c r="N36" s="78" t="str">
        <f>IF(N$4,SUMIFS(INDEX(Журнал!$D$5:$O$1000,0,N$3),Журнал!$A$5:$A$1000,N$3,Журнал!$B$5:$B$1000,$A36),"")</f>
        <v/>
      </c>
      <c r="O36" s="78" t="str">
        <f>IF(O$4,SUMIFS(INDEX(Журнал!$D$5:$O$1000,0,O$3),Журнал!$A$5:$A$1000,O$3,Журнал!$B$5:$B$1000,$A36),"")</f>
        <v/>
      </c>
      <c r="Q36" s="78" t="str">
        <f>IF(Q$4,SUMIFS(INDEX(Журнал!$D$5:$O$1000,0,Q$3),Журнал!$A$5:$A$1000,Q$3-1,Журнал!$B$5:$B$1000,$A36),"")</f>
        <v/>
      </c>
      <c r="R36" s="78" t="str">
        <f>IF(R$4,SUMIFS(INDEX(Журнал!$D$5:$O$1000,0,R$3),Журнал!$A$5:$A$1000,R$3-1,Журнал!$B$5:$B$1000,$A36),"")</f>
        <v/>
      </c>
      <c r="S36" s="78" t="str">
        <f>IF(S$4,SUMIFS(INDEX(Журнал!$D$5:$O$1000,0,S$3),Журнал!$A$5:$A$1000,S$3-1,Журнал!$B$5:$B$1000,$A36),"")</f>
        <v/>
      </c>
      <c r="T36" s="78" t="str">
        <f>IF(T$4,SUMIFS(INDEX(Журнал!$D$5:$O$1000,0,T$3),Журнал!$A$5:$A$1000,T$3-1,Журнал!$B$5:$B$1000,$A36),"")</f>
        <v/>
      </c>
      <c r="U36" s="78" t="str">
        <f>IF(U$4,SUMIFS(INDEX(Журнал!$D$5:$O$1000,0,U$3),Журнал!$A$5:$A$1000,U$3-1,Журнал!$B$5:$B$1000,$A36),"")</f>
        <v/>
      </c>
      <c r="V36" s="78" t="str">
        <f>IF(V$4,SUMIFS(INDEX(Журнал!$D$5:$O$1000,0,V$3),Журнал!$A$5:$A$1000,V$3-1,Журнал!$B$5:$B$1000,$A36),"")</f>
        <v/>
      </c>
      <c r="W36" s="78" t="str">
        <f>IF(W$4,SUMIFS(INDEX(Журнал!$D$5:$O$1000,0,W$3),Журнал!$A$5:$A$1000,W$3-1,Журнал!$B$5:$B$1000,$A36),"")</f>
        <v/>
      </c>
      <c r="X36" s="78" t="str">
        <f>IF(X$4,SUMIFS(INDEX(Журнал!$D$5:$O$1000,0,X$3),Журнал!$A$5:$A$1000,X$3-1,Журнал!$B$5:$B$1000,$A36),"")</f>
        <v/>
      </c>
      <c r="Y36" s="78">
        <f>IF(Y$4,SUMIFS(INDEX(Журнал!$D$5:$O$1000,0,Y$3),Журнал!$A$5:$A$1000,Y$3-1,Журнал!$B$5:$B$1000,$A36),"")</f>
        <v>40.7447944486726</v>
      </c>
      <c r="Z36" s="78">
        <f>IF(Z$4,SUMIFS(INDEX(Журнал!$D$5:$O$1000,0,Z$3),Журнал!$A$5:$A$1000,Z$3-1,Журнал!$B$5:$B$1000,$A36),"")</f>
        <v>51.5482699136879</v>
      </c>
      <c r="AA36" s="78" t="str">
        <f>IF(AA$4,SUMIFS(INDEX(Журнал!$D$5:$O$1000,0,AA$3),Журнал!$A$5:$A$1000,AA$3-1,Журнал!$B$5:$B$1000,$A36),"")</f>
        <v/>
      </c>
      <c r="AB36" s="78" t="str">
        <f>IF(AB$4,SUMIFS(INDEX(Журнал!$D$5:$O$1000,0,AB$3),Журнал!$A$5:$A$1000,AB$3-1,Журнал!$B$5:$B$1000,$A36),"")</f>
        <v/>
      </c>
      <c r="AD36" s="21" t="str">
        <f>IF(AD$4,ABS(D36-Q36),"")</f>
        <v/>
      </c>
      <c r="AE36" s="21" t="str">
        <f>IF(AE$4,ABS(E36-R36),"")</f>
        <v/>
      </c>
      <c r="AF36" s="21" t="str">
        <f>IF(AF$4,ABS(F36-S36),"")</f>
        <v/>
      </c>
      <c r="AG36" s="21" t="str">
        <f>IF(AG$4,ABS(G36-T36),"")</f>
        <v/>
      </c>
      <c r="AH36" s="21" t="str">
        <f>IF(AH$4,ABS(H36-U36),"")</f>
        <v/>
      </c>
      <c r="AI36" s="21" t="str">
        <f>IF(AI$4,ABS(I36-V36),"")</f>
        <v/>
      </c>
      <c r="AJ36" s="21" t="str">
        <f>IF(AJ$4,ABS(J36-W36),"")</f>
        <v/>
      </c>
      <c r="AK36" s="21" t="str">
        <f>IF(AK$4,ABS(K36-X36),"")</f>
        <v/>
      </c>
      <c r="AL36" s="21">
        <f>IF(AL$4,ABS(L36-Y36),"")</f>
        <v>7.85588441562742</v>
      </c>
      <c r="AM36" s="21" t="str">
        <f>IF(AM$4,ABS(M36-Z36),"")</f>
        <v/>
      </c>
      <c r="AN36" s="21" t="str">
        <f>IF(AN$4,ABS(N36-AA36),"")</f>
        <v/>
      </c>
      <c r="AO36" s="21" t="str">
        <f>IF(AO$4,ABS(O36-AB36),"")</f>
        <v/>
      </c>
      <c r="AQ36" s="21" t="str">
        <f>IF(AD$4,ABS(D36),"")</f>
        <v/>
      </c>
      <c r="AR36" s="21" t="str">
        <f>IF(AE$4,ABS(E36),"")</f>
        <v/>
      </c>
      <c r="AS36" s="21" t="str">
        <f>IF(AF$4,ABS(F36),"")</f>
        <v/>
      </c>
      <c r="AT36" s="21" t="str">
        <f>IF(AG$4,ABS(G36),"")</f>
        <v/>
      </c>
      <c r="AU36" s="21" t="str">
        <f>IF(AH$4,ABS(H36),"")</f>
        <v/>
      </c>
      <c r="AV36" s="21" t="str">
        <f>IF(AI$4,ABS(I36),"")</f>
        <v/>
      </c>
      <c r="AW36" s="21" t="str">
        <f>IF(AJ$4,ABS(J36),"")</f>
        <v/>
      </c>
      <c r="AX36" s="21" t="str">
        <f>IF(AK$4,ABS(K36),"")</f>
        <v/>
      </c>
      <c r="AY36" s="21">
        <f>IF(AL$4,ABS(L36),"")</f>
        <v>48.6006788643</v>
      </c>
      <c r="AZ36" s="21" t="str">
        <f>IF(AM$4,ABS(M36),"")</f>
        <v/>
      </c>
      <c r="BA36" s="21" t="str">
        <f>IF(AN$4,ABS(N36),"")</f>
        <v/>
      </c>
      <c r="BB36" s="21" t="str">
        <f>IF(AO$4,ABS(O36),"")</f>
        <v/>
      </c>
    </row>
    <row r="38">
      <c r="A38" s="11" t="inlineStr">
        <is>
          <t>Точность прогноза = 1 − Σ|ACT − CTRL| / Σ|ACT| (как F4:H4 на листе «33 Версии прогноза» мастера)</t>
        </is>
      </c>
    </row>
    <row r="39">
      <c r="A39" s="8" t="inlineStr">
        <is>
          <t>Σ|Δ| — Gross Revenue итого</t>
        </is>
      </c>
      <c r="D39" s="79" t="str">
        <f>IF(AD$4,SUMIF($A$6:$A$36,"Gross Revenue",AD$6:AD$36),"")</f>
        <v/>
      </c>
      <c r="E39" s="79" t="str">
        <f>IF(AE$4,SUMIF($A$6:$A$36,"Gross Revenue",AE$6:AE$36),"")</f>
        <v/>
      </c>
      <c r="F39" s="79" t="str">
        <f>IF(AF$4,SUMIF($A$6:$A$36,"Gross Revenue",AF$6:AF$36),"")</f>
        <v/>
      </c>
      <c r="G39" s="79" t="str">
        <f>IF(AG$4,SUMIF($A$6:$A$36,"Gross Revenue",AG$6:AG$36),"")</f>
        <v/>
      </c>
      <c r="H39" s="79" t="str">
        <f>IF(AH$4,SUMIF($A$6:$A$36,"Gross Revenue",AH$6:AH$36),"")</f>
        <v/>
      </c>
      <c r="I39" s="79" t="str">
        <f>IF(AI$4,SUMIF($A$6:$A$36,"Gross Revenue",AI$6:AI$36),"")</f>
        <v/>
      </c>
      <c r="J39" s="79" t="str">
        <f>IF(AJ$4,SUMIF($A$6:$A$36,"Gross Revenue",AJ$6:AJ$36),"")</f>
        <v/>
      </c>
      <c r="K39" s="79" t="str">
        <f>IF(AK$4,SUMIF($A$6:$A$36,"Gross Revenue",AK$6:AK$36),"")</f>
        <v/>
      </c>
      <c r="L39" s="79">
        <f>IF(AL$4,SUMIF($A$6:$A$36,"Gross Revenue",AL$6:AL$36),"")</f>
        <v>56.99266975296</v>
      </c>
      <c r="M39" s="79" t="str">
        <f>IF(AM$4,SUMIF($A$6:$A$36,"Gross Revenue",AM$6:AM$36),"")</f>
        <v/>
      </c>
      <c r="N39" s="79" t="str">
        <f>IF(AN$4,SUMIF($A$6:$A$36,"Gross Revenue",AN$6:AN$36),"")</f>
        <v/>
      </c>
      <c r="O39" s="79" t="str">
        <f>IF(AO$4,SUMIF($A$6:$A$36,"Gross Revenue",AO$6:AO$36),"")</f>
        <v/>
      </c>
    </row>
    <row r="40">
      <c r="A40" s="8" t="inlineStr">
        <is>
          <t>Σ|ACT| — Gross Revenue итого</t>
        </is>
      </c>
      <c r="D40" s="79" t="str">
        <f>IF(AD$4,SUMIF($A$6:$A$36,"Gross Revenue",AQ$6:AQ$36),"")</f>
        <v/>
      </c>
      <c r="E40" s="79" t="str">
        <f>IF(AE$4,SUMIF($A$6:$A$36,"Gross Revenue",AR$6:AR$36),"")</f>
        <v/>
      </c>
      <c r="F40" s="79" t="str">
        <f>IF(AF$4,SUMIF($A$6:$A$36,"Gross Revenue",AS$6:AS$36),"")</f>
        <v/>
      </c>
      <c r="G40" s="79" t="str">
        <f>IF(AG$4,SUMIF($A$6:$A$36,"Gross Revenue",AT$6:AT$36),"")</f>
        <v/>
      </c>
      <c r="H40" s="79" t="str">
        <f>IF(AH$4,SUMIF($A$6:$A$36,"Gross Revenue",AU$6:AU$36),"")</f>
        <v/>
      </c>
      <c r="I40" s="79" t="str">
        <f>IF(AI$4,SUMIF($A$6:$A$36,"Gross Revenue",AV$6:AV$36),"")</f>
        <v/>
      </c>
      <c r="J40" s="79" t="str">
        <f>IF(AJ$4,SUMIF($A$6:$A$36,"Gross Revenue",AW$6:AW$36),"")</f>
        <v/>
      </c>
      <c r="K40" s="79" t="str">
        <f>IF(AK$4,SUMIF($A$6:$A$36,"Gross Revenue",AX$6:AX$36),"")</f>
        <v/>
      </c>
      <c r="L40" s="79">
        <f>IF(AL$4,SUMIF($A$6:$A$36,"Gross Revenue",AY$6:AY$36),"")</f>
        <v>1183.19316312549</v>
      </c>
      <c r="M40" s="79" t="str">
        <f>IF(AM$4,SUMIF($A$6:$A$36,"Gross Revenue",AZ$6:AZ$36),"")</f>
        <v/>
      </c>
      <c r="N40" s="79" t="str">
        <f>IF(AN$4,SUMIF($A$6:$A$36,"Gross Revenue",BA$6:BA$36),"")</f>
        <v/>
      </c>
      <c r="O40" s="79" t="str">
        <f>IF(AO$4,SUMIF($A$6:$A$36,"Gross Revenue",BB$6:BB$36),"")</f>
        <v/>
      </c>
    </row>
    <row r="41">
      <c r="A41" s="8" t="inlineStr">
        <is>
          <t>Σ|Δ| — Выручка по направлениям</t>
        </is>
      </c>
      <c r="D41" s="79" t="str">
        <f>IF(AD$4,SUMIF($C$6:$C$36,"Выручка",AD$6:AD$36),"")</f>
        <v/>
      </c>
      <c r="E41" s="79" t="str">
        <f>IF(AE$4,SUMIF($C$6:$C$36,"Выручка",AE$6:AE$36),"")</f>
        <v/>
      </c>
      <c r="F41" s="79" t="str">
        <f>IF(AF$4,SUMIF($C$6:$C$36,"Выручка",AF$6:AF$36),"")</f>
        <v/>
      </c>
      <c r="G41" s="79" t="str">
        <f>IF(AG$4,SUMIF($C$6:$C$36,"Выручка",AG$6:AG$36),"")</f>
        <v/>
      </c>
      <c r="H41" s="79" t="str">
        <f>IF(AH$4,SUMIF($C$6:$C$36,"Выручка",AH$6:AH$36),"")</f>
        <v/>
      </c>
      <c r="I41" s="79" t="str">
        <f>IF(AI$4,SUMIF($C$6:$C$36,"Выручка",AI$6:AI$36),"")</f>
        <v/>
      </c>
      <c r="J41" s="79" t="str">
        <f>IF(AJ$4,SUMIF($C$6:$C$36,"Выручка",AJ$6:AJ$36),"")</f>
        <v/>
      </c>
      <c r="K41" s="79" t="str">
        <f>IF(AK$4,SUMIF($C$6:$C$36,"Выручка",AK$6:AK$36),"")</f>
        <v/>
      </c>
      <c r="L41" s="79">
        <f>IF(AL$4,SUMIF($C$6:$C$36,"Выручка",AL$6:AL$36),"")</f>
        <v>925.922614784969</v>
      </c>
      <c r="M41" s="79" t="str">
        <f>IF(AM$4,SUMIF($C$6:$C$36,"Выручка",AM$6:AM$36),"")</f>
        <v/>
      </c>
      <c r="N41" s="79" t="str">
        <f>IF(AN$4,SUMIF($C$6:$C$36,"Выручка",AN$6:AN$36),"")</f>
        <v/>
      </c>
      <c r="O41" s="79" t="str">
        <f>IF(AO$4,SUMIF($C$6:$C$36,"Выручка",AO$6:AO$36),"")</f>
        <v/>
      </c>
    </row>
    <row r="42">
      <c r="A42" s="8" t="inlineStr">
        <is>
          <t>Σ|ACT| — Выручка по направлениям</t>
        </is>
      </c>
      <c r="D42" s="79" t="str">
        <f>IF(AD$4,SUMIF($C$6:$C$36,"Выручка",AQ$6:AQ$36),"")</f>
        <v/>
      </c>
      <c r="E42" s="79" t="str">
        <f>IF(AE$4,SUMIF($C$6:$C$36,"Выручка",AR$6:AR$36),"")</f>
        <v/>
      </c>
      <c r="F42" s="79" t="str">
        <f>IF(AF$4,SUMIF($C$6:$C$36,"Выручка",AS$6:AS$36),"")</f>
        <v/>
      </c>
      <c r="G42" s="79" t="str">
        <f>IF(AG$4,SUMIF($C$6:$C$36,"Выручка",AT$6:AT$36),"")</f>
        <v/>
      </c>
      <c r="H42" s="79" t="str">
        <f>IF(AH$4,SUMIF($C$6:$C$36,"Выручка",AU$6:AU$36),"")</f>
        <v/>
      </c>
      <c r="I42" s="79" t="str">
        <f>IF(AI$4,SUMIF($C$6:$C$36,"Выручка",AV$6:AV$36),"")</f>
        <v/>
      </c>
      <c r="J42" s="79" t="str">
        <f>IF(AJ$4,SUMIF($C$6:$C$36,"Выручка",AW$6:AW$36),"")</f>
        <v/>
      </c>
      <c r="K42" s="79" t="str">
        <f>IF(AK$4,SUMIF($C$6:$C$36,"Выручка",AX$6:AX$36),"")</f>
        <v/>
      </c>
      <c r="L42" s="79">
        <f>IF(AL$4,SUMIF($C$6:$C$36,"Выручка",AY$6:AY$36),"")</f>
        <v>1183.19316307631</v>
      </c>
      <c r="M42" s="79" t="str">
        <f>IF(AM$4,SUMIF($C$6:$C$36,"Выручка",AZ$6:AZ$36),"")</f>
        <v/>
      </c>
      <c r="N42" s="79" t="str">
        <f>IF(AN$4,SUMIF($C$6:$C$36,"Выручка",BA$6:BA$36),"")</f>
        <v/>
      </c>
      <c r="O42" s="79" t="str">
        <f>IF(AO$4,SUMIF($C$6:$C$36,"Выручка",BB$6:BB$36),"")</f>
        <v/>
      </c>
    </row>
    <row r="43">
      <c r="A43" s="8" t="inlineStr">
        <is>
          <t>Σ|Δ| — Все статьи (выручка + расходы + Capex)</t>
        </is>
      </c>
      <c r="D43" s="79" t="str">
        <f>IF(AD$4,SUMIF($C$6:$C$36,"Выручка",AD$6:AD$36)+SUMIF($C$6:$C$36,"Расходы",AD$6:AD$36),"")</f>
        <v/>
      </c>
      <c r="E43" s="79" t="str">
        <f>IF(AE$4,SUMIF($C$6:$C$36,"Выручка",AE$6:AE$36)+SUMIF($C$6:$C$36,"Расходы",AE$6:AE$36),"")</f>
        <v/>
      </c>
      <c r="F43" s="79" t="str">
        <f>IF(AF$4,SUMIF($C$6:$C$36,"Выручка",AF$6:AF$36)+SUMIF($C$6:$C$36,"Расходы",AF$6:AF$36),"")</f>
        <v/>
      </c>
      <c r="G43" s="79" t="str">
        <f>IF(AG$4,SUMIF($C$6:$C$36,"Выручка",AG$6:AG$36)+SUMIF($C$6:$C$36,"Расходы",AG$6:AG$36),"")</f>
        <v/>
      </c>
      <c r="H43" s="79" t="str">
        <f>IF(AH$4,SUMIF($C$6:$C$36,"Выручка",AH$6:AH$36)+SUMIF($C$6:$C$36,"Расходы",AH$6:AH$36),"")</f>
        <v/>
      </c>
      <c r="I43" s="79" t="str">
        <f>IF(AI$4,SUMIF($C$6:$C$36,"Выручка",AI$6:AI$36)+SUMIF($C$6:$C$36,"Расходы",AI$6:AI$36),"")</f>
        <v/>
      </c>
      <c r="J43" s="79" t="str">
        <f>IF(AJ$4,SUMIF($C$6:$C$36,"Выручка",AJ$6:AJ$36)+SUMIF($C$6:$C$36,"Расходы",AJ$6:AJ$36),"")</f>
        <v/>
      </c>
      <c r="K43" s="79" t="str">
        <f>IF(AK$4,SUMIF($C$6:$C$36,"Выручка",AK$6:AK$36)+SUMIF($C$6:$C$36,"Расходы",AK$6:AK$36),"")</f>
        <v/>
      </c>
      <c r="L43" s="79">
        <f>IF(AL$4,SUMIF($C$6:$C$36,"Выручка",AL$6:AL$36)+SUMIF($C$6:$C$36,"Расходы",AL$6:AL$36),"")</f>
        <v>1445.13992307833</v>
      </c>
      <c r="M43" s="79" t="str">
        <f>IF(AM$4,SUMIF($C$6:$C$36,"Выручка",AM$6:AM$36)+SUMIF($C$6:$C$36,"Расходы",AM$6:AM$36),"")</f>
        <v/>
      </c>
      <c r="N43" s="79" t="str">
        <f>IF(AN$4,SUMIF($C$6:$C$36,"Выручка",AN$6:AN$36)+SUMIF($C$6:$C$36,"Расходы",AN$6:AN$36),"")</f>
        <v/>
      </c>
      <c r="O43" s="79" t="str">
        <f>IF(AO$4,SUMIF($C$6:$C$36,"Выручка",AO$6:AO$36)+SUMIF($C$6:$C$36,"Расходы",AO$6:AO$36),"")</f>
        <v/>
      </c>
    </row>
    <row r="44">
      <c r="A44" s="8" t="inlineStr">
        <is>
          <t>Σ|ACT| — Все статьи (выручка + расходы + Capex)</t>
        </is>
      </c>
      <c r="D44" s="79" t="str">
        <f>IF(AD$4,SUMIF($C$6:$C$36,"Выручка",AQ$6:AQ$36)+SUMIF($C$6:$C$36,"Расходы",AQ$6:AQ$36),"")</f>
        <v/>
      </c>
      <c r="E44" s="79" t="str">
        <f>IF(AE$4,SUMIF($C$6:$C$36,"Выручка",AR$6:AR$36)+SUMIF($C$6:$C$36,"Расходы",AR$6:AR$36),"")</f>
        <v/>
      </c>
      <c r="F44" s="79" t="str">
        <f>IF(AF$4,SUMIF($C$6:$C$36,"Выручка",AS$6:AS$36)+SUMIF($C$6:$C$36,"Расходы",AS$6:AS$36),"")</f>
        <v/>
      </c>
      <c r="G44" s="79" t="str">
        <f>IF(AG$4,SUMIF($C$6:$C$36,"Выручка",AT$6:AT$36)+SUMIF($C$6:$C$36,"Расходы",AT$6:AT$36),"")</f>
        <v/>
      </c>
      <c r="H44" s="79" t="str">
        <f>IF(AH$4,SUMIF($C$6:$C$36,"Выручка",AU$6:AU$36)+SUMIF($C$6:$C$36,"Расходы",AU$6:AU$36),"")</f>
        <v/>
      </c>
      <c r="I44" s="79" t="str">
        <f>IF(AI$4,SUMIF($C$6:$C$36,"Выручка",AV$6:AV$36)+SUMIF($C$6:$C$36,"Расходы",AV$6:AV$36),"")</f>
        <v/>
      </c>
      <c r="J44" s="79" t="str">
        <f>IF(AJ$4,SUMIF($C$6:$C$36,"Выручка",AW$6:AW$36)+SUMIF($C$6:$C$36,"Расходы",AW$6:AW$36),"")</f>
        <v/>
      </c>
      <c r="K44" s="79" t="str">
        <f>IF(AK$4,SUMIF($C$6:$C$36,"Выручка",AX$6:AX$36)+SUMIF($C$6:$C$36,"Расходы",AX$6:AX$36),"")</f>
        <v/>
      </c>
      <c r="L44" s="79">
        <f>IF(AL$4,SUMIF($C$6:$C$36,"Выручка",AY$6:AY$36)+SUMIF($C$6:$C$36,"Расходы",AY$6:AY$36),"")</f>
        <v>1550.65402198423</v>
      </c>
      <c r="M44" s="79" t="str">
        <f>IF(AM$4,SUMIF($C$6:$C$36,"Выручка",AZ$6:AZ$36)+SUMIF($C$6:$C$36,"Расходы",AZ$6:AZ$36),"")</f>
        <v/>
      </c>
      <c r="N44" s="79" t="str">
        <f>IF(AN$4,SUMIF($C$6:$C$36,"Выручка",BA$6:BA$36)+SUMIF($C$6:$C$36,"Расходы",BA$6:BA$36),"")</f>
        <v/>
      </c>
      <c r="O44" s="79" t="str">
        <f>IF(AO$4,SUMIF($C$6:$C$36,"Выручка",BB$6:BB$36)+SUMIF($C$6:$C$36,"Расходы",BB$6:BB$36),"")</f>
        <v/>
      </c>
    </row>
    <row r="45">
      <c r="A45" s="8" t="inlineStr">
        <is>
          <t>Σ|Δ| — Сегменты выручки</t>
        </is>
      </c>
      <c r="D45" s="79" t="str">
        <f>IF(AD$4,SUMIF($C$6:$C$36,"Сегмент",AD$6:AD$36),"")</f>
        <v/>
      </c>
      <c r="E45" s="79" t="str">
        <f>IF(AE$4,SUMIF($C$6:$C$36,"Сегмент",AE$6:AE$36),"")</f>
        <v/>
      </c>
      <c r="F45" s="79" t="str">
        <f>IF(AF$4,SUMIF($C$6:$C$36,"Сегмент",AF$6:AF$36),"")</f>
        <v/>
      </c>
      <c r="G45" s="79" t="str">
        <f>IF(AG$4,SUMIF($C$6:$C$36,"Сегмент",AG$6:AG$36),"")</f>
        <v/>
      </c>
      <c r="H45" s="79" t="str">
        <f>IF(AH$4,SUMIF($C$6:$C$36,"Сегмент",AH$6:AH$36),"")</f>
        <v/>
      </c>
      <c r="I45" s="79" t="str">
        <f>IF(AI$4,SUMIF($C$6:$C$36,"Сегмент",AI$6:AI$36),"")</f>
        <v/>
      </c>
      <c r="J45" s="79" t="str">
        <f>IF(AJ$4,SUMIF($C$6:$C$36,"Сегмент",AJ$6:AJ$36),"")</f>
        <v/>
      </c>
      <c r="K45" s="79" t="str">
        <f>IF(AK$4,SUMIF($C$6:$C$36,"Сегмент",AK$6:AK$36),"")</f>
        <v/>
      </c>
      <c r="L45" s="79">
        <f>IF(AL$4,SUMIF($C$6:$C$36,"Сегмент",AL$6:AL$36),"")</f>
        <v>671.665891136116</v>
      </c>
      <c r="M45" s="79" t="str">
        <f>IF(AM$4,SUMIF($C$6:$C$36,"Сегмент",AM$6:AM$36),"")</f>
        <v/>
      </c>
      <c r="N45" s="79" t="str">
        <f>IF(AN$4,SUMIF($C$6:$C$36,"Сегмент",AN$6:AN$36),"")</f>
        <v/>
      </c>
      <c r="O45" s="79" t="str">
        <f>IF(AO$4,SUMIF($C$6:$C$36,"Сегмент",AO$6:AO$36),"")</f>
        <v/>
      </c>
    </row>
    <row r="46">
      <c r="A46" s="8" t="inlineStr">
        <is>
          <t>Σ|ACT| — Сегменты выручки</t>
        </is>
      </c>
      <c r="D46" s="79" t="str">
        <f>IF(AD$4,SUMIF($C$6:$C$36,"Сегмент",AQ$6:AQ$36),"")</f>
        <v/>
      </c>
      <c r="E46" s="79" t="str">
        <f>IF(AE$4,SUMIF($C$6:$C$36,"Сегмент",AR$6:AR$36),"")</f>
        <v/>
      </c>
      <c r="F46" s="79" t="str">
        <f>IF(AF$4,SUMIF($C$6:$C$36,"Сегмент",AS$6:AS$36),"")</f>
        <v/>
      </c>
      <c r="G46" s="79" t="str">
        <f>IF(AG$4,SUMIF($C$6:$C$36,"Сегмент",AT$6:AT$36),"")</f>
        <v/>
      </c>
      <c r="H46" s="79" t="str">
        <f>IF(AH$4,SUMIF($C$6:$C$36,"Сегмент",AU$6:AU$36),"")</f>
        <v/>
      </c>
      <c r="I46" s="79" t="str">
        <f>IF(AI$4,SUMIF($C$6:$C$36,"Сегмент",AV$6:AV$36),"")</f>
        <v/>
      </c>
      <c r="J46" s="79" t="str">
        <f>IF(AJ$4,SUMIF($C$6:$C$36,"Сегмент",AW$6:AW$36),"")</f>
        <v/>
      </c>
      <c r="K46" s="79" t="str">
        <f>IF(AK$4,SUMIF($C$6:$C$36,"Сегмент",AX$6:AX$36),"")</f>
        <v/>
      </c>
      <c r="L46" s="79">
        <f>IF(AL$4,SUMIF($C$6:$C$36,"Сегмент",AY$6:AY$36),"")</f>
        <v>1183.19316312549</v>
      </c>
      <c r="M46" s="79" t="str">
        <f>IF(AM$4,SUMIF($C$6:$C$36,"Сегмент",AZ$6:AZ$36),"")</f>
        <v/>
      </c>
      <c r="N46" s="79" t="str">
        <f>IF(AN$4,SUMIF($C$6:$C$36,"Сегмент",BA$6:BA$36),"")</f>
        <v/>
      </c>
      <c r="O46" s="79" t="str">
        <f>IF(AO$4,SUMIF($C$6:$C$36,"Сегмент",BB$6:BB$36),"")</f>
        <v/>
      </c>
    </row>
    <row r="47">
      <c r="A47" s="8" t="inlineStr">
        <is>
          <t>Σ|Δ| — EBITDA</t>
        </is>
      </c>
      <c r="D47" s="79" t="str">
        <f>IF(AD$4,SUMIF($A$6:$A$36,"EBITDA",AD$6:AD$36),"")</f>
        <v/>
      </c>
      <c r="E47" s="79" t="str">
        <f>IF(AE$4,SUMIF($A$6:$A$36,"EBITDA",AE$6:AE$36),"")</f>
        <v/>
      </c>
      <c r="F47" s="79" t="str">
        <f>IF(AF$4,SUMIF($A$6:$A$36,"EBITDA",AF$6:AF$36),"")</f>
        <v/>
      </c>
      <c r="G47" s="79" t="str">
        <f>IF(AG$4,SUMIF($A$6:$A$36,"EBITDA",AG$6:AG$36),"")</f>
        <v/>
      </c>
      <c r="H47" s="79" t="str">
        <f>IF(AH$4,SUMIF($A$6:$A$36,"EBITDA",AH$6:AH$36),"")</f>
        <v/>
      </c>
      <c r="I47" s="79" t="str">
        <f>IF(AI$4,SUMIF($A$6:$A$36,"EBITDA",AI$6:AI$36),"")</f>
        <v/>
      </c>
      <c r="J47" s="79" t="str">
        <f>IF(AJ$4,SUMIF($A$6:$A$36,"EBITDA",AJ$6:AJ$36),"")</f>
        <v/>
      </c>
      <c r="K47" s="79" t="str">
        <f>IF(AK$4,SUMIF($A$6:$A$36,"EBITDA",AK$6:AK$36),"")</f>
        <v/>
      </c>
      <c r="L47" s="79">
        <f>IF(AL$4,SUMIF($A$6:$A$36,"EBITDA",AL$6:AL$36),"")</f>
        <v>505.90588577359</v>
      </c>
      <c r="M47" s="79" t="str">
        <f>IF(AM$4,SUMIF($A$6:$A$36,"EBITDA",AM$6:AM$36),"")</f>
        <v/>
      </c>
      <c r="N47" s="79" t="str">
        <f>IF(AN$4,SUMIF($A$6:$A$36,"EBITDA",AN$6:AN$36),"")</f>
        <v/>
      </c>
      <c r="O47" s="79" t="str">
        <f>IF(AO$4,SUMIF($A$6:$A$36,"EBITDA",AO$6:AO$36),"")</f>
        <v/>
      </c>
    </row>
    <row r="48">
      <c r="A48" s="8" t="inlineStr">
        <is>
          <t>Σ|ACT| — EBITDA</t>
        </is>
      </c>
      <c r="D48" s="79" t="str">
        <f>IF(AD$4,SUMIF($A$6:$A$36,"EBITDA",AQ$6:AQ$36),"")</f>
        <v/>
      </c>
      <c r="E48" s="79" t="str">
        <f>IF(AE$4,SUMIF($A$6:$A$36,"EBITDA",AR$6:AR$36),"")</f>
        <v/>
      </c>
      <c r="F48" s="79" t="str">
        <f>IF(AF$4,SUMIF($A$6:$A$36,"EBITDA",AS$6:AS$36),"")</f>
        <v/>
      </c>
      <c r="G48" s="79" t="str">
        <f>IF(AG$4,SUMIF($A$6:$A$36,"EBITDA",AT$6:AT$36),"")</f>
        <v/>
      </c>
      <c r="H48" s="79" t="str">
        <f>IF(AH$4,SUMIF($A$6:$A$36,"EBITDA",AU$6:AU$36),"")</f>
        <v/>
      </c>
      <c r="I48" s="79" t="str">
        <f>IF(AI$4,SUMIF($A$6:$A$36,"EBITDA",AV$6:AV$36),"")</f>
        <v/>
      </c>
      <c r="J48" s="79" t="str">
        <f>IF(AJ$4,SUMIF($A$6:$A$36,"EBITDA",AW$6:AW$36),"")</f>
        <v/>
      </c>
      <c r="K48" s="79" t="str">
        <f>IF(AK$4,SUMIF($A$6:$A$36,"EBITDA",AX$6:AX$36),"")</f>
        <v/>
      </c>
      <c r="L48" s="79">
        <f>IF(AL$4,SUMIF($A$6:$A$36,"EBITDA",AY$6:AY$36),"")</f>
        <v>1126.41053241814</v>
      </c>
      <c r="M48" s="79" t="str">
        <f>IF(AM$4,SUMIF($A$6:$A$36,"EBITDA",AZ$6:AZ$36),"")</f>
        <v/>
      </c>
      <c r="N48" s="79" t="str">
        <f>IF(AN$4,SUMIF($A$6:$A$36,"EBITDA",BA$6:BA$36),"")</f>
        <v/>
      </c>
      <c r="O48" s="79" t="str">
        <f>IF(AO$4,SUMIF($A$6:$A$36,"EBITDA",BB$6:BB$36),"")</f>
        <v/>
      </c>
    </row>
    <row r="50">
      <c r="A50" s="11" t="inlineStr">
        <is>
          <t>Точность — Gross Revenue итого</t>
        </is>
      </c>
      <c r="D50" s="80" t="str">
        <f>IF(AD$4,IF(D40=0,"",1-D39/D40),"")</f>
        <v/>
      </c>
      <c r="E50" s="80" t="str">
        <f>IF(AE$4,IF(E40=0,"",1-E39/E40),"")</f>
        <v/>
      </c>
      <c r="F50" s="80" t="str">
        <f>IF(AF$4,IF(F40=0,"",1-F39/F40),"")</f>
        <v/>
      </c>
      <c r="G50" s="80" t="str">
        <f>IF(AG$4,IF(G40=0,"",1-G39/G40),"")</f>
        <v/>
      </c>
      <c r="H50" s="80" t="str">
        <f>IF(AH$4,IF(H40=0,"",1-H39/H40),"")</f>
        <v/>
      </c>
      <c r="I50" s="80" t="str">
        <f>IF(AI$4,IF(I40=0,"",1-I39/I40),"")</f>
        <v/>
      </c>
      <c r="J50" s="80" t="str">
        <f>IF(AJ$4,IF(J40=0,"",1-J39/J40),"")</f>
        <v/>
      </c>
      <c r="K50" s="80" t="str">
        <f>IF(AK$4,IF(K40=0,"",1-K39/K40),"")</f>
        <v/>
      </c>
      <c r="L50" s="80">
        <f>IF(AL$4,IF(L40=0,"",1-L39/L40),"")</f>
        <v>0.951831474750573</v>
      </c>
      <c r="M50" s="80" t="str">
        <f>IF(AM$4,IF(M40=0,"",1-M39/M40),"")</f>
        <v/>
      </c>
      <c r="N50" s="80" t="str">
        <f>IF(AN$4,IF(N40=0,"",1-N39/N40),"")</f>
        <v/>
      </c>
      <c r="O50" s="80" t="str">
        <f>IF(AO$4,IF(O40=0,"",1-O39/O40),"")</f>
        <v/>
      </c>
    </row>
    <row r="51">
      <c r="A51" s="11" t="inlineStr">
        <is>
          <t>Точность — Выручка по направлениям</t>
        </is>
      </c>
      <c r="D51" s="80" t="str">
        <f>IF(AD$4,IF(D42=0,"",1-D41/D42),"")</f>
        <v/>
      </c>
      <c r="E51" s="80" t="str">
        <f>IF(AE$4,IF(E42=0,"",1-E41/E42),"")</f>
        <v/>
      </c>
      <c r="F51" s="80" t="str">
        <f>IF(AF$4,IF(F42=0,"",1-F41/F42),"")</f>
        <v/>
      </c>
      <c r="G51" s="80" t="str">
        <f>IF(AG$4,IF(G42=0,"",1-G41/G42),"")</f>
        <v/>
      </c>
      <c r="H51" s="80" t="str">
        <f>IF(AH$4,IF(H42=0,"",1-H41/H42),"")</f>
        <v/>
      </c>
      <c r="I51" s="80" t="str">
        <f>IF(AI$4,IF(I42=0,"",1-I41/I42),"")</f>
        <v/>
      </c>
      <c r="J51" s="80" t="str">
        <f>IF(AJ$4,IF(J42=0,"",1-J41/J42),"")</f>
        <v/>
      </c>
      <c r="K51" s="80" t="str">
        <f>IF(AK$4,IF(K42=0,"",1-K41/K42),"")</f>
        <v/>
      </c>
      <c r="L51" s="80">
        <f>IF(AL$4,IF(L42=0,"",1-L41/L42),"")</f>
        <v>0.217437487233645</v>
      </c>
      <c r="M51" s="80" t="str">
        <f>IF(AM$4,IF(M42=0,"",1-M41/M42),"")</f>
        <v/>
      </c>
      <c r="N51" s="80" t="str">
        <f>IF(AN$4,IF(N42=0,"",1-N41/N42),"")</f>
        <v/>
      </c>
      <c r="O51" s="80" t="str">
        <f>IF(AO$4,IF(O42=0,"",1-O41/O42),"")</f>
        <v/>
      </c>
    </row>
    <row r="52">
      <c r="A52" s="11" t="inlineStr">
        <is>
          <t>Точность — Все статьи (выручка + расходы + Capex)</t>
        </is>
      </c>
      <c r="D52" s="80" t="str">
        <f>IF(AD$4,IF(D44=0,"",1-D43/D44),"")</f>
        <v/>
      </c>
      <c r="E52" s="80" t="str">
        <f>IF(AE$4,IF(E44=0,"",1-E43/E44),"")</f>
        <v/>
      </c>
      <c r="F52" s="80" t="str">
        <f>IF(AF$4,IF(F44=0,"",1-F43/F44),"")</f>
        <v/>
      </c>
      <c r="G52" s="80" t="str">
        <f>IF(AG$4,IF(G44=0,"",1-G43/G44),"")</f>
        <v/>
      </c>
      <c r="H52" s="80" t="str">
        <f>IF(AH$4,IF(H44=0,"",1-H43/H44),"")</f>
        <v/>
      </c>
      <c r="I52" s="80" t="str">
        <f>IF(AI$4,IF(I44=0,"",1-I43/I44),"")</f>
        <v/>
      </c>
      <c r="J52" s="80" t="str">
        <f>IF(AJ$4,IF(J44=0,"",1-J43/J44),"")</f>
        <v/>
      </c>
      <c r="K52" s="80" t="str">
        <f>IF(AK$4,IF(K44=0,"",1-K43/K44),"")</f>
        <v/>
      </c>
      <c r="L52" s="80">
        <f>IF(AL$4,IF(L44=0,"",1-L43/L44),"")</f>
        <v>0.0680449006741576</v>
      </c>
      <c r="M52" s="80" t="str">
        <f>IF(AM$4,IF(M44=0,"",1-M43/M44),"")</f>
        <v/>
      </c>
      <c r="N52" s="80" t="str">
        <f>IF(AN$4,IF(N44=0,"",1-N43/N44),"")</f>
        <v/>
      </c>
      <c r="O52" s="80" t="str">
        <f>IF(AO$4,IF(O44=0,"",1-O43/O44),"")</f>
        <v/>
      </c>
    </row>
    <row r="53">
      <c r="A53" s="11" t="inlineStr">
        <is>
          <t>Точность — Сегменты выручки</t>
        </is>
      </c>
      <c r="D53" s="80" t="str">
        <f>IF(AD$4,IF(D46=0,"",1-D45/D46),"")</f>
        <v/>
      </c>
      <c r="E53" s="80" t="str">
        <f>IF(AE$4,IF(E46=0,"",1-E45/E46),"")</f>
        <v/>
      </c>
      <c r="F53" s="80" t="str">
        <f>IF(AF$4,IF(F46=0,"",1-F45/F46),"")</f>
        <v/>
      </c>
      <c r="G53" s="80" t="str">
        <f>IF(AG$4,IF(G46=0,"",1-G45/G46),"")</f>
        <v/>
      </c>
      <c r="H53" s="80" t="str">
        <f>IF(AH$4,IF(H46=0,"",1-H45/H46),"")</f>
        <v/>
      </c>
      <c r="I53" s="80" t="str">
        <f>IF(AI$4,IF(I46=0,"",1-I45/I46),"")</f>
        <v/>
      </c>
      <c r="J53" s="80" t="str">
        <f>IF(AJ$4,IF(J46=0,"",1-J45/J46),"")</f>
        <v/>
      </c>
      <c r="K53" s="80" t="str">
        <f>IF(AK$4,IF(K46=0,"",1-K45/K46),"")</f>
        <v/>
      </c>
      <c r="L53" s="80">
        <f>IF(AL$4,IF(L46=0,"",1-L45/L46),"")</f>
        <v>0.432327778701947</v>
      </c>
      <c r="M53" s="80" t="str">
        <f>IF(AM$4,IF(M46=0,"",1-M45/M46),"")</f>
        <v/>
      </c>
      <c r="N53" s="80" t="str">
        <f>IF(AN$4,IF(N46=0,"",1-N45/N46),"")</f>
        <v/>
      </c>
      <c r="O53" s="80" t="str">
        <f>IF(AO$4,IF(O46=0,"",1-O45/O46),"")</f>
        <v/>
      </c>
    </row>
    <row r="54">
      <c r="A54" s="11" t="inlineStr">
        <is>
          <t>Точность — EBITDA</t>
        </is>
      </c>
      <c r="D54" s="80" t="str">
        <f>IF(AD$4,IF(D48=0,"",1-D47/D48),"")</f>
        <v/>
      </c>
      <c r="E54" s="80" t="str">
        <f>IF(AE$4,IF(E48=0,"",1-E47/E48),"")</f>
        <v/>
      </c>
      <c r="F54" s="80" t="str">
        <f>IF(AF$4,IF(F48=0,"",1-F47/F48),"")</f>
        <v/>
      </c>
      <c r="G54" s="80" t="str">
        <f>IF(AG$4,IF(G48=0,"",1-G47/G48),"")</f>
        <v/>
      </c>
      <c r="H54" s="80" t="str">
        <f>IF(AH$4,IF(H48=0,"",1-H47/H48),"")</f>
        <v/>
      </c>
      <c r="I54" s="80" t="str">
        <f>IF(AI$4,IF(I48=0,"",1-I47/I48),"")</f>
        <v/>
      </c>
      <c r="J54" s="80" t="str">
        <f>IF(AJ$4,IF(J48=0,"",1-J47/J48),"")</f>
        <v/>
      </c>
      <c r="K54" s="80" t="str">
        <f>IF(AK$4,IF(K48=0,"",1-K47/K48),"")</f>
        <v/>
      </c>
      <c r="L54" s="80">
        <f>IF(AL$4,IF(L48=0,"",1-L47/L48),"")</f>
        <v>0.550869002718283</v>
      </c>
      <c r="M54" s="80" t="str">
        <f>IF(AM$4,IF(M48=0,"",1-M47/M48),"")</f>
        <v/>
      </c>
      <c r="N54" s="80" t="str">
        <f>IF(AN$4,IF(N48=0,"",1-N47/N48),"")</f>
        <v/>
      </c>
      <c r="O54" s="80" t="str">
        <f>IF(AO$4,IF(O48=0,"",1-O47/O48),"")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AdTech FP&amp;A</dc:creator>
  <dc:title xmlns:dc="http://purl.org/dc/elements/1.1/">Контроль точности прогноза AdTech (ACT vs CTRL)</dc:title>
  <dcterms:created xmlns:dcterms="http://purl.org/dc/terms/" xmlns:xsi="http://www.w3.org/2001/XMLSchema-instance" xsi:type="dcterms:W3CDTF">2026-10-27T12:51:12Z</dcterms:created>
  <dcterms:modified xmlns:dcterms="http://purl.org/dc/terms/" xmlns:xsi="http://www.w3.org/2001/XMLSchema-instance" xsi:type="dcterms:W3CDTF">2026-10-27T12:51:12Z</dcterms:modified>
</cp:coreProperties>
</file>