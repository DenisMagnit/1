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егментный PL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-* #,##0_-;\-* #,##0_-;_-* \-??_-;_-@_-"/>
    <numFmt numFmtId="165" formatCode="_(* #,##0.00_);_(* \(#,##0.00\);_(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rgb="FF002060"/>
      <sz val="10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theme="8" tint="0.7998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theme="7" tint="0.7998"/>
        <bgColor rgb="FFFBE5D6"/>
      </patternFill>
    </fill>
    <fill>
      <patternFill patternType="solid">
        <fgColor theme="5" tint="0.7998"/>
        <bgColor rgb="FFFFF2CC"/>
      </patternFill>
    </fill>
    <fill>
      <patternFill patternType="solid">
        <fgColor theme="0" tint="-0.05"/>
        <bgColor rgb="FFDEEBF7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dashed"/>
      <bottom style="dashed"/>
      <diagonal/>
    </border>
    <border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>
      <left style="hair">
        <color theme="0" tint="-0.35"/>
      </left>
      <right style="hair">
        <color theme="0" tint="-0.35"/>
      </right>
      <top/>
      <bottom/>
      <diagonal/>
    </border>
    <border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</borders>
  <cellStyleXfs count="6">
    <xf numFmtId="0" fontId="0" fillId="0" borderId="0" applyAlignment="1">
      <alignment horizontal="general" vertical="bottom"/>
    </xf>
    <xf numFmtId="165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15">
      <alignment horizontal="general" vertical="bottom"/>
    </xf>
    <xf numFmtId="164" fontId="4" fillId="2" borderId="0" applyAlignment="1" pivotButton="0" quotePrefix="0" xfId="15">
      <alignment horizontal="center" vertical="center"/>
    </xf>
    <xf numFmtId="164" fontId="4" fillId="3" borderId="0" applyAlignment="1" pivotButton="0" quotePrefix="0" xfId="15">
      <alignment horizontal="center" vertical="center"/>
    </xf>
    <xf numFmtId="164" fontId="4" fillId="4" borderId="0" applyAlignment="1" pivotButton="0" quotePrefix="0" xfId="15">
      <alignment horizontal="right" vertical="center"/>
    </xf>
    <xf numFmtId="164" fontId="4" fillId="5" borderId="0" applyAlignment="1" pivotButton="0" quotePrefix="0" xfId="15">
      <alignment horizontal="right" vertical="center"/>
    </xf>
    <xf numFmtId="164" fontId="5" fillId="0" borderId="0" applyAlignment="1" pivotButton="0" quotePrefix="0" xfId="15">
      <alignment horizontal="center" vertical="center"/>
    </xf>
    <xf numFmtId="164" fontId="5" fillId="0" borderId="0" applyAlignment="1" pivotButton="0" quotePrefix="0" xfId="15">
      <alignment horizontal="right" vertical="center"/>
    </xf>
    <xf numFmtId="164" fontId="5" fillId="5" borderId="0" applyAlignment="1" pivotButton="0" quotePrefix="0" xfId="15">
      <alignment horizontal="right" vertical="bottom"/>
    </xf>
    <xf numFmtId="164" fontId="5" fillId="0" borderId="0" applyAlignment="1" pivotButton="0" quotePrefix="0" xfId="15">
      <alignment horizontal="right" vertical="bottom"/>
    </xf>
    <xf numFmtId="164" fontId="6" fillId="6" borderId="1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left" vertical="top" indent="2"/>
    </xf>
    <xf numFmtId="164" fontId="6" fillId="5" borderId="1" applyAlignment="1" pivotButton="0" quotePrefix="0" xfId="15">
      <alignment horizontal="left" vertical="top" indent="2"/>
    </xf>
    <xf numFmtId="164" fontId="4" fillId="0" borderId="0" applyAlignment="1" pivotButton="0" quotePrefix="0" xfId="15">
      <alignment horizontal="left" vertical="bottom"/>
    </xf>
    <xf numFmtId="164" fontId="4" fillId="5" borderId="0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left" vertical="bottom"/>
    </xf>
    <xf numFmtId="164" fontId="6" fillId="5" borderId="1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right" vertical="bottom"/>
    </xf>
    <xf numFmtId="164" fontId="5" fillId="7" borderId="2" applyAlignment="1" pivotButton="0" quotePrefix="0" xfId="15">
      <alignment horizontal="left" vertical="bottom"/>
    </xf>
    <xf numFmtId="164" fontId="4" fillId="0" borderId="3" applyAlignment="1" pivotButton="0" quotePrefix="0" xfId="15">
      <alignment horizontal="general" vertical="bottom"/>
    </xf>
    <xf numFmtId="164" fontId="4" fillId="5" borderId="2" applyAlignment="1" pivotButton="0" quotePrefix="0" xfId="15">
      <alignment horizontal="right" vertical="bottom"/>
    </xf>
    <xf numFmtId="164" fontId="4" fillId="0" borderId="2" applyAlignment="1" pivotButton="0" quotePrefix="0" xfId="15">
      <alignment horizontal="right" vertical="bottom"/>
    </xf>
    <xf numFmtId="164" fontId="5" fillId="7" borderId="4" applyAlignment="1" pivotButton="0" quotePrefix="0" xfId="15">
      <alignment horizontal="left" vertical="bottom"/>
    </xf>
    <xf numFmtId="164" fontId="4" fillId="0" borderId="2" applyAlignment="1" pivotButton="0" quotePrefix="0" xfId="15">
      <alignment horizontal="general" vertical="bottom"/>
    </xf>
    <xf numFmtId="164" fontId="5" fillId="0" borderId="4" applyAlignment="1" pivotButton="0" quotePrefix="0" xfId="15">
      <alignment horizontal="left" vertical="bottom"/>
    </xf>
    <xf numFmtId="164" fontId="4" fillId="0" borderId="4" applyAlignment="1" pivotButton="0" quotePrefix="0" xfId="15">
      <alignment horizontal="right" vertical="bottom"/>
    </xf>
    <xf numFmtId="164" fontId="0" fillId="0" borderId="0" applyAlignment="1" pivotButton="0" quotePrefix="0" xfId="15">
      <alignment horizontal="general" vertical="bottom"/>
    </xf>
    <xf numFmtId="164" fontId="0" fillId="5" borderId="0" applyAlignment="1" pivotButton="0" quotePrefix="0" xfId="15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6" fillId="8" borderId="1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15">
      <alignment horizontal="general" vertical="bottom"/>
    </xf>
    <xf numFmtId="164" fontId="4" fillId="2" borderId="0" applyAlignment="1" pivotButton="0" quotePrefix="0" xfId="15">
      <alignment horizontal="center" vertical="center"/>
    </xf>
    <xf numFmtId="164" fontId="4" fillId="3" borderId="0" applyAlignment="1" pivotButton="0" quotePrefix="0" xfId="15">
      <alignment horizontal="center" vertical="center"/>
    </xf>
    <xf numFmtId="164" fontId="4" fillId="4" borderId="0" applyAlignment="1" pivotButton="0" quotePrefix="0" xfId="15">
      <alignment horizontal="right" vertical="center"/>
    </xf>
    <xf numFmtId="164" fontId="4" fillId="5" borderId="0" applyAlignment="1" pivotButton="0" quotePrefix="0" xfId="15">
      <alignment horizontal="right" vertical="center"/>
    </xf>
    <xf numFmtId="164" fontId="5" fillId="0" borderId="0" applyAlignment="1" pivotButton="0" quotePrefix="0" xfId="15">
      <alignment horizontal="center" vertical="center"/>
    </xf>
    <xf numFmtId="164" fontId="5" fillId="0" borderId="0" applyAlignment="1" pivotButton="0" quotePrefix="0" xfId="15">
      <alignment horizontal="right" vertical="center"/>
    </xf>
    <xf numFmtId="164" fontId="5" fillId="5" borderId="0" applyAlignment="1" pivotButton="0" quotePrefix="0" xfId="15">
      <alignment horizontal="right" vertical="bottom"/>
    </xf>
    <xf numFmtId="164" fontId="5" fillId="0" borderId="0" applyAlignment="1" pivotButton="0" quotePrefix="0" xfId="15">
      <alignment horizontal="right" vertical="bottom"/>
    </xf>
    <xf numFmtId="164" fontId="6" fillId="6" borderId="1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left" vertical="top" indent="2"/>
    </xf>
    <xf numFmtId="164" fontId="6" fillId="5" borderId="1" applyAlignment="1" pivotButton="0" quotePrefix="0" xfId="15">
      <alignment horizontal="left" vertical="top" indent="2"/>
    </xf>
    <xf numFmtId="164" fontId="4" fillId="0" borderId="0" applyAlignment="1" pivotButton="0" quotePrefix="0" xfId="15">
      <alignment horizontal="left" vertical="bottom"/>
    </xf>
    <xf numFmtId="164" fontId="4" fillId="5" borderId="0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left" vertical="bottom"/>
    </xf>
    <xf numFmtId="164" fontId="6" fillId="5" borderId="1" applyAlignment="1" pivotButton="0" quotePrefix="0" xfId="15">
      <alignment horizontal="general" vertical="bottom"/>
    </xf>
    <xf numFmtId="164" fontId="6" fillId="6" borderId="1" applyAlignment="1" pivotButton="0" quotePrefix="0" xfId="15">
      <alignment horizontal="right" vertical="bottom"/>
    </xf>
    <xf numFmtId="164" fontId="5" fillId="7" borderId="2" applyAlignment="1" pivotButton="0" quotePrefix="0" xfId="15">
      <alignment horizontal="left" vertical="bottom"/>
    </xf>
    <xf numFmtId="164" fontId="4" fillId="0" borderId="3" applyAlignment="1" pivotButton="0" quotePrefix="0" xfId="15">
      <alignment horizontal="general" vertical="bottom"/>
    </xf>
    <xf numFmtId="164" fontId="4" fillId="5" borderId="2" applyAlignment="1" pivotButton="0" quotePrefix="0" xfId="15">
      <alignment horizontal="right" vertical="bottom"/>
    </xf>
    <xf numFmtId="164" fontId="4" fillId="0" borderId="2" applyAlignment="1" pivotButton="0" quotePrefix="0" xfId="15">
      <alignment horizontal="right" vertical="bottom"/>
    </xf>
    <xf numFmtId="164" fontId="5" fillId="7" borderId="4" applyAlignment="1" pivotButton="0" quotePrefix="0" xfId="15">
      <alignment horizontal="left" vertical="bottom"/>
    </xf>
    <xf numFmtId="164" fontId="4" fillId="0" borderId="2" applyAlignment="1" pivotButton="0" quotePrefix="0" xfId="15">
      <alignment horizontal="general" vertical="bottom"/>
    </xf>
    <xf numFmtId="164" fontId="5" fillId="0" borderId="4" applyAlignment="1" pivotButton="0" quotePrefix="0" xfId="15">
      <alignment horizontal="left" vertical="bottom"/>
    </xf>
    <xf numFmtId="164" fontId="4" fillId="0" borderId="4" applyAlignment="1" pivotButton="0" quotePrefix="0" xfId="15">
      <alignment horizontal="right" vertical="bottom"/>
    </xf>
    <xf numFmtId="164" fontId="0" fillId="0" borderId="0" applyAlignment="1" pivotButton="0" quotePrefix="0" xfId="15">
      <alignment horizontal="general" vertical="bottom"/>
    </xf>
    <xf numFmtId="164" fontId="0" fillId="5" borderId="0" applyAlignment="1" pivotButton="0" quotePrefix="0" xfId="15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4" fontId="6" fillId="8" borderId="1" applyAlignment="1" pivotButton="0" quotePrefix="0" xfId="15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2F2F2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I5" authorId="0" shapeId="0">
      <text>
        <t>Бабкин Денис Владимирович:
Источник: Master File FPA AdTech August v.1 (ласт масетр).xlsx, лист ЗФ, столб. J (Авг.2026 факт), 30.09.2026. Выручка I5:I12 = ЗФ!J55:J62.</t>
      </text>
    </comment>
    <comment ref="J5" authorId="0" shapeId="0">
      <text>
        <t>Бабкин Денис Владимирович:
Источник: Master File FPA AdTech August v.1 (ласт масетр).xlsx, лист ЗФ, столбцы K:N (прогноз сен–дек 2026), 30.09.2026. Группировка OPEX: Marketing=80+87+88, Other OPEX=89+91; знак CAPEX инвертирован.</t>
      </text>
    </comment>
    <comment ref="I14" authorId="0" shapeId="0">
      <text>
        <t>Бабкин Денис Владимирович:
Источник: Master File FPA AdTech August v.1 (ласт масетр).xlsx, лист ЗФ, столб. J. Ссылки на Model.xlsx ACT OPEX недоступны (#REF!), поэтому вбиты значения: PEX=J64, Other PEX=J79, Marketing=J80+J87+J88, Other OPEX=J89+J91, IT=J90. Июль по PEX/Other PEX между источниками расходится на ~26 млн.</t>
      </text>
    </comment>
    <comment ref="I21" authorId="0" shapeId="0">
      <text>
        <t>Бабкин Денис Владимирович:
Источник: Master File FPA AdTech August v.1 (ласт масетр).xlsx, лист ЗФ, J96/J97 (знак инвертирован).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Q45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7" activeCellId="0" sqref="A17"/>
    </sheetView>
  </sheetViews>
  <sheetFormatPr baseColWidth="8" defaultColWidth="8.83203125" defaultRowHeight="15" zeroHeight="0" outlineLevelRow="1"/>
  <cols>
    <col width="58" customWidth="1" style="33" min="1" max="1"/>
    <col width="16.16" customWidth="1" style="33" min="2" max="14"/>
    <col width="3.67" customWidth="1" style="33" min="15" max="15"/>
    <col width="9.51" customWidth="1" style="33" min="16" max="16"/>
    <col width="10.83" customWidth="1" style="33" min="17" max="17"/>
  </cols>
  <sheetData>
    <row r="1" ht="15" customHeight="1" s="34">
      <c r="B1" s="35" t="n"/>
      <c r="C1" s="35" t="n"/>
      <c r="D1" s="35" t="n"/>
      <c r="E1" s="35" t="n"/>
      <c r="F1" s="35" t="n"/>
      <c r="G1" s="35" t="n"/>
      <c r="H1" s="35" t="n"/>
    </row>
    <row r="2" ht="15" customHeight="1" s="34">
      <c r="A2" s="36" t="n"/>
      <c r="B2" s="37" t="inlineStr">
        <is>
          <t>Факт</t>
        </is>
      </c>
      <c r="C2" s="37" t="inlineStr">
        <is>
          <t>Факт</t>
        </is>
      </c>
      <c r="D2" s="37" t="inlineStr">
        <is>
          <t>Факт</t>
        </is>
      </c>
      <c r="E2" s="37" t="inlineStr">
        <is>
          <t>Факт</t>
        </is>
      </c>
      <c r="F2" s="37" t="inlineStr">
        <is>
          <t>Факт</t>
        </is>
      </c>
      <c r="G2" s="37" t="inlineStr">
        <is>
          <t>Факт</t>
        </is>
      </c>
      <c r="H2" s="37" t="inlineStr">
        <is>
          <t>Факт</t>
        </is>
      </c>
      <c r="I2" s="37" t="inlineStr">
        <is>
          <t>Факт</t>
        </is>
      </c>
      <c r="J2" s="38" t="inlineStr">
        <is>
          <t>Факт</t>
        </is>
      </c>
      <c r="K2" s="39" t="inlineStr">
        <is>
          <t>Прогноз</t>
        </is>
      </c>
      <c r="L2" s="39" t="inlineStr">
        <is>
          <t>Прогноз</t>
        </is>
      </c>
      <c r="M2" s="39" t="inlineStr">
        <is>
          <t>Прогноз</t>
        </is>
      </c>
      <c r="N2" s="40" t="inlineStr">
        <is>
          <t>Прогноз</t>
        </is>
      </c>
      <c r="O2" s="36" t="n"/>
      <c r="P2" s="37" t="inlineStr">
        <is>
          <t>Факт</t>
        </is>
      </c>
      <c r="Q2" s="39" t="inlineStr">
        <is>
          <t>Прогноз</t>
        </is>
      </c>
    </row>
    <row r="3" ht="15" customHeight="1" s="34">
      <c r="A3" s="36" t="n"/>
      <c r="B3" s="41" t="inlineStr">
        <is>
          <t>Январь</t>
        </is>
      </c>
      <c r="C3" s="41" t="inlineStr">
        <is>
          <t>Февраль</t>
        </is>
      </c>
      <c r="D3" s="41" t="inlineStr">
        <is>
          <t>Март</t>
        </is>
      </c>
      <c r="E3" s="42" t="inlineStr">
        <is>
          <t>Апрель</t>
        </is>
      </c>
      <c r="F3" s="42" t="inlineStr">
        <is>
          <t xml:space="preserve">Май </t>
        </is>
      </c>
      <c r="G3" s="42" t="inlineStr">
        <is>
          <t>Июнь</t>
        </is>
      </c>
      <c r="H3" s="42" t="inlineStr">
        <is>
          <t>Июль</t>
        </is>
      </c>
      <c r="I3" s="42" t="inlineStr">
        <is>
          <t>Август</t>
        </is>
      </c>
      <c r="J3" s="42" t="inlineStr">
        <is>
          <t>Сентябрь</t>
        </is>
      </c>
      <c r="K3" s="42" t="inlineStr">
        <is>
          <t>Октябрь</t>
        </is>
      </c>
      <c r="L3" s="42" t="inlineStr">
        <is>
          <t>Ноябрь</t>
        </is>
      </c>
      <c r="M3" s="42" t="inlineStr">
        <is>
          <t>Декабрь</t>
        </is>
      </c>
      <c r="N3" s="43" t="inlineStr">
        <is>
          <t>Итого</t>
        </is>
      </c>
      <c r="O3" s="36" t="n"/>
      <c r="P3" s="44" t="inlineStr">
        <is>
          <t>9m</t>
        </is>
      </c>
      <c r="Q3" s="44" t="inlineStr">
        <is>
          <t>YTG</t>
        </is>
      </c>
    </row>
    <row r="4" ht="15" customHeight="1" s="34">
      <c r="A4" s="45" t="inlineStr">
        <is>
          <t>Выручка (бэки, маркетинг)</t>
        </is>
      </c>
      <c r="B4" s="46">
        <f>SUM(B5:B12)</f>
        <v/>
      </c>
      <c r="C4" s="46">
        <f>SUM(C5:C12)</f>
        <v/>
      </c>
      <c r="D4" s="46">
        <f>SUM(D5:D12)</f>
        <v/>
      </c>
      <c r="E4" s="46">
        <f>SUM(E5:E12)</f>
        <v/>
      </c>
      <c r="F4" s="46">
        <f>SUM(F5:F12)</f>
        <v/>
      </c>
      <c r="G4" s="46">
        <f>SUM(G5:G12)</f>
        <v/>
      </c>
      <c r="H4" s="46">
        <f>SUM(H5:H12)</f>
        <v/>
      </c>
      <c r="I4" s="46">
        <f>SUM(I5:I12)</f>
        <v/>
      </c>
      <c r="J4" s="46">
        <f>SUM(J5:J12)</f>
        <v/>
      </c>
      <c r="K4" s="46">
        <f>SUM(K5:K12)</f>
        <v/>
      </c>
      <c r="L4" s="46">
        <f>SUM(L5:L12)</f>
        <v/>
      </c>
      <c r="M4" s="46">
        <f>SUM(M5:M12)</f>
        <v/>
      </c>
      <c r="N4" s="47">
        <f>SUM(B4:M4)</f>
        <v/>
      </c>
      <c r="O4" s="36" t="n"/>
      <c r="P4" s="46">
        <f>SUM(B4:J4)</f>
        <v/>
      </c>
      <c r="Q4" s="46">
        <f>N4-P4</f>
        <v/>
      </c>
    </row>
    <row r="5" ht="15" customHeight="1" s="34">
      <c r="A5" s="48" t="inlineStr">
        <is>
          <t>Еком/Поставщики/База</t>
        </is>
      </c>
      <c r="B5" s="36" t="n">
        <v>333.78</v>
      </c>
      <c r="C5" s="36" t="n">
        <v>301.48</v>
      </c>
      <c r="D5" s="36" t="n">
        <v>333.78</v>
      </c>
      <c r="E5" s="36" t="n">
        <v>323.01</v>
      </c>
      <c r="F5" s="36" t="n">
        <v>333.78</v>
      </c>
      <c r="G5" s="36" t="n">
        <v>323.01</v>
      </c>
      <c r="H5" s="36" t="n">
        <v>333.78</v>
      </c>
      <c r="I5" s="36" t="n">
        <v>333.78</v>
      </c>
      <c r="J5" s="36" t="n">
        <v>323.01</v>
      </c>
      <c r="K5" s="36" t="n">
        <v>333.78</v>
      </c>
      <c r="L5" s="36" t="n">
        <v>323.01</v>
      </c>
      <c r="M5" s="36" t="n">
        <v>333.78</v>
      </c>
      <c r="N5" s="49">
        <f>SUM(B5:M5)</f>
        <v/>
      </c>
      <c r="O5" s="36" t="n"/>
      <c r="P5" s="36">
        <f>SUM(B5:J5)</f>
        <v/>
      </c>
      <c r="Q5" s="36">
        <f>N5-P5</f>
        <v/>
      </c>
    </row>
    <row r="6" ht="15" customHeight="1" s="34">
      <c r="A6" s="48" t="inlineStr">
        <is>
          <t>Еком/Поставщики/Инкремент</t>
        </is>
      </c>
      <c r="B6" s="36" t="n">
        <v>-215.09</v>
      </c>
      <c r="C6" s="36" t="n">
        <v>-64.98</v>
      </c>
      <c r="D6" s="36" t="n">
        <v>-95.13</v>
      </c>
      <c r="E6" s="36" t="n">
        <v>-60.67</v>
      </c>
      <c r="F6" s="36" t="n">
        <v>-11.95</v>
      </c>
      <c r="G6" s="36" t="n">
        <v>169.33</v>
      </c>
      <c r="H6" s="36" t="n">
        <v>80.63</v>
      </c>
      <c r="I6" s="36" t="n">
        <v>27.58</v>
      </c>
      <c r="J6" s="36" t="n">
        <v>65.54000000000001</v>
      </c>
      <c r="K6" s="36" t="n">
        <v>162.09</v>
      </c>
      <c r="L6" s="36" t="n">
        <v>385.63</v>
      </c>
      <c r="M6" s="36" t="n">
        <v>692.38</v>
      </c>
      <c r="N6" s="49">
        <f>SUM(B6:M6)</f>
        <v/>
      </c>
      <c r="O6" s="36" t="n"/>
      <c r="P6" s="36">
        <f>SUM(B6:J6)</f>
        <v/>
      </c>
      <c r="Q6" s="36">
        <f>N6-P6</f>
        <v/>
      </c>
    </row>
    <row r="7" ht="15" customHeight="1" s="34">
      <c r="A7" s="48" t="inlineStr">
        <is>
          <t xml:space="preserve">Еком/Не поставщики/База </t>
        </is>
      </c>
      <c r="B7" s="36" t="n">
        <v>0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49">
        <f>SUM(B7:M7)</f>
        <v/>
      </c>
      <c r="O7" s="36" t="n"/>
      <c r="P7" s="36">
        <f>SUM(B7:J7)</f>
        <v/>
      </c>
      <c r="Q7" s="36">
        <f>N7-P7</f>
        <v/>
      </c>
    </row>
    <row r="8" ht="15" customHeight="1" s="34">
      <c r="A8" s="48" t="inlineStr">
        <is>
          <t>Еком/Не поставщики/Инкремент</t>
        </is>
      </c>
      <c r="B8" s="36" t="n">
        <v>26.56</v>
      </c>
      <c r="C8" s="36" t="n">
        <v>39.92</v>
      </c>
      <c r="D8" s="36" t="n">
        <v>45.32</v>
      </c>
      <c r="E8" s="36" t="n">
        <v>84.63</v>
      </c>
      <c r="F8" s="36" t="n">
        <v>74.86</v>
      </c>
      <c r="G8" s="36" t="n">
        <v>62.03</v>
      </c>
      <c r="H8" s="36" t="n">
        <v>73.61</v>
      </c>
      <c r="I8" s="36" t="n">
        <v>39.31</v>
      </c>
      <c r="J8" s="36" t="n">
        <v>69.44</v>
      </c>
      <c r="K8" s="36" t="n">
        <v>64.19</v>
      </c>
      <c r="L8" s="36" t="n">
        <v>101.19</v>
      </c>
      <c r="M8" s="36" t="n">
        <v>128.23</v>
      </c>
      <c r="N8" s="49">
        <f>SUM(B8:M8)</f>
        <v/>
      </c>
      <c r="O8" s="36" t="n"/>
      <c r="P8" s="36">
        <f>SUM(B8:J8)</f>
        <v/>
      </c>
      <c r="Q8" s="36">
        <f>N8-P8</f>
        <v/>
      </c>
    </row>
    <row r="9" ht="15" customHeight="1" s="34">
      <c r="A9" s="48" t="inlineStr">
        <is>
          <t xml:space="preserve">Не еком/Поставщики/База </t>
        </is>
      </c>
      <c r="B9" s="36" t="n">
        <v>73.37</v>
      </c>
      <c r="C9" s="36" t="n">
        <v>112.33</v>
      </c>
      <c r="D9" s="36" t="n">
        <v>85.44</v>
      </c>
      <c r="E9" s="36" t="n">
        <v>38.12</v>
      </c>
      <c r="F9" s="36" t="n">
        <v>140.28</v>
      </c>
      <c r="G9" s="36" t="n">
        <v>399.17</v>
      </c>
      <c r="H9" s="36" t="n">
        <v>267.34</v>
      </c>
      <c r="I9" s="36" t="n">
        <v>245.32</v>
      </c>
      <c r="J9" s="36" t="n">
        <v>254.31</v>
      </c>
      <c r="K9" s="36" t="n">
        <v>79.77</v>
      </c>
      <c r="L9" s="36" t="n">
        <v>80.84999999999999</v>
      </c>
      <c r="M9" s="36" t="n">
        <v>7.69</v>
      </c>
      <c r="N9" s="49">
        <f>SUM(B9:M9)</f>
        <v/>
      </c>
      <c r="O9" s="36" t="n"/>
      <c r="P9" s="36">
        <f>SUM(B9:J9)</f>
        <v/>
      </c>
      <c r="Q9" s="36">
        <f>N9-P9</f>
        <v/>
      </c>
    </row>
    <row r="10" ht="15" customHeight="1" s="34">
      <c r="A10" s="48" t="inlineStr">
        <is>
          <t>Не еком/Поставщики/Инкремент</t>
        </is>
      </c>
      <c r="B10" s="36" t="n">
        <v>50.5</v>
      </c>
      <c r="C10" s="36" t="n">
        <v>38.76</v>
      </c>
      <c r="D10" s="36" t="n">
        <v>43.6</v>
      </c>
      <c r="E10" s="36" t="n">
        <v>47.08</v>
      </c>
      <c r="F10" s="36" t="n">
        <v>148.65</v>
      </c>
      <c r="G10" s="36" t="n">
        <v>225.42</v>
      </c>
      <c r="H10" s="36" t="n">
        <v>273.66</v>
      </c>
      <c r="I10" s="36" t="n">
        <v>249.3</v>
      </c>
      <c r="J10" s="36" t="n">
        <v>422.29</v>
      </c>
      <c r="K10" s="36" t="n">
        <v>281.31</v>
      </c>
      <c r="L10" s="36" t="n">
        <v>329.87</v>
      </c>
      <c r="M10" s="36" t="n">
        <v>424.97</v>
      </c>
      <c r="N10" s="49">
        <f>SUM(B10:M10)</f>
        <v/>
      </c>
      <c r="O10" s="36" t="n"/>
      <c r="P10" s="36">
        <f>SUM(B10:J10)</f>
        <v/>
      </c>
      <c r="Q10" s="36">
        <f>N10-P10</f>
        <v/>
      </c>
    </row>
    <row r="11" ht="15" customHeight="1" s="34">
      <c r="A11" s="48" t="inlineStr">
        <is>
          <t xml:space="preserve">Не еком/Не поставщики/База </t>
        </is>
      </c>
      <c r="B11" s="36" t="n">
        <v>0</v>
      </c>
      <c r="C11" s="36" t="n">
        <v>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49">
        <f>SUM(B11:M11)</f>
        <v/>
      </c>
      <c r="O11" s="36" t="n"/>
      <c r="P11" s="36">
        <f>SUM(B11:J11)</f>
        <v/>
      </c>
      <c r="Q11" s="36">
        <f>N11-P11</f>
        <v/>
      </c>
    </row>
    <row r="12" ht="15" customHeight="1" s="34">
      <c r="A12" s="48" t="inlineStr">
        <is>
          <t>Не еком/Не поставщики/Инкремент</t>
        </is>
      </c>
      <c r="B12" s="36" t="n">
        <v>10.13</v>
      </c>
      <c r="C12" s="36" t="n">
        <v>11.55</v>
      </c>
      <c r="D12" s="36" t="n">
        <v>20.62</v>
      </c>
      <c r="E12" s="36" t="n">
        <v>23.01</v>
      </c>
      <c r="F12" s="36" t="n">
        <v>13.72</v>
      </c>
      <c r="G12" s="36" t="n">
        <v>20.35</v>
      </c>
      <c r="H12" s="36" t="n">
        <v>36.29</v>
      </c>
      <c r="I12" s="36" t="n">
        <v>68.81999999999999</v>
      </c>
      <c r="J12" s="36" t="n">
        <v>48.6</v>
      </c>
      <c r="K12" s="36" t="n">
        <v>49.69</v>
      </c>
      <c r="L12" s="36" t="n">
        <v>51.4</v>
      </c>
      <c r="M12" s="36" t="n">
        <v>53.97</v>
      </c>
      <c r="N12" s="49">
        <f>SUM(B12:M12)</f>
        <v/>
      </c>
      <c r="O12" s="36" t="n"/>
      <c r="P12" s="36">
        <f>SUM(B12:J12)</f>
        <v/>
      </c>
      <c r="Q12" s="36">
        <f>N12-P12</f>
        <v/>
      </c>
    </row>
    <row r="13" ht="15" customHeight="1" s="34">
      <c r="A13" s="50" t="inlineStr">
        <is>
          <t>OPEX</t>
        </is>
      </c>
      <c r="B13" s="45">
        <f>SUM(B14:B18)</f>
        <v/>
      </c>
      <c r="C13" s="45">
        <f>SUM(C14:C18)</f>
        <v/>
      </c>
      <c r="D13" s="45">
        <f>SUM(D14:D18)</f>
        <v/>
      </c>
      <c r="E13" s="45">
        <f>SUM(E14:E18)</f>
        <v/>
      </c>
      <c r="F13" s="45">
        <f>SUM(F14:F18)</f>
        <v/>
      </c>
      <c r="G13" s="45">
        <f>SUM(G14:G18)</f>
        <v/>
      </c>
      <c r="H13" s="45">
        <f>SUM(H14:H18)</f>
        <v/>
      </c>
      <c r="I13" s="45">
        <f>SUM(I14:I18)</f>
        <v/>
      </c>
      <c r="J13" s="45">
        <f>SUM(J14:J18)</f>
        <v/>
      </c>
      <c r="K13" s="45">
        <f>SUM(K14:K18)</f>
        <v/>
      </c>
      <c r="L13" s="45">
        <f>SUM(L14:L18)</f>
        <v/>
      </c>
      <c r="M13" s="45">
        <f>SUM(M14:M18)</f>
        <v/>
      </c>
      <c r="N13" s="51">
        <f>SUM(N14:N18)</f>
        <v/>
      </c>
      <c r="O13" s="36" t="n"/>
      <c r="P13" s="52">
        <f>SUM(B13:J13)</f>
        <v/>
      </c>
      <c r="Q13" s="52">
        <f>N13-P13</f>
        <v/>
      </c>
    </row>
    <row r="14" ht="15" customHeight="1" s="34">
      <c r="A14" s="53" t="inlineStr">
        <is>
          <t>PEX</t>
        </is>
      </c>
      <c r="B14" s="54" t="n">
        <v>-89.79000000000001</v>
      </c>
      <c r="C14" s="54" t="n">
        <v>-91.06</v>
      </c>
      <c r="D14" s="54" t="n">
        <v>-91.79000000000001</v>
      </c>
      <c r="E14" s="54" t="n">
        <v>-102.52</v>
      </c>
      <c r="F14" s="54" t="n">
        <v>-106.13</v>
      </c>
      <c r="G14" s="54" t="n">
        <v>-109.25</v>
      </c>
      <c r="H14" s="54" t="n">
        <v>-113.98</v>
      </c>
      <c r="I14" s="54" t="n">
        <v>-111.3</v>
      </c>
      <c r="J14" s="54" t="n">
        <v>44.82</v>
      </c>
      <c r="K14" s="54" t="n">
        <v>-120.15</v>
      </c>
      <c r="L14" s="54" t="n">
        <v>-120.15</v>
      </c>
      <c r="M14" s="54" t="n">
        <v>-120.15</v>
      </c>
      <c r="N14" s="55">
        <f>SUM(B14:M14)</f>
        <v/>
      </c>
      <c r="O14" s="36" t="n"/>
      <c r="P14" s="56">
        <f>SUM(B14:J14)</f>
        <v/>
      </c>
      <c r="Q14" s="56">
        <f>N14-P14</f>
        <v/>
      </c>
    </row>
    <row r="15" ht="15" customHeight="1" s="34">
      <c r="A15" s="57" t="inlineStr">
        <is>
          <t>Other PEX</t>
        </is>
      </c>
      <c r="B15" s="58" t="n">
        <v>-6.1</v>
      </c>
      <c r="C15" s="58" t="n">
        <v>-3.93</v>
      </c>
      <c r="D15" s="58" t="n">
        <v>-4.51</v>
      </c>
      <c r="E15" s="58" t="n">
        <v>-0.97</v>
      </c>
      <c r="F15" s="58" t="n">
        <v>-6.76</v>
      </c>
      <c r="G15" s="58" t="n">
        <v>-1.75</v>
      </c>
      <c r="H15" s="58" t="n">
        <v>2.26</v>
      </c>
      <c r="I15" s="58" t="n">
        <v>-3.17</v>
      </c>
      <c r="J15" s="58" t="n">
        <v>-0.41</v>
      </c>
      <c r="K15" s="58" t="n">
        <v>-4.07</v>
      </c>
      <c r="L15" s="58" t="n">
        <v>-3.94</v>
      </c>
      <c r="M15" s="58" t="n">
        <v>-3.77</v>
      </c>
      <c r="N15" s="55">
        <f>SUM(B15:M15)</f>
        <v/>
      </c>
      <c r="O15" s="36" t="n"/>
      <c r="P15" s="56">
        <f>SUM(B15:J15)</f>
        <v/>
      </c>
      <c r="Q15" s="56">
        <f>N15-P15</f>
        <v/>
      </c>
    </row>
    <row r="16" ht="15" customHeight="1" s="34">
      <c r="A16" s="57" t="inlineStr">
        <is>
          <t>Marketing</t>
        </is>
      </c>
      <c r="B16" s="58" t="n">
        <v>-8.94</v>
      </c>
      <c r="C16" s="58" t="n">
        <v>-29.29</v>
      </c>
      <c r="D16" s="58" t="n">
        <v>-64.51000000000001</v>
      </c>
      <c r="E16" s="58" t="n">
        <v>-35.99</v>
      </c>
      <c r="F16" s="58" t="n">
        <v>-43.87</v>
      </c>
      <c r="G16" s="58" t="n">
        <v>-190.28</v>
      </c>
      <c r="H16" s="58" t="n">
        <v>-146.84</v>
      </c>
      <c r="I16" s="58" t="n">
        <v>-87.16</v>
      </c>
      <c r="J16" s="58" t="n">
        <v>-106.02</v>
      </c>
      <c r="K16" s="58" t="n">
        <v>-139.21</v>
      </c>
      <c r="L16" s="58" t="n">
        <v>-133.81</v>
      </c>
      <c r="M16" s="58" t="n">
        <v>-154.34</v>
      </c>
      <c r="N16" s="55">
        <f>SUM(B16:M16)</f>
        <v/>
      </c>
      <c r="O16" s="36" t="n"/>
      <c r="P16" s="56">
        <f>SUM(B16:J16)</f>
        <v/>
      </c>
      <c r="Q16" s="56">
        <f>N16-P16</f>
        <v/>
      </c>
    </row>
    <row r="17" ht="15" customHeight="1" s="34">
      <c r="A17" s="59" t="inlineStr">
        <is>
          <t>Other OPEX</t>
        </is>
      </c>
      <c r="B17" s="60" t="n">
        <v>-0.76</v>
      </c>
      <c r="C17" s="60" t="n">
        <v>-0.87</v>
      </c>
      <c r="D17" s="60" t="n">
        <v>-0.74</v>
      </c>
      <c r="E17" s="60" t="n">
        <v>-0.7</v>
      </c>
      <c r="F17" s="60" t="n">
        <v>-0.83</v>
      </c>
      <c r="G17" s="60" t="n">
        <v>-11.53</v>
      </c>
      <c r="H17" s="60" t="n">
        <v>-4.57</v>
      </c>
      <c r="I17" s="60" t="n">
        <v>-6.34</v>
      </c>
      <c r="J17" s="60" t="n">
        <v>-9.119999999999999</v>
      </c>
      <c r="K17" s="60" t="n">
        <v>-5.64</v>
      </c>
      <c r="L17" s="60" t="n">
        <v>-6.22</v>
      </c>
      <c r="M17" s="60" t="n">
        <v>-7.76</v>
      </c>
      <c r="N17" s="55">
        <f>SUM(B17:M17)</f>
        <v/>
      </c>
      <c r="O17" s="36" t="n"/>
      <c r="P17" s="56">
        <f>SUM(B17:J17)</f>
        <v/>
      </c>
      <c r="Q17" s="56">
        <f>N17-P17</f>
        <v/>
      </c>
    </row>
    <row r="18" ht="15" customHeight="1" s="34">
      <c r="A18" s="59" t="inlineStr">
        <is>
          <t>IT</t>
        </is>
      </c>
      <c r="B18" s="58" t="n">
        <v>-0.16</v>
      </c>
      <c r="C18" s="58" t="n">
        <v>-1.63</v>
      </c>
      <c r="D18" s="58" t="n">
        <v>-0.2</v>
      </c>
      <c r="E18" s="58" t="n">
        <v>-1.37</v>
      </c>
      <c r="F18" s="58" t="n">
        <v>-1.49</v>
      </c>
      <c r="G18" s="58" t="n">
        <v>-2.16</v>
      </c>
      <c r="H18" s="58" t="n">
        <v>-0.72</v>
      </c>
      <c r="I18" s="58" t="n">
        <v>-0.96</v>
      </c>
      <c r="J18" s="58" t="n">
        <v>-3.89</v>
      </c>
      <c r="K18" s="58" t="n">
        <v>-1.86</v>
      </c>
      <c r="L18" s="58" t="n">
        <v>-1.86</v>
      </c>
      <c r="M18" s="58" t="n">
        <v>-1.86</v>
      </c>
      <c r="N18" s="55">
        <f>SUM(B18:M18)</f>
        <v/>
      </c>
      <c r="O18" s="36" t="n"/>
      <c r="P18" s="56">
        <f>SUM(B18:J18)</f>
        <v/>
      </c>
      <c r="Q18" s="56">
        <f>N18-P18</f>
        <v/>
      </c>
    </row>
    <row r="19" ht="15" customHeight="1" s="34">
      <c r="A19" s="50" t="inlineStr">
        <is>
          <t>EBITDA</t>
        </is>
      </c>
      <c r="B19" s="45">
        <f>B4+B13</f>
        <v/>
      </c>
      <c r="C19" s="45">
        <f>C4+C13</f>
        <v/>
      </c>
      <c r="D19" s="45">
        <f>D4+D13</f>
        <v/>
      </c>
      <c r="E19" s="45">
        <f>E4+E13</f>
        <v/>
      </c>
      <c r="F19" s="45">
        <f>F4+F13</f>
        <v/>
      </c>
      <c r="G19" s="45">
        <f>G4+G13</f>
        <v/>
      </c>
      <c r="H19" s="45">
        <f>H4+H13</f>
        <v/>
      </c>
      <c r="I19" s="45">
        <f>I4+I13</f>
        <v/>
      </c>
      <c r="J19" s="45">
        <f>J4+J13</f>
        <v/>
      </c>
      <c r="K19" s="45">
        <f>K4+K13</f>
        <v/>
      </c>
      <c r="L19" s="45">
        <f>L4+L13</f>
        <v/>
      </c>
      <c r="M19" s="45">
        <f>M4+M13</f>
        <v/>
      </c>
      <c r="N19" s="51">
        <f>N4+N13</f>
        <v/>
      </c>
      <c r="P19" s="45">
        <f>SUM(B19:J19)</f>
        <v/>
      </c>
      <c r="Q19" s="45">
        <f>N19-P19</f>
        <v/>
      </c>
    </row>
    <row r="20" ht="15" customHeight="1" s="34">
      <c r="A20" s="50" t="inlineStr">
        <is>
          <t>CAPEX</t>
        </is>
      </c>
      <c r="B20" s="45">
        <f>SUM(B21:B22)</f>
        <v/>
      </c>
      <c r="C20" s="45">
        <f>SUM(C21:C22)</f>
        <v/>
      </c>
      <c r="D20" s="45">
        <f>SUM(D21:D22)</f>
        <v/>
      </c>
      <c r="E20" s="45">
        <f>SUM(E21:E22)</f>
        <v/>
      </c>
      <c r="F20" s="45">
        <f>SUM(F21:F22)</f>
        <v/>
      </c>
      <c r="G20" s="45">
        <f>SUM(G21:G22)</f>
        <v/>
      </c>
      <c r="H20" s="45">
        <f>SUM(H21:H22)</f>
        <v/>
      </c>
      <c r="I20" s="45">
        <f>SUM(I21:I22)</f>
        <v/>
      </c>
      <c r="J20" s="45">
        <f>SUM(J21:J22)</f>
        <v/>
      </c>
      <c r="K20" s="45">
        <f>SUM(K21:K22)</f>
        <v/>
      </c>
      <c r="L20" s="45">
        <f>SUM(L21:L22)</f>
        <v/>
      </c>
      <c r="M20" s="45">
        <f>SUM(M21:M22)</f>
        <v/>
      </c>
      <c r="N20" s="51">
        <f>SUM(N21:N22)</f>
        <v/>
      </c>
      <c r="P20" s="45">
        <f>SUM(B20:J20)</f>
        <v/>
      </c>
      <c r="Q20" s="45">
        <f>N20-P20</f>
        <v/>
      </c>
    </row>
    <row r="21" ht="15" customHeight="1" s="34">
      <c r="A21" s="36" t="inlineStr">
        <is>
          <t>AT Platform</t>
        </is>
      </c>
      <c r="B21" s="61" t="n">
        <v>0</v>
      </c>
      <c r="C21" s="61" t="n">
        <v>-0.05</v>
      </c>
      <c r="D21" s="61" t="n">
        <v>-0.63</v>
      </c>
      <c r="E21" s="61" t="n">
        <v>-1</v>
      </c>
      <c r="F21" s="61" t="n">
        <v>0</v>
      </c>
      <c r="G21" s="61" t="n">
        <v>0</v>
      </c>
      <c r="H21" s="61" t="n">
        <v>-2.14</v>
      </c>
      <c r="I21" s="61" t="n">
        <v>-24.75</v>
      </c>
      <c r="J21" s="61" t="n">
        <v>-216.46</v>
      </c>
      <c r="K21" s="61" t="n">
        <v>-36.43</v>
      </c>
      <c r="L21" s="61" t="n">
        <v>-36.43</v>
      </c>
      <c r="M21" s="61" t="n">
        <v>-36.46</v>
      </c>
      <c r="N21" s="62">
        <f>SUM(B21:M21)</f>
        <v/>
      </c>
      <c r="P21" s="61">
        <f>SUM(B21:J21)</f>
        <v/>
      </c>
      <c r="Q21" s="61">
        <f>N21-P21</f>
        <v/>
      </c>
    </row>
    <row r="22" ht="15" customHeight="1" s="34">
      <c r="A22" s="36" t="inlineStr">
        <is>
          <t>Instore digital</t>
        </is>
      </c>
      <c r="B22" s="61" t="n">
        <v>0.03</v>
      </c>
      <c r="C22" s="61" t="n">
        <v>-14.98</v>
      </c>
      <c r="D22" s="61" t="n">
        <v>0</v>
      </c>
      <c r="E22" s="61" t="n">
        <v>-9.58</v>
      </c>
      <c r="F22" s="61" t="n">
        <v>-13.02</v>
      </c>
      <c r="G22" s="61" t="n">
        <v>-26.61</v>
      </c>
      <c r="H22" s="61" t="n">
        <v>-17.45</v>
      </c>
      <c r="I22" s="61" t="n">
        <v>-62.1</v>
      </c>
      <c r="J22" s="61" t="n">
        <v>-206.25</v>
      </c>
      <c r="K22" s="61" t="n">
        <v>-23.35</v>
      </c>
      <c r="L22" s="61" t="n">
        <v>-23.35</v>
      </c>
      <c r="M22" s="61" t="n">
        <v>-23.35</v>
      </c>
      <c r="N22" s="62">
        <f>SUM(B22:M22)</f>
        <v/>
      </c>
      <c r="P22" s="61">
        <f>SUM(B22:J22)</f>
        <v/>
      </c>
      <c r="Q22" s="61">
        <f>N22-P22</f>
        <v/>
      </c>
    </row>
    <row r="23" ht="15" customHeight="1" s="34">
      <c r="A23" s="50" t="inlineStr">
        <is>
          <t>FCF</t>
        </is>
      </c>
      <c r="B23" s="45">
        <f>B19+B20</f>
        <v/>
      </c>
      <c r="C23" s="45">
        <f>C19+C20</f>
        <v/>
      </c>
      <c r="D23" s="45">
        <f>D19+D20</f>
        <v/>
      </c>
      <c r="E23" s="45">
        <f>E19+E20</f>
        <v/>
      </c>
      <c r="F23" s="45">
        <f>F19+F20</f>
        <v/>
      </c>
      <c r="G23" s="45">
        <f>G19+G20</f>
        <v/>
      </c>
      <c r="H23" s="45">
        <f>H19+H20</f>
        <v/>
      </c>
      <c r="I23" s="45">
        <f>I19+I20</f>
        <v/>
      </c>
      <c r="J23" s="45">
        <f>J19+J20</f>
        <v/>
      </c>
      <c r="K23" s="45">
        <f>K19+K20</f>
        <v/>
      </c>
      <c r="L23" s="45">
        <f>L19+L20</f>
        <v/>
      </c>
      <c r="M23" s="45">
        <f>M19+M20</f>
        <v/>
      </c>
      <c r="N23" s="51">
        <f>N19+N20</f>
        <v/>
      </c>
      <c r="P23" s="45">
        <f>SUM(B23:J23)</f>
        <v/>
      </c>
      <c r="Q23" s="45">
        <f>N23-P23</f>
        <v/>
      </c>
    </row>
    <row r="24" ht="15" customHeight="1" s="34">
      <c r="A24" s="50" t="inlineStr">
        <is>
          <t>FCF без базовой выручки e-comm</t>
        </is>
      </c>
      <c r="B24" s="45">
        <f>B23-B5</f>
        <v/>
      </c>
      <c r="C24" s="45">
        <f>C23-C5</f>
        <v/>
      </c>
      <c r="D24" s="45">
        <f>D23-D5</f>
        <v/>
      </c>
      <c r="E24" s="45">
        <f>E23-E5</f>
        <v/>
      </c>
      <c r="F24" s="45">
        <f>F23-F5</f>
        <v/>
      </c>
      <c r="G24" s="45">
        <f>G23-G5</f>
        <v/>
      </c>
      <c r="H24" s="45">
        <f>H23-H5</f>
        <v/>
      </c>
      <c r="I24" s="45">
        <f>I23-I5</f>
        <v/>
      </c>
      <c r="J24" s="45">
        <f>J23-J5</f>
        <v/>
      </c>
      <c r="K24" s="45">
        <f>K23-K5</f>
        <v/>
      </c>
      <c r="L24" s="45">
        <f>L23-L5</f>
        <v/>
      </c>
      <c r="M24" s="45">
        <f>M23-M5</f>
        <v/>
      </c>
      <c r="N24" s="51">
        <f>N23-N5</f>
        <v/>
      </c>
      <c r="P24" s="45">
        <f>SUM(B24:J24)</f>
        <v/>
      </c>
      <c r="Q24" s="45">
        <f>N24-P24</f>
        <v/>
      </c>
    </row>
    <row r="25" ht="15" customHeight="1" s="34">
      <c r="A25" s="50" t="inlineStr">
        <is>
          <t>FCF только инкремент</t>
        </is>
      </c>
      <c r="B25" s="45">
        <f>B23-SUM(B5,B7,B9,B11)</f>
        <v/>
      </c>
      <c r="C25" s="45">
        <f>C23-SUM(C5,C7,C9,C11)</f>
        <v/>
      </c>
      <c r="D25" s="45">
        <f>D23-SUM(D5,D7,D9,D11)</f>
        <v/>
      </c>
      <c r="E25" s="45">
        <f>E23-SUM(E5,E7,E9,E11)</f>
        <v/>
      </c>
      <c r="F25" s="45">
        <f>F23-SUM(F5,F7,F9,F11)</f>
        <v/>
      </c>
      <c r="G25" s="45">
        <f>G23-SUM(G5,G7,G9,G11)</f>
        <v/>
      </c>
      <c r="H25" s="45">
        <f>H23-SUM(H5,H7,H9,H11)</f>
        <v/>
      </c>
      <c r="I25" s="45">
        <f>I23-SUM(I5,I7,I9,I11)</f>
        <v/>
      </c>
      <c r="J25" s="45">
        <f>J23-SUM(J5,J7,J9,J11)</f>
        <v/>
      </c>
      <c r="K25" s="45">
        <f>K23-SUM(K5,K7,K9,K11)</f>
        <v/>
      </c>
      <c r="L25" s="45">
        <f>L23-SUM(L5,L7,L9,L11)</f>
        <v/>
      </c>
      <c r="M25" s="45">
        <f>M23-SUM(M5,M7,M9,M11)</f>
        <v/>
      </c>
      <c r="N25" s="51">
        <f>N23-SUM(N5,N7,N9,N11)</f>
        <v/>
      </c>
      <c r="P25" s="45">
        <f>SUM(B25:J25)</f>
        <v/>
      </c>
      <c r="Q25" s="45">
        <f>N25-P25</f>
        <v/>
      </c>
    </row>
    <row r="26" ht="15" customHeight="1" s="34">
      <c r="N26" s="63" t="n"/>
    </row>
    <row r="27" ht="15" customHeight="1" s="34">
      <c r="A27" s="50" t="inlineStr">
        <is>
          <t>Инкрементальная выручка от некоммерческих поставщиков</t>
        </is>
      </c>
      <c r="B27" s="45">
        <f>B28+B29</f>
        <v/>
      </c>
      <c r="C27" s="45">
        <f>C28+C29</f>
        <v/>
      </c>
      <c r="D27" s="45">
        <f>D28+D29</f>
        <v/>
      </c>
      <c r="E27" s="45">
        <f>E28+E29</f>
        <v/>
      </c>
      <c r="F27" s="45">
        <f>F28+F29</f>
        <v/>
      </c>
      <c r="G27" s="45">
        <f>G28+G29</f>
        <v/>
      </c>
      <c r="H27" s="45">
        <f>H28+H29</f>
        <v/>
      </c>
      <c r="I27" s="45">
        <f>I28+I29</f>
        <v/>
      </c>
      <c r="J27" s="45">
        <f>J28+J29</f>
        <v/>
      </c>
      <c r="K27" s="45">
        <f>K28+K29</f>
        <v/>
      </c>
      <c r="L27" s="45">
        <f>L28+L29</f>
        <v/>
      </c>
      <c r="M27" s="45">
        <f>M28+M29</f>
        <v/>
      </c>
      <c r="N27" s="51">
        <f>N28+N29</f>
        <v/>
      </c>
      <c r="P27" s="45">
        <f>SUM(B27:J27)</f>
        <v/>
      </c>
      <c r="Q27" s="45">
        <f>N27-P27</f>
        <v/>
      </c>
    </row>
    <row r="28" outlineLevel="1" ht="15" customHeight="1" s="34">
      <c r="A28" s="33" t="inlineStr">
        <is>
          <t>Еком</t>
        </is>
      </c>
      <c r="B28" s="35">
        <f>B8</f>
        <v/>
      </c>
      <c r="C28" s="35">
        <f>C8</f>
        <v/>
      </c>
      <c r="D28" s="35">
        <f>D8</f>
        <v/>
      </c>
      <c r="E28" s="35">
        <f>E8</f>
        <v/>
      </c>
      <c r="F28" s="35">
        <f>F8</f>
        <v/>
      </c>
      <c r="G28" s="35">
        <f>G8</f>
        <v/>
      </c>
      <c r="H28" s="35">
        <f>H8</f>
        <v/>
      </c>
      <c r="I28" s="35">
        <f>I8</f>
        <v/>
      </c>
      <c r="J28" s="35">
        <f>J8</f>
        <v/>
      </c>
      <c r="K28" s="35">
        <f>K8</f>
        <v/>
      </c>
      <c r="L28" s="35">
        <f>L8</f>
        <v/>
      </c>
      <c r="M28" s="35">
        <f>M8</f>
        <v/>
      </c>
      <c r="N28" s="64">
        <f>N8</f>
        <v/>
      </c>
      <c r="P28" s="35">
        <f>SUM(B28:J28)</f>
        <v/>
      </c>
      <c r="Q28" s="35">
        <f>N28-P28</f>
        <v/>
      </c>
    </row>
    <row r="29" outlineLevel="1" ht="15" customHeight="1" s="34">
      <c r="A29" s="33" t="inlineStr">
        <is>
          <t>Не еком</t>
        </is>
      </c>
      <c r="B29" s="35">
        <f>B12</f>
        <v/>
      </c>
      <c r="C29" s="35">
        <f>C12</f>
        <v/>
      </c>
      <c r="D29" s="35">
        <f>D12</f>
        <v/>
      </c>
      <c r="E29" s="35">
        <f>E12</f>
        <v/>
      </c>
      <c r="F29" s="35">
        <f>F12</f>
        <v/>
      </c>
      <c r="G29" s="35">
        <f>G12</f>
        <v/>
      </c>
      <c r="H29" s="35">
        <f>H12</f>
        <v/>
      </c>
      <c r="I29" s="35">
        <f>I12</f>
        <v/>
      </c>
      <c r="J29" s="35">
        <f>J12</f>
        <v/>
      </c>
      <c r="K29" s="35">
        <f>K12</f>
        <v/>
      </c>
      <c r="L29" s="35">
        <f>L12</f>
        <v/>
      </c>
      <c r="M29" s="35">
        <f>M12</f>
        <v/>
      </c>
      <c r="N29" s="64">
        <f>N12</f>
        <v/>
      </c>
      <c r="P29" s="35">
        <f>SUM(B29:J29)</f>
        <v/>
      </c>
      <c r="Q29" s="35">
        <f>N29-P29</f>
        <v/>
      </c>
    </row>
    <row r="30" ht="15" customHeight="1" s="34">
      <c r="N30" s="63" t="n"/>
      <c r="P30" s="33">
        <f>SUM(B30:J30)</f>
        <v/>
      </c>
      <c r="Q30" s="33">
        <f>N30-P30</f>
        <v/>
      </c>
    </row>
    <row r="31" ht="15" customHeight="1" s="34">
      <c r="A31" s="50" t="inlineStr">
        <is>
          <t>EBITDA Инкремент</t>
        </is>
      </c>
      <c r="B31" s="45">
        <f>B35+B39</f>
        <v/>
      </c>
      <c r="C31" s="45">
        <f>C35+C39</f>
        <v/>
      </c>
      <c r="D31" s="45">
        <f>D35+D39</f>
        <v/>
      </c>
      <c r="E31" s="45">
        <f>E35+E39</f>
        <v/>
      </c>
      <c r="F31" s="45">
        <f>F35+F39</f>
        <v/>
      </c>
      <c r="G31" s="45">
        <f>G35+G39</f>
        <v/>
      </c>
      <c r="H31" s="45">
        <f>H35+H39</f>
        <v/>
      </c>
      <c r="I31" s="45">
        <f>I35+I39</f>
        <v/>
      </c>
      <c r="J31" s="45">
        <f>J35+J39</f>
        <v/>
      </c>
      <c r="K31" s="45">
        <f>K35+K39</f>
        <v/>
      </c>
      <c r="L31" s="45">
        <f>L35+L39</f>
        <v/>
      </c>
      <c r="M31" s="45">
        <f>M35+M39</f>
        <v/>
      </c>
      <c r="N31" s="51">
        <f>N35+N39</f>
        <v/>
      </c>
      <c r="P31" s="45">
        <f>SUM(B31:J31)</f>
        <v/>
      </c>
      <c r="Q31" s="45">
        <f>N31-P31</f>
        <v/>
      </c>
    </row>
    <row r="32" ht="15" customHeight="1" s="34">
      <c r="A32" s="50" t="inlineStr">
        <is>
          <t>EBITDA без базы E-comm</t>
        </is>
      </c>
      <c r="B32" s="45">
        <f>B36+B39</f>
        <v/>
      </c>
      <c r="C32" s="45">
        <f>C36+C39</f>
        <v/>
      </c>
      <c r="D32" s="45">
        <f>D36+D39</f>
        <v/>
      </c>
      <c r="E32" s="45">
        <f>E36+E39</f>
        <v/>
      </c>
      <c r="F32" s="45">
        <f>F36+F39</f>
        <v/>
      </c>
      <c r="G32" s="45">
        <f>G36+G39</f>
        <v/>
      </c>
      <c r="H32" s="45">
        <f>H36+H39</f>
        <v/>
      </c>
      <c r="I32" s="45">
        <f>I36+I39</f>
        <v/>
      </c>
      <c r="J32" s="45">
        <f>J36+J39</f>
        <v/>
      </c>
      <c r="K32" s="45">
        <f>K36+K39</f>
        <v/>
      </c>
      <c r="L32" s="45">
        <f>L36+L39</f>
        <v/>
      </c>
      <c r="M32" s="45">
        <f>M36+M39</f>
        <v/>
      </c>
      <c r="N32" s="65">
        <f>N36+N39</f>
        <v/>
      </c>
      <c r="P32" s="45">
        <f>SUM(B32:J32)</f>
        <v/>
      </c>
      <c r="Q32" s="45">
        <f>N32-P32</f>
        <v/>
      </c>
    </row>
    <row r="33" ht="15" customHeight="1" s="34">
      <c r="N33" s="63" t="n"/>
    </row>
    <row r="34" ht="15" customHeight="1" s="34">
      <c r="A34" s="50" t="inlineStr">
        <is>
          <t>Выручка (бэки, маркетинг)</t>
        </is>
      </c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51" t="n"/>
      <c r="P34" s="45" t="n"/>
      <c r="Q34" s="45" t="n"/>
    </row>
    <row r="35" ht="15" customHeight="1" s="34">
      <c r="A35" s="33" t="inlineStr">
        <is>
          <t>Инкремент</t>
        </is>
      </c>
      <c r="B35" s="35">
        <f>SUM(B6,B8,B10,B12)</f>
        <v/>
      </c>
      <c r="C35" s="35">
        <f>SUM(C6,C8,C10,C12)</f>
        <v/>
      </c>
      <c r="D35" s="35">
        <f>SUM(D6,D8,D10,D12)</f>
        <v/>
      </c>
      <c r="E35" s="35">
        <f>SUM(E6,E8,E10,E12)</f>
        <v/>
      </c>
      <c r="F35" s="35">
        <f>SUM(F6,F8,F10,F12)</f>
        <v/>
      </c>
      <c r="G35" s="35">
        <f>SUM(G6,G8,G10,G12)</f>
        <v/>
      </c>
      <c r="H35" s="35">
        <f>SUM(H6,H8,H10,H12)</f>
        <v/>
      </c>
      <c r="I35" s="35">
        <f>SUM(I6,I8,I10,I12)</f>
        <v/>
      </c>
      <c r="J35" s="35">
        <f>SUM(J6,J8,J10,J12)</f>
        <v/>
      </c>
      <c r="K35" s="35">
        <f>SUM(K6,K8,K10,K12)</f>
        <v/>
      </c>
      <c r="L35" s="35">
        <f>SUM(L6,L8,L10,L12)</f>
        <v/>
      </c>
      <c r="M35" s="35">
        <f>SUM(M6,M8,M10,M12)</f>
        <v/>
      </c>
      <c r="N35" s="64">
        <f>SUM(N6,N8,N10,N12)</f>
        <v/>
      </c>
      <c r="P35" s="35">
        <f>SUM(B35:J35)</f>
        <v/>
      </c>
      <c r="Q35" s="35">
        <f>N35-P35</f>
        <v/>
      </c>
    </row>
    <row r="36" ht="15" customHeight="1" s="34">
      <c r="A36" s="33" t="inlineStr">
        <is>
          <t>Total без базовой выручки e-comm</t>
        </is>
      </c>
      <c r="B36" s="35">
        <f>SUM(B6:B12)</f>
        <v/>
      </c>
      <c r="C36" s="35">
        <f>SUM(C6:C12)</f>
        <v/>
      </c>
      <c r="D36" s="35">
        <f>SUM(D6:D12)</f>
        <v/>
      </c>
      <c r="E36" s="35">
        <f>SUM(E6:E12)</f>
        <v/>
      </c>
      <c r="F36" s="35">
        <f>SUM(F6:F12)</f>
        <v/>
      </c>
      <c r="G36" s="35">
        <f>SUM(G6:G12)</f>
        <v/>
      </c>
      <c r="H36" s="35">
        <f>SUM(H6:H12)</f>
        <v/>
      </c>
      <c r="I36" s="35">
        <f>SUM(I6:I12)</f>
        <v/>
      </c>
      <c r="J36" s="35">
        <f>SUM(J6:J12)</f>
        <v/>
      </c>
      <c r="K36" s="35">
        <f>SUM(K6:K12)</f>
        <v/>
      </c>
      <c r="L36" s="35">
        <f>SUM(L6:L12)</f>
        <v/>
      </c>
      <c r="M36" s="35">
        <f>SUM(M6:M12)</f>
        <v/>
      </c>
      <c r="N36" s="64">
        <f>SUM(N6:N12)</f>
        <v/>
      </c>
      <c r="P36" s="35">
        <f>SUM(B36:J36)</f>
        <v/>
      </c>
      <c r="Q36" s="35">
        <f>N36-P36</f>
        <v/>
      </c>
    </row>
    <row r="37" ht="15" customHeight="1" s="34">
      <c r="A37" s="33" t="inlineStr">
        <is>
          <t>E-comm</t>
        </is>
      </c>
      <c r="B37" s="35">
        <f>SUM(B5:B8)</f>
        <v/>
      </c>
      <c r="C37" s="35">
        <f>SUM(C5:C8)</f>
        <v/>
      </c>
      <c r="D37" s="35">
        <f>SUM(D5:D8)</f>
        <v/>
      </c>
      <c r="E37" s="35">
        <f>SUM(E5:E8)</f>
        <v/>
      </c>
      <c r="F37" s="35">
        <f>SUM(F5:F8)</f>
        <v/>
      </c>
      <c r="G37" s="35">
        <f>SUM(G5:G8)</f>
        <v/>
      </c>
      <c r="H37" s="35">
        <f>SUM(H5:H8)</f>
        <v/>
      </c>
      <c r="I37" s="35">
        <f>SUM(I5:I8)</f>
        <v/>
      </c>
      <c r="J37" s="35">
        <f>SUM(J5:J8)</f>
        <v/>
      </c>
      <c r="K37" s="35">
        <f>SUM(K5:K8)</f>
        <v/>
      </c>
      <c r="L37" s="35">
        <f>SUM(L5:L8)</f>
        <v/>
      </c>
      <c r="M37" s="35">
        <f>SUM(M5:M8)</f>
        <v/>
      </c>
      <c r="N37" s="64">
        <f>SUM(N5:N8)</f>
        <v/>
      </c>
      <c r="P37" s="35">
        <f>SUM(B37:J37)</f>
        <v/>
      </c>
      <c r="Q37" s="35">
        <f>N37-P37</f>
        <v/>
      </c>
    </row>
    <row r="38" ht="15" customHeight="1" s="34">
      <c r="A38" s="33" t="inlineStr">
        <is>
          <t>E-comm без базовой выручки</t>
        </is>
      </c>
      <c r="B38" s="35">
        <f>B37-B5</f>
        <v/>
      </c>
      <c r="C38" s="35">
        <f>C37-C5</f>
        <v/>
      </c>
      <c r="D38" s="35">
        <f>D37-D5</f>
        <v/>
      </c>
      <c r="E38" s="35">
        <f>E37-E5</f>
        <v/>
      </c>
      <c r="F38" s="35">
        <f>F37-F5</f>
        <v/>
      </c>
      <c r="G38" s="35">
        <f>G37-G5</f>
        <v/>
      </c>
      <c r="H38" s="35">
        <f>H37-H5</f>
        <v/>
      </c>
      <c r="I38" s="35">
        <f>I37-I5</f>
        <v/>
      </c>
      <c r="J38" s="35">
        <f>J37-J5</f>
        <v/>
      </c>
      <c r="K38" s="35">
        <f>K37-K5</f>
        <v/>
      </c>
      <c r="L38" s="35">
        <f>L37-L5</f>
        <v/>
      </c>
      <c r="M38" s="35">
        <f>M37-M5</f>
        <v/>
      </c>
      <c r="N38" s="64">
        <f>N37-N5</f>
        <v/>
      </c>
      <c r="P38" s="35">
        <f>SUM(B38:J38)</f>
        <v/>
      </c>
      <c r="Q38" s="35">
        <f>N38-P38</f>
        <v/>
      </c>
    </row>
    <row r="39" ht="15" customHeight="1" s="34">
      <c r="A39" s="50" t="inlineStr">
        <is>
          <t>OPEX</t>
        </is>
      </c>
      <c r="B39" s="45">
        <f>B13</f>
        <v/>
      </c>
      <c r="C39" s="45">
        <f>C13</f>
        <v/>
      </c>
      <c r="D39" s="45">
        <f>D13</f>
        <v/>
      </c>
      <c r="E39" s="45">
        <f>E13</f>
        <v/>
      </c>
      <c r="F39" s="45">
        <f>F13</f>
        <v/>
      </c>
      <c r="G39" s="45">
        <f>G13</f>
        <v/>
      </c>
      <c r="H39" s="45">
        <f>H13</f>
        <v/>
      </c>
      <c r="I39" s="45">
        <f>I13</f>
        <v/>
      </c>
      <c r="J39" s="45">
        <f>J13</f>
        <v/>
      </c>
      <c r="K39" s="45">
        <f>K13</f>
        <v/>
      </c>
      <c r="L39" s="45">
        <f>L13</f>
        <v/>
      </c>
      <c r="M39" s="45">
        <f>M13</f>
        <v/>
      </c>
      <c r="N39" s="51">
        <f>N13</f>
        <v/>
      </c>
      <c r="O39" s="36" t="n"/>
      <c r="P39" s="52">
        <f>SUM(B39:J39)</f>
        <v/>
      </c>
      <c r="Q39" s="52">
        <f>N39-P39</f>
        <v/>
      </c>
    </row>
    <row r="42" ht="15" customHeight="1" s="34">
      <c r="N42" s="35" t="n"/>
    </row>
    <row r="45" ht="15" customHeight="1" s="34">
      <c r="N45" s="3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Астемир Хоконов</dc:creator>
  <dc:language xmlns:dc="http://purl.org/dc/elements/1.1/">en-US</dc:language>
  <dcterms:created xmlns:dcterms="http://purl.org/dc/terms/" xmlns:xsi="http://www.w3.org/2001/XMLSchema-instance" xsi:type="dcterms:W3CDTF">2026-09-07T09:03:39Z</dcterms:created>
  <dcterms:modified xmlns:dcterms="http://purl.org/dc/terms/" xmlns:xsi="http://www.w3.org/2001/XMLSchema-instance" xsi:type="dcterms:W3CDTF">2026-10-20T12:35:36Z</dcterms:modified>
  <cp:lastModifiedBy>Бабкин Денис Владимирович</cp:lastModifiedBy>
  <cp:revision>0</cp:revision>
</cp:coreProperties>
</file>