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webextensions/taskpanes.xml" ContentType="application/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1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11/relationships/webextensiontaskpanes" Target="xl/webextensions/taskpanes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&amp;L 2027" sheetId="2" state="visible" r:id="rId4"/>
    <sheet name="P&amp;L 2027_AdvInventory" sheetId="3" state="visible" r:id="rId5"/>
    <sheet name="P&amp;L 2027_Formats" sheetId="4" state="visible" r:id="rId6"/>
    <sheet name="Вводные" sheetId="5" state="visible" r:id="rId7"/>
    <sheet name="DATA" sheetId="6" state="visible" r:id="rId8"/>
    <sheet name="ПРАЙС" sheetId="7" state="visible" r:id="rId9"/>
    <sheet name="APP Медиа" sheetId="8" state="visible" r:id="rId10"/>
    <sheet name="APP Перформанс" sheetId="9" state="visible" r:id="rId11"/>
    <sheet name="In-store" sheetId="10" state="visible" r:id="rId12"/>
    <sheet name="DMP" sheetId="11" state="visible" r:id="rId13"/>
    <sheet name="Content factory" sheetId="12" state="visible" r:id="rId14"/>
    <sheet name="RMN" sheetId="13" state="visible" r:id="rId15"/>
    <sheet name="Расходы" sheetId="14" state="visible" r:id="rId16"/>
    <sheet name="М+ справочно" sheetId="15" state="visible" r:id="rId17"/>
    <sheet name="Потребности" sheetId="16" state="visible" r:id="rId18"/>
    <sheet name="PEX" sheetId="17" state="visible" r:id="rId19"/>
    <sheet name="RevSplit" sheetId="18" state="visible" r:id="rId20"/>
  </sheets>
  <definedNames>
    <definedName function="false" hidden="true" localSheetId="15" name="_xlnm._FilterDatabase" vbProcedure="false">Потребности!$A$3:$Y$74</definedName>
    <definedName function="false" hidden="true" name="a" vbProcedure="false">{#N/A,#N/A,FALSE,"Aging Summary";#N/A,#N/A,FALSE,"Ratio Analysis";#N/A,#N/A,FALSE,"Test 120 Day Accts";#N/A,#N/A,FALSE,"Tickmarks"}</definedName>
    <definedName function="false" hidden="true" name="A.???" vbProcedure="false">{"det (May)",#N/A,FALSE,"June";"sum (MAY YTD)",#N/A,FALSE,"June YTD"}</definedName>
    <definedName function="false" hidden="true" name="A.I.AA" vbProcedure="false">{"det (May)",#N/A,FALSE,"June";"sum (MAY YTD)",#N/A,FALSE,"June YTD"}</definedName>
    <definedName function="false" hidden="true" name="A.Ⅱ.i2" vbProcedure="false">{"det (May)",#N/A,FALSE,"June";"sum (MAY YTD)",#N/A,FALSE,"June YTD"}</definedName>
    <definedName function="false" hidden="true" name="aaa" vbProcedure="false">{#N/A,#N/A,FALSE,"Aging Summary";#N/A,#N/A,FALSE,"Ratio Analysis";#N/A,#N/A,FALSE,"Test 120 Day Accts";#N/A,#N/A,FALSE,"Tickmarks"}</definedName>
    <definedName function="false" hidden="true" name="aaa0" vbProcedure="false">{#N/A,#N/A,FALSE,"Aging Summary";#N/A,#N/A,FALSE,"Ratio Analysis";#N/A,#N/A,FALSE,"Test 120 Day Accts";#N/A,#N/A,FALSE,"Tickmarks"}</definedName>
    <definedName function="false" hidden="true" name="AAA_DOCTOPS" vbProcedure="false">"AAA_SET"</definedName>
    <definedName function="false" hidden="true" name="AAA_duser" vbProcedure="false">"OFF"</definedName>
    <definedName function="false" hidden="true" name="AAB_Addin5" vbProcedure="false">"AAB_Description for addin 5,Description for addin 5,Description for addin 5,Description for addin 5,Description for addin 5,Description for addin 5"</definedName>
    <definedName function="false" hidden="true" name="aag" vbProcedure="false">{"'Северо-Никольское '!$A$6:$J$40"}</definedName>
    <definedName function="false" hidden="true" name="AccessDatabase" vbProcedure="false">"C:\Мои документы\НоваяОборотка.mdb"</definedName>
    <definedName function="false" hidden="true" name="ACwvu.CapersView." vbProcedure="false">#REF!</definedName>
    <definedName function="false" hidden="true" name="ACwvu.Japan_Capers_Ed_Pub." vbProcedure="false">#REF!</definedName>
    <definedName function="false" hidden="true" name="ACwvu.KJP_CC." vbProcedure="false">#REF!</definedName>
    <definedName function="false" hidden="true" name="adfhhkj" vbProcedure="false">{#N/A,#N/A,TRUE,"Фин.рез"}</definedName>
    <definedName function="false" hidden="true" name="adfhhkj_1" vbProcedure="false">{#N/A,#N/A,TRUE,"Фин.рез"}</definedName>
    <definedName function="false" hidden="true" name="adhferhgewar" vbProcedure="false">{#N/A,#N/A,TRUE,"Фин.рез"}</definedName>
    <definedName function="false" hidden="true" name="adhferhgewar_1" vbProcedure="false">{#N/A,#N/A,TRUE,"Фин.рез"}</definedName>
    <definedName function="false" hidden="true" name="adhy" vbProcedure="false">{#N/A,#N/A,TRUE,"Фин.рез"}</definedName>
    <definedName function="false" hidden="true" name="adhy_1" vbProcedure="false">{#N/A,#N/A,TRUE,"Фин.рез"}</definedName>
    <definedName function="false" hidden="true" name="adrha" vbProcedure="false">{#N/A,#N/A,TRUE,"Фин.рез"}</definedName>
    <definedName function="false" hidden="true" name="adrha_1" vbProcedure="false">{#N/A,#N/A,TRUE,"Фин.рез"}</definedName>
    <definedName function="false" hidden="true" name="aerhynbbsy6rt" vbProcedure="false">{#N/A,#N/A,TRUE,"Фин.рез"}</definedName>
    <definedName function="false" hidden="true" name="aerhynbbsy6rt_1" vbProcedure="false">{#N/A,#N/A,TRUE,"Фин.рез"}</definedName>
    <definedName function="false" hidden="true" name="aestesargt" vbProcedure="false">{#N/A,#N/A,TRUE,"Фин.рез"}</definedName>
    <definedName function="false" hidden="true" name="aestesargt_1" vbProcedure="false">{#N/A,#N/A,TRUE,"Фин.рез"}</definedName>
    <definedName function="false" hidden="true" name="ag" vbProcedure="false">#N/A</definedName>
    <definedName function="false" hidden="true" name="al" vbProcedure="false">{#N/A,#N/A,FALSE,"Aging Summary";#N/A,#N/A,FALSE,"Ratio Analysis";#N/A,#N/A,FALSE,"Test 120 Day Accts";#N/A,#N/A,FALSE,"Tickmarks"}</definedName>
    <definedName function="false" hidden="true" name="Alla" vbProcedure="false">{#N/A,#N/A,FALSE,"Aging Summary";#N/A,#N/A,FALSE,"Ratio Analysis";#N/A,#N/A,FALSE,"Test 120 Day Accts";#N/A,#N/A,FALSE,"Tickmarks"}</definedName>
    <definedName function="false" hidden="true" name="alla1" vbProcedure="false">{#N/A,#N/A,FALSE,"Aging Summary";#N/A,#N/A,FALSE,"Ratio Analysis";#N/A,#N/A,FALSE,"Test 120 Day Accts";#N/A,#N/A,FALSE,"Tickmarks"}</definedName>
    <definedName function="false" hidden="true" name="alt" vbProcedure="false">{"det (May)",#N/A,FALSE,"June";"sum (MAY YTD)",#N/A,FALSE,"June YTD"}</definedName>
    <definedName function="false" hidden="true" name="ANNA" vbProcedure="false">{"det (May)",#N/A,FALSE,"June";"sum (MAY YTD)",#N/A,FALSE,"June YTD"}</definedName>
    <definedName function="false" hidden="true" name="anscount" vbProcedure="false">4</definedName>
    <definedName function="false" hidden="true" name="antonio" vbProcedure="false">{#N/A,"70% Success",FALSE,"Sales Forecast";#N/A,#N/A,FALSE,"Sheet2"}</definedName>
    <definedName function="false" hidden="true" name="aqer" vbProcedure="false">{"'Sheet1'!$A$1:$G$85"}</definedName>
    <definedName function="false" hidden="true" name="AS2DocOpenMode" vbProcedure="false">"AS2DocumentEdit"</definedName>
    <definedName function="false" hidden="true" name="AS2NamedRange" vbProcedure="false">3</definedName>
    <definedName function="false" hidden="true" name="AS2ReportLS" vbProcedure="false">1</definedName>
    <definedName function="false" hidden="true" name="AS2SyncStepLS" vbProcedure="false">0</definedName>
    <definedName function="false" hidden="true" name="AS2VersionLS" vbProcedure="false">300</definedName>
    <definedName function="false" hidden="true" name="asdas" vbProcedure="false">{#N/A,#N/A,TRUE,"Фин.рез"}</definedName>
    <definedName function="false" hidden="true" name="asdas_1" vbProcedure="false">{#N/A,#N/A,TRUE,"Фин.рез"}</definedName>
    <definedName function="false" hidden="true" name="asdfasg" vbProcedure="false">{"det (May)",#N/A,FALSE,"June";"sum (MAY YTD)",#N/A,FALSE,"June YTD"}</definedName>
    <definedName function="false" hidden="true" name="asdfr" vbProcedure="false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function="false" hidden="true" name="asfafq" vbProcedure="false">#N/A</definedName>
    <definedName function="false" hidden="true" name="atrat" vbProcedure="false">{"'Prices'!$A$4:$J$27"}</definedName>
    <definedName function="false" hidden="true" name="avaaaaav" vbProcedure="false">#N/A</definedName>
    <definedName function="false" hidden="true" name="aweteyjf" vbProcedure="false">{#N/A,#N/A,TRUE,"Фин.рез"}</definedName>
    <definedName function="false" hidden="true" name="aweteyjf_1" vbProcedure="false">{#N/A,#N/A,TRUE,"Фин.рез"}</definedName>
    <definedName function="false" hidden="true" name="b" vbProcedure="false">{#N/A,#N/A,FALSE,"Aging Summary";#N/A,#N/A,FALSE,"Ratio Analysis";#N/A,#N/A,FALSE,"Test 120 Day Accts";#N/A,#N/A,FALSE,"Tickmarks"}</definedName>
    <definedName function="false" hidden="true" name="B.IV.r" vbProcedure="false">{"det (May)",#N/A,FALSE,"June";"sum (MAY YTD)",#N/A,FALSE,"June YTD"}</definedName>
    <definedName function="false" hidden="true" name="B.IV.r.SBC" vbProcedure="false">{"det (May)",#N/A,FALSE,"June";"sum (MAY YTD)",#N/A,FALSE,"June YTD"}</definedName>
    <definedName function="false" hidden="true" name="bb" vbProcedure="false">{#N/A,#N/A,FALSE,"Aging Summary";#N/A,#N/A,FALSE,"Ratio Analysis";#N/A,#N/A,FALSE,"Test 120 Day Accts";#N/A,#N/A,FALSE,"Tickmarks"}</definedName>
    <definedName function="false" hidden="true" name="bbbb" vbProcedure="false">{"'Северо-Никольское '!$A$6:$J$40"}</definedName>
    <definedName function="false" hidden="true" name="bfb" vbProcedure="false">{"'Северо-Никольское '!$A$6:$J$40"}</definedName>
    <definedName function="false" hidden="true" name="BG_Del" vbProcedure="false">15</definedName>
    <definedName function="false" hidden="true" name="BG_Ins" vbProcedure="false">4</definedName>
    <definedName function="false" hidden="true" name="BG_Mod" vbProcedure="false">6</definedName>
    <definedName function="false" hidden="true" name="bhub" vbProcedure="false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function="false" hidden="true" name="blb" vbProcedure="false">{"det (May)",#N/A,FALSE,"June";"sum (MAY YTD)",#N/A,FALSE,"June YTD"}</definedName>
    <definedName function="false" hidden="true" name="bloomberg" vbProcedure="false">{"glc1",#N/A,FALSE,"GLC";"glc2",#N/A,FALSE,"GLC";"glc3",#N/A,FALSE,"GLC";"glc4",#N/A,FALSE,"GLC";"glc5",#N/A,FALSE,"GLC"}</definedName>
    <definedName function="false" hidden="true" name="BLPH1" vbProcedure="false">#REF!</definedName>
    <definedName function="false" hidden="true" name="BLPH2" vbProcedure="false">#REF!</definedName>
    <definedName function="false" hidden="true" name="BLPH_1" vbProcedure="false">#REF!</definedName>
    <definedName function="false" hidden="true" name="BLPH_2" vbProcedure="false">#REF!</definedName>
    <definedName function="false" hidden="true" name="bn" vbProcedure="false">{"'Северо-Никольское '!$A$6:$J$40"}</definedName>
    <definedName function="false" hidden="true" name="bnju" vbProcedure="false">{"glcbs",#N/A,FALSE,"GLCBS";"glccsbs",#N/A,FALSE,"GLCCSBS";"glcis",#N/A,FALSE,"GLCIS";"glccsis",#N/A,FALSE,"GLCCSIS";"glcrat1",#N/A,FALSE,"GLC-ratios1"}</definedName>
    <definedName function="false" hidden="true" name="book" vbProcedure="false">{"det (May)",#N/A,FALSE,"June";"sum (MAY YTD)",#N/A,FALSE,"June YTD"}</definedName>
    <definedName function="false" hidden="true" name="CAPTURA2" vbProcedure="false">{"'171'!$A$1:$Z$50"}</definedName>
    <definedName function="false" hidden="true" name="carlos" vbProcedure="false">{#N/A,"10% Success",FALSE,"Sales Forecast";#N/A,#N/A,FALSE,"Sheet2"}</definedName>
    <definedName function="false" hidden="true" name="cbnyr" vbProcedure="false">{"'Северо-Никольское '!$A$6:$J$40"}</definedName>
    <definedName function="false" hidden="true" name="CBWorkbookPriority" vbProcedure="false">-1103212323</definedName>
    <definedName function="false" hidden="true" name="ccc" vbProcedure="false">{"'Северо-Никольское '!$A$6:$J$40"}</definedName>
    <definedName function="false" hidden="true" name="cccc" vbProcedure="false">{"det (May)",#N/A,FALSE,"June";"sum (MAY YTD)",#N/A,FALSE,"June YTD"}</definedName>
    <definedName function="false" hidden="true" name="cch" vbProcedure="false">{"'Северо-Никольское '!$A$6:$J$40"}</definedName>
    <definedName function="false" hidden="true" name="ccv" vbProcedure="false">{"'Северо-Никольское '!$A$6:$J$40"}</definedName>
    <definedName function="false" hidden="true" name="cgk" vbProcedure="false">{"'Северо-Никольское '!$A$6:$J$40"}</definedName>
    <definedName function="false" hidden="true" name="ChangeRange" vbProcedure="false">#N/A</definedName>
    <definedName function="false" hidden="true" name="CIP" vbProcedure="false">{"PRINTME",#N/A,FALSE,"FINAL-10"}</definedName>
    <definedName function="false" hidden="true" name="CIQWBGuid" vbProcedure="false">"Файл 2_Прототип_001.xlsx"</definedName>
    <definedName function="false" hidden="true" name="claudia" vbProcedure="false">{#N/A,"70% Success",FALSE,"Sales Forecast";#N/A,#N/A,FALSE,"Sheet2"}</definedName>
    <definedName function="false" hidden="true" name="COMPARE" vbProcedure="false">{"Table A,pg 1",#N/A,FALSE,"Table A-Prov GUR";"Table A,pg 2",#N/A,FALSE,"Table A-Prov GUR"}</definedName>
    <definedName function="false" hidden="true" name="ContentsHelp" vbProcedure="false">#N/A</definedName>
    <definedName function="false" hidden="true" name="CreateTable" vbProcedure="false">#N/A</definedName>
    <definedName function="false" hidden="true" name="cty" vbProcedure="false">{"'Северо-Никольское '!$A$6:$J$40"}</definedName>
    <definedName function="false" hidden="true" name="cu00.UserArea" vbProcedure="false">#REF!</definedName>
    <definedName function="false" hidden="true" name="CURVA2" vbProcedure="false">{"'171'!$A$1:$Z$50"}</definedName>
    <definedName function="false" hidden="true" name="CUSPassword" vbProcedure="false">"MDL238GBWP678SDA16)E^CBC"</definedName>
    <definedName function="false" hidden="true" name="cvbn" vbProcedure="false">{"'Северо-Никольское '!$A$6:$J$40"}</definedName>
    <definedName function="false" hidden="true" name="cvhsry" vbProcedure="false">{#N/A,#N/A,TRUE,"Фин.рез"}</definedName>
    <definedName function="false" hidden="true" name="cvhsry_1" vbProcedure="false">{#N/A,#N/A,TRUE,"Фин.рез"}</definedName>
    <definedName function="false" hidden="true" name="Cwvu.CapersView." vbProcedure="false">#REF!</definedName>
    <definedName function="false" hidden="true" name="Cwvu.Japan_Capers_Ed_Pub." vbProcedure="false">#REF!</definedName>
    <definedName function="false" hidden="true" name="Cwvu.KJP_CC." vbProcedure="false">#REF!,#REF!,#REF!,#REF!,#REF!,#REF!,#REF!,#REF!,#REF!,#REF!,#REF!,#REF!,#REF!,#REF!,#REF!,#REF!,#REF!,#REF!,#REF!,#REF!</definedName>
    <definedName function="false" hidden="true" name="D120.05" vbProcedure="false">{#N/A,#N/A,FALSE,"101"}</definedName>
    <definedName function="false" hidden="true" name="D120.7" vbProcedure="false">{#N/A,#N/A,FALSE,"101"}</definedName>
    <definedName function="false" hidden="true" name="D120.71" vbProcedure="false">{#N/A,#N/A,FALSE,"101"}</definedName>
    <definedName function="false" hidden="true" name="dadadwdwda" vbProcedure="false">{"assets",#N/A,FALSE,"historicBS";"liab",#N/A,FALSE,"historicBS";"is",#N/A,FALSE,"historicIS";"ratios",#N/A,FALSE,"ratios"}</definedName>
    <definedName function="false" hidden="true" name="dasd" vbProcedure="false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function="false" hidden="true" name="DATA_01" vbProcedure="false">#REF!</definedName>
    <definedName function="false" hidden="true" name="DATA_02" vbProcedure="false">#REF!</definedName>
    <definedName function="false" hidden="true" name="DATA_03" vbProcedure="false">#REF!</definedName>
    <definedName function="false" hidden="true" name="DATA_04" vbProcedure="false">#REF!</definedName>
    <definedName function="false" hidden="true" name="DATA_05" vbProcedure="false">#REF!</definedName>
    <definedName function="false" hidden="true" name="DATA_06" vbProcedure="false">#REF!</definedName>
    <definedName function="false" hidden="true" name="DATA_07" vbProcedure="false">#REF!</definedName>
    <definedName function="false" hidden="true" name="DATA_08" vbProcedure="false">#REF!</definedName>
    <definedName function="false" hidden="true" name="db" vbProcedure="false">{#N/A,#N/A,FALSE,"Aging Summary";#N/A,#N/A,FALSE,"Ratio Analysis";#N/A,#N/A,FALSE,"Test 120 Day Accts";#N/A,#N/A,FALSE,"Tickmarks"}</definedName>
    <definedName function="false" hidden="true" name="de" vbProcedure="false">{"программа",#N/A,TRUE,"lessons";"продажа оргтехники",#N/A,TRUE,"образец"}</definedName>
    <definedName function="false" hidden="true" name="DeleteRange" vbProcedure="false">#N/A</definedName>
    <definedName function="false" hidden="true" name="DeleteTable" vbProcedure="false">#N/A</definedName>
    <definedName function="false" hidden="true" name="det" vbProcedure="false">#REF!</definedName>
    <definedName function="false" hidden="true" name="de_1" vbProcedure="false">{"программа",#N/A,TRUE,"lessons";"продажа оргтехники",#N/A,TRUE,"образец"}</definedName>
    <definedName function="false" hidden="true" name="de_1_1" vbProcedure="false">{"программа",#N/A,TRUE,"lessons";"продажа оргтехники",#N/A,TRUE,"образец"}</definedName>
    <definedName function="false" hidden="true" name="de_1_2" vbProcedure="false">{"программа",#N/A,TRUE,"lessons";"продажа оргтехники",#N/A,TRUE,"образец"}</definedName>
    <definedName function="false" hidden="true" name="de_1_3" vbProcedure="false">{"программа",#N/A,TRUE,"lessons";"продажа оргтехники",#N/A,TRUE,"образец"}</definedName>
    <definedName function="false" hidden="true" name="de_1_4" vbProcedure="false">{"программа",#N/A,TRUE,"lessons";"продажа оргтехники",#N/A,TRUE,"образец"}</definedName>
    <definedName function="false" hidden="true" name="de_1_5" vbProcedure="false">{"программа",#N/A,TRUE,"lessons";"продажа оргтехники",#N/A,TRUE,"образец"}</definedName>
    <definedName function="false" hidden="true" name="de_2" vbProcedure="false">{"программа",#N/A,TRUE,"lessons";"продажа оргтехники",#N/A,TRUE,"образец"}</definedName>
    <definedName function="false" hidden="true" name="de_3" vbProcedure="false">{"программа",#N/A,TRUE,"lessons";"продажа оргтехники",#N/A,TRUE,"образец"}</definedName>
    <definedName function="false" hidden="true" name="de_4" vbProcedure="false">{"программа",#N/A,TRUE,"lessons";"продажа оргтехники",#N/A,TRUE,"образец"}</definedName>
    <definedName function="false" hidden="true" name="de_5" vbProcedure="false">{"программа",#N/A,TRUE,"lessons";"продажа оргтехники",#N/A,TRUE,"образец"}</definedName>
    <definedName function="false" hidden="true" name="df" vbProcedure="false">{"'Северо-Никольское '!$A$6:$J$40"}</definedName>
    <definedName function="false" hidden="true" name="dfb" vbProcedure="false">#REF!</definedName>
    <definedName function="false" hidden="true" name="dfdfgd" vbProcedure="false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function="false" hidden="true" name="dfer" vbProcedure="false">{"'Северо-Никольское '!$A$6:$J$40"}</definedName>
    <definedName function="false" hidden="true" name="dffg" vbProcedure="false">{"'Северо-Никольское '!$A$6:$J$40"}</definedName>
    <definedName function="false" hidden="true" name="dfg" vbProcedure="false">{"'Северо-Никольское '!$A$6:$J$40"}</definedName>
    <definedName function="false" hidden="true" name="dfgd" vbProcedure="false">{"det (May)",#N/A,FALSE,"June";"sum (MAY YTD)",#N/A,FALSE,"June YTD"}</definedName>
    <definedName function="false" hidden="true" name="dfgdf" vbProcedure="false">{"glc1",#N/A,FALSE,"GLC";"glc2",#N/A,FALSE,"GLC";"glc3",#N/A,FALSE,"GLC";"glc4",#N/A,FALSE,"GLC";"glc5",#N/A,FALSE,"GLC"}</definedName>
    <definedName function="false" hidden="true" name="dfgfhg" vbProcedure="false">{"glc1",#N/A,FALSE,"GLC";"glc2",#N/A,FALSE,"GLC";"glc3",#N/A,FALSE,"GLC";"glc4",#N/A,FALSE,"GLC";"glc5",#N/A,FALSE,"GLC"}</definedName>
    <definedName function="false" hidden="true" name="dfgh" vbProcedure="false">#REF!</definedName>
    <definedName function="false" hidden="true" name="dfghfg" vbProcedure="false">{"'Sheet1'!$A$1:$G$85"}</definedName>
    <definedName function="false" hidden="true" name="dfgmjesytj" vbProcedure="false">{#N/A,#N/A,TRUE,"Фин.рез"}</definedName>
    <definedName function="false" hidden="true" name="dfgmjesytj_1" vbProcedure="false">{#N/A,#N/A,TRUE,"Фин.рез"}</definedName>
    <definedName function="false" hidden="true" name="dfgs" vbProcedure="false">{"glc1",#N/A,FALSE,"GLC";"glc2",#N/A,FALSE,"GLC";"glc3",#N/A,FALSE,"GLC";"glc4",#N/A,FALSE,"GLC";"glc5",#N/A,FALSE,"GLC"}</definedName>
    <definedName function="false" hidden="true" name="dfg_1" vbProcedure="false">{#N/A,#N/A,TRUE,"Фин.рез"}</definedName>
    <definedName function="false" hidden="true" name="dfg_lkj" vbProcedure="false">{"'Северо-Никольское '!$A$6:$J$40"}</definedName>
    <definedName function="false" hidden="true" name="dfherutwerh" vbProcedure="false">{#N/A,#N/A,TRUE,"Фин.рез"}</definedName>
    <definedName function="false" hidden="true" name="dfherutwerh_1" vbProcedure="false">{#N/A,#N/A,TRUE,"Фин.рез"}</definedName>
    <definedName function="false" hidden="true" name="dfrhgzsdhsz" vbProcedure="false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function="false" hidden="true" name="dfs" vbProcedure="false">#N/A</definedName>
    <definedName function="false" hidden="true" name="dfyjtjutj" vbProcedure="false">{"det (May)",#N/A,FALSE,"June";"sum (MAY YTD)",#N/A,FALSE,"June YTD"}</definedName>
    <definedName function="false" hidden="true" name="dfzb" vbProcedure="false">#REF!</definedName>
    <definedName function="false" hidden="true" name="dgdg" vbProcedure="false">{"det (May)",#N/A,FALSE,"June";"sum (MAY YTD)",#N/A,FALSE,"June YTD"}</definedName>
    <definedName function="false" hidden="true" name="dgfdg" vbProcedure="false">{"det (May)",#N/A,FALSE,"June";"sum (MAY YTD)",#N/A,FALSE,"June YTD"}</definedName>
    <definedName function="false" hidden="true" name="dgs" vbProcedure="false">#REF!</definedName>
    <definedName function="false" hidden="true" name="dhdh" vbProcedure="false">{"det (May)",#N/A,FALSE,"June";"sum (MAY YTD)",#N/A,FALSE,"June YTD"}</definedName>
    <definedName function="false" hidden="true" name="dhgdfhgf" vbProcedure="false">{"det (May)",#N/A,FALSE,"June";"sum (MAY YTD)",#N/A,FALSE,"June YTD"}</definedName>
    <definedName function="false" hidden="true" name="dochka" vbProcedure="false">#N/A</definedName>
    <definedName function="false" hidden="true" name="draft53" vbProcedure="false">{"det (May)",#N/A,FALSE,"June";"sum (MAY YTD)",#N/A,FALSE,"June YTD"}</definedName>
    <definedName function="false" hidden="true" name="DRAte" vbProcedure="false">#N/A</definedName>
    <definedName function="false" hidden="true" name="drftjtyjtyj" vbProcedure="false">{"det (May)",#N/A,FALSE,"June";"sum (MAY YTD)",#N/A,FALSE,"June YTD"}</definedName>
    <definedName function="false" hidden="true" name="drtyjtyjuuj" vbProcedure="false">{"det (May)",#N/A,FALSE,"June";"sum (MAY YTD)",#N/A,FALSE,"June YTD"}</definedName>
    <definedName function="false" hidden="true" name="dsfd" vbProcedure="false">{#N/A,#N/A,FALSE,"Aging Summary";#N/A,#N/A,FALSE,"Ratio Analysis";#N/A,#N/A,FALSE,"Test 120 Day Accts";#N/A,#N/A,FALSE,"Tickmarks"}</definedName>
    <definedName function="false" hidden="true" name="dsgsg" vbProcedure="false">#REF!</definedName>
    <definedName function="false" hidden="true" name="dsvbgl" vbProcedure="false">{"det (May)",#N/A,FALSE,"June";"sum (MAY YTD)",#N/A,FALSE,"June YTD"}</definedName>
    <definedName function="false" hidden="true" name="dtheth" vbProcedure="false">{"det (May)",#N/A,FALSE,"June";"sum (MAY YTD)",#N/A,FALSE,"June YTD"}</definedName>
    <definedName function="false" hidden="true" name="dtj" vbProcedure="false">#REF!</definedName>
    <definedName function="false" hidden="true" name="dtjkdujktd" vbProcedure="false">{"det (May)",#N/A,FALSE,"June";"sum (MAY YTD)",#N/A,FALSE,"June YTD"}</definedName>
    <definedName function="false" hidden="true" name="dtjtyjyt" vbProcedure="false">{"det (May)",#N/A,FALSE,"June";"sum (MAY YTD)",#N/A,FALSE,"June YTD"}</definedName>
    <definedName function="false" hidden="true" name="dtjymndtr" vbProcedure="false">{#N/A,#N/A,TRUE,"Фин.рез"}</definedName>
    <definedName function="false" hidden="true" name="dtjymndtr_1" vbProcedure="false">{#N/A,#N/A,TRUE,"Фин.рез"}</definedName>
    <definedName function="false" hidden="true" name="dtmjnyt" vbProcedure="false">{#N/A,#N/A,TRUE,"Фин.рез"}</definedName>
    <definedName function="false" hidden="true" name="dtmjnyt_1" vbProcedure="false">{#N/A,#N/A,TRUE,"Фин.рез"}</definedName>
    <definedName function="false" hidden="true" name="dtyjdj" vbProcedure="false">{"det (May)",#N/A,FALSE,"June";"sum (MAY YTD)",#N/A,FALSE,"June YTD"}</definedName>
    <definedName function="false" hidden="true" name="dtyjdtj" vbProcedure="false">{"det (May)",#N/A,FALSE,"June";"sum (MAY YTD)",#N/A,FALSE,"June YTD"}</definedName>
    <definedName function="false" hidden="true" name="dtyjdtjt" vbProcedure="false">{"det (May)",#N/A,FALSE,"June";"sum (MAY YTD)",#N/A,FALSE,"June YTD"}</definedName>
    <definedName function="false" hidden="true" name="dtyjtj" vbProcedure="false">{"det (May)",#N/A,FALSE,"June";"sum (MAY YTD)",#N/A,FALSE,"June YTD"}</definedName>
    <definedName function="false" hidden="true" name="dtyjtjtyd" vbProcedure="false">{"det (May)",#N/A,FALSE,"June";"sum (MAY YTD)",#N/A,FALSE,"June YTD"}</definedName>
    <definedName function="false" hidden="true" name="dtyjtjyt" vbProcedure="false">{"det (May)",#N/A,FALSE,"June";"sum (MAY YTD)",#N/A,FALSE,"June YTD"}</definedName>
    <definedName function="false" hidden="true" name="dtytdyjtyj" vbProcedure="false">{"det (May)",#N/A,FALSE,"June";"sum (MAY YTD)",#N/A,FALSE,"June YTD"}</definedName>
    <definedName function="false" hidden="true" name="dyj" vbProcedure="false">#REF!</definedName>
    <definedName function="false" hidden="true" name="dyjdjy" vbProcedure="false">{"det (May)",#N/A,FALSE,"June";"sum (MAY YTD)",#N/A,FALSE,"June YTD"}</definedName>
    <definedName function="false" hidden="true" name="dyjdtjd" vbProcedure="false">{"det (May)",#N/A,FALSE,"June";"sum (MAY YTD)",#N/A,FALSE,"June YTD"}</definedName>
    <definedName function="false" hidden="true" name="dyjmn" vbProcedure="false">{#N/A,#N/A,TRUE,"Фин.рез"}</definedName>
    <definedName function="false" hidden="true" name="dyjmn_1" vbProcedure="false">{#N/A,#N/A,TRUE,"Фин.рез"}</definedName>
    <definedName function="false" hidden="true" name="dyjtj" vbProcedure="false">{"det (May)",#N/A,FALSE,"June";"sum (MAY YTD)",#N/A,FALSE,"June YTD"}</definedName>
    <definedName function="false" hidden="true" name="dyjtjyt" vbProcedure="false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function="false" hidden="true" name="dyjtyj" vbProcedure="false">{"det (May)",#N/A,FALSE,"June";"sum (MAY YTD)",#N/A,FALSE,"June YTD"}</definedName>
    <definedName function="false" hidden="true" name="dyjtyjuju" vbProcedure="false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function="false" hidden="true" name="dyjtyjuykj" vbProcedure="false">{"det (May)",#N/A,FALSE,"June";"sum (MAY YTD)",#N/A,FALSE,"June YTD"}</definedName>
    <definedName function="false" hidden="true" name="eew" vbProcedure="false">{#N/A,#N/A,TRUE,"Фин.рез"}</definedName>
    <definedName function="false" hidden="true" name="eew_1" vbProcedure="false">{#N/A,#N/A,TRUE,"Фин.рез"}</definedName>
    <definedName function="false" hidden="true" name="efkdmf" vbProcedure="false">{#N/A,#N/A,FALSE,"101"}</definedName>
    <definedName function="false" hidden="true" name="efsefsefse" vbProcedure="false">{#N/A,#N/A,FALSE,"Aging Summary";#N/A,#N/A,FALSE,"Ratio Analysis";#N/A,#N/A,FALSE,"Test 120 Day Accts";#N/A,#N/A,FALSE,"Tickmarks"}</definedName>
    <definedName function="false" hidden="true" name="eirhg" vbProcedure="false">{"det (May)",#N/A,FALSE,"June";"sum (MAY YTD)",#N/A,FALSE,"June YTD"}</definedName>
    <definedName function="false" hidden="true" name="eirnf" vbProcedure="false">{"det (May)",#N/A,FALSE,"June";"sum (MAY YTD)",#N/A,FALSE,"June YTD"}</definedName>
    <definedName function="false" hidden="true" name="ekcjh" vbProcedure="false">#N/A</definedName>
    <definedName function="false" hidden="true" name="EPMWorkbookOptions_1" vbProcedure="false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function="false" hidden="true" name="EPMWorkbookOptions_2" vbProcedure="false">"9F3OxBOtzB60hFONCeryveGHd9WJr+7iO45h/1l2AQAA"</definedName>
    <definedName function="false" hidden="true" name="eroweir" vbProcedure="false">{"det (May)",#N/A,FALSE,"June";"sum (MAY YTD)",#N/A,FALSE,"June YTD"}</definedName>
    <definedName function="false" hidden="true" name="ersyyyy" vbProcedure="false">{#N/A,#N/A,TRUE,"Фин.рез"}</definedName>
    <definedName function="false" hidden="true" name="ersyyyy_1" vbProcedure="false">{#N/A,#N/A,TRUE,"Фин.рез"}</definedName>
    <definedName function="false" hidden="true" name="ert" vbProcedure="false">{#N/A,#N/A,FALSE,"Aging Summary";#N/A,#N/A,FALSE,"Ratio Analysis";#N/A,#N/A,FALSE,"Test 120 Day Accts";#N/A,#N/A,FALSE,"Tickmarks"}</definedName>
    <definedName function="false" hidden="true" name="esnrc7c1" vbProcedure="false">#REF!</definedName>
    <definedName function="false" hidden="true" name="etyjetje" vbProcedure="false">{"det (May)",#N/A,FALSE,"June";"sum (MAY YTD)",#N/A,FALSE,"June YTD"}</definedName>
    <definedName function="false" hidden="true" name="etyjte" vbProcedure="false">{"det (May)",#N/A,FALSE,"June";"sum (MAY YTD)",#N/A,FALSE,"June YTD"}</definedName>
    <definedName function="false" hidden="true" name="ev.Calculation" vbProcedure="false">2</definedName>
    <definedName function="false" hidden="true" name="ev.Initialized" vbProcedure="false">FALSE()</definedName>
    <definedName function="false" hidden="true" name="EV__EVCOM_OPTIONS__" vbProcedure="false">8</definedName>
    <definedName function="false" hidden="true" name="EV__EXPOPTIONS__" vbProcedure="false">1</definedName>
    <definedName function="false" hidden="true" name="EV__LASTREFTIME__" vbProcedure="false">39898.627974537</definedName>
    <definedName function="false" hidden="true" name="EV__MAXEXPCOLS__" vbProcedure="false">100</definedName>
    <definedName function="false" hidden="true" name="EV__MAXEXPROWS__" vbProcedure="false">1000</definedName>
    <definedName function="false" hidden="true" name="EV__MEMORYCVW__" vbProcedure="false">0</definedName>
    <definedName function="false" hidden="true" name="EV__MEMORYCVW__BOOK1" vbProcedure="false">"[GROSSMARGIN"</definedName>
    <definedName function="false" hidden="true" name="EV__MEMORYCVW__BOOK1_ACCOUNT" vbProcedure="false">"[A_NONE"</definedName>
    <definedName function="false" hidden="true" name="EV__MEMORYCVW__BOOK1_CURRENCY" vbProcedure="false">"[LC"</definedName>
    <definedName function="false" hidden="true" name="EV__MEMORYCVW__BOOK1_DATASOURCE" vbProcedure="false">"[MANUAL"</definedName>
    <definedName function="false" hidden="true" name="EV__MEMORYCVW__BOOK1_ENTITY" vbProcedure="false">"[EM_CT"</definedName>
    <definedName function="false" hidden="true" name="EV__MEMORYCVW__BOOK1_ENTITYGROUPS" vbProcedure="false">"[D_CT"</definedName>
    <definedName function="false" hidden="true" name="EV__MEMORYCVW__BOOK1_EXT2" vbProcedure="false">"[EXT2_NONE"</definedName>
    <definedName function="false" hidden="true" name="EV__MEMORYCVW__BOOK1_MEASURES" vbProcedure="false">"[PERIODIC"</definedName>
    <definedName function="false" hidden="true" name="EV__MEMORYCVW__BOOK1_PRODUCT" vbProcedure="false">"[PD_TOTAL"</definedName>
    <definedName function="false" hidden="true" name="EV__MEMORYCVW__BOOK1_SCENARIO" vbProcedure="false">"[PLAN"</definedName>
    <definedName function="false" hidden="true" name="EV__MEMORYCVW__BOOK1_SUBFORMAT" vbProcedure="false">"[SF_01"</definedName>
    <definedName function="false" hidden="true" name="EV__MEMORYCVW__BOOK1_TIME" vbProcedure="false">"[2012.TOTAL"</definedName>
    <definedName function="false" hidden="true" name="EV__MEMORYCVW__BOOK2" vbProcedure="false">"[SALES"</definedName>
    <definedName function="false" hidden="true" name="EV__MEMORYCVW__BOOK2_ACCOUNT" vbProcedure="false">"[A_00"</definedName>
    <definedName function="false" hidden="true" name="EV__MEMORYCVW__BOOK2_CURRENCY" vbProcedure="false">"[LC"</definedName>
    <definedName function="false" hidden="true" name="EV__MEMORYCVW__BOOK2_DATASOURCE" vbProcedure="false">"[FB_FM"</definedName>
    <definedName function="false" hidden="true" name="EV__MEMORYCVW__BOOK2_ENTITY" vbProcedure="false">"[X5RG"</definedName>
    <definedName function="false" hidden="true" name="EV__MEMORYCVW__BOOK2_ENTITYGROUPS" vbProcedure="false">"[EG_M_D_CH"</definedName>
    <definedName function="false" hidden="true" name="EV__MEMORYCVW__BOOK2_EXT2" vbProcedure="false">"[EXT2_NONE"</definedName>
    <definedName function="false" hidden="true" name="EV__MEMORYCVW__BOOK2_MEASURES" vbProcedure="false">"[PERIODIC"</definedName>
    <definedName function="false" hidden="true" name="EV__MEMORYCVW__BOOK2_PRODUCT" vbProcedure="false">"[PD200"</definedName>
    <definedName function="false" hidden="true" name="EV__MEMORYCVW__BOOK2_SCENARIO" vbProcedure="false">"[PLAN"</definedName>
    <definedName function="false" hidden="true" name="EV__MEMORYCVW__BOOK2_SUBFORMAT" vbProcedure="false">"[SF_ALL"</definedName>
    <definedName function="false" hidden="true" name="EV__MEMORYCVW__BOOK2_TIME" vbProcedure="false">"[2013.TOTAL"</definedName>
    <definedName function="false" hidden="true" name="EV__MEMORYCVW__BOOK3" vbProcedure="false">"[GROSSMARGIN"</definedName>
    <definedName function="false" hidden="true" name="EV__MEMORYCVW__BOOK3_ACCOUNT" vbProcedure="false">"[A_NONE"</definedName>
    <definedName function="false" hidden="true" name="EV__MEMORYCVW__BOOK3_CURRENCY" vbProcedure="false">"[LC"</definedName>
    <definedName function="false" hidden="true" name="EV__MEMORYCVW__BOOK3_DATASOURCE" vbProcedure="false">"[MANUAL"</definedName>
    <definedName function="false" hidden="true" name="EV__MEMORYCVW__BOOK3_ENTITY" vbProcedure="false">"[EM_CT"</definedName>
    <definedName function="false" hidden="true" name="EV__MEMORYCVW__BOOK3_EXT2" vbProcedure="false">"[EXT2_NONE"</definedName>
    <definedName function="false" hidden="true" name="EV__MEMORYCVW__BOOK3_MEASURES" vbProcedure="false">"[PERIODIC"</definedName>
    <definedName function="false" hidden="true" name="EV__MEMORYCVW__BOOK3_PRODUCT" vbProcedure="false">"[PD_TOTAL"</definedName>
    <definedName function="false" hidden="true" name="EV__MEMORYCVW__BOOK3_SCENARIO" vbProcedure="false">"[PLAN"</definedName>
    <definedName function="false" hidden="true" name="EV__MEMORYCVW__BOOK3_TIME" vbProcedure="false">"[2012.TOTAL"</definedName>
    <definedName function="false" hidden="true" name="EV__MEMORYCVW__BOOK7" vbProcedure="false">"[SALES"</definedName>
    <definedName function="false" hidden="true" name="EV__MEMORYCVW__BOOK7_ACCOUNT" vbProcedure="false">"[A_00"</definedName>
    <definedName function="false" hidden="true" name="EV__MEMORYCVW__BOOK7_CURRENCY" vbProcedure="false">"[LC"</definedName>
    <definedName function="false" hidden="true" name="EV__MEMORYCVW__BOOK7_DATASOURCE" vbProcedure="false">"[FB_FM"</definedName>
    <definedName function="false" hidden="true" name="EV__MEMORYCVW__BOOK7_ENTITY" vbProcedure="false">"[EO_RG"</definedName>
    <definedName function="false" hidden="true" name="EV__MEMORYCVW__BOOK7_ENTITYGROUPS" vbProcedure="false">"[EG_M_H_SZ"</definedName>
    <definedName function="false" hidden="true" name="EV__MEMORYCVW__BOOK7_EXT2" vbProcedure="false">"[EXT2_NONE"</definedName>
    <definedName function="false" hidden="true" name="EV__MEMORYCVW__BOOK7_MEASURES" vbProcedure="false">"[PERIODIC"</definedName>
    <definedName function="false" hidden="true" name="EV__MEMORYCVW__BOOK7_PRODUCT" vbProcedure="false">"[PD200"</definedName>
    <definedName function="false" hidden="true" name="EV__MEMORYCVW__BOOK7_SCENARIO" vbProcedure="false">"[PLAN"</definedName>
    <definedName function="false" hidden="true" name="EV__MEMORYCVW__BOOK7_SUBFORMAT" vbProcedure="false">"[SF_ALL"</definedName>
    <definedName function="false" hidden="true" name="EV__MEMORYCVW__BOOK7_TIME" vbProcedure="false">"[2013.TOTAL"</definedName>
    <definedName function="false" hidden="true" name="EV__MEMORYCVW__BOOK8" vbProcedure="false">"[SALES"</definedName>
    <definedName function="false" hidden="true" name="EV__MEMORYCVW__BOOK8_ACCOUNT" vbProcedure="false">"[A_00"</definedName>
    <definedName function="false" hidden="true" name="EV__MEMORYCVW__BOOK8_CURRENCY" vbProcedure="false">"[LC"</definedName>
    <definedName function="false" hidden="true" name="EV__MEMORYCVW__BOOK8_DATASOURCE" vbProcedure="false">"[FB_FM"</definedName>
    <definedName function="false" hidden="true" name="EV__MEMORYCVW__BOOK8_ENTITY" vbProcedure="false">"[EO_RG"</definedName>
    <definedName function="false" hidden="true" name="EV__MEMORYCVW__BOOK8_ENTITYGROUPS" vbProcedure="false">"[EG_M_D"</definedName>
    <definedName function="false" hidden="true" name="EV__MEMORYCVW__BOOK8_EXT2" vbProcedure="false">"[EXT2_NONE"</definedName>
    <definedName function="false" hidden="true" name="EV__MEMORYCVW__BOOK8_MEASURES" vbProcedure="false">"[PERIODIC"</definedName>
    <definedName function="false" hidden="true" name="EV__MEMORYCVW__BOOK8_PRODUCT" vbProcedure="false">"[PD200"</definedName>
    <definedName function="false" hidden="true" name="EV__MEMORYCVW__BOOK8_SCENARIO" vbProcedure="false">"[PLAN"</definedName>
    <definedName function="false" hidden="true" name="EV__MEMORYCVW__BOOK8_SUBFORMAT" vbProcedure="false">"[SF_ALL"</definedName>
    <definedName function="false" hidden="true" name="EV__MEMORYCVW__BOOK8_TIME" vbProcedure="false">"[2013.TOTAL"</definedName>
    <definedName function="false" hidden="true" name="EV__MEMORYCVW__FALSE.XLSX" vbProcedure="false">"[GROSSMARGIN"</definedName>
    <definedName function="false" hidden="true" name="EV__MEMORYCVW__FALSE.XLSX_ACCOUNT" vbProcedure="false">"[A_NONE"</definedName>
    <definedName function="false" hidden="true" name="EV__MEMORYCVW__FALSE.XLSX_CURRENCY" vbProcedure="false">"[LC"</definedName>
    <definedName function="false" hidden="true" name="EV__MEMORYCVW__FALSE.XLSX_DATASOURCE" vbProcedure="false">"[FB_99"</definedName>
    <definedName function="false" hidden="true" name="EV__MEMORYCVW__FALSE.XLSX_ENTITY" vbProcedure="false">"[12SZ1024"</definedName>
    <definedName function="false" hidden="true" name="EV__MEMORYCVW__FALSE.XLSX_ENTITYGROUPS" vbProcedure="false">"[H_SZ"</definedName>
    <definedName function="false" hidden="true" name="EV__MEMORYCVW__FALSE.XLSX_EXT2" vbProcedure="false">"[EXT2_NONE"</definedName>
    <definedName function="false" hidden="true" name="EV__MEMORYCVW__FALSE.XLSX_MEASURES" vbProcedure="false">"[QTD"</definedName>
    <definedName function="false" hidden="true" name="EV__MEMORYCVW__FALSE.XLSX_PRODUCT" vbProcedure="false">"[PD200"</definedName>
    <definedName function="false" hidden="true" name="EV__MEMORYCVW__FALSE.XLSX_SCENARIO" vbProcedure="false">"[PLAN"</definedName>
    <definedName function="false" hidden="true" name="EV__MEMORYCVW__FALSE.XLSX_SUBFORMAT" vbProcedure="false">"[SF_ALL"</definedName>
    <definedName function="false" hidden="true" name="EV__MEMORYCVW__FALSE.XLSX_TIME" vbProcedure="false">"[2011.TOTAL"</definedName>
    <definedName function="false" hidden="true" name="EV__MEMORYCVW__LFL_DATA.XLSX" vbProcedure="false">"[SALES"</definedName>
    <definedName function="false" hidden="true" name="EV__MEMORYCVW__LFL_DATA.XLSX_ACCOUNT" vbProcedure="false">"[A_PL_04"</definedName>
    <definedName function="false" hidden="true" name="EV__MEMORYCVW__LFL_DATA.XLSX_CURRENCY" vbProcedure="false">"[LC"</definedName>
    <definedName function="false" hidden="true" name="EV__MEMORYCVW__LFL_DATA.XLSX_DATASOURCE" vbProcedure="false">"[FB_SP"</definedName>
    <definedName function="false" hidden="true" name="EV__MEMORYCVW__LFL_DATA.XLSX_ENTITY" vbProcedure="false">"[13CHAAA0"</definedName>
    <definedName function="false" hidden="true" name="EV__MEMORYCVW__LFL_DATA.XLSX_ENTITYGROUPS" vbProcedure="false">"[EG_F_D_UR"</definedName>
    <definedName function="false" hidden="true" name="EV__MEMORYCVW__LFL_DATA.XLSX_EXT2" vbProcedure="false">"[EXT2_NONE"</definedName>
    <definedName function="false" hidden="true" name="EV__MEMORYCVW__LFL_DATA.XLSX_MEASURES" vbProcedure="false">"[PERIODIC"</definedName>
    <definedName function="false" hidden="true" name="EV__MEMORYCVW__LFL_DATA.XLSX_PRODUCT" vbProcedure="false">"[PD200"</definedName>
    <definedName function="false" hidden="true" name="EV__MEMORYCVW__LFL_DATA.XLSX_SCENARIO" vbProcedure="false">"[PLAN_06_06"</definedName>
    <definedName function="false" hidden="true" name="EV__MEMORYCVW__LFL_DATA.XLSX_SUBFORMAT" vbProcedure="false">"[SF_ALL"</definedName>
    <definedName function="false" hidden="true" name="EV__MEMORYCVW__LFL_DATA.XLSX_TIME" vbProcedure="false">"[2013.TOTAL"</definedName>
    <definedName function="false" hidden="true" name="EV__MEMORYCVW__БЮДЖЕТ_ПРОДАЖ.XLSM" vbProcedure="false">"[GROSSMARGIN"</definedName>
    <definedName function="false" hidden="true" name="EV__MEMORYCVW__БЮДЖЕТ_ПРОДАЖ11.XLSM" vbProcedure="false">"[GROSSMARGIN"</definedName>
    <definedName function="false" hidden="true" name="EV__MEMORYCVW__БЮДЖЕТ_ПРОДАЖ12.XLSM" vbProcedure="false">"[GROSSMARGIN"</definedName>
    <definedName function="false" hidden="true" name="EV__MEMORYCVW__БЮДЖЕТ_ПРОДАЖ13.XLSM" vbProcedure="false">"[GROSSMARGIN"</definedName>
    <definedName function="false" hidden="true" name="EV__MEMORYCVW__БЮДЖЕТ_ПРОДАЖ14.XLSM" vbProcedure="false">"[GROSSMARGIN"</definedName>
    <definedName function="false" hidden="true" name="EV__MEMORYCVW__БЮДЖЕТ_ПРОДАЖ15.XLSM" vbProcedure="false">"[GROSSMARGIN"</definedName>
    <definedName function="false" hidden="true" name="EV__MEMORYCVW__БЮДЖЕТ_ПРОДАЖ16.XLSM" vbProcedure="false">"[GROSSMARGIN"</definedName>
    <definedName function="false" hidden="true" name="EV__MEMORYCVW__БЮДЖЕТ_ПРОДАЖ2.XLSM" vbProcedure="false">"[GROSSMARGIN"</definedName>
    <definedName function="false" hidden="true" name="EV__MEMORYCVW__БЮДЖЕТ_ПРОДАЖ3.XLSM" vbProcedure="false">"[GROSSMARGIN"</definedName>
    <definedName function="false" hidden="true" name="EV__MEMORYCVW__БЮДЖЕТ_ПРОДАЖ5.XLSM" vbProcedure="false">"[GROSSMARGIN"</definedName>
    <definedName function="false" hidden="true" name="EV__MEMORYCVW__БЮДЖЕТ_ПРОДАЖ6.XLSM" vbProcedure="false">"[GROSSMARGIN"</definedName>
    <definedName function="false" hidden="true" name="EV__MEMORYCVW__БЮДЖЕТ_ПРОДАЖ7.XLSM" vbProcedure="false">"[GROSSMARGIN"</definedName>
    <definedName function="false" hidden="true" name="EV__MEMORYCVW__БЮДЖЕТ_ПРОДАЖ8.XLSM" vbProcedure="false">"[GROSSMARGIN"</definedName>
    <definedName function="false" hidden="true" name="EV__MEMORYCVW__БЮДЖЕТ_ПРОДАЖ9.XLSM" vbProcedure="false">"[GROSSMARGIN"</definedName>
    <definedName function="false" hidden="true" name="EV__MEMORYCVW__БЮДЖЕТ_ПРОДАЖ_1.XLTX" vbProcedure="false">"[GROSSMARGIN"</definedName>
    <definedName function="false" hidden="true" name="EV__MEMORYCVW__БЮДЖЕТ_ПРОДАЖ_МОДЕЛЬНЫХ_ОБЪЕКТОВ.XLSM" vbProcedure="false">"[GROSSMARGIN"</definedName>
    <definedName function="false" hidden="true" name="EV__MEMORYCVW__БЮДЖЕТ_ПРОДАЖ_МОДЕЛЬНЫХ_ОБЪЕКТОВ2.XLSM" vbProcedure="false">"[GROSSMARGIN"</definedName>
    <definedName function="false" hidden="true" name="EV__MEMORYCVW__ВВОД_МАТРИЦЫ_ТОВАРОВ2.XLSM" vbProcedure="false">"[GROSSMARGIN"</definedName>
    <definedName function="false" hidden="true" name="EV__MEMORYCVW__ВВОД_МАТРИЦЫ_ТОВАРОВ2.XLSM_ACCOUNT" vbProcedure="false">"[A_NONE"</definedName>
    <definedName function="false" hidden="true" name="EV__MEMORYCVW__ВВОД_МАТРИЦЫ_ТОВАРОВ2.XLSM_CURRENCY" vbProcedure="false">"[LC"</definedName>
    <definedName function="false" hidden="true" name="EV__MEMORYCVW__ВВОД_МАТРИЦЫ_ТОВАРОВ2.XLSM_DATASOURCE" vbProcedure="false">"[MANUAL"</definedName>
    <definedName function="false" hidden="true" name="EV__MEMORYCVW__ВВОД_МАТРИЦЫ_ТОВАРОВ2.XLSM_ENTITY" vbProcedure="false">"[EM_CT"</definedName>
    <definedName function="false" hidden="true" name="EV__MEMORYCVW__ВВОД_МАТРИЦЫ_ТОВАРОВ2.XLSM_ENTITYGROUPS" vbProcedure="false">"[D_CT"</definedName>
    <definedName function="false" hidden="true" name="EV__MEMORYCVW__ВВОД_МАТРИЦЫ_ТОВАРОВ2.XLSM_EXT2" vbProcedure="false">"[EXT2_NONE"</definedName>
    <definedName function="false" hidden="true" name="EV__MEMORYCVW__ВВОД_МАТРИЦЫ_ТОВАРОВ2.XLSM_MEASURES" vbProcedure="false">"[PERIODIC"</definedName>
    <definedName function="false" hidden="true" name="EV__MEMORYCVW__ВВОД_МАТРИЦЫ_ТОВАРОВ2.XLSM_PRODUCT" vbProcedure="false">"[PD200"</definedName>
    <definedName function="false" hidden="true" name="EV__MEMORYCVW__ВВОД_МАТРИЦЫ_ТОВАРОВ2.XLSM_SCENARIO" vbProcedure="false">"[PLAN"</definedName>
    <definedName function="false" hidden="true" name="EV__MEMORYCVW__ВВОД_МАТРИЦЫ_ТОВАРОВ2.XLSM_SUBFORMAT" vbProcedure="false">"[SF_01"</definedName>
    <definedName function="false" hidden="true" name="EV__MEMORYCVW__ВВОД_МАТРИЦЫ_ТОВАРОВ2.XLSM_TIME" vbProcedure="false">"[2012.TOTAL"</definedName>
    <definedName function="false" hidden="true" name="EV__MEMORYCVW__ВВОД_СТРУКТУРЫ_ПРОДАЖ1" vbProcedure="false">"[GROSSMARGIN"</definedName>
    <definedName function="false" hidden="true" name="EV__MEMORYCVW__ВВОД_ТАРИФА_И_ДРАЙВЕРА2.XLTX" vbProcedure="false">"[GROSSMARGIN"</definedName>
    <definedName function="false" hidden="true" name="EV__MEMORYCVW__ВВОД_ТАРИФА_И_ДРАЙВЕРА21" vbProcedure="false">"[GROSSMARGIN"</definedName>
    <definedName function="false" hidden="true" name="EV__MEMORYCVW__ВВОД_ТАРИФА_И_ДРАЙВЕРА31" vbProcedure="false">"[GROSSMARGIN"</definedName>
    <definedName function="false" hidden="true" name="EV__MEMORYCVW__ВВОД_ТАРИФА_И_ДРАЙВЕРА4.XLTM" vbProcedure="false">"[GROSSMARGIN"</definedName>
    <definedName function="false" hidden="true" name="EV__MEMORYCVW__ВВОД_ТАРИФА_И_ДРАЙВЕРА41" vbProcedure="false">"[GROSSMARGIN"</definedName>
    <definedName function="false" hidden="true" name="EV__MEMORYCVW__ВВОД_ФАКТОРОВ.XLSM" vbProcedure="false">"[GROSSMARGIN"</definedName>
    <definedName function="false" hidden="true" name="EV__MEMORYCVW__ВВОД_ФАКТОРОВ.XLSM_ACCOUNT" vbProcedure="false">"[A_NONE"</definedName>
    <definedName function="false" hidden="true" name="EV__MEMORYCVW__ВВОД_ФАКТОРОВ.XLSM_CURRENCY" vbProcedure="false">"[LC"</definedName>
    <definedName function="false" hidden="true" name="EV__MEMORYCVW__ВВОД_ФАКТОРОВ.XLSM_DATASOURCE" vbProcedure="false">"[MANUAL"</definedName>
    <definedName function="false" hidden="true" name="EV__MEMORYCVW__ВВОД_ФАКТОРОВ.XLSM_ENTITY" vbProcedure="false">"[EM_CT"</definedName>
    <definedName function="false" hidden="true" name="EV__MEMORYCVW__ВВОД_ФАКТОРОВ.XLSM_EXT2" vbProcedure="false">"[EXT2_NONE"</definedName>
    <definedName function="false" hidden="true" name="EV__MEMORYCVW__ВВОД_ФАКТОРОВ.XLSM_MEASURES" vbProcedure="false">"[PERIODIC"</definedName>
    <definedName function="false" hidden="true" name="EV__MEMORYCVW__ВВОД_ФАКТОРОВ.XLSM_PRODUCT" vbProcedure="false">"[PD_TOTAL"</definedName>
    <definedName function="false" hidden="true" name="EV__MEMORYCVW__ВВОД_ФАКТОРОВ.XLSM_SCENARIO" vbProcedure="false">"[PLAN"</definedName>
    <definedName function="false" hidden="true" name="EV__MEMORYCVW__ВВОД_ФАКТОРОВ.XLSM_TIME" vbProcedure="false">"[2012.TOTAL"</definedName>
    <definedName function="false" hidden="true" name="EV__MEMORYCVW__ВВОД_ФАКТОРОВ2.XLSM" vbProcedure="false">"[GROSSMARGIN"</definedName>
    <definedName function="false" hidden="true" name="EV__MEMORYCVW__ВВОД_ФАКТОРОВ2.XLSM_ACCOUNT" vbProcedure="false">"[A_NONE"</definedName>
    <definedName function="false" hidden="true" name="EV__MEMORYCVW__ВВОД_ФАКТОРОВ2.XLSM_CURRENCY" vbProcedure="false">"[LC"</definedName>
    <definedName function="false" hidden="true" name="EV__MEMORYCVW__ВВОД_ФАКТОРОВ2.XLSM_DATASOURCE" vbProcedure="false">"[MANUAL"</definedName>
    <definedName function="false" hidden="true" name="EV__MEMORYCVW__ВВОД_ФАКТОРОВ2.XLSM_ENTITY" vbProcedure="false">"[EM_CT"</definedName>
    <definedName function="false" hidden="true" name="EV__MEMORYCVW__ВВОД_ФАКТОРОВ2.XLSM_ENTITYGROUPS" vbProcedure="false">"[D_CT"</definedName>
    <definedName function="false" hidden="true" name="EV__MEMORYCVW__ВВОД_ФАКТОРОВ2.XLSM_EXT2" vbProcedure="false">"[EXT2_NONE"</definedName>
    <definedName function="false" hidden="true" name="EV__MEMORYCVW__ВВОД_ФАКТОРОВ2.XLSM_MEASURES" vbProcedure="false">"[PERIODIC"</definedName>
    <definedName function="false" hidden="true" name="EV__MEMORYCVW__ВВОД_ФАКТОРОВ2.XLSM_PRODUCT" vbProcedure="false">"[PD200"</definedName>
    <definedName function="false" hidden="true" name="EV__MEMORYCVW__ВВОД_ФАКТОРОВ2.XLSM_SCENARIO" vbProcedure="false">"[PLAN"</definedName>
    <definedName function="false" hidden="true" name="EV__MEMORYCVW__ВВОД_ФАКТОРОВ2.XLSM_SUBFORMAT" vbProcedure="false">"[SF_01"</definedName>
    <definedName function="false" hidden="true" name="EV__MEMORYCVW__ВВОД_ФАКТОРОВ2.XLSM_TIME" vbProcedure="false">"[2012.TOTAL"</definedName>
    <definedName function="false" hidden="true" name="EV__MEMORYCVW__КНИГА1" vbProcedure="false">"[SALES"</definedName>
    <definedName function="false" hidden="true" name="EV__MEMORYCVW__КНИГА1_ACCOUNT" vbProcedure="false">"[A_SP_I0_001"</definedName>
    <definedName function="false" hidden="true" name="EV__MEMORYCVW__КНИГА1_CURRENCY" vbProcedure="false">"[LC"</definedName>
    <definedName function="false" hidden="true" name="EV__MEMORYCVW__КНИГА1_DATASOURCE" vbProcedure="false">"[TOTALBUDGET"</definedName>
    <definedName function="false" hidden="true" name="EV__MEMORYCVW__КНИГА1_ENTITY" vbProcedure="false">"[EO_UR"</definedName>
    <definedName function="false" hidden="true" name="EV__MEMORYCVW__КНИГА1_ENTITYGROUPS" vbProcedure="false">"[F_ALL"</definedName>
    <definedName function="false" hidden="true" name="EV__MEMORYCVW__КНИГА1_EXT2" vbProcedure="false">"[EXT1_SP_013"</definedName>
    <definedName function="false" hidden="true" name="EV__MEMORYCVW__КНИГА1_MEASURES" vbProcedure="false">"[PERIODIC"</definedName>
    <definedName function="false" hidden="true" name="EV__MEMORYCVW__КНИГА1_PRODUCT" vbProcedure="false">"[PD45"</definedName>
    <definedName function="false" hidden="true" name="EV__MEMORYCVW__КНИГА1_SCENARIO" vbProcedure="false">"[PLAN"</definedName>
    <definedName function="false" hidden="true" name="EV__MEMORYCVW__КНИГА1_SUBFORMAT" vbProcedure="false">"[SF_ALL"</definedName>
    <definedName function="false" hidden="true" name="EV__MEMORYCVW__КНИГА1_TIME" vbProcedure="false">"[2013.TOTAL"</definedName>
    <definedName function="false" hidden="true" name="EV__MEMORYCVW__КНИГА2" vbProcedure="false">"[SALES"</definedName>
    <definedName function="false" hidden="true" name="EV__MEMORYCVW__КНИГА2_ACCOUNT" vbProcedure="false">"[A_00"</definedName>
    <definedName function="false" hidden="true" name="EV__MEMORYCVW__КНИГА2_CURRENCY" vbProcedure="false">"[LC"</definedName>
    <definedName function="false" hidden="true" name="EV__MEMORYCVW__КНИГА2_DATASOURCE" vbProcedure="false">"[FB_SP"</definedName>
    <definedName function="false" hidden="true" name="EV__MEMORYCVW__КНИГА2_ENTITY" vbProcedure="false">"[X5RG"</definedName>
    <definedName function="false" hidden="true" name="EV__MEMORYCVW__КНИГА2_ENTITYGROUPS" vbProcedure="false">"[EG_F_D_CT"</definedName>
    <definedName function="false" hidden="true" name="EV__MEMORYCVW__КНИГА2_EXT2" vbProcedure="false">"[EXT2_NONE"</definedName>
    <definedName function="false" hidden="true" name="EV__MEMORYCVW__КНИГА2_FLOW" vbProcedure="false">"[FL_C"</definedName>
    <definedName function="false" hidden="true" name="EV__MEMORYCVW__КНИГА2_GLOBE" vbProcedure="false">"[G_D"</definedName>
    <definedName function="false" hidden="true" name="EV__MEMORYCVW__КНИГА2_HRPOSITION" vbProcedure="false">"[HRP_TOTAL"</definedName>
    <definedName function="false" hidden="true" name="EV__MEMORYCVW__КНИГА2_LIBENTITY" vbProcedure="false">"[LE_NONE"</definedName>
    <definedName function="false" hidden="true" name="EV__MEMORYCVW__КНИГА2_MEASURES" vbProcedure="false">"[PERIODIC"</definedName>
    <definedName function="false" hidden="true" name="EV__MEMORYCVW__КНИГА2_PRODUCT" vbProcedure="false">"[PD200"</definedName>
    <definedName function="false" hidden="true" name="EV__MEMORYCVW__КНИГА2_PROJECT" vbProcedure="false">"[H3_All"</definedName>
    <definedName function="false" hidden="true" name="EV__MEMORYCVW__КНИГА2_SCENARIO" vbProcedure="false">"[PLAN_06_06"</definedName>
    <definedName function="false" hidden="true" name="EV__MEMORYCVW__КНИГА2_SUBFORMAT" vbProcedure="false">"[SF_ALL"</definedName>
    <definedName function="false" hidden="true" name="EV__MEMORYCVW__КНИГА2_TIME" vbProcedure="false">"[2013.TOTAL"</definedName>
    <definedName function="false" hidden="true" name="EV__MEMORYCVW__КНИГА3" vbProcedure="false">"[SALES"</definedName>
    <definedName function="false" hidden="true" name="EV__MEMORYCVW__КНИГА3_ACCOUNT" vbProcedure="false">"[A_00"</definedName>
    <definedName function="false" hidden="true" name="EV__MEMORYCVW__КНИГА3_CURRENCY" vbProcedure="false">"[LC"</definedName>
    <definedName function="false" hidden="true" name="EV__MEMORYCVW__КНИГА3_DATASOURCE" vbProcedure="false">"[TOTALBUDGET"</definedName>
    <definedName function="false" hidden="true" name="EV__MEMORYCVW__КНИГА3_ENTITY" vbProcedure="false">"[EN_HO"</definedName>
    <definedName function="false" hidden="true" name="EV__MEMORYCVW__КНИГА3_ENTITYGROUPS" vbProcedure="false">"[EG_F_H_UR"</definedName>
    <definedName function="false" hidden="true" name="EV__MEMORYCVW__КНИГА3_EXT2" vbProcedure="false">"[EXT1_SP_013"</definedName>
    <definedName function="false" hidden="true" name="EV__MEMORYCVW__КНИГА3_FLOW" vbProcedure="false">"[FL_TOT"</definedName>
    <definedName function="false" hidden="true" name="EV__MEMORYCVW__КНИГА3_PRODUCT" vbProcedure="false">"[PD45"</definedName>
    <definedName function="false" hidden="true" name="EV__MEMORYCVW__КНИГА3_SUBFORMAT" vbProcedure="false">"[SF_NONE"</definedName>
    <definedName function="false" hidden="true" name="EV__MEMORYCVW__ОТЧЕТ_ПО_БЮДЖЕТУ_ПРОДАЖ_ПО_КАТЕГОРИЯМ2.XLSM" vbProcedure="false">"[GROSSMARGIN"</definedName>
    <definedName function="false" hidden="true" name="EV__MEMORYCVW__ОТЧЕТ_ПО_БЮДЖЕТУ_ПРОДАЖ_ПО_КАТЕГОРИЯМ2.XLSM_ACCOUNT" vbProcedure="false">"[A_NONE"</definedName>
    <definedName function="false" hidden="true" name="EV__MEMORYCVW__ОТЧЕТ_ПО_БЮДЖЕТУ_ПРОДАЖ_ПО_КАТЕГОРИЯМ2.XLSM_CURRENCY" vbProcedure="false">"[LC"</definedName>
    <definedName function="false" hidden="true" name="EV__MEMORYCVW__ОТЧЕТ_ПО_БЮДЖЕТУ_ПРОДАЖ_ПО_КАТЕГОРИЯМ2.XLSM_DATASOURCE" vbProcedure="false">"[MANUAL"</definedName>
    <definedName function="false" hidden="true" name="EV__MEMORYCVW__ОТЧЕТ_ПО_БЮДЖЕТУ_ПРОДАЖ_ПО_КАТЕГОРИЯМ2.XLSM_ENTITY" vbProcedure="false">"[EM_CT_00001"</definedName>
    <definedName function="false" hidden="true" name="EV__MEMORYCVW__ОТЧЕТ_ПО_БЮДЖЕТУ_ПРОДАЖ_ПО_КАТЕГОРИЯМ2.XLSM_ENTITYGROUPS" vbProcedure="false">"[D_CT"</definedName>
    <definedName function="false" hidden="true" name="EV__MEMORYCVW__ОТЧЕТ_ПО_БЮДЖЕТУ_ПРОДАЖ_ПО_КАТЕГОРИЯМ2.XLSM_EXT2" vbProcedure="false">"[EXT2_NONE"</definedName>
    <definedName function="false" hidden="true" name="EV__MEMORYCVW__ОТЧЕТ_ПО_БЮДЖЕТУ_ПРОДАЖ_ПО_КАТЕГОРИЯМ2.XLSM_MEASURES" vbProcedure="false">"[PERIODIC"</definedName>
    <definedName function="false" hidden="true" name="EV__MEMORYCVW__ОТЧЕТ_ПО_БЮДЖЕТУ_ПРОДАЖ_ПО_КАТЕГОРИЯМ2.XLSM_PRODUCT" vbProcedure="false">"[PD200"</definedName>
    <definedName function="false" hidden="true" name="EV__MEMORYCVW__ОТЧЕТ_ПО_БЮДЖЕТУ_ПРОДАЖ_ПО_КАТЕГОРИЯМ2.XLSM_SCENARIO" vbProcedure="false">"[PLAN"</definedName>
    <definedName function="false" hidden="true" name="EV__MEMORYCVW__ОТЧЕТ_ПО_БЮДЖЕТУ_ПРОДАЖ_ПО_КАТЕГОРИЯМ2.XLSM_SUBFORMAT" vbProcedure="false">"[SF_02"</definedName>
    <definedName function="false" hidden="true" name="EV__MEMORYCVW__ОТЧЕТ_ПО_БЮДЖЕТУ_ПРОДАЖ_ПО_КАТЕГОРИЯМ2.XLSM_TIME" vbProcedure="false">"[2012.TOTAL"</definedName>
    <definedName function="false" hidden="true" name="EV__MEMORYCVW__ОТЧЕТ_ПО_БЮДЖЕТУ_ПРОДАЖ_ПО_ОБЪЕКТАМ.XLSM" vbProcedure="false">"[GROSSMARGIN"</definedName>
    <definedName function="false" hidden="true" name="EV__MEMORYCVW__ПЛАН_ПРОДАЖ_ОТЧЕТНЫЕ_ФОРМЫ_070711.XLSX" vbProcedure="false">"[GROSSMARGIN"</definedName>
    <definedName function="false" hidden="true" name="EV__MEMORYCVW__ПЛАН_ПРОДАЖ_ОТЧЕТНЫЕ_ФОРМЫ_070711.XLSX_ACCOUNT" vbProcedure="false">"[A_NONE"</definedName>
    <definedName function="false" hidden="true" name="EV__MEMORYCVW__ПЛАН_ПРОДАЖ_ОТЧЕТНЫЕ_ФОРМЫ_070711.XLSX_CURRENCY" vbProcedure="false">"[LC"</definedName>
    <definedName function="false" hidden="true" name="EV__MEMORYCVW__ПЛАН_ПРОДАЖ_ОТЧЕТНЫЕ_ФОРМЫ_070711.XLSX_DATASOURCE" vbProcedure="false">"[MANUAL"</definedName>
    <definedName function="false" hidden="true" name="EV__MEMORYCVW__ПЛАН_ПРОДАЖ_ОТЧЕТНЫЕ_ФОРМЫ_070711.XLSX_ENTITY" vbProcedure="false">"[EM"</definedName>
    <definedName function="false" hidden="true" name="EV__MEMORYCVW__ПЛАН_ПРОДАЖ_ОТЧЕТНЫЕ_ФОРМЫ_070711.XLSX_EXT2" vbProcedure="false">"[EXT2_NONE"</definedName>
    <definedName function="false" hidden="true" name="EV__MEMORYCVW__ПЛАН_ПРОДАЖ_ОТЧЕТНЫЕ_ФОРМЫ_070711.XLSX_MEASURES" vbProcedure="false">"[PERIODIC"</definedName>
    <definedName function="false" hidden="true" name="EV__MEMORYCVW__ПЛАН_ПРОДАЖ_ОТЧЕТНЫЕ_ФОРМЫ_070711.XLSX_PRODUCT" vbProcedure="false">"[PD_TOTAL"</definedName>
    <definedName function="false" hidden="true" name="EV__MEMORYCVW__ПЛАН_ПРОДАЖ_ОТЧЕТНЫЕ_ФОРМЫ_070711.XLSX_SCENARIO" vbProcedure="false">"[PLAN"</definedName>
    <definedName function="false" hidden="true" name="EV__MEMORYCVW__ПЛАН_ПРОДАЖ_ОТЧЕТНЫЕ_ФОРМЫ_070711.XLSX_TIME" vbProcedure="false">"[2012.TOTAL"</definedName>
    <definedName function="false" hidden="true" name="EV__MEMORYCVW__СРАВНЕНИЕ.XLSX" vbProcedure="false">"[MASTER"</definedName>
    <definedName function="false" hidden="true" name="EV__MEMORYCVW__СРАВНЕНИЕ.XLSX_ACCOUNT" vbProcedure="false">"[A_PL_01"</definedName>
    <definedName function="false" hidden="true" name="EV__MEMORYCVW__СРАВНЕНИЕ.XLSX_CURRENCY" vbProcedure="false">"[LC"</definedName>
    <definedName function="false" hidden="true" name="EV__MEMORYCVW__СРАВНЕНИЕ.XLSX_DATASOURCE" vbProcedure="false">"[FB_SP"</definedName>
    <definedName function="false" hidden="true" name="EV__MEMORYCVW__СРАВНЕНИЕ.XLSX_ENTITY" vbProcedure="false">"[13UGAAA0"</definedName>
    <definedName function="false" hidden="true" name="EV__MEMORYCVW__СРАВНЕНИЕ.XLSX_ENTITYGROUPS" vbProcedure="false">"[EG_F_D_UR"</definedName>
    <definedName function="false" hidden="true" name="EV__MEMORYCVW__СРАВНЕНИЕ.XLSX_EXT2" vbProcedure="false">"[EXT2_NONE"</definedName>
    <definedName function="false" hidden="true" name="EV__MEMORYCVW__СРАВНЕНИЕ.XLSX_FLOW" vbProcedure="false">"[FL_C"</definedName>
    <definedName function="false" hidden="true" name="EV__MEMORYCVW__СРАВНЕНИЕ.XLSX_MEASURES" vbProcedure="false">"[PERIODIC"</definedName>
    <definedName function="false" hidden="true" name="EV__MEMORYCVW__СРАВНЕНИЕ.XLSX_PRODUCT" vbProcedure="false">"[PD200"</definedName>
    <definedName function="false" hidden="true" name="EV__MEMORYCVW__СРАВНЕНИЕ.XLSX_PROJECT" vbProcedure="false">"[PJ_NONE"</definedName>
    <definedName function="false" hidden="true" name="EV__MEMORYCVW__СРАВНЕНИЕ.XLSX_SCENARIO" vbProcedure="false">"[PLAN_06_06"</definedName>
    <definedName function="false" hidden="true" name="EV__MEMORYCVW__СРАВНЕНИЕ.XLSX_SUBFORMAT" vbProcedure="false">"[SF_ALL"</definedName>
    <definedName function="false" hidden="true" name="EV__MEMORYCVW__СРАВНЕНИЕ.XLSX_TIME" vbProcedure="false">"[2013.TOTAL"</definedName>
    <definedName function="false" hidden="true" name="EV__WBEVMODE__" vbProcedure="false">0</definedName>
    <definedName function="false" hidden="true" name="EV__WBREFOPTIONS__" vbProcedure="false">134217735</definedName>
    <definedName function="false" hidden="true" name="EV__WBVERSION__" vbProcedure="false">0</definedName>
    <definedName function="false" hidden="true" name="EXCEL__REPORT__FIELDS" vbProcedure="false">#REF!</definedName>
    <definedName function="false" hidden="true" name="EXCEL__REPORT__INFO" vbProcedure="false">#REF!</definedName>
    <definedName function="false" hidden="true" name="ey" vbProcedure="false">#REF!</definedName>
    <definedName function="false" hidden="true" name="fad" vbProcedure="false">{#N/A,"70% Success",FALSE,"Sales Forecast";#N/A,#N/A,FALSE,"Sheet2"}</definedName>
    <definedName function="false" hidden="true" name="fasdf" vbProcedure="false">#N/A</definedName>
    <definedName function="false" hidden="true" name="fdjgrtjw" vbProcedure="false">{#N/A,#N/A,TRUE,"Фин.рез"}</definedName>
    <definedName function="false" hidden="true" name="fdjgrtjw_1" vbProcedure="false">{#N/A,#N/A,TRUE,"Фин.рез"}</definedName>
    <definedName function="false" hidden="true" name="fdsg" vbProcedure="false">#REF!</definedName>
    <definedName function="false" hidden="true" name="fdv" vbProcedure="false">{"quarterly",#N/A,FALSE,"Income Statement";#N/A,#N/A,FALSE,"print segment";#N/A,#N/A,FALSE,"Balance Sheet";#N/A,#N/A,FALSE,"Annl Inc";#N/A,#N/A,FALSE,"Cash Flow"}</definedName>
    <definedName function="false" hidden="true" name="ferwf3ef" vbProcedure="false">#REF!</definedName>
    <definedName function="false" hidden="true" name="fewfwehgh" vbProcedure="false">#REF!</definedName>
    <definedName function="false" hidden="true" name="ffggh" vbProcedure="false">{"'Северо-Никольское '!$A$6:$J$40"}</definedName>
    <definedName function="false" hidden="true" name="fg" vbProcedure="false">{"'Sheet1'!$A$1:$G$85"}</definedName>
    <definedName function="false" hidden="true" name="fgfds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fgh" vbProcedure="false">{"'Северо-Никольское '!$A$6:$J$40"}</definedName>
    <definedName function="false" hidden="true" name="fghfg" vbProcedure="false">{"det (May)",#N/A,FALSE,"June";"sum (MAY YTD)",#N/A,FALSE,"June YTD"}</definedName>
    <definedName function="false" hidden="true" name="fghfgh" vbProcedure="false">#REF!</definedName>
    <definedName function="false" hidden="true" name="fghfghf" vbProcedure="false">{"det (May)",#N/A,FALSE,"June";"sum (MAY YTD)",#N/A,FALSE,"June YTD"}</definedName>
    <definedName function="false" hidden="true" name="fgjhfg" vbProcedure="false">{#N/A,#N/A,TRUE,"Фин.рез"}</definedName>
    <definedName function="false" hidden="true" name="fgjhfg_1" vbProcedure="false">{#N/A,#N/A,TRUE,"Фин.рез"}</definedName>
    <definedName function="false" hidden="true" name="fgjrtsjwrtj" vbProcedure="false">{#N/A,#N/A,TRUE,"Фин.рез"}</definedName>
    <definedName function="false" hidden="true" name="fgjrtsjwrtj_1" vbProcedure="false">{#N/A,#N/A,TRUE,"Фин.рез"}</definedName>
    <definedName function="false" hidden="true" name="fgnfgnf" vbProcedure="false">{"det (May)",#N/A,FALSE,"June";"sum (MAY YTD)",#N/A,FALSE,"June YTD"}</definedName>
    <definedName function="false" hidden="true" name="fgnfxgnxfg" vbProcedure="false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function="false" hidden="true" name="fgnmfnfg" vbProcedure="false">{"det (May)",#N/A,FALSE,"June";"sum (MAY YTD)",#N/A,FALSE,"June YTD"}</definedName>
    <definedName function="false" hidden="true" name="fhfghf" vbProcedure="false">{"det (May)",#N/A,FALSE,"June";"sum (MAY YTD)",#N/A,FALSE,"June YTD"}</definedName>
    <definedName function="false" hidden="true" name="fhgd" vbProcedure="false">{"'Северо-Никольское '!$A$6:$J$40"}</definedName>
    <definedName function="false" hidden="true" name="fhgfhx" vbProcedure="false">{"det (May)",#N/A,FALSE,"June";"sum (MAY YTD)",#N/A,FALSE,"June YTD"}</definedName>
    <definedName function="false" hidden="true" name="fhjfghf" vbProcedure="false">{"det (May)",#N/A,FALSE,"June";"sum (MAY YTD)",#N/A,FALSE,"June YTD"}</definedName>
    <definedName function="false" hidden="true" name="fhmghmg" vbProcedure="false">{"det (May)",#N/A,FALSE,"June";"sum (MAY YTD)",#N/A,FALSE,"June YTD"}</definedName>
    <definedName function="false" hidden="true" name="fhmhgmhj" vbProcedure="false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function="false" hidden="true" name="fhshsf" vbProcedure="false">{"det (May)",#N/A,FALSE,"June";"sum (MAY YTD)",#N/A,FALSE,"June YTD"}</definedName>
    <definedName function="false" hidden="true" name="Fig" vbProcedure="false">{"det (May)",#N/A,FALSE,"June";"sum (MAY YTD)",#N/A,FALSE,"June YTD"}</definedName>
    <definedName function="false" hidden="true" name="fjhgd" vbProcedure="false">{"'Sheet1'!$A$1:$G$85"}</definedName>
    <definedName function="false" hidden="true" name="fjhjgj" vbProcedure="false">{"det (May)",#N/A,FALSE,"June";"sum (MAY YTD)",#N/A,FALSE,"June YTD"}</definedName>
    <definedName function="false" hidden="true" name="frgy" vbProcedure="false">{"'Северо-Никольское '!$A$6:$J$40"}</definedName>
    <definedName function="false" hidden="true" name="frtgh" vbProcedure="false">#REF!</definedName>
    <definedName function="false" hidden="true" name="fsgmnsftjer" vbProcedure="false">{#N/A,#N/A,TRUE,"Фин.рез"}</definedName>
    <definedName function="false" hidden="true" name="fsgmnsftjer_1" vbProcedure="false">{#N/A,#N/A,TRUE,"Фин.рез"}</definedName>
    <definedName function="false" hidden="true" name="fthj" vbProcedure="false">{"'Северо-Никольское '!$A$6:$J$40"}</definedName>
    <definedName function="false" hidden="true" name="fvfbgfh" vbProcedure="false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function="false" hidden="true" name="fw" vbProcedure="false">{#N/A,#N/A,FALSE,"New Depr Sch-150% DB";#N/A,#N/A,FALSE,"Cash Flows RLP";#N/A,#N/A,FALSE,"IRR";#N/A,#N/A,FALSE,"Proforma IS";#N/A,#N/A,FALSE,"Assumptions"}</definedName>
    <definedName function="false" hidden="true" name="GD" vbProcedure="false">{#N/A,#N/A,FALSE,"지침";#N/A,#N/A,FALSE,"환경분석";#N/A,#N/A,FALSE,"Sheet16"}</definedName>
    <definedName function="false" hidden="true" name="gdsg" vbProcedure="false">фактическийпериод*(#REF!&gt;0)</definedName>
    <definedName function="false" hidden="true" name="general_exp." vbProcedure="false">{#N/A,"100% Success",TRUE,"Sales Forecast";#N/A,#N/A,TRUE,"Sheet2"}</definedName>
    <definedName function="false" hidden="true" name="gfdy" vbProcedure="false">{#N/A,#N/A,FALSE,"지침";#N/A,#N/A,FALSE,"환경분석";#N/A,#N/A,FALSE,"Sheet16"}</definedName>
    <definedName function="false" hidden="true" name="gfhf" vbProcedure="false">{#N/A,#N/A,TRUE,"Фин.рез"}</definedName>
    <definedName function="false" hidden="true" name="gfhf_1" vbProcedure="false">{#N/A,#N/A,TRUE,"Фин.рез"}</definedName>
    <definedName function="false" hidden="true" name="gfmstyjuwe" vbProcedure="false">{#N/A,#N/A,TRUE,"Фин.рез"}</definedName>
    <definedName function="false" hidden="true" name="gfmstyjuwe_1" vbProcedure="false">{#N/A,#N/A,TRUE,"Фин.рез"}</definedName>
    <definedName function="false" hidden="true" name="gg" vbProcedure="false">{#N/A,#N/A,FALSE,"101"}</definedName>
    <definedName function="false" hidden="true" name="gggg" vbProcedure="false">{#N/A,#N/A,FALSE,"101"}</definedName>
    <definedName function="false" hidden="true" name="gh" vbProcedure="false">{"'Prices'!$A$4:$J$27"}</definedName>
    <definedName function="false" hidden="true" name="ghd" vbProcedure="false">{#N/A,#N/A,FALSE,"Aging Summary";#N/A,#N/A,FALSE,"Ratio Analysis";#N/A,#N/A,FALSE,"Test 120 Day Accts";#N/A,#N/A,FALSE,"Tickmarks"}</definedName>
    <definedName function="false" hidden="true" name="ghh" vbProcedure="false">{"'Северо-Никольское '!$A$6:$J$40"}</definedName>
    <definedName function="false" hidden="true" name="ghjghj" vbProcedure="false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function="false" hidden="true" name="ghjghjg" vbProcedure="false">{"det (May)",#N/A,FALSE,"June";"sum (MAY YTD)",#N/A,FALSE,"June YTD"}</definedName>
    <definedName function="false" hidden="true" name="ghjgjgh" vbProcedure="false">{"det (May)",#N/A,FALSE,"June";"sum (MAY YTD)",#N/A,FALSE,"June YTD"}</definedName>
    <definedName function="false" hidden="true" name="ghjj" vbProcedure="false">{"'Северо-Никольское '!$A$6:$J$40"}</definedName>
    <definedName function="false" hidden="true" name="ghmghm" vbProcedure="false">{"det (May)",#N/A,FALSE,"June";"sum (MAY YTD)",#N/A,FALSE,"June YTD"}</definedName>
    <definedName function="false" hidden="true" name="ghmghmg" vbProcedure="false">{"det (May)",#N/A,FALSE,"June";"sum (MAY YTD)",#N/A,FALSE,"June YTD"}</definedName>
    <definedName function="false" hidden="true" name="gjgh" vbProcedure="false">{"'Prices'!$A$4:$J$27"}</definedName>
    <definedName function="false" hidden="true" name="gjghjgh" vbProcedure="false">{"det (May)",#N/A,FALSE,"June";"sum (MAY YTD)",#N/A,FALSE,"June YTD"}</definedName>
    <definedName function="false" hidden="true" name="Grahp" vbProcedure="false">#REF!</definedName>
    <definedName function="false" hidden="true" name="gsdfsd" vbProcedure="false">#REF!</definedName>
    <definedName function="false" hidden="true" name="gsdg" vbProcedure="false">#REF!,#REF!,#REF!,#REF!,#REF!,#REF!,#REF!,#REF!,#REF!,#REF!,#REF!,#REF!,#REF!,#REF!,#REF!,#REF!,#REF!,#REF!,#REF!,#REF!</definedName>
    <definedName function="false" hidden="true" name="guggygi" vbProcedure="false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function="false" hidden="true" name="gweujgf" vbProcedure="false">{#N/A,#N/A,FALSE,"New Depr Sch-150% DB";#N/A,#N/A,FALSE,"Cash Flows RLP";#N/A,#N/A,FALSE,"IRR";#N/A,#N/A,FALSE,"Proforma IS";#N/A,#N/A,FALSE,"Assumptions"}</definedName>
    <definedName function="false" hidden="true" name="hg" vbProcedure="false">{#N/A,#N/A,FALSE,"101"}</definedName>
    <definedName function="false" hidden="true" name="hgkujhk" vbProcedure="false">{"det (May)",#N/A,FALSE,"June";"sum (MAY YTD)",#N/A,FALSE,"June YTD"}</definedName>
    <definedName function="false" hidden="true" name="hgnb" vbProcedure="false">#REF!</definedName>
    <definedName function="false" hidden="true" name="hgnb1" vbProcedure="false">#REF!</definedName>
    <definedName function="false" hidden="true" name="hgnb5" vbProcedure="false">#REF!</definedName>
    <definedName function="false" hidden="true" name="hh" vbProcedure="false">{#N/A,#N/A,TRUE,"План продаж";#N/A,#N/A,TRUE,"Склад гот.прод";#N/A,#N/A,TRUE,"План отгрузки"}</definedName>
    <definedName function="false" hidden="true" name="hhhh" vbProcedure="false">{"'Северо-Никольское '!$A$6:$J$40"}</definedName>
    <definedName function="false" hidden="true" name="hjgj" vbProcedure="false">{"det (May)",#N/A,FALSE,"June";"sum (MAY YTD)",#N/A,FALSE,"June YTD"}</definedName>
    <definedName function="false" hidden="true" name="hjhkjh" vbProcedure="false">{"det (May)",#N/A,FALSE,"June";"sum (MAY YTD)",#N/A,FALSE,"June YTD"}</definedName>
    <definedName function="false" hidden="true" name="hjj" vbProcedure="false">{"glc1",#N/A,FALSE,"GLC";"glc2",#N/A,FALSE,"GLC";"glc3",#N/A,FALSE,"GLC";"glc4",#N/A,FALSE,"GLC";"glc5",#N/A,FALSE,"GLC"}</definedName>
    <definedName function="false" hidden="true" name="hjk" vbProcedure="false">{"'Северо-Никольское '!$A$6:$J$40"}</definedName>
    <definedName function="false" hidden="true" name="hjkhk" vbProcedure="false">{"det (May)",#N/A,FALSE,"June";"sum (MAY YTD)",#N/A,FALSE,"June YTD"}</definedName>
    <definedName function="false" hidden="true" name="hjkjh" vbProcedure="false">{"det (May)",#N/A,FALSE,"June";"sum (MAY YTD)",#N/A,FALSE,"June YTD"}</definedName>
    <definedName function="false" hidden="true" name="hkmb" vbProcedure="false">{#N/A,#N/A,TRUE,"Фин.рез"}</definedName>
    <definedName function="false" hidden="true" name="hkmb_1" vbProcedure="false">{#N/A,#N/A,TRUE,"Фин.рез"}</definedName>
    <definedName function="false" hidden="true" name="hmghj" vbProcedure="false">{"det (May)",#N/A,FALSE,"June";"sum (MAY YTD)",#N/A,FALSE,"June YTD"}</definedName>
    <definedName function="false" hidden="true" name="hn.ExtDb" vbProcedure="false">FALSE()</definedName>
    <definedName function="false" hidden="true" name="hn.ModelType" vbProcedure="false">"DEAL"</definedName>
    <definedName function="false" hidden="true" name="hn.ModelVersion" vbProcedure="false">1</definedName>
    <definedName function="false" hidden="true" name="hn.NoUpload" vbProcedure="false">0</definedName>
    <definedName function="false" hidden="true" name="HOLA" vbProcedure="false">{"AR",#N/A,FALSE,"ASMGTSUM";"INV",#N/A,FALSE,"ASMGTSUM";"HCCOMP",#N/A,FALSE,"ASMGTSUM";"cap.depr",#N/A,FALSE,"ASMGTSUM"}</definedName>
    <definedName function="false" hidden="true" name="htdfjty" vbProcedure="false">{"det (May)",#N/A,FALSE,"June";"sum (MAY YTD)",#N/A,FALSE,"June YTD"}</definedName>
    <definedName function="false" hidden="true" name="HTLM" vbProcedure="false">{"'РП (2)'!$A$5:$S$150"}</definedName>
    <definedName function="false" hidden="true" name="HTML1_1" vbProcedure="false">"[ReturnsHistorical]Sheet1!$A$1:$D$77"</definedName>
    <definedName function="false" hidden="true" name="HTML1_10" vbProcedure="false">""</definedName>
    <definedName function="false" hidden="true" name="HTML1_11" vbProcedure="false">1</definedName>
    <definedName function="false" hidden="true" name="HTML1_12" vbProcedure="false">"Zip 100:New_Home_Page:datafile:histret.html"</definedName>
    <definedName function="false" hidden="true" name="HTML1_2" vbProcedure="false">1</definedName>
    <definedName function="false" hidden="true" name="HTML1_3" vbProcedure="false">"ReturnsHistorical"</definedName>
    <definedName function="false" hidden="true" name="HTML1_4" vbProcedure="false">"Historical Returns on Stocks, Bonds and Bills"</definedName>
    <definedName function="false" hidden="true" name="HTML1_5" vbProcedure="false">"Ibbotson Data"</definedName>
    <definedName function="false" hidden="true" name="HTML1_6" vbProcedure="false">-4146</definedName>
    <definedName function="false" hidden="true" name="HTML1_7" vbProcedure="false">-4146</definedName>
    <definedName function="false" hidden="true" name="HTML1_8" vbProcedure="false">"3/17/97"</definedName>
    <definedName function="false" hidden="true" name="HTML1_9" vbProcedure="false">"Aswath Damodaran"</definedName>
    <definedName function="false" hidden="true" name="HTML2" vbProcedure="false">{"'Prices'!$A$4:$J$27"}</definedName>
    <definedName function="false" hidden="true" name="HTML2_1" vbProcedure="false">"[histret.xls]Sheet1!$A$1:$G$85"</definedName>
    <definedName function="false" hidden="true" name="HTML2_10" vbProcedure="false">""</definedName>
    <definedName function="false" hidden="true" name="HTML2_11" vbProcedure="false">1</definedName>
    <definedName function="false" hidden="true" name="HTML2_12" vbProcedure="false">"Macintosh HD:New_Home_Page:datafile:histret.html"</definedName>
    <definedName function="false" hidden="true" name="HTML2_2" vbProcedure="false">1</definedName>
    <definedName function="false" hidden="true" name="HTML2_3" vbProcedure="false">"Historical Returns"</definedName>
    <definedName function="false" hidden="true" name="HTML2_4" vbProcedure="false">"Historical Returns on Stocks, Bonds and Bills"</definedName>
    <definedName function="false" hidden="true" name="HTML2_5" vbProcedure="false">""</definedName>
    <definedName function="false" hidden="true" name="HTML2_6" vbProcedure="false">1</definedName>
    <definedName function="false" hidden="true" name="HTML2_7" vbProcedure="false">1</definedName>
    <definedName function="false" hidden="true" name="HTML2_8" vbProcedure="false">"2/3/98"</definedName>
    <definedName function="false" hidden="true" name="HTML2_9" vbProcedure="false">"Aswath Damodaran"</definedName>
    <definedName function="false" hidden="true" name="HTMLCount" vbProcedure="false">2</definedName>
    <definedName function="false" hidden="true" name="HTML_C" vbProcedure="false">{"'Sheet1'!$A$12:$K$107"}</definedName>
    <definedName function="false" hidden="true" name="HTML_CodePage" vbProcedure="false">1251</definedName>
    <definedName function="false" hidden="true" name="HTML_Control" vbProcedure="false">{"'Prices'!$A$4:$J$27"}</definedName>
    <definedName function="false" hidden="true" name="HTML_Control2" vbProcedure="false">{"'171'!$A$1:$Z$50"}</definedName>
    <definedName function="false" hidden="true" name="HTML_Description" vbProcedure="false">""</definedName>
    <definedName function="false" hidden="true" name="HTML_Email" vbProcedure="false">""</definedName>
    <definedName function="false" hidden="true" name="HTML_Header" vbProcedure="false">""</definedName>
    <definedName function="false" hidden="true" name="HTML_LastUpdate" vbProcedure="false">"19.08.98"</definedName>
    <definedName function="false" hidden="true" name="HTML_LineAfter" vbProcedure="false">FALSE()</definedName>
    <definedName function="false" hidden="true" name="HTML_LineBefore" vbProcedure="false">FALSE()</definedName>
    <definedName function="false" hidden="true" name="HTML_Name" vbProcedure="false">"Алесенко"</definedName>
    <definedName function="false" hidden="true" name="HTML_OBDlg2" vbProcedure="false">TRUE()</definedName>
    <definedName function="false" hidden="true" name="HTML_OBDlg4" vbProcedure="false">TRUE()</definedName>
    <definedName function="false" hidden="true" name="HTML_OS" vbProcedure="false">0</definedName>
    <definedName function="false" hidden="true" name="HTML_PathFile" vbProcedure="false">"L:\WWW\ECONOMIC\541-rsk.htm"</definedName>
    <definedName function="false" hidden="true" name="HTML_PathFileMac" vbProcedure="false">"Macintosh HD:HomePageStuff:New_Home_Page:datafile:histret.html"</definedName>
    <definedName function="false" hidden="true" name="HTML_Title" vbProcedure="false">"DIAG_RSK"</definedName>
    <definedName function="false" hidden="true" name="hujl" vbProcedure="false">{#N/A,#N/A,TRUE,"Фин.рез"}</definedName>
    <definedName function="false" hidden="true" name="hujl_1" vbProcedure="false">{#N/A,#N/A,TRUE,"Фин.рез"}</definedName>
    <definedName function="false" hidden="true" name="ic" vbProcedure="false">{#N/A,#N/A,FALSE,"지침";#N/A,#N/A,FALSE,"환경분석";#N/A,#N/A,FALSE,"Sheet16"}</definedName>
    <definedName function="false" hidden="true" name="INRGR" vbProcedure="false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function="false" hidden="true" name="iogfrio" vbProcedure="false">{"det (May)",#N/A,FALSE,"June";"sum (MAY YTD)",#N/A,FALSE,"June YTD"}</definedName>
    <definedName function="false" hidden="true" name="ioy" vbProcedure="false">{"'Северо-Никольское '!$A$6:$J$40"}</definedName>
    <definedName function="false" hidden="true" name="IQ_1_4_CONSTRUCTION_GROSS_LOANS_FFIEC" vbProcedure="false">"c13402"</definedName>
    <definedName function="false" hidden="true" name="IQ_1_4_CONSTRUCTION_LL_REC_DOM_FFIEC" vbProcedure="false">"c12899"</definedName>
    <definedName function="false" hidden="true" name="IQ_1_4_CONSTRUCTION_LOANS_DUE_30_89_FFIEC" vbProcedure="false">"c13257"</definedName>
    <definedName function="false" hidden="true" name="IQ_1_4_CONSTRUCTION_LOANS_DUE_90_FFIEC" vbProcedure="false">"c13285"</definedName>
    <definedName function="false" hidden="true" name="IQ_1_4_CONSTRUCTION_LOANS_NON_ACCRUAL_FFIEC" vbProcedure="false">"c13311"</definedName>
    <definedName function="false" hidden="true" name="IQ_1_4_CONSTRUCTION_LOAN_COMMITMENTS_UNUSED_FFIEC" vbProcedure="false">"c13244"</definedName>
    <definedName function="false" hidden="true" name="IQ_1_4_CONSTRUCTION_RISK_BASED_FFIEC" vbProcedure="false">"c13423"</definedName>
    <definedName function="false" hidden="true" name="IQ_1_4_FAMILY_JUNIOR_LIENS_CHARGE_OFFS_FDIC" vbProcedure="false">"c6605"</definedName>
    <definedName function="false" hidden="true" name="IQ_1_4_FAMILY_JUNIOR_LIENS_NET_CHARGE_OFFS_FDIC" vbProcedure="false">"c6643"</definedName>
    <definedName function="false" hidden="true" name="IQ_1_4_FAMILY_JUNIOR_LIENS_RECOVERIES_FDIC" vbProcedure="false">"c6624"</definedName>
    <definedName function="false" hidden="true" name="IQ_1_4_FAMILY_RES_DOM_FFIEC" vbProcedure="false">"c15269"</definedName>
    <definedName function="false" hidden="true" name="IQ_1_4_FAMILY_SENIOR_LIENS_CHARGE_OFFS_FDIC" vbProcedure="false">"c6604"</definedName>
    <definedName function="false" hidden="true" name="IQ_1_4_FAMILY_SENIOR_LIENS_NET_CHARGE_OFFS_FDIC" vbProcedure="false">"c6642"</definedName>
    <definedName function="false" hidden="true" name="IQ_1_4_FAMILY_SENIOR_LIENS_RECOVERIES_FDIC" vbProcedure="false">"c6623"</definedName>
    <definedName function="false" hidden="true" name="IQ_1_4_HOME_EQUITY_NET_LOANS_FDIC" vbProcedure="false">"c6441"</definedName>
    <definedName function="false" hidden="true" name="IQ_1_4_RESIDENTIAL_FIRST_LIENS_NET_LOANS_FDIC" vbProcedure="false">"c6439"</definedName>
    <definedName function="false" hidden="true" name="IQ_1_4_RESIDENTIAL_JUNIOR_LIENS_NET_LOANS_FDIC" vbProcedure="false">"c6440"</definedName>
    <definedName function="false" hidden="true" name="IQ_1_4_RESIDENTIAL_LOANS_FDIC" vbProcedure="false">"c6310"</definedName>
    <definedName function="false" hidden="true" name="IQ_30YR_FIXED_MORTGAGE" vbProcedure="false">"c6811"</definedName>
    <definedName function="false" hidden="true" name="IQ_30YR_FIXED_MORTGAGE_FC" vbProcedure="false">"c7691"</definedName>
    <definedName function="false" hidden="true" name="IQ_30YR_FIXED_MORTGAGE_POP" vbProcedure="false">"c7031"</definedName>
    <definedName function="false" hidden="true" name="IQ_30YR_FIXED_MORTGAGE_POP_FC" vbProcedure="false">"c7911"</definedName>
    <definedName function="false" hidden="true" name="IQ_30YR_FIXED_MORTGAGE_YOY" vbProcedure="false">"c7251"</definedName>
    <definedName function="false" hidden="true" name="IQ_30YR_FIXED_MORTGAGE_YOY_FC" vbProcedure="false">"c8131"</definedName>
    <definedName function="false" hidden="true" name="IQ_ABS_AVAIL_SALE_FFIEC" vbProcedure="false">"c12802"</definedName>
    <definedName function="false" hidden="true" name="IQ_ABS_FFIEC" vbProcedure="false">"c12788"</definedName>
    <definedName function="false" hidden="true" name="IQ_ABS_INVEST_SECURITIES_FFIEC" vbProcedure="false">"c13461"</definedName>
    <definedName function="false" hidden="true" name="IQ_ABS_PERIOD" vbProcedure="false">"c13823"</definedName>
    <definedName function="false" hidden="true" name="IQ_ABS_PERIOD_EST" vbProcedure="false">"c16122"</definedName>
    <definedName function="false" hidden="true" name="IQ_ACCEPTANCES_OTHER_FOREIGN_BANKS_LL_REC_FFIEC" vbProcedure="false">"c15293"</definedName>
    <definedName function="false" hidden="true" name="IQ_ACCEPTANCES_OTHER_US_BANKS_LL_REC_FFIEC" vbProcedure="false">"c15292"</definedName>
    <definedName function="false" hidden="true" name="IQ_ACCOUNTING_FFIEC" vbProcedure="false">"c13054"</definedName>
    <definedName function="false" hidden="true" name="IQ_ACCOUNTING_STANDARD" vbProcedure="false">"c4539"</definedName>
    <definedName function="false" hidden="true" name="IQ_ACCOUNTS_PAY" vbProcedure="false">"c1343"</definedName>
    <definedName function="false" hidden="true" name="IQ_ACCOUNT_CHANGE" vbProcedure="false">"c1449"</definedName>
    <definedName function="false" hidden="true" name="IQ_ACCOUNT_CODE_INTEREST_PENALTIES" vbProcedure="false">"c15741"</definedName>
    <definedName function="false" hidden="true" name="IQ_ACCRUED_EXP" vbProcedure="false">"c1341"</definedName>
    <definedName function="false" hidden="true" name="IQ_ACCRUED_INTEREST_RECEIVABLE_FFIEC" vbProcedure="false">"c12842"</definedName>
    <definedName function="false" hidden="true" name="IQ_ACCR_INT_PAY" vbProcedure="false">"c1"</definedName>
    <definedName function="false" hidden="true" name="IQ_ACCR_INT_PAY_CF" vbProcedure="false">"c2"</definedName>
    <definedName function="false" hidden="true" name="IQ_ACCR_INT_RECEIV" vbProcedure="false">"c3"</definedName>
    <definedName function="false" hidden="true" name="IQ_ACCR_INT_RECEIV_CF" vbProcedure="false">"c4"</definedName>
    <definedName function="false" hidden="true" name="IQ_ACCT_RECV_10YR_ANN_CAGR" vbProcedure="false">"c6159"</definedName>
    <definedName function="false" hidden="true" name="IQ_ACCT_RECV_10YR_ANN_GROWTH" vbProcedure="false">"c1924"</definedName>
    <definedName function="false" hidden="true" name="IQ_ACCT_RECV_1YR_ANN_GROWTH" vbProcedure="false">"c1919"</definedName>
    <definedName function="false" hidden="true" name="IQ_ACCT_RECV_2YR_ANN_CAGR" vbProcedure="false">"c6155"</definedName>
    <definedName function="false" hidden="true" name="IQ_ACCT_RECV_2YR_ANN_GROWTH" vbProcedure="false">"c1920"</definedName>
    <definedName function="false" hidden="true" name="IQ_ACCT_RECV_3YR_ANN_CAGR" vbProcedure="false">"c6156"</definedName>
    <definedName function="false" hidden="true" name="IQ_ACCT_RECV_3YR_ANN_GROWTH" vbProcedure="false">"c1921"</definedName>
    <definedName function="false" hidden="true" name="IQ_ACCT_RECV_5YR_ANN_CAGR" vbProcedure="false">"c6157"</definedName>
    <definedName function="false" hidden="true" name="IQ_ACCT_RECV_5YR_ANN_GROWTH" vbProcedure="false">"c1922"</definedName>
    <definedName function="false" hidden="true" name="IQ_ACCT_RECV_7YR_ANN_CAGR" vbProcedure="false">"c6158"</definedName>
    <definedName function="false" hidden="true" name="IQ_ACCT_RECV_7YR_ANN_GROWTH" vbProcedure="false">"c1923"</definedName>
    <definedName function="false" hidden="true" name="IQ_ACCUMULATED_PENSION_OBLIGATION" vbProcedure="false">"c2244"</definedName>
    <definedName function="false" hidden="true" name="IQ_ACCUMULATED_PENSION_OBLIGATION_DOMESTIC" vbProcedure="false">"c2657"</definedName>
    <definedName function="false" hidden="true" name="IQ_ACCUMULATED_PENSION_OBLIGATION_FOREIGN" vbProcedure="false">"c2665"</definedName>
    <definedName function="false" hidden="true" name="IQ_ACCUM_DEP" vbProcedure="false">"c1340"</definedName>
    <definedName function="false" hidden="true" name="IQ_ACQUIRED_BY_REPORTING_BANK_FDIC" vbProcedure="false">"c6535"</definedName>
    <definedName function="false" hidden="true" name="IQ_ACQUIRE_REAL_ESTATE_CF" vbProcedure="false">"c6"</definedName>
    <definedName function="false" hidden="true" name="IQ_ACQUISITION_COST_SUB" vbProcedure="false">"c15807"</definedName>
    <definedName function="false" hidden="true" name="IQ_ACQUISITION_RE_ASSETS" vbProcedure="false">"c1628"</definedName>
    <definedName function="false" hidden="true" name="IQ_ACQ_COSTS_CAPITALIZED" vbProcedure="false">"c5"</definedName>
    <definedName function="false" hidden="true" name="IQ_ACQ_COST_SUB" vbProcedure="false">"c2125"</definedName>
    <definedName function="false" hidden="true" name="IQ_ACQ_COST_WIRELESS_SUB" vbProcedure="false">"c2125"</definedName>
    <definedName function="false" hidden="true" name="IQ_ACTUAL_PRODUCTION_ALUM" vbProcedure="false">"c9247"</definedName>
    <definedName function="false" hidden="true" name="IQ_ACTUAL_PRODUCTION_CATHODE_COP" vbProcedure="false">"c9192"</definedName>
    <definedName function="false" hidden="true" name="IQ_ACTUAL_PRODUCTION_COAL" vbProcedure="false">"c9821"</definedName>
    <definedName function="false" hidden="true" name="IQ_ACTUAL_PRODUCTION_COP" vbProcedure="false">"c9191"</definedName>
    <definedName function="false" hidden="true" name="IQ_ACTUAL_PRODUCTION_DIAM" vbProcedure="false">"c9671"</definedName>
    <definedName function="false" hidden="true" name="IQ_ACTUAL_PRODUCTION_GOLD" vbProcedure="false">"c9032"</definedName>
    <definedName function="false" hidden="true" name="IQ_ACTUAL_PRODUCTION_IRON" vbProcedure="false">"c9406"</definedName>
    <definedName function="false" hidden="true" name="IQ_ACTUAL_PRODUCTION_LEAD" vbProcedure="false">"c9459"</definedName>
    <definedName function="false" hidden="true" name="IQ_ACTUAL_PRODUCTION_MANG" vbProcedure="false">"c9512"</definedName>
    <definedName function="false" hidden="true" name="IQ_ACTUAL_PRODUCTION_MET_COAL" vbProcedure="false">"c9761"</definedName>
    <definedName function="false" hidden="true" name="IQ_ACTUAL_PRODUCTION_MOLYB" vbProcedure="false">"c9724"</definedName>
    <definedName function="false" hidden="true" name="IQ_ACTUAL_PRODUCTION_NICK" vbProcedure="false">"c9300"</definedName>
    <definedName function="false" hidden="true" name="IQ_ACTUAL_PRODUCTION_PLAT" vbProcedure="false">"c9138"</definedName>
    <definedName function="false" hidden="true" name="IQ_ACTUAL_PRODUCTION_SILVER" vbProcedure="false">"c9085"</definedName>
    <definedName function="false" hidden="true" name="IQ_ACTUAL_PRODUCTION_STEAM" vbProcedure="false">"c9791"</definedName>
    <definedName function="false" hidden="true" name="IQ_ACTUAL_PRODUCTION_TITAN" vbProcedure="false">"c9565"</definedName>
    <definedName function="false" hidden="true" name="IQ_ACTUAL_PRODUCTION_URAN" vbProcedure="false">"c9618"</definedName>
    <definedName function="false" hidden="true" name="IQ_ACTUAL_PRODUCTION_ZINC" vbProcedure="false">"c9353"</definedName>
    <definedName function="false" hidden="true" name="IQ_AD" vbProcedure="false">"c7"</definedName>
    <definedName function="false" hidden="true" name="IQ_ADDIN" vbProcedure="false">"AUTO"</definedName>
    <definedName function="false" hidden="true" name="IQ_ADDITIONAL_NON_INT_INC_FDIC" vbProcedure="false">"c6574"</definedName>
    <definedName function="false" hidden="true" name="IQ_ADDITIONS_NON_ACCRUAL_ASSET_DURING_QTR_FFIEC" vbProcedure="false">"c15349"</definedName>
    <definedName function="false" hidden="true" name="IQ_ADD_PAID_IN" vbProcedure="false">"c1344"</definedName>
    <definedName function="false" hidden="true" name="IQ_ADD_TAX_POSITIONS_CURRENT_YR" vbProcedure="false">"c15733"</definedName>
    <definedName function="false" hidden="true" name="IQ_ADD_TAX_POSITIONS_PRIOR_YRS" vbProcedure="false">"c15735"</definedName>
    <definedName function="false" hidden="true" name="IQ_ADJUSTABLE_RATE_LOANS_FDIC" vbProcedure="false">"c6375"</definedName>
    <definedName function="false" hidden="true" name="IQ_ADJUSTED_NAV_COVERED" vbProcedure="false">"c9963"</definedName>
    <definedName function="false" hidden="true" name="IQ_ADJUSTED_NAV_GROUP" vbProcedure="false">"c9949"</definedName>
    <definedName function="false" hidden="true" name="IQ_ADJ_AVG_BANK_ASSETS" vbProcedure="false">"c2671"</definedName>
    <definedName function="false" hidden="true" name="IQ_ADMIN_RATIO" vbProcedure="false">"c2784"</definedName>
    <definedName function="false" hidden="true" name="IQ_ADVERTISING" vbProcedure="false">"c2246"</definedName>
    <definedName function="false" hidden="true" name="IQ_ADVERTISING_MARKETING" vbProcedure="false">"c1566"</definedName>
    <definedName function="false" hidden="true" name="IQ_ADVERTISING_MARKETING_EXPENSES_FFIEC" vbProcedure="false">"c13048"</definedName>
    <definedName function="false" hidden="true" name="IQ_AE" vbProcedure="false">"c8"</definedName>
    <definedName function="false" hidden="true" name="IQ_AE_BNK" vbProcedure="false">"c9"</definedName>
    <definedName function="false" hidden="true" name="IQ_AE_BR" vbProcedure="false">"c10"</definedName>
    <definedName function="false" hidden="true" name="IQ_AE_FIN" vbProcedure="false">"c11"</definedName>
    <definedName function="false" hidden="true" name="IQ_AE_INS" vbProcedure="false">"c12"</definedName>
    <definedName function="false" hidden="true" name="IQ_AE_RE" vbProcedure="false">"c6195"</definedName>
    <definedName function="false" hidden="true" name="IQ_AE_REIT" vbProcedure="false">"c13"</definedName>
    <definedName function="false" hidden="true" name="IQ_AE_UTI" vbProcedure="false">"c14"</definedName>
    <definedName function="false" hidden="true" name="IQ_AFFO" vbProcedure="false">"c8756"</definedName>
    <definedName function="false" hidden="true" name="IQ_AFFO_DILUTED" vbProcedure="false">"c16188"</definedName>
    <definedName function="false" hidden="true" name="IQ_AFFO_PER_SHARE_BASIC" vbProcedure="false">"c8869"</definedName>
    <definedName function="false" hidden="true" name="IQ_AFFO_PER_SHARE_DILUTED" vbProcedure="false">"c8870"</definedName>
    <definedName function="false" hidden="true" name="IQ_AFS_INVEST_SECURITIES_FFIEC" vbProcedure="false">"c13456"</definedName>
    <definedName function="false" hidden="true" name="IQ_AFS_SECURITIES_TIER_1_FFIEC" vbProcedure="false">"c13343"</definedName>
    <definedName function="false" hidden="true" name="IQ_AFTER_TAX_INCOME_FDIC" vbProcedure="false">"c6583"</definedName>
    <definedName function="false" hidden="true" name="IQ_AGENCY" vbProcedure="false">"c8960"</definedName>
    <definedName function="false" hidden="true" name="IQ_AGENCY_INVEST_SECURITIES_FFIEC" vbProcedure="false">"c13458"</definedName>
    <definedName function="false" hidden="true" name="IQ_AGG_CORPORATE_SHARES" vbProcedure="false">"c13781"</definedName>
    <definedName function="false" hidden="true" name="IQ_AGG_CORPORATE_VALUE" vbProcedure="false">"c13774"</definedName>
    <definedName function="false" hidden="true" name="IQ_AGG_ESOP_SHARES" vbProcedure="false">"c13782"</definedName>
    <definedName function="false" hidden="true" name="IQ_AGG_ESOP_VALUE" vbProcedure="false">"c13775"</definedName>
    <definedName function="false" hidden="true" name="IQ_AGG_FOUNDATION_SHARES" vbProcedure="false">"c13783"</definedName>
    <definedName function="false" hidden="true" name="IQ_AGG_FOUNDATION_VALUE" vbProcedure="false">"c13776"</definedName>
    <definedName function="false" hidden="true" name="IQ_AGG_HEDGEFUND_SHARES" vbProcedure="false">"c13785"</definedName>
    <definedName function="false" hidden="true" name="IQ_AGG_HEDGEFUND_VALUE" vbProcedure="false">"c13778"</definedName>
    <definedName function="false" hidden="true" name="IQ_AGG_INSIDER_SHARES" vbProcedure="false">"c13780"</definedName>
    <definedName function="false" hidden="true" name="IQ_AGG_INSIDER_VALUE" vbProcedure="false">"c13773"</definedName>
    <definedName function="false" hidden="true" name="IQ_AGG_INSTITUTIONAL_SHARES" vbProcedure="false">"c13779"</definedName>
    <definedName function="false" hidden="true" name="IQ_AGG_INSTITUTIONAL_VALUE" vbProcedure="false">"c13772"</definedName>
    <definedName function="false" hidden="true" name="IQ_AGG_OTHER_SHARES" vbProcedure="false">"c13784"</definedName>
    <definedName function="false" hidden="true" name="IQ_AGG_OTHER_VALUE" vbProcedure="false">"c13777"</definedName>
    <definedName function="false" hidden="true" name="IQ_AGRICULTURAL_GROSS_LOANS_FFIEC" vbProcedure="false">"c13413"</definedName>
    <definedName function="false" hidden="true" name="IQ_AGRICULTURAL_LOANS_FOREIGN_FFIEC" vbProcedure="false">"c13481"</definedName>
    <definedName function="false" hidden="true" name="IQ_AGRICULTURAL_PRODUCTION_CHARGE_OFFS_FDIC" vbProcedure="false">"c6597"</definedName>
    <definedName function="false" hidden="true" name="IQ_AGRICULTURAL_PRODUCTION_CHARGE_OFFS_LESS_THAN_300M_FDIC" vbProcedure="false">"c6655"</definedName>
    <definedName function="false" hidden="true" name="IQ_AGRICULTURAL_PRODUCTION_NET_CHARGE_OFFS_FDIC" vbProcedure="false">"c6635"</definedName>
    <definedName function="false" hidden="true" name="IQ_AGRICULTURAL_PRODUCTION_NET_CHARGE_OFFS_LESS_THAN_300M_FDIC" vbProcedure="false">"c6657"</definedName>
    <definedName function="false" hidden="true" name="IQ_AGRICULTURAL_PRODUCTION_RECOVERIES_FDIC" vbProcedure="false">"c6616"</definedName>
    <definedName function="false" hidden="true" name="IQ_AGRICULTURAL_PRODUCTION_RECOVERIES_LESS_THAN_300M_FDIC" vbProcedure="false">"c6656"</definedName>
    <definedName function="false" hidden="true" name="IQ_AGRICULTURAL_RISK_BASED_FFIEC" vbProcedure="false">"c13434"</definedName>
    <definedName function="false" hidden="true" name="IQ_AG_PROD_FARM_LOANS_DOM_QUARTERLY_AVG_FFIEC" vbProcedure="false">"c15477"</definedName>
    <definedName function="false" hidden="true" name="IQ_AH_EARNED" vbProcedure="false">"c2744"</definedName>
    <definedName function="false" hidden="true" name="IQ_AH_POLICY_BENEFITS_EXP" vbProcedure="false">"c2789"</definedName>
    <definedName function="false" hidden="true" name="IQ_AIR_AIRPLANES_NOT_IN_SERVICE" vbProcedure="false">"c2842"</definedName>
    <definedName function="false" hidden="true" name="IQ_AIR_AIRPLANES_SUBLEASED" vbProcedure="false">"c2841"</definedName>
    <definedName function="false" hidden="true" name="IQ_AIR_ASK" vbProcedure="false">"c2813"</definedName>
    <definedName function="false" hidden="true" name="IQ_AIR_ASK_INCREASE" vbProcedure="false">"c2826"</definedName>
    <definedName function="false" hidden="true" name="IQ_AIR_ASM" vbProcedure="false">"c2812"</definedName>
    <definedName function="false" hidden="true" name="IQ_AIR_ASM_INCREASE" vbProcedure="false">"c2825"</definedName>
    <definedName function="false" hidden="true" name="IQ_AIR_AVG_AGE" vbProcedure="false">"c2843"</definedName>
    <definedName function="false" hidden="true" name="IQ_AIR_AVG_PSGR_FARE" vbProcedure="false">"c10029"</definedName>
    <definedName function="false" hidden="true" name="IQ_AIR_BREAK_EVEN_FACTOR" vbProcedure="false">"c2822"</definedName>
    <definedName function="false" hidden="true" name="IQ_AIR_CAPITAL_LEASE" vbProcedure="false">"c2833"</definedName>
    <definedName function="false" hidden="true" name="IQ_AIR_COMPLETION_FACTOR" vbProcedure="false">"c2824"</definedName>
    <definedName function="false" hidden="true" name="IQ_AIR_ENPLANED_PSGRS" vbProcedure="false">"c2809"</definedName>
    <definedName function="false" hidden="true" name="IQ_AIR_FUEL_CONSUMED" vbProcedure="false">"c2806"</definedName>
    <definedName function="false" hidden="true" name="IQ_AIR_FUEL_CONSUMED_L" vbProcedure="false">"c2807"</definedName>
    <definedName function="false" hidden="true" name="IQ_AIR_FUEL_COST" vbProcedure="false">"c2803"</definedName>
    <definedName function="false" hidden="true" name="IQ_AIR_FUEL_COST_L" vbProcedure="false">"c2804"</definedName>
    <definedName function="false" hidden="true" name="IQ_AIR_FUEL_EXP" vbProcedure="false">"c2802"</definedName>
    <definedName function="false" hidden="true" name="IQ_AIR_FUEL_EXP_PERCENT" vbProcedure="false">"c2805"</definedName>
    <definedName function="false" hidden="true" name="IQ_AIR_LEASED" vbProcedure="false">"c2835"</definedName>
    <definedName function="false" hidden="true" name="IQ_AIR_LOAD_FACTOR" vbProcedure="false">"c2823"</definedName>
    <definedName function="false" hidden="true" name="IQ_AIR_NEW_AIRPLANES" vbProcedure="false">"c2839"</definedName>
    <definedName function="false" hidden="true" name="IQ_AIR_NUMBER_HRS_FLOWN" vbProcedure="false">"c10037"</definedName>
    <definedName function="false" hidden="true" name="IQ_AIR_NUMBER_OPERATING_AIRCRAFT_AVG" vbProcedure="false">"c10035"</definedName>
    <definedName function="false" hidden="true" name="IQ_AIR_NUMBER_TRIPS_FLOWN" vbProcedure="false">"c10030"</definedName>
    <definedName function="false" hidden="true" name="IQ_AIR_OPER_EXP_ASK" vbProcedure="false">"c2821"</definedName>
    <definedName function="false" hidden="true" name="IQ_AIR_OPER_EXP_ASM" vbProcedure="false">"c2820"</definedName>
    <definedName function="false" hidden="true" name="IQ_AIR_OPER_LEASE" vbProcedure="false">"c2834"</definedName>
    <definedName function="false" hidden="true" name="IQ_AIR_OPER_REV_YIELD_ASK" vbProcedure="false">"c2819"</definedName>
    <definedName function="false" hidden="true" name="IQ_AIR_OPER_REV_YIELD_ASM" vbProcedure="false">"c2818"</definedName>
    <definedName function="false" hidden="true" name="IQ_AIR_OPEX_PER_ASK_EXCL_FUEL" vbProcedure="false">"c10034"</definedName>
    <definedName function="false" hidden="true" name="IQ_AIR_OPEX_PER_ASM_EXCL_FUEL" vbProcedure="false">"c10033"</definedName>
    <definedName function="false" hidden="true" name="IQ_AIR_OPTIONS" vbProcedure="false">"c2837"</definedName>
    <definedName function="false" hidden="true" name="IQ_AIR_ORDERS" vbProcedure="false">"c2836"</definedName>
    <definedName function="false" hidden="true" name="IQ_AIR_OWNED" vbProcedure="false">"c2832"</definedName>
    <definedName function="false" hidden="true" name="IQ_AIR_PERCENTAGE_SALES_VIA_INTERNET" vbProcedure="false">"c10036"</definedName>
    <definedName function="false" hidden="true" name="IQ_AIR_PSGR_HAUL_AVG_LENGTH_KM" vbProcedure="false">"c10032"</definedName>
    <definedName function="false" hidden="true" name="IQ_AIR_PSGR_HAUL_AVG_LENGTH_MILES" vbProcedure="false">"c10031"</definedName>
    <definedName function="false" hidden="true" name="IQ_AIR_PSGR_REV_YIELD_ASK" vbProcedure="false">"c2817"</definedName>
    <definedName function="false" hidden="true" name="IQ_AIR_PSGR_REV_YIELD_ASM" vbProcedure="false">"c2816"</definedName>
    <definedName function="false" hidden="true" name="IQ_AIR_PSGR_REV_YIELD_RPK" vbProcedure="false">"c2815"</definedName>
    <definedName function="false" hidden="true" name="IQ_AIR_PSGR_REV_YIELD_RPM" vbProcedure="false">"c2814"</definedName>
    <definedName function="false" hidden="true" name="IQ_AIR_PURCHASE_RIGHTS" vbProcedure="false">"c2838"</definedName>
    <definedName function="false" hidden="true" name="IQ_AIR_RETIRED_AIRPLANES" vbProcedure="false">"c2840"</definedName>
    <definedName function="false" hidden="true" name="IQ_AIR_REV_PSGRS_CARRIED" vbProcedure="false">"c2808"</definedName>
    <definedName function="false" hidden="true" name="IQ_AIR_REV_SCHEDULED_SERVICE" vbProcedure="false">"c2830"</definedName>
    <definedName function="false" hidden="true" name="IQ_AIR_RPK" vbProcedure="false">"c2811"</definedName>
    <definedName function="false" hidden="true" name="IQ_AIR_RPM" vbProcedure="false">"c2810"</definedName>
    <definedName function="false" hidden="true" name="IQ_AIR_STAGE_LENGTH" vbProcedure="false">"c2828"</definedName>
    <definedName function="false" hidden="true" name="IQ_AIR_STAGE_LENGTH_KM" vbProcedure="false">"c2829"</definedName>
    <definedName function="false" hidden="true" name="IQ_AIR_TOTAL" vbProcedure="false">"c2831"</definedName>
    <definedName function="false" hidden="true" name="IQ_AIR_UTILIZATION" vbProcedure="false">"c2827"</definedName>
    <definedName function="false" hidden="true" name="IQ_ALLOWABLE_T2_CAPITAL_FFIEC" vbProcedure="false">"c13150"</definedName>
    <definedName function="false" hidden="true" name="IQ_ALLOWANCE_10YR_ANN_CAGR" vbProcedure="false">"c6035"</definedName>
    <definedName function="false" hidden="true" name="IQ_ALLOWANCE_10YR_ANN_GROWTH" vbProcedure="false">"c18"</definedName>
    <definedName function="false" hidden="true" name="IQ_ALLOWANCE_1YR_ANN_GROWTH" vbProcedure="false">"c19"</definedName>
    <definedName function="false" hidden="true" name="IQ_ALLOWANCE_2YR_ANN_CAGR" vbProcedure="false">"c6036"</definedName>
    <definedName function="false" hidden="true" name="IQ_ALLOWANCE_2YR_ANN_GROWTH" vbProcedure="false">"c20"</definedName>
    <definedName function="false" hidden="true" name="IQ_ALLOWANCE_3YR_ANN_CAGR" vbProcedure="false">"c6037"</definedName>
    <definedName function="false" hidden="true" name="IQ_ALLOWANCE_3YR_ANN_GROWTH" vbProcedure="false">"c21"</definedName>
    <definedName function="false" hidden="true" name="IQ_ALLOWANCE_5YR_ANN_CAGR" vbProcedure="false">"c6038"</definedName>
    <definedName function="false" hidden="true" name="IQ_ALLOWANCE_5YR_ANN_GROWTH" vbProcedure="false">"c22"</definedName>
    <definedName function="false" hidden="true" name="IQ_ALLOWANCE_7YR_ANN_CAGR" vbProcedure="false">"c6039"</definedName>
    <definedName function="false" hidden="true" name="IQ_ALLOWANCE_7YR_ANN_GROWTH" vbProcedure="false">"c23"</definedName>
    <definedName function="false" hidden="true" name="IQ_ALLOWANCE_CHARGE_OFFS" vbProcedure="false">"c24"</definedName>
    <definedName function="false" hidden="true" name="IQ_ALLOWANCE_CREDIT_LOSSES_OFF_BS_FFIEC" vbProcedure="false">"c12871"</definedName>
    <definedName function="false" hidden="true" name="IQ_ALLOWANCE_LL_LOSSES_T2_FFIEC" vbProcedure="false">"c13146"</definedName>
    <definedName function="false" hidden="true" name="IQ_ALLOWANCE_NON_PERF_LOANS" vbProcedure="false">"c25"</definedName>
    <definedName function="false" hidden="true" name="IQ_ALLOWANCE_TOTAL_LOANS" vbProcedure="false">"c26"</definedName>
    <definedName function="false" hidden="true" name="IQ_ALLOW_BORROW_CONST" vbProcedure="false">"c15"</definedName>
    <definedName function="false" hidden="true" name="IQ_ALLOW_CONST" vbProcedure="false">"c1342"</definedName>
    <definedName function="false" hidden="true" name="IQ_ALLOW_DOUBT_ACCT" vbProcedure="false">"c2092"</definedName>
    <definedName function="false" hidden="true" name="IQ_ALLOW_EQUITY_CONST" vbProcedure="false">"c16"</definedName>
    <definedName function="false" hidden="true" name="IQ_ALLOW_LL" vbProcedure="false">"c17"</definedName>
    <definedName function="false" hidden="true" name="IQ_ALLOW_LL_LOSSES_FFIEC" vbProcedure="false">"c12810"</definedName>
    <definedName function="false" hidden="true" name="IQ_ALL_OTHER_DEPOSITS_FOREIGN_DEP_FFIEC" vbProcedure="false">"c15347"</definedName>
    <definedName function="false" hidden="true" name="IQ_ALL_OTHER_INVEST_UNCONSOL_SUBS_FFIEC" vbProcedure="false">"c15275"</definedName>
    <definedName function="false" hidden="true" name="IQ_ALL_OTHER_LEASES_CHARGE_OFFS_FFIEC" vbProcedure="false">"c13185"</definedName>
    <definedName function="false" hidden="true" name="IQ_ALL_OTHER_LEASES_RECOV_FFIEC" vbProcedure="false">"c13207"</definedName>
    <definedName function="false" hidden="true" name="IQ_ALL_OTHER_LOANS_CHARGE_OFFS_FFIEC" vbProcedure="false">"c13183"</definedName>
    <definedName function="false" hidden="true" name="IQ_ALL_OTHER_LOANS_RECOV_FFIEC" vbProcedure="false">"c13205"</definedName>
    <definedName function="false" hidden="true" name="IQ_ALL_OTHER_TRADING_LIABILITIES_DOM_FFIEC" vbProcedure="false">"c12942"</definedName>
    <definedName function="false" hidden="true" name="IQ_AMENDED_BALANCE_PREVIOUS_YR_FDIC" vbProcedure="false">"c6499"</definedName>
    <definedName function="false" hidden="true" name="IQ_AMORTIZATION" vbProcedure="false">"c1591"</definedName>
    <definedName function="false" hidden="true" name="IQ_AMORTIZED_COST_FDIC" vbProcedure="false">"c6426"</definedName>
    <definedName function="false" hidden="true" name="IQ_AMORT_EXPENSE_FDIC" vbProcedure="false">"c6677"</definedName>
    <definedName function="false" hidden="true" name="IQ_AMORT_EXP_IMPAIRMENT_OTHER_INTANGIBLE_ASSETS_FFIEC" vbProcedure="false">"c13026"</definedName>
    <definedName function="false" hidden="true" name="IQ_AMOUNT_FINANCIAL_LOC_CONVEYED_FFIEC" vbProcedure="false">"c13250"</definedName>
    <definedName function="false" hidden="true" name="IQ_AMOUNT_PERFORMANCE_LOC_CONVEYED_FFIEC" vbProcedure="false">"c13252"</definedName>
    <definedName function="false" hidden="true" name="IQ_AMT_OUT" vbProcedure="false">"c2145"</definedName>
    <definedName function="false" hidden="true" name="IQ_ANALYST_DET_EST" vbProcedure="false">"c12043"</definedName>
    <definedName function="false" hidden="true" name="IQ_ANALYST_DET_EST_REUT" vbProcedure="false">"c12135"</definedName>
    <definedName function="false" hidden="true" name="IQ_ANALYST_DET_EST_THOM" vbProcedure="false">"c12071"</definedName>
    <definedName function="false" hidden="true" name="IQ_ANALYST_EMAIL" vbProcedure="false">"c13738"</definedName>
    <definedName function="false" hidden="true" name="IQ_ANALYST_NAME" vbProcedure="false">"c13736"</definedName>
    <definedName function="false" hidden="true" name="IQ_ANALYST_NON_PER_DET_EST" vbProcedure="false">"c12755"</definedName>
    <definedName function="false" hidden="true" name="IQ_ANALYST_NON_PER_DET_EST_REUT" vbProcedure="false">"c12758"</definedName>
    <definedName function="false" hidden="true" name="IQ_ANALYST_NON_PER_DET_EST_THOM" vbProcedure="false">"c12759"</definedName>
    <definedName function="false" hidden="true" name="IQ_ANALYST_PHONE" vbProcedure="false">"c13737"</definedName>
    <definedName function="false" hidden="true" name="IQ_ANALYST_START_DATE" vbProcedure="false">"c13740"</definedName>
    <definedName function="false" hidden="true" name="IQ_ANNUALIZED_DIVIDEND" vbProcedure="false">"c1579"</definedName>
    <definedName function="false" hidden="true" name="IQ_ANNUAL_PREMIUM_EQUIVALENT_NEW_BUSINESS" vbProcedure="false">"c9972"</definedName>
    <definedName function="false" hidden="true" name="IQ_ANNUITY_LIAB" vbProcedure="false">"c27"</definedName>
    <definedName function="false" hidden="true" name="IQ_ANNUITY_PAY" vbProcedure="false">"c28"</definedName>
    <definedName function="false" hidden="true" name="IQ_ANNUITY_POLICY_EXP" vbProcedure="false">"c29"</definedName>
    <definedName function="false" hidden="true" name="IQ_ANNUITY_REC" vbProcedure="false">"c30"</definedName>
    <definedName function="false" hidden="true" name="IQ_ANNUITY_REV" vbProcedure="false">"c31"</definedName>
    <definedName function="false" hidden="true" name="IQ_ANNUITY_SALES_FEES_COMMISSIONS_FFIEC" vbProcedure="false">"c13007"</definedName>
    <definedName function="false" hidden="true" name="IQ_ANNU_DISTRIBUTION_UNIT" vbProcedure="false">"c3004"</definedName>
    <definedName function="false" hidden="true" name="IQ_AP" vbProcedure="false">"c32"</definedName>
    <definedName function="false" hidden="true" name="IQ_APIC" vbProcedure="false">"c39"</definedName>
    <definedName function="false" hidden="true" name="IQ_APPLICABLE_INCOME_TAXES_FTE_FFIEC" vbProcedure="false">"c13853"</definedName>
    <definedName function="false" hidden="true" name="IQ_AP_BNK" vbProcedure="false">"c33"</definedName>
    <definedName function="false" hidden="true" name="IQ_AP_BR" vbProcedure="false">"c34"</definedName>
    <definedName function="false" hidden="true" name="IQ_AP_FIN" vbProcedure="false">"c35"</definedName>
    <definedName function="false" hidden="true" name="IQ_AP_INS" vbProcedure="false">"c36"</definedName>
    <definedName function="false" hidden="true" name="IQ_AP_RE" vbProcedure="false">"c6196"</definedName>
    <definedName function="false" hidden="true" name="IQ_AP_REIT" vbProcedure="false">"c37"</definedName>
    <definedName function="false" hidden="true" name="IQ_AP_UTI" vbProcedure="false">"c38"</definedName>
    <definedName function="false" hidden="true" name="IQ_AR" vbProcedure="false">"c40"</definedName>
    <definedName function="false" hidden="true" name="IQ_ARPU" vbProcedure="false">"c2126"</definedName>
    <definedName function="false" hidden="true" name="IQ_ARPU_ANALOG_CABLE" vbProcedure="false">"c2864"</definedName>
    <definedName function="false" hidden="true" name="IQ_ARPU_BASIC_CABLE" vbProcedure="false">"c2866"</definedName>
    <definedName function="false" hidden="true" name="IQ_ARPU_BBAND" vbProcedure="false">"c2867"</definedName>
    <definedName function="false" hidden="true" name="IQ_ARPU_DIG_CABLE" vbProcedure="false">"c2865"</definedName>
    <definedName function="false" hidden="true" name="IQ_ARPU_PHONE" vbProcedure="false">"c2868"</definedName>
    <definedName function="false" hidden="true" name="IQ_ARPU_POSTPAID_WIRELESS" vbProcedure="false">"c15758"</definedName>
    <definedName function="false" hidden="true" name="IQ_ARPU_PREPAID_WIRELESS" vbProcedure="false">"c15759"</definedName>
    <definedName function="false" hidden="true" name="IQ_ARPU_RETAIL_WIRELESS" vbProcedure="false">"c15760"</definedName>
    <definedName function="false" hidden="true" name="IQ_ARPU_SATELLITE" vbProcedure="false">"c15790"</definedName>
    <definedName function="false" hidden="true" name="IQ_ARPU_TOTAL" vbProcedure="false">"c2869"</definedName>
    <definedName function="false" hidden="true" name="IQ_ARPU_WHOLESALE_WIRELESS" vbProcedure="false">"c15761"</definedName>
    <definedName function="false" hidden="true" name="IQ_ARPU_WIRELESS" vbProcedure="false">"c2126"</definedName>
    <definedName function="false" hidden="true" name="IQ_AR_BR" vbProcedure="false">"c41"</definedName>
    <definedName function="false" hidden="true" name="IQ_AR_LT" vbProcedure="false">"c42"</definedName>
    <definedName function="false" hidden="true" name="IQ_AR_RE" vbProcedure="false">"c6197"</definedName>
    <definedName function="false" hidden="true" name="IQ_AR_REIT" vbProcedure="false">"c43"</definedName>
    <definedName function="false" hidden="true" name="IQ_AR_TURNS" vbProcedure="false">"c44"</definedName>
    <definedName function="false" hidden="true" name="IQ_AR_UTI" vbProcedure="false">"c45"</definedName>
    <definedName function="false" hidden="true" name="IQ_ASSETS_AP" vbProcedure="false">"c8883"</definedName>
    <definedName function="false" hidden="true" name="IQ_ASSETS_AP_ABS" vbProcedure="false">"c8902"</definedName>
    <definedName function="false" hidden="true" name="IQ_ASSETS_CAP_LEASE_DEPR" vbProcedure="false">"c2068"</definedName>
    <definedName function="false" hidden="true" name="IQ_ASSETS_CAP_LEASE_GROSS" vbProcedure="false">"c2069"</definedName>
    <definedName function="false" hidden="true" name="IQ_ASSETS_FAIR_VALUE" vbProcedure="false">"c13843"</definedName>
    <definedName function="false" hidden="true" name="IQ_ASSETS_HELD_FDIC" vbProcedure="false">"c6305"</definedName>
    <definedName function="false" hidden="true" name="IQ_ASSETS_LEVEL_1" vbProcedure="false">"c13839"</definedName>
    <definedName function="false" hidden="true" name="IQ_ASSETS_LEVEL_2" vbProcedure="false">"c13840"</definedName>
    <definedName function="false" hidden="true" name="IQ_ASSETS_LEVEL_3" vbProcedure="false">"c13841"</definedName>
    <definedName function="false" hidden="true" name="IQ_ASSETS_NAME_AP" vbProcedure="false">"c8921"</definedName>
    <definedName function="false" hidden="true" name="IQ_ASSETS_NAME_AP_ABS" vbProcedure="false">"c8940"</definedName>
    <definedName function="false" hidden="true" name="IQ_ASSETS_NETTING_OTHER_ADJUSTMENTS" vbProcedure="false">"c13842"</definedName>
    <definedName function="false" hidden="true" name="IQ_ASSETS_OPER_LEASE_DEPR" vbProcedure="false">"c2070"</definedName>
    <definedName function="false" hidden="true" name="IQ_ASSETS_OPER_LEASE_GROSS" vbProcedure="false">"c2071"</definedName>
    <definedName function="false" hidden="true" name="IQ_ASSETS_PER_EMPLOYEE_FDIC" vbProcedure="false">"c6737"</definedName>
    <definedName function="false" hidden="true" name="IQ_ASSETS_REPRICE_ASSETS_TOT_FFIEC" vbProcedure="false">"c13454"</definedName>
    <definedName function="false" hidden="true" name="IQ_ASSETS_SOLD_1_4_FAMILY_LOANS_FDIC" vbProcedure="false">"c6686"</definedName>
    <definedName function="false" hidden="true" name="IQ_ASSETS_SOLD_AUTO_LOANS_FDIC" vbProcedure="false">"c6680"</definedName>
    <definedName function="false" hidden="true" name="IQ_ASSETS_SOLD_CL_LOANS_FDIC" vbProcedure="false">"c6681"</definedName>
    <definedName function="false" hidden="true" name="IQ_ASSETS_SOLD_CREDIT_CARDS_RECEIVABLES_FDIC" vbProcedure="false">"c6683"</definedName>
    <definedName function="false" hidden="true" name="IQ_ASSETS_SOLD_HOME_EQUITY_LINES_FDIC" vbProcedure="false">"c6684"</definedName>
    <definedName function="false" hidden="true" name="IQ_ASSETS_SOLD_OTHER_CONSUMER_LOANS_FDIC" vbProcedure="false">"c6682"</definedName>
    <definedName function="false" hidden="true" name="IQ_ASSETS_SOLD_OTHER_LOANS_FDIC" vbProcedure="false">"c6685"</definedName>
    <definedName function="false" hidden="true" name="IQ_ASSET_BACKED_FDIC" vbProcedure="false">"c6301"</definedName>
    <definedName function="false" hidden="true" name="IQ_ASSET_MGMT_FEE" vbProcedure="false">"c46"</definedName>
    <definedName function="false" hidden="true" name="IQ_ASSET_TURNS" vbProcedure="false">"c47"</definedName>
    <definedName function="false" hidden="true" name="IQ_ASSET_WRITEDOWN" vbProcedure="false">"c48"</definedName>
    <definedName function="false" hidden="true" name="IQ_ASSET_WRITEDOWN_BNK" vbProcedure="false">"c49"</definedName>
    <definedName function="false" hidden="true" name="IQ_ASSET_WRITEDOWN_BR" vbProcedure="false">"c50"</definedName>
    <definedName function="false" hidden="true" name="IQ_ASSET_WRITEDOWN_CF" vbProcedure="false">"c51"</definedName>
    <definedName function="false" hidden="true" name="IQ_ASSET_WRITEDOWN_CF_BNK" vbProcedure="false">"c52"</definedName>
    <definedName function="false" hidden="true" name="IQ_ASSET_WRITEDOWN_CF_BR" vbProcedure="false">"c53"</definedName>
    <definedName function="false" hidden="true" name="IQ_ASSET_WRITEDOWN_CF_FIN" vbProcedure="false">"c54"</definedName>
    <definedName function="false" hidden="true" name="IQ_ASSET_WRITEDOWN_CF_INS" vbProcedure="false">"c55"</definedName>
    <definedName function="false" hidden="true" name="IQ_ASSET_WRITEDOWN_CF_RE" vbProcedure="false">"c6198"</definedName>
    <definedName function="false" hidden="true" name="IQ_ASSET_WRITEDOWN_CF_REIT" vbProcedure="false">"c56"</definedName>
    <definedName function="false" hidden="true" name="IQ_ASSET_WRITEDOWN_CF_UTI" vbProcedure="false">"c57"</definedName>
    <definedName function="false" hidden="true" name="IQ_ASSET_WRITEDOWN_FIN" vbProcedure="false">"c58"</definedName>
    <definedName function="false" hidden="true" name="IQ_ASSET_WRITEDOWN_INS" vbProcedure="false">"c59"</definedName>
    <definedName function="false" hidden="true" name="IQ_ASSET_WRITEDOWN_RE" vbProcedure="false">"c6199"</definedName>
    <definedName function="false" hidden="true" name="IQ_ASSET_WRITEDOWN_REIT" vbProcedure="false">"c60"</definedName>
    <definedName function="false" hidden="true" name="IQ_ASSET_WRITEDOWN_SUPPLE" vbProcedure="false">"c13812"</definedName>
    <definedName function="false" hidden="true" name="IQ_ASSET_WRITEDOWN_UTI" vbProcedure="false">"c61"</definedName>
    <definedName function="false" hidden="true" name="IQ_ASSIGNED_RESERVES_COAL" vbProcedure="false">"c15912"</definedName>
    <definedName function="false" hidden="true" name="IQ_ASSIGNED_RESERVES_TO_TOTAL_RESERVES_COAL" vbProcedure="false">"c15955"</definedName>
    <definedName function="false" hidden="true" name="IQ_ASSUMED_AH_EARNED" vbProcedure="false">"c2741"</definedName>
    <definedName function="false" hidden="true" name="IQ_ASSUMED_EARNED" vbProcedure="false">"c2731"</definedName>
    <definedName function="false" hidden="true" name="IQ_ASSUMED_LIFE_EARNED" vbProcedure="false">"c2736"</definedName>
    <definedName function="false" hidden="true" name="IQ_ASSUMED_LIFE_IN_FORCE" vbProcedure="false">"c2766"</definedName>
    <definedName function="false" hidden="true" name="IQ_ASSUMED_LOSSES" vbProcedure="false">"c15870"</definedName>
    <definedName function="false" hidden="true" name="IQ_ASSUMED_PC_EARNED" vbProcedure="false">"c2746"</definedName>
    <definedName function="false" hidden="true" name="IQ_ASSUMED_PREMIUMS_EARNED_GROSS_PREMIUMS_EARNED" vbProcedure="false">"c15886"</definedName>
    <definedName function="false" hidden="true" name="IQ_ASSUMED_PREMIUMS_WRITTEN_GROSS_PREMIUMS_WRITTEN" vbProcedure="false">"c15884"</definedName>
    <definedName function="false" hidden="true" name="IQ_ASSUMED_WRITTEN" vbProcedure="false">"c2725"</definedName>
    <definedName function="false" hidden="true" name="IQ_ATM_FEES_FFIEC" vbProcedure="false">"c13042"</definedName>
    <definedName function="false" hidden="true" name="IQ_ATM_INTERCHANGE_EXPENSES_FFIEC" vbProcedure="false">"c13056"</definedName>
    <definedName function="false" hidden="true" name="IQ_AUDITOR_NAME" vbProcedure="false">"c1539"</definedName>
    <definedName function="false" hidden="true" name="IQ_AUDITOR_OPINION" vbProcedure="false">"c1540"</definedName>
    <definedName function="false" hidden="true" name="IQ_AUM" vbProcedure="false">"c10043"</definedName>
    <definedName function="false" hidden="true" name="IQ_AUM_EQUITY_FUNDS" vbProcedure="false">"c10039"</definedName>
    <definedName function="false" hidden="true" name="IQ_AUM_FIXED_INCOME_FUNDS" vbProcedure="false">"c10040"</definedName>
    <definedName function="false" hidden="true" name="IQ_AUM_MONEY_MARKET_FUNDS" vbProcedure="false">"c10041"</definedName>
    <definedName function="false" hidden="true" name="IQ_AUM_OTHER" vbProcedure="false">"c10042"</definedName>
    <definedName function="false" hidden="true" name="IQ_AUTO_LOANS_TOTAL_LOANS" vbProcedure="false">"c15713"</definedName>
    <definedName function="false" hidden="true" name="IQ_AUTO_REGIST_NEW" vbProcedure="false">"c6923"</definedName>
    <definedName function="false" hidden="true" name="IQ_AUTO_REGIST_NEW_APR" vbProcedure="false">"c7583"</definedName>
    <definedName function="false" hidden="true" name="IQ_AUTO_REGIST_NEW_APR_FC" vbProcedure="false">"c8463"</definedName>
    <definedName function="false" hidden="true" name="IQ_AUTO_REGIST_NEW_FC" vbProcedure="false">"c7803"</definedName>
    <definedName function="false" hidden="true" name="IQ_AUTO_REGIST_NEW_POP" vbProcedure="false">"c7143"</definedName>
    <definedName function="false" hidden="true" name="IQ_AUTO_REGIST_NEW_POP_FC" vbProcedure="false">"c8023"</definedName>
    <definedName function="false" hidden="true" name="IQ_AUTO_REGIST_NEW_YOY" vbProcedure="false">"c7363"</definedName>
    <definedName function="false" hidden="true" name="IQ_AUTO_REGIST_NEW_YOY_FC" vbProcedure="false">"c8243"</definedName>
    <definedName function="false" hidden="true" name="IQ_AUTO_SALES_DOM" vbProcedure="false">"c6852"</definedName>
    <definedName function="false" hidden="true" name="IQ_AUTO_SALES_DOM_APR" vbProcedure="false">"c7512"</definedName>
    <definedName function="false" hidden="true" name="IQ_AUTO_SALES_DOM_APR_FC" vbProcedure="false">"c8392"</definedName>
    <definedName function="false" hidden="true" name="IQ_AUTO_SALES_DOM_FC" vbProcedure="false">"c7732"</definedName>
    <definedName function="false" hidden="true" name="IQ_AUTO_SALES_DOM_POP" vbProcedure="false">"c7072"</definedName>
    <definedName function="false" hidden="true" name="IQ_AUTO_SALES_DOM_POP_FC" vbProcedure="false">"c7952"</definedName>
    <definedName function="false" hidden="true" name="IQ_AUTO_SALES_DOM_YOY" vbProcedure="false">"c7292"</definedName>
    <definedName function="false" hidden="true" name="IQ_AUTO_SALES_DOM_YOY_FC" vbProcedure="false">"c8172"</definedName>
    <definedName function="false" hidden="true" name="IQ_AUTO_SALES_FOREIGN" vbProcedure="false">"c6873"</definedName>
    <definedName function="false" hidden="true" name="IQ_AUTO_SALES_FOREIGN_APR" vbProcedure="false">"c7533"</definedName>
    <definedName function="false" hidden="true" name="IQ_AUTO_SALES_FOREIGN_APR_FC" vbProcedure="false">"c8413"</definedName>
    <definedName function="false" hidden="true" name="IQ_AUTO_SALES_FOREIGN_FC" vbProcedure="false">"c7753"</definedName>
    <definedName function="false" hidden="true" name="IQ_AUTO_SALES_FOREIGN_POP" vbProcedure="false">"c7093"</definedName>
    <definedName function="false" hidden="true" name="IQ_AUTO_SALES_FOREIGN_POP_FC" vbProcedure="false">"c7973"</definedName>
    <definedName function="false" hidden="true" name="IQ_AUTO_SALES_FOREIGN_YOY" vbProcedure="false">"c7313"</definedName>
    <definedName function="false" hidden="true" name="IQ_AUTO_SALES_FOREIGN_YOY_FC" vbProcedure="false">"c8193"</definedName>
    <definedName function="false" hidden="true" name="IQ_AUTO_WRITTEN" vbProcedure="false">"c62"</definedName>
    <definedName function="false" hidden="true" name="IQ_AVAILABLE_FOR_SALE_FDIC" vbProcedure="false">"c6409"</definedName>
    <definedName function="false" hidden="true" name="IQ_AVAILABLE_SALE_SEC_FFIEC" vbProcedure="false">"c12791"</definedName>
    <definedName function="false" hidden="true" name="IQ_AVAIL_FOR_SALE_FAIR_VALUE_TOT_FFIEC" vbProcedure="false">"c15399"</definedName>
    <definedName function="false" hidden="true" name="IQ_AVAIL_FOR_SALE_LEVEL_1_FFIEC" vbProcedure="false">"c15421"</definedName>
    <definedName function="false" hidden="true" name="IQ_AVAIL_FOR_SALE_LEVEL_2_FFIEC" vbProcedure="false">"c15434"</definedName>
    <definedName function="false" hidden="true" name="IQ_AVAIL_FOR_SALE_LEVEL_3_FFIEC" vbProcedure="false">"c15447"</definedName>
    <definedName function="false" hidden="true" name="IQ_AVERAGE_ASSETS_FDIC" vbProcedure="false">"c6362"</definedName>
    <definedName function="false" hidden="true" name="IQ_AVERAGE_ASSETS_QUART_FDIC" vbProcedure="false">"c6363"</definedName>
    <definedName function="false" hidden="true" name="IQ_AVERAGE_DEPOSITS" vbProcedure="false">"c15256"</definedName>
    <definedName function="false" hidden="true" name="IQ_AVERAGE_EARNING_ASSETS_FDIC" vbProcedure="false">"c6748"</definedName>
    <definedName function="false" hidden="true" name="IQ_AVERAGE_EQUITY_FDIC" vbProcedure="false">"c6749"</definedName>
    <definedName function="false" hidden="true" name="IQ_AVERAGE_INTEREST_BEARING_DEPOSITS" vbProcedure="false">"c15254"</definedName>
    <definedName function="false" hidden="true" name="IQ_AVERAGE_LOANS_FDIC" vbProcedure="false">"c6750"</definedName>
    <definedName function="false" hidden="true" name="IQ_AVERAGE_LOANS_HFI" vbProcedure="false">"c15251"</definedName>
    <definedName function="false" hidden="true" name="IQ_AVERAGE_LOANS_HFS" vbProcedure="false">"c15252"</definedName>
    <definedName function="false" hidden="true" name="IQ_AVERAGE_NON_INTEREST_BEARING_DEPOSITS" vbProcedure="false">"c15255"</definedName>
    <definedName function="false" hidden="true" name="IQ_AVG_BANK_ASSETS" vbProcedure="false">"c2072"</definedName>
    <definedName function="false" hidden="true" name="IQ_AVG_BANK_LOANS" vbProcedure="false">"c2073"</definedName>
    <definedName function="false" hidden="true" name="IQ_AVG_BROKER_REC" vbProcedure="false">"c63"</definedName>
    <definedName function="false" hidden="true" name="IQ_AVG_BROKER_REC_CIQ" vbProcedure="false">"c3612"</definedName>
    <definedName function="false" hidden="true" name="IQ_AVG_BROKER_REC_NO" vbProcedure="false">"c64"</definedName>
    <definedName function="false" hidden="true" name="IQ_AVG_BROKER_REC_NO_CIQ" vbProcedure="false">"c4657"</definedName>
    <definedName function="false" hidden="true" name="IQ_AVG_BROKER_REC_NO_REUT" vbProcedure="false">"c5315"</definedName>
    <definedName function="false" hidden="true" name="IQ_AVG_BROKER_REC_NO_THOM" vbProcedure="false">"c5094"</definedName>
    <definedName function="false" hidden="true" name="IQ_AVG_BROKER_REC_REUT" vbProcedure="false">"c3630"</definedName>
    <definedName function="false" hidden="true" name="IQ_AVG_BROKER_REC_THOM" vbProcedure="false">"c3648"</definedName>
    <definedName function="false" hidden="true" name="IQ_AVG_CALORIFIC_VALUE_COAL" vbProcedure="false">"c9828"</definedName>
    <definedName function="false" hidden="true" name="IQ_AVG_CALORIFIC_VALUE_MET_COAL" vbProcedure="false">"c9764"</definedName>
    <definedName function="false" hidden="true" name="IQ_AVG_CALORIFIC_VALUE_STEAM" vbProcedure="false">"c9794"</definedName>
    <definedName function="false" hidden="true" name="IQ_AVG_DAILY_VOL" vbProcedure="false">"c65"</definedName>
    <definedName function="false" hidden="true" name="IQ_AVG_EMPLOYEES" vbProcedure="false">"c6019"</definedName>
    <definedName function="false" hidden="true" name="IQ_AVG_GRADE_ALUM" vbProcedure="false">"c9254"</definedName>
    <definedName function="false" hidden="true" name="IQ_AVG_GRADE_COP" vbProcedure="false">"c9201"</definedName>
    <definedName function="false" hidden="true" name="IQ_AVG_GRADE_DIAM" vbProcedure="false">"c9678"</definedName>
    <definedName function="false" hidden="true" name="IQ_AVG_GRADE_GOLD" vbProcedure="false">"c9039"</definedName>
    <definedName function="false" hidden="true" name="IQ_AVG_GRADE_IRON" vbProcedure="false">"c9413"</definedName>
    <definedName function="false" hidden="true" name="IQ_AVG_GRADE_LEAD" vbProcedure="false">"c9466"</definedName>
    <definedName function="false" hidden="true" name="IQ_AVG_GRADE_MANG" vbProcedure="false">"c9519"</definedName>
    <definedName function="false" hidden="true" name="IQ_AVG_GRADE_MOLYB" vbProcedure="false">"c9731"</definedName>
    <definedName function="false" hidden="true" name="IQ_AVG_GRADE_NICK" vbProcedure="false">"c9307"</definedName>
    <definedName function="false" hidden="true" name="IQ_AVG_GRADE_PLAT" vbProcedure="false">"c9145"</definedName>
    <definedName function="false" hidden="true" name="IQ_AVG_GRADE_SILVER" vbProcedure="false">"c9092"</definedName>
    <definedName function="false" hidden="true" name="IQ_AVG_GRADE_TITAN" vbProcedure="false">"c9572"</definedName>
    <definedName function="false" hidden="true" name="IQ_AVG_GRADE_URAN" vbProcedure="false">"c9625"</definedName>
    <definedName function="false" hidden="true" name="IQ_AVG_GRADE_ZINC" vbProcedure="false">"c9360"</definedName>
    <definedName function="false" hidden="true" name="IQ_AVG_INDUSTRY_REC" vbProcedure="false">"c4455"</definedName>
    <definedName function="false" hidden="true" name="IQ_AVG_INDUSTRY_REC_CIQ" vbProcedure="false">"c4984"</definedName>
    <definedName function="false" hidden="true" name="IQ_AVG_INDUSTRY_REC_NO" vbProcedure="false">"c4454"</definedName>
    <definedName function="false" hidden="true" name="IQ_AVG_INT_BEAR_LIAB" vbProcedure="false">"c66"</definedName>
    <definedName function="false" hidden="true" name="IQ_AVG_INT_BEAR_LIAB_10YR_ANN_CAGR" vbProcedure="false">"c6040"</definedName>
    <definedName function="false" hidden="true" name="IQ_AVG_INT_BEAR_LIAB_10YR_ANN_GROWTH" vbProcedure="false">"c67"</definedName>
    <definedName function="false" hidden="true" name="IQ_AVG_INT_BEAR_LIAB_1YR_ANN_GROWTH" vbProcedure="false">"c68"</definedName>
    <definedName function="false" hidden="true" name="IQ_AVG_INT_BEAR_LIAB_2YR_ANN_CAGR" vbProcedure="false">"c6041"</definedName>
    <definedName function="false" hidden="true" name="IQ_AVG_INT_BEAR_LIAB_2YR_ANN_GROWTH" vbProcedure="false">"c69"</definedName>
    <definedName function="false" hidden="true" name="IQ_AVG_INT_BEAR_LIAB_3YR_ANN_CAGR" vbProcedure="false">"c6042"</definedName>
    <definedName function="false" hidden="true" name="IQ_AVG_INT_BEAR_LIAB_3YR_ANN_GROWTH" vbProcedure="false">"c70"</definedName>
    <definedName function="false" hidden="true" name="IQ_AVG_INT_BEAR_LIAB_5YR_ANN_CAGR" vbProcedure="false">"c6043"</definedName>
    <definedName function="false" hidden="true" name="IQ_AVG_INT_BEAR_LIAB_5YR_ANN_GROWTH" vbProcedure="false">"c71"</definedName>
    <definedName function="false" hidden="true" name="IQ_AVG_INT_BEAR_LIAB_7YR_ANN_CAGR" vbProcedure="false">"c6044"</definedName>
    <definedName function="false" hidden="true" name="IQ_AVG_INT_BEAR_LIAB_7YR_ANN_GROWTH" vbProcedure="false">"c72"</definedName>
    <definedName function="false" hidden="true" name="IQ_AVG_INT_EARN_ASSETS" vbProcedure="false">"c73"</definedName>
    <definedName function="false" hidden="true" name="IQ_AVG_INT_EARN_ASSETS_10YR_ANN_CAGR" vbProcedure="false">"c6045"</definedName>
    <definedName function="false" hidden="true" name="IQ_AVG_INT_EARN_ASSETS_10YR_ANN_GROWTH" vbProcedure="false">"c74"</definedName>
    <definedName function="false" hidden="true" name="IQ_AVG_INT_EARN_ASSETS_1YR_ANN_GROWTH" vbProcedure="false">"c75"</definedName>
    <definedName function="false" hidden="true" name="IQ_AVG_INT_EARN_ASSETS_2YR_ANN_CAGR" vbProcedure="false">"c6046"</definedName>
    <definedName function="false" hidden="true" name="IQ_AVG_INT_EARN_ASSETS_2YR_ANN_GROWTH" vbProcedure="false">"c76"</definedName>
    <definedName function="false" hidden="true" name="IQ_AVG_INT_EARN_ASSETS_3YR_ANN_CAGR" vbProcedure="false">"c6047"</definedName>
    <definedName function="false" hidden="true" name="IQ_AVG_INT_EARN_ASSETS_3YR_ANN_GROWTH" vbProcedure="false">"c77"</definedName>
    <definedName function="false" hidden="true" name="IQ_AVG_INT_EARN_ASSETS_5YR_ANN_CAGR" vbProcedure="false">"c6048"</definedName>
    <definedName function="false" hidden="true" name="IQ_AVG_INT_EARN_ASSETS_5YR_ANN_GROWTH" vbProcedure="false">"c78"</definedName>
    <definedName function="false" hidden="true" name="IQ_AVG_INT_EARN_ASSETS_7YR_ANN_CAGR" vbProcedure="false">"c6049"</definedName>
    <definedName function="false" hidden="true" name="IQ_AVG_INT_EARN_ASSETS_7YR_ANN_GROWTH" vbProcedure="false">"c79"</definedName>
    <definedName function="false" hidden="true" name="IQ_AVG_INV_HOMEBUILDING" vbProcedure="false">"c15812"</definedName>
    <definedName function="false" hidden="true" name="IQ_AVG_INV_HOMES" vbProcedure="false">"c15810"</definedName>
    <definedName function="false" hidden="true" name="IQ_AVG_INV_LAND_LOTS" vbProcedure="false">"c15811"</definedName>
    <definedName function="false" hidden="true" name="IQ_AVG_MKTCAP" vbProcedure="false">"c80"</definedName>
    <definedName function="false" hidden="true" name="IQ_AVG_PRICE" vbProcedure="false">"c81"</definedName>
    <definedName function="false" hidden="true" name="IQ_AVG_PRICE_TARGET" vbProcedure="false">"c82"</definedName>
    <definedName function="false" hidden="true" name="IQ_AVG_PRODUCTION_PER_MINE_ALUM" vbProcedure="false">"c9249"</definedName>
    <definedName function="false" hidden="true" name="IQ_AVG_PRODUCTION_PER_MINE_COAL" vbProcedure="false">"c9823"</definedName>
    <definedName function="false" hidden="true" name="IQ_AVG_PRODUCTION_PER_MINE_COP" vbProcedure="false">"c9194"</definedName>
    <definedName function="false" hidden="true" name="IQ_AVG_PRODUCTION_PER_MINE_DIAM" vbProcedure="false">"c9673"</definedName>
    <definedName function="false" hidden="true" name="IQ_AVG_PRODUCTION_PER_MINE_GOLD" vbProcedure="false">"c9034"</definedName>
    <definedName function="false" hidden="true" name="IQ_AVG_PRODUCTION_PER_MINE_IRON" vbProcedure="false">"c9408"</definedName>
    <definedName function="false" hidden="true" name="IQ_AVG_PRODUCTION_PER_MINE_LEAD" vbProcedure="false">"c9461"</definedName>
    <definedName function="false" hidden="true" name="IQ_AVG_PRODUCTION_PER_MINE_MANG" vbProcedure="false">"c9514"</definedName>
    <definedName function="false" hidden="true" name="IQ_AVG_PRODUCTION_PER_MINE_MOLYB" vbProcedure="false">"c9726"</definedName>
    <definedName function="false" hidden="true" name="IQ_AVG_PRODUCTION_PER_MINE_NICK" vbProcedure="false">"c9302"</definedName>
    <definedName function="false" hidden="true" name="IQ_AVG_PRODUCTION_PER_MINE_PLAT" vbProcedure="false">"c9140"</definedName>
    <definedName function="false" hidden="true" name="IQ_AVG_PRODUCTION_PER_MINE_SILVER" vbProcedure="false">"c9087"</definedName>
    <definedName function="false" hidden="true" name="IQ_AVG_PRODUCTION_PER_MINE_TITAN" vbProcedure="false">"c9567"</definedName>
    <definedName function="false" hidden="true" name="IQ_AVG_PRODUCTION_PER_MINE_URAN" vbProcedure="false">"c9620"</definedName>
    <definedName function="false" hidden="true" name="IQ_AVG_PRODUCTION_PER_MINE_ZINC" vbProcedure="false">"c9355"</definedName>
    <definedName function="false" hidden="true" name="IQ_AVG_REALIZED_PRICE_AFTER_HEDGING_ALUM" vbProcedure="false">"c9257"</definedName>
    <definedName function="false" hidden="true" name="IQ_AVG_REALIZED_PRICE_AFTER_HEDGING_COAL" vbProcedure="false">"c9830"</definedName>
    <definedName function="false" hidden="true" name="IQ_AVG_REALIZED_PRICE_AFTER_HEDGING_COP" vbProcedure="false">"c9204"</definedName>
    <definedName function="false" hidden="true" name="IQ_AVG_REALIZED_PRICE_AFTER_HEDGING_DIAM" vbProcedure="false">"c9681"</definedName>
    <definedName function="false" hidden="true" name="IQ_AVG_REALIZED_PRICE_AFTER_HEDGING_GOLD" vbProcedure="false">"c9042"</definedName>
    <definedName function="false" hidden="true" name="IQ_AVG_REALIZED_PRICE_AFTER_HEDGING_IRON" vbProcedure="false">"c9416"</definedName>
    <definedName function="false" hidden="true" name="IQ_AVG_REALIZED_PRICE_AFTER_HEDGING_LEAD" vbProcedure="false">"c9469"</definedName>
    <definedName function="false" hidden="true" name="IQ_AVG_REALIZED_PRICE_AFTER_HEDGING_MANG" vbProcedure="false">"c9522"</definedName>
    <definedName function="false" hidden="true" name="IQ_AVG_REALIZED_PRICE_AFTER_HEDGING_MET_COAL" vbProcedure="false">"c9766"</definedName>
    <definedName function="false" hidden="true" name="IQ_AVG_REALIZED_PRICE_AFTER_HEDGING_MOLYB" vbProcedure="false">"c9734"</definedName>
    <definedName function="false" hidden="true" name="IQ_AVG_REALIZED_PRICE_AFTER_HEDGING_NICK" vbProcedure="false">"c9310"</definedName>
    <definedName function="false" hidden="true" name="IQ_AVG_REALIZED_PRICE_AFTER_HEDGING_PLAT" vbProcedure="false">"c9148"</definedName>
    <definedName function="false" hidden="true" name="IQ_AVG_REALIZED_PRICE_AFTER_HEDGING_SILVER" vbProcedure="false">"c9095"</definedName>
    <definedName function="false" hidden="true" name="IQ_AVG_REALIZED_PRICE_AFTER_HEDGING_STEAM" vbProcedure="false">"c9796"</definedName>
    <definedName function="false" hidden="true" name="IQ_AVG_REALIZED_PRICE_AFTER_HEDGING_TITAN" vbProcedure="false">"c9575"</definedName>
    <definedName function="false" hidden="true" name="IQ_AVG_REALIZED_PRICE_AFTER_HEDGING_URAN" vbProcedure="false">"c9628"</definedName>
    <definedName function="false" hidden="true" name="IQ_AVG_REALIZED_PRICE_AFTER_HEDGING_ZINC" vbProcedure="false">"c9363"</definedName>
    <definedName function="false" hidden="true" name="IQ_AVG_REALIZED_PRICE_BEFORE_HEDGING_ALUM" vbProcedure="false">"c9256"</definedName>
    <definedName function="false" hidden="true" name="IQ_AVG_REALIZED_PRICE_BEFORE_HEDGING_COAL" vbProcedure="false">"c9829"</definedName>
    <definedName function="false" hidden="true" name="IQ_AVG_REALIZED_PRICE_BEFORE_HEDGING_COP" vbProcedure="false">"c9203"</definedName>
    <definedName function="false" hidden="true" name="IQ_AVG_REALIZED_PRICE_BEFORE_HEDGING_DIAM" vbProcedure="false">"c9680"</definedName>
    <definedName function="false" hidden="true" name="IQ_AVG_REALIZED_PRICE_BEFORE_HEDGING_GOLD" vbProcedure="false">"c9041"</definedName>
    <definedName function="false" hidden="true" name="IQ_AVG_REALIZED_PRICE_BEFORE_HEDGING_IRON" vbProcedure="false">"c9415"</definedName>
    <definedName function="false" hidden="true" name="IQ_AVG_REALIZED_PRICE_BEFORE_HEDGING_LEAD" vbProcedure="false">"c9468"</definedName>
    <definedName function="false" hidden="true" name="IQ_AVG_REALIZED_PRICE_BEFORE_HEDGING_MANG" vbProcedure="false">"c9521"</definedName>
    <definedName function="false" hidden="true" name="IQ_AVG_REALIZED_PRICE_BEFORE_HEDGING_MET_COAL" vbProcedure="false">"c9765"</definedName>
    <definedName function="false" hidden="true" name="IQ_AVG_REALIZED_PRICE_BEFORE_HEDGING_MOLYB" vbProcedure="false">"c9733"</definedName>
    <definedName function="false" hidden="true" name="IQ_AVG_REALIZED_PRICE_BEFORE_HEDGING_NICK" vbProcedure="false">"c9309"</definedName>
    <definedName function="false" hidden="true" name="IQ_AVG_REALIZED_PRICE_BEFORE_HEDGING_PLAT" vbProcedure="false">"c9147"</definedName>
    <definedName function="false" hidden="true" name="IQ_AVG_REALIZED_PRICE_BEFORE_HEDGING_SILVER" vbProcedure="false">"c9094"</definedName>
    <definedName function="false" hidden="true" name="IQ_AVG_REALIZED_PRICE_BEFORE_HEDGING_STEAM" vbProcedure="false">"c9795"</definedName>
    <definedName function="false" hidden="true" name="IQ_AVG_REALIZED_PRICE_BEFORE_HEDGING_TITAN" vbProcedure="false">"c9574"</definedName>
    <definedName function="false" hidden="true" name="IQ_AVG_REALIZED_PRICE_BEFORE_HEDGING_URAN" vbProcedure="false">"c9627"</definedName>
    <definedName function="false" hidden="true" name="IQ_AVG_REALIZED_PRICE_BEFORE_HEDGING_ZINC" vbProcedure="false">"c9362"</definedName>
    <definedName function="false" hidden="true" name="IQ_AVG_REAL_PRICE_POST_TREAT_REFINING_ALUM" vbProcedure="false">"c9259"</definedName>
    <definedName function="false" hidden="true" name="IQ_AVG_REAL_PRICE_POST_TREAT_REFINING_COP" vbProcedure="false">"c9206"</definedName>
    <definedName function="false" hidden="true" name="IQ_AVG_REAL_PRICE_POST_TREAT_REFINING_DIAM" vbProcedure="false">"c9683"</definedName>
    <definedName function="false" hidden="true" name="IQ_AVG_REAL_PRICE_POST_TREAT_REFINING_GOLD" vbProcedure="false">"c9044"</definedName>
    <definedName function="false" hidden="true" name="IQ_AVG_REAL_PRICE_POST_TREAT_REFINING_IRON" vbProcedure="false">"c9418"</definedName>
    <definedName function="false" hidden="true" name="IQ_AVG_REAL_PRICE_POST_TREAT_REFINING_LEAD" vbProcedure="false">"c9471"</definedName>
    <definedName function="false" hidden="true" name="IQ_AVG_REAL_PRICE_POST_TREAT_REFINING_MANG" vbProcedure="false">"c9524"</definedName>
    <definedName function="false" hidden="true" name="IQ_AVG_REAL_PRICE_POST_TREAT_REFINING_MOLYB" vbProcedure="false">"c9736"</definedName>
    <definedName function="false" hidden="true" name="IQ_AVG_REAL_PRICE_POST_TREAT_REFINING_NICK" vbProcedure="false">"c9311"</definedName>
    <definedName function="false" hidden="true" name="IQ_AVG_REAL_PRICE_POST_TREAT_REFINING_PLAT" vbProcedure="false">"c9150"</definedName>
    <definedName function="false" hidden="true" name="IQ_AVG_REAL_PRICE_POST_TREAT_REFINING_SILVER" vbProcedure="false">"c9097"</definedName>
    <definedName function="false" hidden="true" name="IQ_AVG_REAL_PRICE_POST_TREAT_REFINING_TITAN" vbProcedure="false">"c9577"</definedName>
    <definedName function="false" hidden="true" name="IQ_AVG_REAL_PRICE_POST_TREAT_REFINING_URAN" vbProcedure="false">"c9630"</definedName>
    <definedName function="false" hidden="true" name="IQ_AVG_REAL_PRICE_POST_TREAT_REFINING_ZINC" vbProcedure="false">"c9365"</definedName>
    <definedName function="false" hidden="true" name="IQ_AVG_REAL_PRICE_PRE_TREAT_REFINING_ALUM" vbProcedure="false">"c9258"</definedName>
    <definedName function="false" hidden="true" name="IQ_AVG_REAL_PRICE_PRE_TREAT_REFINING_COP" vbProcedure="false">"c9205"</definedName>
    <definedName function="false" hidden="true" name="IQ_AVG_REAL_PRICE_PRE_TREAT_REFINING_DIAM" vbProcedure="false">"c9682"</definedName>
    <definedName function="false" hidden="true" name="IQ_AVG_REAL_PRICE_PRE_TREAT_REFINING_GOLD" vbProcedure="false">"c9043"</definedName>
    <definedName function="false" hidden="true" name="IQ_AVG_REAL_PRICE_PRE_TREAT_REFINING_IRON" vbProcedure="false">"c9417"</definedName>
    <definedName function="false" hidden="true" name="IQ_AVG_REAL_PRICE_PRE_TREAT_REFINING_LEAD" vbProcedure="false">"c9470"</definedName>
    <definedName function="false" hidden="true" name="IQ_AVG_REAL_PRICE_PRE_TREAT_REFINING_MANG" vbProcedure="false">"c9523"</definedName>
    <definedName function="false" hidden="true" name="IQ_AVG_REAL_PRICE_PRE_TREAT_REFINING_MOLYB" vbProcedure="false">"c9735"</definedName>
    <definedName function="false" hidden="true" name="IQ_AVG_REAL_PRICE_PRE_TREAT_REFINING_NICK" vbProcedure="false">"c9312"</definedName>
    <definedName function="false" hidden="true" name="IQ_AVG_REAL_PRICE_PRE_TREAT_REFINING_PLAT" vbProcedure="false">"c9149"</definedName>
    <definedName function="false" hidden="true" name="IQ_AVG_REAL_PRICE_PRE_TREAT_REFINING_SILVER" vbProcedure="false">"c9096"</definedName>
    <definedName function="false" hidden="true" name="IQ_AVG_REAL_PRICE_PRE_TREAT_REFINING_TITAN" vbProcedure="false">"c9576"</definedName>
    <definedName function="false" hidden="true" name="IQ_AVG_REAL_PRICE_PRE_TREAT_REFINING_URAN" vbProcedure="false">"c9629"</definedName>
    <definedName function="false" hidden="true" name="IQ_AVG_REAL_PRICE_PRE_TREAT_REFINING_ZINC" vbProcedure="false">"c9364"</definedName>
    <definedName function="false" hidden="true" name="IQ_AVG_SHAREOUTSTANDING" vbProcedure="false">"c83"</definedName>
    <definedName function="false" hidden="true" name="IQ_AVG_TEMP_EMPLOYEES" vbProcedure="false">"c6020"</definedName>
    <definedName function="false" hidden="true" name="IQ_AVG_TEV" vbProcedure="false">"c84"</definedName>
    <definedName function="false" hidden="true" name="IQ_AVG_TOTAL_ASSETS_LEVERAGE_CAPITAL_FFIEC" vbProcedure="false">"c13159"</definedName>
    <definedName function="false" hidden="true" name="IQ_AVG_TOTAL_ASSETS_LEVERAGE_RATIO_FFIEC" vbProcedure="false">"c13154"</definedName>
    <definedName function="false" hidden="true" name="IQ_AVG_VOLUME" vbProcedure="false">"c1346"</definedName>
    <definedName function="false" hidden="true" name="IQ_AVG_WAGES" vbProcedure="false">"c6812"</definedName>
    <definedName function="false" hidden="true" name="IQ_AVG_WAGES_APR" vbProcedure="false">"c7472"</definedName>
    <definedName function="false" hidden="true" name="IQ_AVG_WAGES_APR_FC" vbProcedure="false">"c8352"</definedName>
    <definedName function="false" hidden="true" name="IQ_AVG_WAGES_FC" vbProcedure="false">"c7692"</definedName>
    <definedName function="false" hidden="true" name="IQ_AVG_WAGES_POP" vbProcedure="false">"c7032"</definedName>
    <definedName function="false" hidden="true" name="IQ_AVG_WAGES_POP_FC" vbProcedure="false">"c7912"</definedName>
    <definedName function="false" hidden="true" name="IQ_AVG_WAGES_YOY" vbProcedure="false">"c7252"</definedName>
    <definedName function="false" hidden="true" name="IQ_AVG_WAGES_YOY_FC" vbProcedure="false">"c8132"</definedName>
    <definedName function="false" hidden="true" name="IQ_BALANCES_DUE_DEPOSITORY_INSTITUTIONS_FDIC" vbProcedure="false">"c6389"</definedName>
    <definedName function="false" hidden="true" name="IQ_BALANCES_DUE_FOREIGN_FDIC" vbProcedure="false">"c6391"</definedName>
    <definedName function="false" hidden="true" name="IQ_BALANCES_DUE_FRB_FDIC" vbProcedure="false">"c6393"</definedName>
    <definedName function="false" hidden="true" name="IQ_BALANCE_GOODS_APR_FC_UNUSED" vbProcedure="false">"c8353"</definedName>
    <definedName function="false" hidden="true" name="IQ_BALANCE_GOODS_APR_UNUSED" vbProcedure="false">"c7473"</definedName>
    <definedName function="false" hidden="true" name="IQ_BALANCE_GOODS_FC_UNUSED" vbProcedure="false">"c7693"</definedName>
    <definedName function="false" hidden="true" name="IQ_BALANCE_GOODS_POP_FC_UNUSED" vbProcedure="false">"c7913"</definedName>
    <definedName function="false" hidden="true" name="IQ_BALANCE_GOODS_POP_UNUSED" vbProcedure="false">"c7033"</definedName>
    <definedName function="false" hidden="true" name="IQ_BALANCE_GOODS_REAL" vbProcedure="false">"c6952"</definedName>
    <definedName function="false" hidden="true" name="IQ_BALANCE_GOODS_REAL_APR" vbProcedure="false">"c7612"</definedName>
    <definedName function="false" hidden="true" name="IQ_BALANCE_GOODS_REAL_APR_FC" vbProcedure="false">"c8492"</definedName>
    <definedName function="false" hidden="true" name="IQ_BALANCE_GOODS_REAL_FC" vbProcedure="false">"c7832"</definedName>
    <definedName function="false" hidden="true" name="IQ_BALANCE_GOODS_REAL_POP" vbProcedure="false">"c7172"</definedName>
    <definedName function="false" hidden="true" name="IQ_BALANCE_GOODS_REAL_POP_FC" vbProcedure="false">"c8052"</definedName>
    <definedName function="false" hidden="true" name="IQ_BALANCE_GOODS_REAL_SAAR" vbProcedure="false">"c6953"</definedName>
    <definedName function="false" hidden="true" name="IQ_BALANCE_GOODS_REAL_SAAR_APR" vbProcedure="false">"c7613"</definedName>
    <definedName function="false" hidden="true" name="IQ_BALANCE_GOODS_REAL_SAAR_APR_FC" vbProcedure="false">"c8493"</definedName>
    <definedName function="false" hidden="true" name="IQ_BALANCE_GOODS_REAL_SAAR_FC" vbProcedure="false">"c7833"</definedName>
    <definedName function="false" hidden="true" name="IQ_BALANCE_GOODS_REAL_SAAR_POP" vbProcedure="false">"c7173"</definedName>
    <definedName function="false" hidden="true" name="IQ_BALANCE_GOODS_REAL_SAAR_POP_FC" vbProcedure="false">"c8053"</definedName>
    <definedName function="false" hidden="true" name="IQ_BALANCE_GOODS_REAL_SAAR_USD_APR_FC" vbProcedure="false">"c11893"</definedName>
    <definedName function="false" hidden="true" name="IQ_BALANCE_GOODS_REAL_SAAR_USD_FC" vbProcedure="false">"c11890"</definedName>
    <definedName function="false" hidden="true" name="IQ_BALANCE_GOODS_REAL_SAAR_USD_POP_FC" vbProcedure="false">"c11891"</definedName>
    <definedName function="false" hidden="true" name="IQ_BALANCE_GOODS_REAL_SAAR_USD_YOY_FC" vbProcedure="false">"c11892"</definedName>
    <definedName function="false" hidden="true" name="IQ_BALANCE_GOODS_REAL_SAAR_YOY" vbProcedure="false">"c7393"</definedName>
    <definedName function="false" hidden="true" name="IQ_BALANCE_GOODS_REAL_SAAR_YOY_FC" vbProcedure="false">"c8273"</definedName>
    <definedName function="false" hidden="true" name="IQ_BALANCE_GOODS_REAL_USD_APR_FC" vbProcedure="false">"c11889"</definedName>
    <definedName function="false" hidden="true" name="IQ_BALANCE_GOODS_REAL_USD_FC" vbProcedure="false">"c11886"</definedName>
    <definedName function="false" hidden="true" name="IQ_BALANCE_GOODS_REAL_USD_POP_FC" vbProcedure="false">"c11887"</definedName>
    <definedName function="false" hidden="true" name="IQ_BALANCE_GOODS_REAL_USD_YOY_FC" vbProcedure="false">"c11888"</definedName>
    <definedName function="false" hidden="true" name="IQ_BALANCE_GOODS_REAL_YOY" vbProcedure="false">"c7392"</definedName>
    <definedName function="false" hidden="true" name="IQ_BALANCE_GOODS_REAL_YOY_FC" vbProcedure="false">"c8272"</definedName>
    <definedName function="false" hidden="true" name="IQ_BALANCE_GOODS_SAAR" vbProcedure="false">"c6814"</definedName>
    <definedName function="false" hidden="true" name="IQ_BALANCE_GOODS_SAAR_APR" vbProcedure="false">"c7474"</definedName>
    <definedName function="false" hidden="true" name="IQ_BALANCE_GOODS_SAAR_APR_FC" vbProcedure="false">"c8354"</definedName>
    <definedName function="false" hidden="true" name="IQ_BALANCE_GOODS_SAAR_FC" vbProcedure="false">"c7694"</definedName>
    <definedName function="false" hidden="true" name="IQ_BALANCE_GOODS_SAAR_POP" vbProcedure="false">"c7034"</definedName>
    <definedName function="false" hidden="true" name="IQ_BALANCE_GOODS_SAAR_POP_FC" vbProcedure="false">"c7914"</definedName>
    <definedName function="false" hidden="true" name="IQ_BALANCE_GOODS_SAAR_USD_APR_FC" vbProcedure="false">"c11762"</definedName>
    <definedName function="false" hidden="true" name="IQ_BALANCE_GOODS_SAAR_USD_FC" vbProcedure="false">"c11759"</definedName>
    <definedName function="false" hidden="true" name="IQ_BALANCE_GOODS_SAAR_USD_POP_FC" vbProcedure="false">"c11760"</definedName>
    <definedName function="false" hidden="true" name="IQ_BALANCE_GOODS_SAAR_USD_YOY_FC" vbProcedure="false">"c11761"</definedName>
    <definedName function="false" hidden="true" name="IQ_BALANCE_GOODS_SAAR_YOY" vbProcedure="false">"c7254"</definedName>
    <definedName function="false" hidden="true" name="IQ_BALANCE_GOODS_SAAR_YOY_FC" vbProcedure="false">"c8134"</definedName>
    <definedName function="false" hidden="true" name="IQ_BALANCE_GOODS_UNUSED" vbProcedure="false">"c6813"</definedName>
    <definedName function="false" hidden="true" name="IQ_BALANCE_GOODS_USD_APR_FC" vbProcedure="false">"c11758"</definedName>
    <definedName function="false" hidden="true" name="IQ_BALANCE_GOODS_USD_FC" vbProcedure="false">"c11755"</definedName>
    <definedName function="false" hidden="true" name="IQ_BALANCE_GOODS_USD_POP_FC" vbProcedure="false">"c11756"</definedName>
    <definedName function="false" hidden="true" name="IQ_BALANCE_GOODS_USD_YOY_FC" vbProcedure="false">"c11757"</definedName>
    <definedName function="false" hidden="true" name="IQ_BALANCE_GOODS_YOY_FC_UNUSED" vbProcedure="false">"c8133"</definedName>
    <definedName function="false" hidden="true" name="IQ_BALANCE_GOODS_YOY_UNUSED" vbProcedure="false">"c7253"</definedName>
    <definedName function="false" hidden="true" name="IQ_BALANCE_SERVICES_REAL" vbProcedure="false">"c6954"</definedName>
    <definedName function="false" hidden="true" name="IQ_BALANCE_SERVICES_REAL_APR" vbProcedure="false">"c7614"</definedName>
    <definedName function="false" hidden="true" name="IQ_BALANCE_SERVICES_REAL_APR_FC" vbProcedure="false">"c8494"</definedName>
    <definedName function="false" hidden="true" name="IQ_BALANCE_SERVICES_REAL_FC" vbProcedure="false">"c7834"</definedName>
    <definedName function="false" hidden="true" name="IQ_BALANCE_SERVICES_REAL_POP" vbProcedure="false">"c7174"</definedName>
    <definedName function="false" hidden="true" name="IQ_BALANCE_SERVICES_REAL_POP_FC" vbProcedure="false">"c8054"</definedName>
    <definedName function="false" hidden="true" name="IQ_BALANCE_SERVICES_REAL_SAAR" vbProcedure="false">"c6955"</definedName>
    <definedName function="false" hidden="true" name="IQ_BALANCE_SERVICES_REAL_SAAR_APR" vbProcedure="false">"c7615"</definedName>
    <definedName function="false" hidden="true" name="IQ_BALANCE_SERVICES_REAL_SAAR_APR_FC" vbProcedure="false">"c8495"</definedName>
    <definedName function="false" hidden="true" name="IQ_BALANCE_SERVICES_REAL_SAAR_FC" vbProcedure="false">"c7835"</definedName>
    <definedName function="false" hidden="true" name="IQ_BALANCE_SERVICES_REAL_SAAR_POP" vbProcedure="false">"c7175"</definedName>
    <definedName function="false" hidden="true" name="IQ_BALANCE_SERVICES_REAL_SAAR_POP_FC" vbProcedure="false">"c8055"</definedName>
    <definedName function="false" hidden="true" name="IQ_BALANCE_SERVICES_REAL_SAAR_YOY" vbProcedure="false">"c7395"</definedName>
    <definedName function="false" hidden="true" name="IQ_BALANCE_SERVICES_REAL_SAAR_YOY_FC" vbProcedure="false">"c8275"</definedName>
    <definedName function="false" hidden="true" name="IQ_BALANCE_SERVICES_REAL_USD_APR_FC" vbProcedure="false">"c11897"</definedName>
    <definedName function="false" hidden="true" name="IQ_BALANCE_SERVICES_REAL_USD_FC" vbProcedure="false">"c11894"</definedName>
    <definedName function="false" hidden="true" name="IQ_BALANCE_SERVICES_REAL_USD_POP_FC" vbProcedure="false">"c11895"</definedName>
    <definedName function="false" hidden="true" name="IQ_BALANCE_SERVICES_REAL_USD_YOY_FC" vbProcedure="false">"c11896"</definedName>
    <definedName function="false" hidden="true" name="IQ_BALANCE_SERVICES_REAL_YOY" vbProcedure="false">"c7394"</definedName>
    <definedName function="false" hidden="true" name="IQ_BALANCE_SERVICES_REAL_YOY_FC" vbProcedure="false">"c8274"</definedName>
    <definedName function="false" hidden="true" name="IQ_BALANCE_SERV_APR_FC_UNUSED" vbProcedure="false">"c8355"</definedName>
    <definedName function="false" hidden="true" name="IQ_BALANCE_SERV_APR_UNUSED" vbProcedure="false">"c7475"</definedName>
    <definedName function="false" hidden="true" name="IQ_BALANCE_SERV_FC_UNUSED" vbProcedure="false">"c7695"</definedName>
    <definedName function="false" hidden="true" name="IQ_BALANCE_SERV_POP_FC_UNUSED" vbProcedure="false">"c7915"</definedName>
    <definedName function="false" hidden="true" name="IQ_BALANCE_SERV_POP_UNUSED" vbProcedure="false">"c7035"</definedName>
    <definedName function="false" hidden="true" name="IQ_BALANCE_SERV_SAAR" vbProcedure="false">"c6816"</definedName>
    <definedName function="false" hidden="true" name="IQ_BALANCE_SERV_SAAR_APR" vbProcedure="false">"c7476"</definedName>
    <definedName function="false" hidden="true" name="IQ_BALANCE_SERV_SAAR_APR_FC" vbProcedure="false">"c8356"</definedName>
    <definedName function="false" hidden="true" name="IQ_BALANCE_SERV_SAAR_FC" vbProcedure="false">"c7696"</definedName>
    <definedName function="false" hidden="true" name="IQ_BALANCE_SERV_SAAR_POP" vbProcedure="false">"c7036"</definedName>
    <definedName function="false" hidden="true" name="IQ_BALANCE_SERV_SAAR_POP_FC" vbProcedure="false">"c7916"</definedName>
    <definedName function="false" hidden="true" name="IQ_BALANCE_SERV_SAAR_YOY" vbProcedure="false">"c7256"</definedName>
    <definedName function="false" hidden="true" name="IQ_BALANCE_SERV_SAAR_YOY_FC" vbProcedure="false">"c8136"</definedName>
    <definedName function="false" hidden="true" name="IQ_BALANCE_SERV_UNUSED" vbProcedure="false">"c6815"</definedName>
    <definedName function="false" hidden="true" name="IQ_BALANCE_SERV_USD_APR_FC" vbProcedure="false">"c11766"</definedName>
    <definedName function="false" hidden="true" name="IQ_BALANCE_SERV_USD_FC" vbProcedure="false">"c11763"</definedName>
    <definedName function="false" hidden="true" name="IQ_BALANCE_SERV_USD_POP_FC" vbProcedure="false">"c11764"</definedName>
    <definedName function="false" hidden="true" name="IQ_BALANCE_SERV_USD_YOY_FC" vbProcedure="false">"c11765"</definedName>
    <definedName function="false" hidden="true" name="IQ_BALANCE_SERV_YOY_FC_UNUSED" vbProcedure="false">"c8135"</definedName>
    <definedName function="false" hidden="true" name="IQ_BALANCE_SERV_YOY_UNUSED" vbProcedure="false">"c7255"</definedName>
    <definedName function="false" hidden="true" name="IQ_BALANCE_TRADE_APR_FC_UNUSED" vbProcedure="false">"c8357"</definedName>
    <definedName function="false" hidden="true" name="IQ_BALANCE_TRADE_APR_UNUSED" vbProcedure="false">"c7477"</definedName>
    <definedName function="false" hidden="true" name="IQ_BALANCE_TRADE_FC_UNUSED" vbProcedure="false">"c7697"</definedName>
    <definedName function="false" hidden="true" name="IQ_BALANCE_TRADE_POP_FC_UNUSED" vbProcedure="false">"c7917"</definedName>
    <definedName function="false" hidden="true" name="IQ_BALANCE_TRADE_POP_UNUSED" vbProcedure="false">"c7037"</definedName>
    <definedName function="false" hidden="true" name="IQ_BALANCE_TRADE_REAL" vbProcedure="false">"c6956"</definedName>
    <definedName function="false" hidden="true" name="IQ_BALANCE_TRADE_REAL_APR" vbProcedure="false">"c7616"</definedName>
    <definedName function="false" hidden="true" name="IQ_BALANCE_TRADE_REAL_APR_FC" vbProcedure="false">"c8496"</definedName>
    <definedName function="false" hidden="true" name="IQ_BALANCE_TRADE_REAL_FC" vbProcedure="false">"c7836"</definedName>
    <definedName function="false" hidden="true" name="IQ_BALANCE_TRADE_REAL_POP" vbProcedure="false">"c7176"</definedName>
    <definedName function="false" hidden="true" name="IQ_BALANCE_TRADE_REAL_POP_FC" vbProcedure="false">"c8056"</definedName>
    <definedName function="false" hidden="true" name="IQ_BALANCE_TRADE_REAL_SAAR" vbProcedure="false">"c6957"</definedName>
    <definedName function="false" hidden="true" name="IQ_BALANCE_TRADE_REAL_SAAR_APR" vbProcedure="false">"c7617"</definedName>
    <definedName function="false" hidden="true" name="IQ_BALANCE_TRADE_REAL_SAAR_APR_FC" vbProcedure="false">"c8497"</definedName>
    <definedName function="false" hidden="true" name="IQ_BALANCE_TRADE_REAL_SAAR_FC" vbProcedure="false">"c7837"</definedName>
    <definedName function="false" hidden="true" name="IQ_BALANCE_TRADE_REAL_SAAR_POP" vbProcedure="false">"c7177"</definedName>
    <definedName function="false" hidden="true" name="IQ_BALANCE_TRADE_REAL_SAAR_POP_FC" vbProcedure="false">"c8057"</definedName>
    <definedName function="false" hidden="true" name="IQ_BALANCE_TRADE_REAL_SAAR_USD_APR_FC" vbProcedure="false">"c11905"</definedName>
    <definedName function="false" hidden="true" name="IQ_BALANCE_TRADE_REAL_SAAR_USD_FC" vbProcedure="false">"c11902"</definedName>
    <definedName function="false" hidden="true" name="IQ_BALANCE_TRADE_REAL_SAAR_USD_POP_FC" vbProcedure="false">"c11903"</definedName>
    <definedName function="false" hidden="true" name="IQ_BALANCE_TRADE_REAL_SAAR_USD_YOY_FC" vbProcedure="false">"c11904"</definedName>
    <definedName function="false" hidden="true" name="IQ_BALANCE_TRADE_REAL_SAAR_YOY" vbProcedure="false">"c7397"</definedName>
    <definedName function="false" hidden="true" name="IQ_BALANCE_TRADE_REAL_SAAR_YOY_FC" vbProcedure="false">"c8277"</definedName>
    <definedName function="false" hidden="true" name="IQ_BALANCE_TRADE_REAL_USD_APR_FC" vbProcedure="false">"c11901"</definedName>
    <definedName function="false" hidden="true" name="IQ_BALANCE_TRADE_REAL_USD_FC" vbProcedure="false">"c11898"</definedName>
    <definedName function="false" hidden="true" name="IQ_BALANCE_TRADE_REAL_USD_POP_FC" vbProcedure="false">"c11899"</definedName>
    <definedName function="false" hidden="true" name="IQ_BALANCE_TRADE_REAL_USD_YOY_FC" vbProcedure="false">"c11900"</definedName>
    <definedName function="false" hidden="true" name="IQ_BALANCE_TRADE_REAL_YOY" vbProcedure="false">"c7396"</definedName>
    <definedName function="false" hidden="true" name="IQ_BALANCE_TRADE_REAL_YOY_FC" vbProcedure="false">"c8276"</definedName>
    <definedName function="false" hidden="true" name="IQ_BALANCE_TRADE_SAAR" vbProcedure="false">"c6818"</definedName>
    <definedName function="false" hidden="true" name="IQ_BALANCE_TRADE_SAAR_APR" vbProcedure="false">"c7478"</definedName>
    <definedName function="false" hidden="true" name="IQ_BALANCE_TRADE_SAAR_APR_FC" vbProcedure="false">"c8358"</definedName>
    <definedName function="false" hidden="true" name="IQ_BALANCE_TRADE_SAAR_FC" vbProcedure="false">"c7698"</definedName>
    <definedName function="false" hidden="true" name="IQ_BALANCE_TRADE_SAAR_POP" vbProcedure="false">"c7038"</definedName>
    <definedName function="false" hidden="true" name="IQ_BALANCE_TRADE_SAAR_POP_FC" vbProcedure="false">"c7918"</definedName>
    <definedName function="false" hidden="true" name="IQ_BALANCE_TRADE_SAAR_USD_APR_FC" vbProcedure="false">"c11774"</definedName>
    <definedName function="false" hidden="true" name="IQ_BALANCE_TRADE_SAAR_USD_FC" vbProcedure="false">"c11771"</definedName>
    <definedName function="false" hidden="true" name="IQ_BALANCE_TRADE_SAAR_USD_POP_FC" vbProcedure="false">"c11772"</definedName>
    <definedName function="false" hidden="true" name="IQ_BALANCE_TRADE_SAAR_USD_YOY_FC" vbProcedure="false">"c11773"</definedName>
    <definedName function="false" hidden="true" name="IQ_BALANCE_TRADE_SAAR_YOY" vbProcedure="false">"c7258"</definedName>
    <definedName function="false" hidden="true" name="IQ_BALANCE_TRADE_SAAR_YOY_FC" vbProcedure="false">"c8138"</definedName>
    <definedName function="false" hidden="true" name="IQ_BALANCE_TRADE_UNUSED" vbProcedure="false">"c6817"</definedName>
    <definedName function="false" hidden="true" name="IQ_BALANCE_TRADE_USD_APR_FC" vbProcedure="false">"c11770"</definedName>
    <definedName function="false" hidden="true" name="IQ_BALANCE_TRADE_USD_FC" vbProcedure="false">"c11767"</definedName>
    <definedName function="false" hidden="true" name="IQ_BALANCE_TRADE_USD_POP_FC" vbProcedure="false">"c11768"</definedName>
    <definedName function="false" hidden="true" name="IQ_BALANCE_TRADE_USD_YOY_FC" vbProcedure="false">"c11769"</definedName>
    <definedName function="false" hidden="true" name="IQ_BALANCE_TRADE_YOY_FC_UNUSED" vbProcedure="false">"c8137"</definedName>
    <definedName function="false" hidden="true" name="IQ_BALANCE_TRADE_YOY_UNUSED" vbProcedure="false">"c7257"</definedName>
    <definedName function="false" hidden="true" name="IQ_BANKING_FEES_OPERATING_INC_FFIEC" vbProcedure="false">"c13386"</definedName>
    <definedName function="false" hidden="true" name="IQ_BANKS_FOREIGN_COUNTRIES_NON_TRANS_ACCTS_FFIEC" vbProcedure="false">"c15326"</definedName>
    <definedName function="false" hidden="true" name="IQ_BANKS_FOREIGN_COUNTRIES_TOTAL_DEPOSITS_FDIC" vbProcedure="false">"c6475"</definedName>
    <definedName function="false" hidden="true" name="IQ_BANKS_FOREIGN_COUNTRIES_TRANS_ACCTS_FFIEC" vbProcedure="false">"c15318"</definedName>
    <definedName function="false" hidden="true" name="IQ_BANK_BENEFICIARY_FDIC" vbProcedure="false">"c6505"</definedName>
    <definedName function="false" hidden="true" name="IQ_BANK_DEBT" vbProcedure="false">"c2544"</definedName>
    <definedName function="false" hidden="true" name="IQ_BANK_DEBT_PCT" vbProcedure="false">"c2545"</definedName>
    <definedName function="false" hidden="true" name="IQ_BANK_GUARANTOR_FDIC" vbProcedure="false">"c6506"</definedName>
    <definedName function="false" hidden="true" name="IQ_BANK_LOAN_LIST" vbProcedure="false">"c13507"</definedName>
    <definedName function="false" hidden="true" name="IQ_BANK_PREMISES_FDIC" vbProcedure="false">"c6329"</definedName>
    <definedName function="false" hidden="true" name="IQ_BANK_SECURITIZATION_1_4_FAMILY_LOANS_FDIC" vbProcedure="false">"c6721"</definedName>
    <definedName function="false" hidden="true" name="IQ_BANK_SECURITIZATION_AUTO_LOANS_FDIC" vbProcedure="false">"c6715"</definedName>
    <definedName function="false" hidden="true" name="IQ_BANK_SECURITIZATION_CL_LOANS_FDIC" vbProcedure="false">"c6716"</definedName>
    <definedName function="false" hidden="true" name="IQ_BANK_SECURITIZATION_CREDIT_CARDS_RECEIVABLES_FDIC" vbProcedure="false">"c6718"</definedName>
    <definedName function="false" hidden="true" name="IQ_BANK_SECURITIZATION_HOME_EQUITY_LINES_FDIC" vbProcedure="false">"c6719"</definedName>
    <definedName function="false" hidden="true" name="IQ_BANK_SECURITIZATION_OTHER_CONSUMER_LOANS_FDIC" vbProcedure="false">"c6717"</definedName>
    <definedName function="false" hidden="true" name="IQ_BANK_SECURITIZATION_OTHER_LOANS_FDIC" vbProcedure="false">"c6720"</definedName>
    <definedName function="false" hidden="true" name="IQ_BASE_RENT" vbProcedure="false">"c16017"</definedName>
    <definedName function="false" hidden="true" name="IQ_BASE_RENT_OPERATING_LEASE_EXPIRING_AFTER_FIVE" vbProcedure="false">"c16107"</definedName>
    <definedName function="false" hidden="true" name="IQ_BASE_RENT_OPERATING_LEASE_EXPIRING_CY" vbProcedure="false">"c16101"</definedName>
    <definedName function="false" hidden="true" name="IQ_BASE_RENT_OPERATING_LEASE_EXPIRING_CY1" vbProcedure="false">"c16102"</definedName>
    <definedName function="false" hidden="true" name="IQ_BASE_RENT_OPERATING_LEASE_EXPIRING_CY2" vbProcedure="false">"c16103"</definedName>
    <definedName function="false" hidden="true" name="IQ_BASE_RENT_OPERATING_LEASE_EXPIRING_CY3" vbProcedure="false">"c16104"</definedName>
    <definedName function="false" hidden="true" name="IQ_BASE_RENT_OPERATING_LEASE_EXPIRING_CY4" vbProcedure="false">"c16105"</definedName>
    <definedName function="false" hidden="true" name="IQ_BASE_RENT_OPERATING_LEASE_EXPIRING_NEXT_FIVE" vbProcedure="false">"c16106"</definedName>
    <definedName function="false" hidden="true" name="IQ_BASE_RENT_OPERATING_LEASE_EXPIRING_TOTAL" vbProcedure="false">"c16108"</definedName>
    <definedName function="false" hidden="true" name="IQ_BASE_RENT_RENTAL_REVENUE" vbProcedure="false">"c16062"</definedName>
    <definedName function="false" hidden="true" name="IQ_BASIC_EPS_EXCL" vbProcedure="false">"c85"</definedName>
    <definedName function="false" hidden="true" name="IQ_BASIC_EPS_INCL" vbProcedure="false">"c86"</definedName>
    <definedName function="false" hidden="true" name="IQ_BASIC_NAV_SHARES" vbProcedure="false">"c16012"</definedName>
    <definedName function="false" hidden="true" name="IQ_BASIC_NORMAL_EPS" vbProcedure="false">"c1592"</definedName>
    <definedName function="false" hidden="true" name="IQ_BASIC_OUTSTANDING_CURRENT_EST" vbProcedure="false">"c4128"</definedName>
    <definedName function="false" hidden="true" name="IQ_BASIC_OUTSTANDING_CURRENT_HIGH_EST" vbProcedure="false">"c4129"</definedName>
    <definedName function="false" hidden="true" name="IQ_BASIC_OUTSTANDING_CURRENT_LOW_EST" vbProcedure="false">"c4130"</definedName>
    <definedName function="false" hidden="true" name="IQ_BASIC_OUTSTANDING_CURRENT_MEDIAN_EST" vbProcedure="false">"c4131"</definedName>
    <definedName function="false" hidden="true" name="IQ_BASIC_OUTSTANDING_CURRENT_NUM_EST" vbProcedure="false">"c4132"</definedName>
    <definedName function="false" hidden="true" name="IQ_BASIC_OUTSTANDING_CURRENT_STDDEV_EST" vbProcedure="false">"c4133"</definedName>
    <definedName function="false" hidden="true" name="IQ_BASIC_OUTSTANDING_EST" vbProcedure="false">"c4134"</definedName>
    <definedName function="false" hidden="true" name="IQ_BASIC_OUTSTANDING_HIGH_EST" vbProcedure="false">"c4135"</definedName>
    <definedName function="false" hidden="true" name="IQ_BASIC_OUTSTANDING_LOW_EST" vbProcedure="false">"c4136"</definedName>
    <definedName function="false" hidden="true" name="IQ_BASIC_OUTSTANDING_MEDIAN_EST" vbProcedure="false">"c4137"</definedName>
    <definedName function="false" hidden="true" name="IQ_BASIC_OUTSTANDING_NUM_EST" vbProcedure="false">"c4138"</definedName>
    <definedName function="false" hidden="true" name="IQ_BASIC_OUTSTANDING_STDDEV_EST" vbProcedure="false">"c4139"</definedName>
    <definedName function="false" hidden="true" name="IQ_BASIC_WEIGHT" vbProcedure="false">"c87"</definedName>
    <definedName function="false" hidden="true" name="IQ_BASIC_WEIGHT_EST" vbProcedure="false">"c4140"</definedName>
    <definedName function="false" hidden="true" name="IQ_BASIC_WEIGHT_GUIDANCE" vbProcedure="false">"c4141"</definedName>
    <definedName function="false" hidden="true" name="IQ_BASIC_WEIGHT_HIGH_EST" vbProcedure="false">"c4142"</definedName>
    <definedName function="false" hidden="true" name="IQ_BASIC_WEIGHT_LOW_EST" vbProcedure="false">"c4143"</definedName>
    <definedName function="false" hidden="true" name="IQ_BASIC_WEIGHT_MEDIAN_EST" vbProcedure="false">"c4144"</definedName>
    <definedName function="false" hidden="true" name="IQ_BASIC_WEIGHT_NUM_EST" vbProcedure="false">"c4145"</definedName>
    <definedName function="false" hidden="true" name="IQ_BASIC_WEIGHT_STDDEV_EST" vbProcedure="false">"c4146"</definedName>
    <definedName function="false" hidden="true" name="IQ_BENCHMARK_SECURITY" vbProcedure="false">"c2154"</definedName>
    <definedName function="false" hidden="true" name="IQ_BENCHMARK_SPRD" vbProcedure="false">"c2153"</definedName>
    <definedName function="false" hidden="true" name="IQ_BENCHMARK_YIELD" vbProcedure="false">"c8955"</definedName>
    <definedName function="false" hidden="true" name="IQ_BETA" vbProcedure="false">"c2133"</definedName>
    <definedName function="false" hidden="true" name="IQ_BETA_1YR" vbProcedure="false">"c1966"</definedName>
    <definedName function="false" hidden="true" name="IQ_BETA_1YR_RSQ" vbProcedure="false">"c2132"</definedName>
    <definedName function="false" hidden="true" name="IQ_BETA_2YR" vbProcedure="false">"c1965"</definedName>
    <definedName function="false" hidden="true" name="IQ_BETA_2YR_RSQ" vbProcedure="false">"c2131"</definedName>
    <definedName function="false" hidden="true" name="IQ_BETA_5YR" vbProcedure="false">"c88"</definedName>
    <definedName function="false" hidden="true" name="IQ_BETA_5YR_RSQ" vbProcedure="false">"c2130"</definedName>
    <definedName function="false" hidden="true" name="IQ_BIG_INT_BEAR_CD" vbProcedure="false">"c11749"</definedName>
    <definedName function="false" hidden="true" name="IQ_BOARD_MEMBER" vbProcedure="false">"c96"</definedName>
    <definedName function="false" hidden="true" name="IQ_BOARD_MEMBER_ALL_OTHER_COMP" vbProcedure="false">"c18992"</definedName>
    <definedName function="false" hidden="true" name="IQ_BOARD_MEMBER_ANNUAL_CASH_COMP" vbProcedure="false">"c18993"</definedName>
    <definedName function="false" hidden="true" name="IQ_BOARD_MEMBER_ASSISTANT_EMAIL" vbProcedure="false">"c15179"</definedName>
    <definedName function="false" hidden="true" name="IQ_BOARD_MEMBER_ASSISTANT_FAX" vbProcedure="false">"c15181"</definedName>
    <definedName function="false" hidden="true" name="IQ_BOARD_MEMBER_ASSISTANT_NAME" vbProcedure="false">"c15178"</definedName>
    <definedName function="false" hidden="true" name="IQ_BOARD_MEMBER_ASSISTANT_PHONE" vbProcedure="false">"c15180"</definedName>
    <definedName function="false" hidden="true" name="IQ_BOARD_MEMBER_AS_REPORTED_COMP" vbProcedure="false">"c18997"</definedName>
    <definedName function="false" hidden="true" name="IQ_BOARD_MEMBER_AS_REPORTED_DIRECTOR_COMP" vbProcedure="false">"c19009"</definedName>
    <definedName function="false" hidden="true" name="IQ_BOARD_MEMBER_BACKGROUND" vbProcedure="false">"c2101"</definedName>
    <definedName function="false" hidden="true" name="IQ_BOARD_MEMBER_BONUS" vbProcedure="false">"c18988"</definedName>
    <definedName function="false" hidden="true" name="IQ_BOARD_MEMBER_CALCULATED_COMP" vbProcedure="false">"c18995"</definedName>
    <definedName function="false" hidden="true" name="IQ_BOARD_MEMBER_CHANGE_PENSION" vbProcedure="false">"c19010"</definedName>
    <definedName function="false" hidden="true" name="IQ_BOARD_MEMBER_DIRECTOR_BONUS" vbProcedure="false">"c19004"</definedName>
    <definedName function="false" hidden="true" name="IQ_BOARD_MEMBER_DIRECTOR_CHANGE_PENSION" vbProcedure="false">"c19005"</definedName>
    <definedName function="false" hidden="true" name="IQ_BOARD_MEMBER_DIRECTOR_FEE" vbProcedure="false">"c19001"</definedName>
    <definedName function="false" hidden="true" name="IQ_BOARD_MEMBER_DIRECTOR_NON_EQUITY_COMP" vbProcedure="false">"c19006"</definedName>
    <definedName function="false" hidden="true" name="IQ_BOARD_MEMBER_DIRECTOR_OPTION_AWARDS" vbProcedure="false">"c19002"</definedName>
    <definedName function="false" hidden="true" name="IQ_BOARD_MEMBER_DIRECTOR_OTHER" vbProcedure="false">"c19003"</definedName>
    <definedName function="false" hidden="true" name="IQ_BOARD_MEMBER_DIRECTOR_STOCK_AWARDS" vbProcedure="false">"c19007"</definedName>
    <definedName function="false" hidden="true" name="IQ_BOARD_MEMBER_DIRECTOR_STOCK_GRANTS" vbProcedure="false">"c19034"</definedName>
    <definedName function="false" hidden="true" name="IQ_BOARD_MEMBER_DIRECTOR_STOCK_OPTIONS" vbProcedure="false">"c19008"</definedName>
    <definedName function="false" hidden="true" name="IQ_BOARD_MEMBER_DIRECT_FAX" vbProcedure="false">"c15176"</definedName>
    <definedName function="false" hidden="true" name="IQ_BOARD_MEMBER_DIRECT_PHONE" vbProcedure="false">"c15175"</definedName>
    <definedName function="false" hidden="true" name="IQ_BOARD_MEMBER_EMAIL" vbProcedure="false">"c15177"</definedName>
    <definedName function="false" hidden="true" name="IQ_BOARD_MEMBER_EQUITY_INCENTIVE" vbProcedure="false">"c19030"</definedName>
    <definedName function="false" hidden="true" name="IQ_BOARD_MEMBER_EST_PAYMENTS_CHANGE_CONTROL" vbProcedure="false">"c18999"</definedName>
    <definedName function="false" hidden="true" name="IQ_BOARD_MEMBER_EST_PAYMENTS_TERMINATION" vbProcedure="false">"c19011"</definedName>
    <definedName function="false" hidden="true" name="IQ_BOARD_MEMBER_EXERCISABLE_OPTIONS" vbProcedure="false">"c19014"</definedName>
    <definedName function="false" hidden="true" name="IQ_BOARD_MEMBER_EXERCISABLE_VALUES" vbProcedure="false">"c19015"</definedName>
    <definedName function="false" hidden="true" name="IQ_BOARD_MEMBER_EXERCISED_OPTIONS" vbProcedure="false">"c19012"</definedName>
    <definedName function="false" hidden="true" name="IQ_BOARD_MEMBER_EXERCISED_VALUES" vbProcedure="false">"c19013"</definedName>
    <definedName function="false" hidden="true" name="IQ_BOARD_MEMBER_ID" vbProcedure="false">"c13756"</definedName>
    <definedName function="false" hidden="true" name="IQ_BOARD_MEMBER_LT_INCENTIVE" vbProcedure="false">"c18991"</definedName>
    <definedName function="false" hidden="true" name="IQ_BOARD_MEMBER_MAIN_FAX" vbProcedure="false">"c15174"</definedName>
    <definedName function="false" hidden="true" name="IQ_BOARD_MEMBER_MAIN_PHONE" vbProcedure="false">"c15173"</definedName>
    <definedName function="false" hidden="true" name="IQ_BOARD_MEMBER_MARKET_VALUE_SHARES_NOT_VESTED" vbProcedure="false">"c19029"</definedName>
    <definedName function="false" hidden="true" name="IQ_BOARD_MEMBER_NON_EQUITY_INCENTIVE" vbProcedure="false">"c19000"</definedName>
    <definedName function="false" hidden="true" name="IQ_BOARD_MEMBER_NUM_SHARED_NOT_VESTED" vbProcedure="false">"c19028"</definedName>
    <definedName function="false" hidden="true" name="IQ_BOARD_MEMBER_NUM_SHARES_ACQUIRED" vbProcedure="false">"c19026"</definedName>
    <definedName function="false" hidden="true" name="IQ_BOARD_MEMBER_OFFICE_ADDRESS" vbProcedure="false">"c15172"</definedName>
    <definedName function="false" hidden="true" name="IQ_BOARD_MEMBER_OPTION_AWARDS" vbProcedure="false">"c18996"</definedName>
    <definedName function="false" hidden="true" name="IQ_BOARD_MEMBER_OPTION_MARKET_PRICE" vbProcedure="false">"c19025"</definedName>
    <definedName function="false" hidden="true" name="IQ_BOARD_MEMBER_OPTION_PRICE" vbProcedure="false">"c19024"</definedName>
    <definedName function="false" hidden="true" name="IQ_BOARD_MEMBER_OTHER_ANNUAL_COMP" vbProcedure="false">"c18989"</definedName>
    <definedName function="false" hidden="true" name="IQ_BOARD_MEMBER_OTHER_COMP" vbProcedure="false">"c18998"</definedName>
    <definedName function="false" hidden="true" name="IQ_BOARD_MEMBER_RESTRICTED_STOCK_COMP" vbProcedure="false">"c18990"</definedName>
    <definedName function="false" hidden="true" name="IQ_BOARD_MEMBER_SALARY" vbProcedure="false">"c18987"</definedName>
    <definedName function="false" hidden="true" name="IQ_BOARD_MEMBER_ST_COMP" vbProcedure="false">"c18994"</definedName>
    <definedName function="false" hidden="true" name="IQ_BOARD_MEMBER_TITLE" vbProcedure="false">"c97"</definedName>
    <definedName function="false" hidden="true" name="IQ_BOARD_MEMBER_TOTAL_NUM_STOCK_AWARDS" vbProcedure="false">"c19033"</definedName>
    <definedName function="false" hidden="true" name="IQ_BOARD_MEMBER_TOTAL_OPTIONS" vbProcedure="false">"c19022"</definedName>
    <definedName function="false" hidden="true" name="IQ_BOARD_MEMBER_TOTAL_STOCK_VALUE" vbProcedure="false">"c19032"</definedName>
    <definedName function="false" hidden="true" name="IQ_BOARD_MEMBER_TOTAL_VALUE_OPTIONS" vbProcedure="false">"c19023"</definedName>
    <definedName function="false" hidden="true" name="IQ_BOARD_MEMBER_UNCLASSIFIED_OPTIONS" vbProcedure="false">"c19018"</definedName>
    <definedName function="false" hidden="true" name="IQ_BOARD_MEMBER_UNCLASSIFIED_OPTIONS_VALUE" vbProcedure="false">"c19019"</definedName>
    <definedName function="false" hidden="true" name="IQ_BOARD_MEMBER_UNEARNED_STOCK_VALUE" vbProcedure="false">"c19031"</definedName>
    <definedName function="false" hidden="true" name="IQ_BOARD_MEMBER_UNEXERCISABLE_OPTIONS" vbProcedure="false">"c19016"</definedName>
    <definedName function="false" hidden="true" name="IQ_BOARD_MEMBER_UNEXERCISABLE_VALUES" vbProcedure="false">"c19017"</definedName>
    <definedName function="false" hidden="true" name="IQ_BOARD_MEMBER_UNEXERCISED_UNEARNED_OPTIONS" vbProcedure="false">"c19020"</definedName>
    <definedName function="false" hidden="true" name="IQ_BOARD_MEMBER_UNEXERCISED_UNEARNED_OPTIONS_VALUE" vbProcedure="false">"c19021"</definedName>
    <definedName function="false" hidden="true" name="IQ_BOARD_MEMBER_VALUE_VESTING" vbProcedure="false">"c19027"</definedName>
    <definedName function="false" hidden="true" name="IQ_BONDRATING_FITCH" vbProcedure="false">"IQ_BONDRATING_FITCH"</definedName>
    <definedName function="false" hidden="true" name="IQ_BONDRATING_SP" vbProcedure="false">"IQ_BONDRATING_SP"</definedName>
    <definedName function="false" hidden="true" name="IQ_BOND_COUPON" vbProcedure="false">"c2183"</definedName>
    <definedName function="false" hidden="true" name="IQ_BOND_COUPON_TYPE" vbProcedure="false">"c2184"</definedName>
    <definedName function="false" hidden="true" name="IQ_BOND_LIST" vbProcedure="false">"c13505"</definedName>
    <definedName function="false" hidden="true" name="IQ_BOND_PRICE" vbProcedure="false">"c2162"</definedName>
    <definedName function="false" hidden="true" name="IQ_BOOK_VALUE" vbProcedure="false">"IQ_BOOK_VALUE"</definedName>
    <definedName function="false" hidden="true" name="IQ_BORROWED_MONEY_QUARTERLY_AVG_FFIEC" vbProcedure="false">"c13091"</definedName>
    <definedName function="false" hidden="true" name="IQ_BORROWINGS_LESS_1YR_ASSETS_TOT_FFIEC" vbProcedure="false">"c13450"</definedName>
    <definedName function="false" hidden="true" name="IQ_BROKERED_DEPOSITS_FDIC" vbProcedure="false">"c6486"</definedName>
    <definedName function="false" hidden="true" name="IQ_BROKER_DEPOSIT_LESS_THAN_100000_1_YR_LESS_FFIEC" vbProcedure="false">"c15307"</definedName>
    <definedName function="false" hidden="true" name="IQ_BROKER_DEPOSIT_LESS_THAN_100000_1_YR_MORE_FFIEC" vbProcedure="false">"c15308"</definedName>
    <definedName function="false" hidden="true" name="IQ_BROKER_DEPOSIT_LESS_THAN_100000_FFIEC" vbProcedure="false">"c15306"</definedName>
    <definedName function="false" hidden="true" name="IQ_BROKER_DEPOSIT_MORE_THAN_100000_1_YR_LESS_FFIEC" vbProcedure="false">"c15310"</definedName>
    <definedName function="false" hidden="true" name="IQ_BROKER_DEPOSIT_MORE_THAN_100000_1_YR_MORE_FFIEC" vbProcedure="false">"c15311"</definedName>
    <definedName function="false" hidden="true" name="IQ_BROKER_DEPOSIT_MORE_THAN_100000_FFIEC" vbProcedure="false">"c15309"</definedName>
    <definedName function="false" hidden="true" name="IQ_BROK_COMISSION" vbProcedure="false">"c98"</definedName>
    <definedName function="false" hidden="true" name="IQ_BROK_COMMISSION" vbProcedure="false">"c3514"</definedName>
    <definedName function="false" hidden="true" name="IQ_BR_FILING_DATE" vbProcedure="false">"c16223"</definedName>
    <definedName function="false" hidden="true" name="IQ_BR_FILING_TYPE" vbProcedure="false">"c16224"</definedName>
    <definedName function="false" hidden="true" name="IQ_BR_PLAN_APPROVE_DATE" vbProcedure="false">"c16226"</definedName>
    <definedName function="false" hidden="true" name="IQ_BR_PLAN_CONFIRM" vbProcedure="false">"c16225"</definedName>
    <definedName function="false" hidden="true" name="IQ_BUDGET_BALANCE_APR_FC_UNUSED" vbProcedure="false">"c8359"</definedName>
    <definedName function="false" hidden="true" name="IQ_BUDGET_BALANCE_APR_UNUSED" vbProcedure="false">"c7479"</definedName>
    <definedName function="false" hidden="true" name="IQ_BUDGET_BALANCE_FC_UNUSED" vbProcedure="false">"c7699"</definedName>
    <definedName function="false" hidden="true" name="IQ_BUDGET_BALANCE_POP_FC_UNUSED" vbProcedure="false">"c7919"</definedName>
    <definedName function="false" hidden="true" name="IQ_BUDGET_BALANCE_POP_UNUSED" vbProcedure="false">"c7039"</definedName>
    <definedName function="false" hidden="true" name="IQ_BUDGET_BALANCE_SAAR" vbProcedure="false">"c6820"</definedName>
    <definedName function="false" hidden="true" name="IQ_BUDGET_BALANCE_SAAR_APR" vbProcedure="false">"c7480"</definedName>
    <definedName function="false" hidden="true" name="IQ_BUDGET_BALANCE_SAAR_APR_FC" vbProcedure="false">"c8360"</definedName>
    <definedName function="false" hidden="true" name="IQ_BUDGET_BALANCE_SAAR_FC" vbProcedure="false">"c7700"</definedName>
    <definedName function="false" hidden="true" name="IQ_BUDGET_BALANCE_SAAR_POP" vbProcedure="false">"c7040"</definedName>
    <definedName function="false" hidden="true" name="IQ_BUDGET_BALANCE_SAAR_POP_FC" vbProcedure="false">"c7920"</definedName>
    <definedName function="false" hidden="true" name="IQ_BUDGET_BALANCE_SAAR_YOY" vbProcedure="false">"c7260"</definedName>
    <definedName function="false" hidden="true" name="IQ_BUDGET_BALANCE_SAAR_YOY_FC" vbProcedure="false">"c8140"</definedName>
    <definedName function="false" hidden="true" name="IQ_BUDGET_BALANCE_UNUSED" vbProcedure="false">"c6819"</definedName>
    <definedName function="false" hidden="true" name="IQ_BUDGET_BALANCE_YOY_FC_UNUSED" vbProcedure="false">"c8139"</definedName>
    <definedName function="false" hidden="true" name="IQ_BUDGET_BALANCE_YOY_UNUSED" vbProcedure="false">"c7259"</definedName>
    <definedName function="false" hidden="true" name="IQ_BUDGET_RECEIPTS_APR_FC_UNUSED" vbProcedure="false">"c8361"</definedName>
    <definedName function="false" hidden="true" name="IQ_BUDGET_RECEIPTS_APR_UNUSED" vbProcedure="false">"c7481"</definedName>
    <definedName function="false" hidden="true" name="IQ_BUDGET_RECEIPTS_FC_UNUSED" vbProcedure="false">"c7701"</definedName>
    <definedName function="false" hidden="true" name="IQ_BUDGET_RECEIPTS_POP_FC_UNUSED" vbProcedure="false">"c7921"</definedName>
    <definedName function="false" hidden="true" name="IQ_BUDGET_RECEIPTS_POP_UNUSED" vbProcedure="false">"c7041"</definedName>
    <definedName function="false" hidden="true" name="IQ_BUDGET_RECEIPTS_UNUSED" vbProcedure="false">"c6821"</definedName>
    <definedName function="false" hidden="true" name="IQ_BUDGET_RECEIPTS_YOY_FC_UNUSED" vbProcedure="false">"c8141"</definedName>
    <definedName function="false" hidden="true" name="IQ_BUDGET_RECEIPTS_YOY_UNUSED" vbProcedure="false">"c7261"</definedName>
    <definedName function="false" hidden="true" name="IQ_BUDGET_SPENDING" vbProcedure="false">"c6822"</definedName>
    <definedName function="false" hidden="true" name="IQ_BUDGET_SPENDING_APR" vbProcedure="false">"c7482"</definedName>
    <definedName function="false" hidden="true" name="IQ_BUDGET_SPENDING_APR_FC" vbProcedure="false">"c8362"</definedName>
    <definedName function="false" hidden="true" name="IQ_BUDGET_SPENDING_FC" vbProcedure="false">"c7702"</definedName>
    <definedName function="false" hidden="true" name="IQ_BUDGET_SPENDING_POP" vbProcedure="false">"c7042"</definedName>
    <definedName function="false" hidden="true" name="IQ_BUDGET_SPENDING_POP_FC" vbProcedure="false">"c7922"</definedName>
    <definedName function="false" hidden="true" name="IQ_BUDGET_SPENDING_REAL" vbProcedure="false">"c6958"</definedName>
    <definedName function="false" hidden="true" name="IQ_BUDGET_SPENDING_REAL_APR" vbProcedure="false">"c7618"</definedName>
    <definedName function="false" hidden="true" name="IQ_BUDGET_SPENDING_REAL_APR_FC" vbProcedure="false">"c8498"</definedName>
    <definedName function="false" hidden="true" name="IQ_BUDGET_SPENDING_REAL_FC" vbProcedure="false">"c7838"</definedName>
    <definedName function="false" hidden="true" name="IQ_BUDGET_SPENDING_REAL_POP" vbProcedure="false">"c7178"</definedName>
    <definedName function="false" hidden="true" name="IQ_BUDGET_SPENDING_REAL_POP_FC" vbProcedure="false">"c8058"</definedName>
    <definedName function="false" hidden="true" name="IQ_BUDGET_SPENDING_REAL_SAAR" vbProcedure="false">"c6959"</definedName>
    <definedName function="false" hidden="true" name="IQ_BUDGET_SPENDING_REAL_SAAR_APR" vbProcedure="false">"c7619"</definedName>
    <definedName function="false" hidden="true" name="IQ_BUDGET_SPENDING_REAL_SAAR_APR_FC" vbProcedure="false">"c8499"</definedName>
    <definedName function="false" hidden="true" name="IQ_BUDGET_SPENDING_REAL_SAAR_FC" vbProcedure="false">"c7839"</definedName>
    <definedName function="false" hidden="true" name="IQ_BUDGET_SPENDING_REAL_SAAR_POP" vbProcedure="false">"c7179"</definedName>
    <definedName function="false" hidden="true" name="IQ_BUDGET_SPENDING_REAL_SAAR_POP_FC" vbProcedure="false">"c8059"</definedName>
    <definedName function="false" hidden="true" name="IQ_BUDGET_SPENDING_REAL_SAAR_USD" vbProcedure="false">"c11906"</definedName>
    <definedName function="false" hidden="true" name="IQ_BUDGET_SPENDING_REAL_SAAR_USD_APR" vbProcedure="false">"c11909"</definedName>
    <definedName function="false" hidden="true" name="IQ_BUDGET_SPENDING_REAL_SAAR_USD_POP" vbProcedure="false">"c11907"</definedName>
    <definedName function="false" hidden="true" name="IQ_BUDGET_SPENDING_REAL_SAAR_USD_YOY" vbProcedure="false">"c11908"</definedName>
    <definedName function="false" hidden="true" name="IQ_BUDGET_SPENDING_REAL_SAAR_YOY" vbProcedure="false">"c7399"</definedName>
    <definedName function="false" hidden="true" name="IQ_BUDGET_SPENDING_REAL_SAAR_YOY_FC" vbProcedure="false">"c8279"</definedName>
    <definedName function="false" hidden="true" name="IQ_BUDGET_SPENDING_REAL_YOY" vbProcedure="false">"c7398"</definedName>
    <definedName function="false" hidden="true" name="IQ_BUDGET_SPENDING_REAL_YOY_FC" vbProcedure="false">"c8278"</definedName>
    <definedName function="false" hidden="true" name="IQ_BUDGET_SPENDING_SAAR" vbProcedure="false">"c6823"</definedName>
    <definedName function="false" hidden="true" name="IQ_BUDGET_SPENDING_SAAR_APR" vbProcedure="false">"c7483"</definedName>
    <definedName function="false" hidden="true" name="IQ_BUDGET_SPENDING_SAAR_APR_FC" vbProcedure="false">"c8363"</definedName>
    <definedName function="false" hidden="true" name="IQ_BUDGET_SPENDING_SAAR_FC" vbProcedure="false">"c7703"</definedName>
    <definedName function="false" hidden="true" name="IQ_BUDGET_SPENDING_SAAR_POP" vbProcedure="false">"c7043"</definedName>
    <definedName function="false" hidden="true" name="IQ_BUDGET_SPENDING_SAAR_POP_FC" vbProcedure="false">"c7923"</definedName>
    <definedName function="false" hidden="true" name="IQ_BUDGET_SPENDING_SAAR_USD_APR_FC" vbProcedure="false">"c11782"</definedName>
    <definedName function="false" hidden="true" name="IQ_BUDGET_SPENDING_SAAR_USD_FC" vbProcedure="false">"c11779"</definedName>
    <definedName function="false" hidden="true" name="IQ_BUDGET_SPENDING_SAAR_USD_POP_FC" vbProcedure="false">"c11780"</definedName>
    <definedName function="false" hidden="true" name="IQ_BUDGET_SPENDING_SAAR_USD_YOY_FC" vbProcedure="false">"c11781"</definedName>
    <definedName function="false" hidden="true" name="IQ_BUDGET_SPENDING_SAAR_YOY" vbProcedure="false">"c7263"</definedName>
    <definedName function="false" hidden="true" name="IQ_BUDGET_SPENDING_SAAR_YOY_FC" vbProcedure="false">"c8143"</definedName>
    <definedName function="false" hidden="true" name="IQ_BUDGET_SPENDING_USD_APR_FC" vbProcedure="false">"c11778"</definedName>
    <definedName function="false" hidden="true" name="IQ_BUDGET_SPENDING_USD_FC" vbProcedure="false">"c11775"</definedName>
    <definedName function="false" hidden="true" name="IQ_BUDGET_SPENDING_USD_POP_FC" vbProcedure="false">"c11776"</definedName>
    <definedName function="false" hidden="true" name="IQ_BUDGET_SPENDING_USD_YOY_FC" vbProcedure="false">"c11777"</definedName>
    <definedName function="false" hidden="true" name="IQ_BUDGET_SPENDING_YOY" vbProcedure="false">"c7262"</definedName>
    <definedName function="false" hidden="true" name="IQ_BUDGET_SPENDING_YOY_FC" vbProcedure="false">"c8142"</definedName>
    <definedName function="false" hidden="true" name="IQ_BUILDINGS" vbProcedure="false">"c99"</definedName>
    <definedName function="false" hidden="true" name="IQ_BUSINESS_COMBINATIONS_FFIEC" vbProcedure="false">"c12967"</definedName>
    <definedName function="false" hidden="true" name="IQ_BUSINESS_DESCRIPTION" vbProcedure="false">"c322"</definedName>
    <definedName function="false" hidden="true" name="IQ_BUS_SEG_ASSETS" vbProcedure="false">"c4067"</definedName>
    <definedName function="false" hidden="true" name="IQ_BUS_SEG_ASSETS_ABS" vbProcedure="false">"c4089"</definedName>
    <definedName function="false" hidden="true" name="IQ_BUS_SEG_ASSETS_TOTAL" vbProcedure="false">"c4112"</definedName>
    <definedName function="false" hidden="true" name="IQ_BUS_SEG_CAPEX" vbProcedure="false">"c4079"</definedName>
    <definedName function="false" hidden="true" name="IQ_BUS_SEG_CAPEX_ABS" vbProcedure="false">"c4101"</definedName>
    <definedName function="false" hidden="true" name="IQ_BUS_SEG_CAPEX_TOTAL" vbProcedure="false">"c4116"</definedName>
    <definedName function="false" hidden="true" name="IQ_BUS_SEG_DA" vbProcedure="false">"c4078"</definedName>
    <definedName function="false" hidden="true" name="IQ_BUS_SEG_DA_ABS" vbProcedure="false">"c4100"</definedName>
    <definedName function="false" hidden="true" name="IQ_BUS_SEG_DA_TOTAL" vbProcedure="false">"c4115"</definedName>
    <definedName function="false" hidden="true" name="IQ_BUS_SEG_DESCRIPTION" vbProcedure="false">"c15589"</definedName>
    <definedName function="false" hidden="true" name="IQ_BUS_SEG_DESCRIPTION_ABS" vbProcedure="false">"c15577"</definedName>
    <definedName function="false" hidden="true" name="IQ_BUS_SEG_EARNINGS_OP" vbProcedure="false">"c4063"</definedName>
    <definedName function="false" hidden="true" name="IQ_BUS_SEG_EARNINGS_OP_ABS" vbProcedure="false">"c4085"</definedName>
    <definedName function="false" hidden="true" name="IQ_BUS_SEG_EARNINGS_OP_TOTAL" vbProcedure="false">"c4108"</definedName>
    <definedName function="false" hidden="true" name="IQ_BUS_SEG_EBT" vbProcedure="false">"c4064"</definedName>
    <definedName function="false" hidden="true" name="IQ_BUS_SEG_EBT_ABS" vbProcedure="false">"c4086"</definedName>
    <definedName function="false" hidden="true" name="IQ_BUS_SEG_EBT_TOTAL" vbProcedure="false">"c4110"</definedName>
    <definedName function="false" hidden="true" name="IQ_BUS_SEG_GP" vbProcedure="false">"c4066"</definedName>
    <definedName function="false" hidden="true" name="IQ_BUS_SEG_GP_ABS" vbProcedure="false">"c4088"</definedName>
    <definedName function="false" hidden="true" name="IQ_BUS_SEG_GP_TOTAL" vbProcedure="false">"c4109"</definedName>
    <definedName function="false" hidden="true" name="IQ_BUS_SEG_INC_TAX" vbProcedure="false">"c4077"</definedName>
    <definedName function="false" hidden="true" name="IQ_BUS_SEG_INC_TAX_ABS" vbProcedure="false">"c4099"</definedName>
    <definedName function="false" hidden="true" name="IQ_BUS_SEG_INC_TAX_TOTAL" vbProcedure="false">"c4114"</definedName>
    <definedName function="false" hidden="true" name="IQ_BUS_SEG_INTEREST_EXP" vbProcedure="false">"c4076"</definedName>
    <definedName function="false" hidden="true" name="IQ_BUS_SEG_INTEREST_EXP_ABS" vbProcedure="false">"c4098"</definedName>
    <definedName function="false" hidden="true" name="IQ_BUS_SEG_INTEREST_EXP_TOTAL" vbProcedure="false">"c4113"</definedName>
    <definedName function="false" hidden="true" name="IQ_BUS_SEG_NAIC" vbProcedure="false">"c15588"</definedName>
    <definedName function="false" hidden="true" name="IQ_BUS_SEG_NAIC_ABS" vbProcedure="false">"c15576"</definedName>
    <definedName function="false" hidden="true" name="IQ_BUS_SEG_NAME" vbProcedure="false">"c5482"</definedName>
    <definedName function="false" hidden="true" name="IQ_BUS_SEG_NAME_ABS" vbProcedure="false">"c5483"</definedName>
    <definedName function="false" hidden="true" name="IQ_BUS_SEG_NI" vbProcedure="false">"c4065"</definedName>
    <definedName function="false" hidden="true" name="IQ_BUS_SEG_NI_ABS" vbProcedure="false">"c4087"</definedName>
    <definedName function="false" hidden="true" name="IQ_BUS_SEG_NI_TOTAL" vbProcedure="false">"c4111"</definedName>
    <definedName function="false" hidden="true" name="IQ_BUS_SEG_OPER_INC" vbProcedure="false">"c4062"</definedName>
    <definedName function="false" hidden="true" name="IQ_BUS_SEG_OPER_INC_ABS" vbProcedure="false">"c4084"</definedName>
    <definedName function="false" hidden="true" name="IQ_BUS_SEG_OPER_INC_TOTAL" vbProcedure="false">"c4107"</definedName>
    <definedName function="false" hidden="true" name="IQ_BUS_SEG_PRIMARY_GIC" vbProcedure="false">"c15584"</definedName>
    <definedName function="false" hidden="true" name="IQ_BUS_SEG_PRIMARY_GIC_ABS" vbProcedure="false">"c15572"</definedName>
    <definedName function="false" hidden="true" name="IQ_BUS_SEG_PRIMARY_SIC" vbProcedure="false">"c15586"</definedName>
    <definedName function="false" hidden="true" name="IQ_BUS_SEG_PRIMARY_SIC_ABS" vbProcedure="false">"c15574"</definedName>
    <definedName function="false" hidden="true" name="IQ_BUS_SEG_REV" vbProcedure="false">"c4068"</definedName>
    <definedName function="false" hidden="true" name="IQ_BUS_SEG_REV_ABS" vbProcedure="false">"c4090"</definedName>
    <definedName function="false" hidden="true" name="IQ_BUS_SEG_REV_TOTAL" vbProcedure="false">"c4106"</definedName>
    <definedName function="false" hidden="true" name="IQ_BUS_SEG_SECONDARY_GIC" vbProcedure="false">"c15585"</definedName>
    <definedName function="false" hidden="true" name="IQ_BUS_SEG_SECONDARY_GIC_ABS" vbProcedure="false">"c15573"</definedName>
    <definedName function="false" hidden="true" name="IQ_BUS_SEG_SECONDARY_SIC" vbProcedure="false">"c15587"</definedName>
    <definedName function="false" hidden="true" name="IQ_BUS_SEG_SECONDARY_SIC_ABS" vbProcedure="false">"c15575"</definedName>
    <definedName function="false" hidden="true" name="IQ_BV_ACT_OR_EST_CIQ" vbProcedure="false">"c5068"</definedName>
    <definedName function="false" hidden="true" name="IQ_BV_EST" vbProcedure="false">"c5624"</definedName>
    <definedName function="false" hidden="true" name="IQ_BV_HIGH_EST" vbProcedure="false">"c5626"</definedName>
    <definedName function="false" hidden="true" name="IQ_BV_LOW_EST" vbProcedure="false">"c5627"</definedName>
    <definedName function="false" hidden="true" name="IQ_BV_MEDIAN_EST" vbProcedure="false">"c5625"</definedName>
    <definedName function="false" hidden="true" name="IQ_BV_NUM_EST" vbProcedure="false">"c5628"</definedName>
    <definedName function="false" hidden="true" name="IQ_BV_OVER_SHARES" vbProcedure="false">"c1349"</definedName>
    <definedName function="false" hidden="true" name="IQ_BV_SHARE" vbProcedure="false">"c100"</definedName>
    <definedName function="false" hidden="true" name="IQ_BV_SHARE_ACT_OR_EST" vbProcedure="false">"c3587"</definedName>
    <definedName function="false" hidden="true" name="IQ_BV_SHARE_ACT_OR_EST_REUT" vbProcedure="false">"c5477"</definedName>
    <definedName function="false" hidden="true" name="IQ_BV_SHARE_ACT_OR_EST_THOM" vbProcedure="false">"c5312"</definedName>
    <definedName function="false" hidden="true" name="IQ_BV_SHARE_DET_EST" vbProcedure="false">"c12047"</definedName>
    <definedName function="false" hidden="true" name="IQ_BV_SHARE_DET_EST_CURRENCY" vbProcedure="false">"c12456"</definedName>
    <definedName function="false" hidden="true" name="IQ_BV_SHARE_DET_EST_CURRENCY_REUT" vbProcedure="false">"c12524"</definedName>
    <definedName function="false" hidden="true" name="IQ_BV_SHARE_DET_EST_CURRENCY_THOM" vbProcedure="false">"c12476"</definedName>
    <definedName function="false" hidden="true" name="IQ_BV_SHARE_DET_EST_DATE" vbProcedure="false">"c12200"</definedName>
    <definedName function="false" hidden="true" name="IQ_BV_SHARE_DET_EST_DATE_REUT" vbProcedure="false">"c12281"</definedName>
    <definedName function="false" hidden="true" name="IQ_BV_SHARE_DET_EST_DATE_THOM" vbProcedure="false">"c12225"</definedName>
    <definedName function="false" hidden="true" name="IQ_BV_SHARE_DET_EST_INCL" vbProcedure="false">"c12339"</definedName>
    <definedName function="false" hidden="true" name="IQ_BV_SHARE_DET_EST_INCL_REUT" vbProcedure="false">"c12407"</definedName>
    <definedName function="false" hidden="true" name="IQ_BV_SHARE_DET_EST_INCL_THOM" vbProcedure="false">"c12359"</definedName>
    <definedName function="false" hidden="true" name="IQ_BV_SHARE_DET_EST_ORIGIN" vbProcedure="false">"c12573"</definedName>
    <definedName function="false" hidden="true" name="IQ_BV_SHARE_DET_EST_ORIGIN_REUT" vbProcedure="false">"c12649"</definedName>
    <definedName function="false" hidden="true" name="IQ_BV_SHARE_DET_EST_ORIGIN_THOM" vbProcedure="false">"c12595"</definedName>
    <definedName function="false" hidden="true" name="IQ_BV_SHARE_DET_EST_REUT" vbProcedure="false">"c12139"</definedName>
    <definedName function="false" hidden="true" name="IQ_BV_SHARE_DET_EST_THOM" vbProcedure="false">"c12075"</definedName>
    <definedName function="false" hidden="true" name="IQ_BV_SHARE_EST" vbProcedure="false">"c3541"</definedName>
    <definedName function="false" hidden="true" name="IQ_BV_SHARE_EST_REUT" vbProcedure="false">"c5439"</definedName>
    <definedName function="false" hidden="true" name="IQ_BV_SHARE_EST_THOM" vbProcedure="false">"c4020"</definedName>
    <definedName function="false" hidden="true" name="IQ_BV_SHARE_HIGH_EST" vbProcedure="false">"c3542"</definedName>
    <definedName function="false" hidden="true" name="IQ_BV_SHARE_HIGH_EST_REUT" vbProcedure="false">"c5441"</definedName>
    <definedName function="false" hidden="true" name="IQ_BV_SHARE_HIGH_EST_THOM" vbProcedure="false">"c4022"</definedName>
    <definedName function="false" hidden="true" name="IQ_BV_SHARE_LOW_EST" vbProcedure="false">"c3543"</definedName>
    <definedName function="false" hidden="true" name="IQ_BV_SHARE_LOW_EST_REUT" vbProcedure="false">"c5442"</definedName>
    <definedName function="false" hidden="true" name="IQ_BV_SHARE_LOW_EST_THOM" vbProcedure="false">"c4023"</definedName>
    <definedName function="false" hidden="true" name="IQ_BV_SHARE_MEDIAN_EST" vbProcedure="false">"c3544"</definedName>
    <definedName function="false" hidden="true" name="IQ_BV_SHARE_MEDIAN_EST_REUT" vbProcedure="false">"c5440"</definedName>
    <definedName function="false" hidden="true" name="IQ_BV_SHARE_MEDIAN_EST_THOM" vbProcedure="false">"c4021"</definedName>
    <definedName function="false" hidden="true" name="IQ_BV_SHARE_NUM_EST" vbProcedure="false">"c3539"</definedName>
    <definedName function="false" hidden="true" name="IQ_BV_SHARE_NUM_EST_REUT" vbProcedure="false">"c5443"</definedName>
    <definedName function="false" hidden="true" name="IQ_BV_SHARE_NUM_EST_THOM" vbProcedure="false">"c4024"</definedName>
    <definedName function="false" hidden="true" name="IQ_BV_SHARE_STDDEV_EST" vbProcedure="false">"c3540"</definedName>
    <definedName function="false" hidden="true" name="IQ_BV_SHARE_STDDEV_EST_REUT" vbProcedure="false">"c5444"</definedName>
    <definedName function="false" hidden="true" name="IQ_BV_SHARE_STDDEV_EST_THOM" vbProcedure="false">"c4025"</definedName>
    <definedName function="false" hidden="true" name="IQ_BV_STDDEV_EST" vbProcedure="false">"c5629"</definedName>
    <definedName function="false" hidden="true" name="IQ_CABLE_ARPU" vbProcedure="false">"c2869"</definedName>
    <definedName function="false" hidden="true" name="IQ_CABLE_ARPU_ANALOG" vbProcedure="false">"c2864"</definedName>
    <definedName function="false" hidden="true" name="IQ_CABLE_ARPU_BASIC" vbProcedure="false">"c2866"</definedName>
    <definedName function="false" hidden="true" name="IQ_CABLE_ARPU_BBAND" vbProcedure="false">"c2867"</definedName>
    <definedName function="false" hidden="true" name="IQ_CABLE_ARPU_DIG" vbProcedure="false">"c2865"</definedName>
    <definedName function="false" hidden="true" name="IQ_CABLE_ARPU_PHONE" vbProcedure="false">"c2868"</definedName>
    <definedName function="false" hidden="true" name="IQ_CABLE_BASIC_PENETRATION" vbProcedure="false">"c2850"</definedName>
    <definedName function="false" hidden="true" name="IQ_CABLE_BBAND_PENETRATION" vbProcedure="false">"c2852"</definedName>
    <definedName function="false" hidden="true" name="IQ_CABLE_BBAND_PENETRATION_THP" vbProcedure="false">"c2851"</definedName>
    <definedName function="false" hidden="true" name="IQ_CABLE_CHURN" vbProcedure="false">"c2874"</definedName>
    <definedName function="false" hidden="true" name="IQ_CABLE_CHURN_BASIC" vbProcedure="false">"c2871"</definedName>
    <definedName function="false" hidden="true" name="IQ_CABLE_CHURN_BBAND" vbProcedure="false">"c2872"</definedName>
    <definedName function="false" hidden="true" name="IQ_CABLE_CHURN_DIG" vbProcedure="false">"c2870"</definedName>
    <definedName function="false" hidden="true" name="IQ_CABLE_CHURN_PHONE" vbProcedure="false">"c2873"</definedName>
    <definedName function="false" hidden="true" name="IQ_CABLE_HOMES_PER_MILE" vbProcedure="false">"c2849"</definedName>
    <definedName function="false" hidden="true" name="IQ_CABLE_HP_BBAND" vbProcedure="false">"c2845"</definedName>
    <definedName function="false" hidden="true" name="IQ_CABLE_HP_DIG" vbProcedure="false">"c2844"</definedName>
    <definedName function="false" hidden="true" name="IQ_CABLE_HP_PHONE" vbProcedure="false">"c2846"</definedName>
    <definedName function="false" hidden="true" name="IQ_CABLE_MILES_PASSED" vbProcedure="false">"c2848"</definedName>
    <definedName function="false" hidden="true" name="IQ_CABLE_OTHER_REV" vbProcedure="false">"c2882"</definedName>
    <definedName function="false" hidden="true" name="IQ_CABLE_PHONE_PENETRATION" vbProcedure="false">"c2853"</definedName>
    <definedName function="false" hidden="true" name="IQ_CABLE_PROGRAMMING_COSTS" vbProcedure="false">"c2884"</definedName>
    <definedName function="false" hidden="true" name="IQ_CABLE_REV_ADVERT" vbProcedure="false">"c2880"</definedName>
    <definedName function="false" hidden="true" name="IQ_CABLE_REV_ANALOG" vbProcedure="false">"c2875"</definedName>
    <definedName function="false" hidden="true" name="IQ_CABLE_REV_BASIC" vbProcedure="false">"c2877"</definedName>
    <definedName function="false" hidden="true" name="IQ_CABLE_REV_BBAND" vbProcedure="false">"c2878"</definedName>
    <definedName function="false" hidden="true" name="IQ_CABLE_REV_COMMERCIAL" vbProcedure="false">"c2881"</definedName>
    <definedName function="false" hidden="true" name="IQ_CABLE_REV_DIG" vbProcedure="false">"c2876"</definedName>
    <definedName function="false" hidden="true" name="IQ_CABLE_REV_PHONE" vbProcedure="false">"c2879"</definedName>
    <definedName function="false" hidden="true" name="IQ_CABLE_RGU" vbProcedure="false">"c2863"</definedName>
    <definedName function="false" hidden="true" name="IQ_CABLE_SUBS_ANALOG" vbProcedure="false">"c2855"</definedName>
    <definedName function="false" hidden="true" name="IQ_CABLE_SUBS_BASIC" vbProcedure="false">"c2857"</definedName>
    <definedName function="false" hidden="true" name="IQ_CABLE_SUBS_BBAND" vbProcedure="false">"c2858"</definedName>
    <definedName function="false" hidden="true" name="IQ_CABLE_SUBS_BUNDLED" vbProcedure="false">"c2861"</definedName>
    <definedName function="false" hidden="true" name="IQ_CABLE_SUBS_BUS_PHONE" vbProcedure="false">"c15773"</definedName>
    <definedName function="false" hidden="true" name="IQ_CABLE_SUBS_DIG" vbProcedure="false">"c2856"</definedName>
    <definedName function="false" hidden="true" name="IQ_CABLE_SUBS_LONG_DIST_PHONE" vbProcedure="false">"c15775"</definedName>
    <definedName function="false" hidden="true" name="IQ_CABLE_SUBS_NON_VIDEO" vbProcedure="false">"c2860"</definedName>
    <definedName function="false" hidden="true" name="IQ_CABLE_SUBS_PHONE" vbProcedure="false">"c2859"</definedName>
    <definedName function="false" hidden="true" name="IQ_CABLE_SUBS_RES_PHONE" vbProcedure="false">"c15772"</definedName>
    <definedName function="false" hidden="true" name="IQ_CABLE_SUBS_SATELITE" vbProcedure="false">"c15771"</definedName>
    <definedName function="false" hidden="true" name="IQ_CABLE_SUBS_TOTAL" vbProcedure="false">"c2862"</definedName>
    <definedName function="false" hidden="true" name="IQ_CABLE_SUBS_WHOLE_PHONE" vbProcedure="false">"c15774"</definedName>
    <definedName function="false" hidden="true" name="IQ_CABLE_THP" vbProcedure="false">"c2847"</definedName>
    <definedName function="false" hidden="true" name="IQ_CABLE_TOTAL_PENETRATION" vbProcedure="false">"c2854"</definedName>
    <definedName function="false" hidden="true" name="IQ_CABLE_TOTAL_REV" vbProcedure="false">"c2883"</definedName>
    <definedName function="false" hidden="true" name="IQ_CALC_TYPE_BS" vbProcedure="false">"c3086"</definedName>
    <definedName function="false" hidden="true" name="IQ_CALC_TYPE_CF" vbProcedure="false">"c3085"</definedName>
    <definedName function="false" hidden="true" name="IQ_CALC_TYPE_IS" vbProcedure="false">"c3084"</definedName>
    <definedName function="false" hidden="true" name="IQ_CALLABLE" vbProcedure="false">"c2196"</definedName>
    <definedName function="false" hidden="true" name="IQ_CALL_DATE_SCHEDULE" vbProcedure="false">"c2481"</definedName>
    <definedName function="false" hidden="true" name="IQ_CALL_FEATURE" vbProcedure="false">"c2197"</definedName>
    <definedName function="false" hidden="true" name="IQ_CALL_PRICE_SCHEDULE" vbProcedure="false">"c2482"</definedName>
    <definedName function="false" hidden="true" name="IQ_CAL_Q" vbProcedure="false">"c101"</definedName>
    <definedName function="false" hidden="true" name="IQ_CAL_Q_EST" vbProcedure="false">"c6796"</definedName>
    <definedName function="false" hidden="true" name="IQ_CAL_Q_EST_CIQ" vbProcedure="false">"c6808"</definedName>
    <definedName function="false" hidden="true" name="IQ_CAL_Q_EST_REUT" vbProcedure="false">"c6800"</definedName>
    <definedName function="false" hidden="true" name="IQ_CAL_Q_EST_THOM" vbProcedure="false">"c6804"</definedName>
    <definedName function="false" hidden="true" name="IQ_CAL_Y" vbProcedure="false">"c102"</definedName>
    <definedName function="false" hidden="true" name="IQ_CAL_Y_EST" vbProcedure="false">"c6797"</definedName>
    <definedName function="false" hidden="true" name="IQ_CAL_Y_EST_CIQ" vbProcedure="false">"c6809"</definedName>
    <definedName function="false" hidden="true" name="IQ_CAL_Y_EST_REUT" vbProcedure="false">"c6801"</definedName>
    <definedName function="false" hidden="true" name="IQ_CAL_Y_EST_THOM" vbProcedure="false">"c6805"</definedName>
    <definedName function="false" hidden="true" name="IQ_CAPEX" vbProcedure="false">"c103"</definedName>
    <definedName function="false" hidden="true" name="IQ_CAPEX_10YR_ANN_CAGR" vbProcedure="false">"c6050"</definedName>
    <definedName function="false" hidden="true" name="IQ_CAPEX_10YR_ANN_GROWTH" vbProcedure="false">"c104"</definedName>
    <definedName function="false" hidden="true" name="IQ_CAPEX_1YR_ANN_GROWTH" vbProcedure="false">"c105"</definedName>
    <definedName function="false" hidden="true" name="IQ_CAPEX_2YR_ANN_CAGR" vbProcedure="false">"c6051"</definedName>
    <definedName function="false" hidden="true" name="IQ_CAPEX_2YR_ANN_GROWTH" vbProcedure="false">"c106"</definedName>
    <definedName function="false" hidden="true" name="IQ_CAPEX_3YR_ANN_CAGR" vbProcedure="false">"c6052"</definedName>
    <definedName function="false" hidden="true" name="IQ_CAPEX_3YR_ANN_GROWTH" vbProcedure="false">"c107"</definedName>
    <definedName function="false" hidden="true" name="IQ_CAPEX_5YR_ANN_CAGR" vbProcedure="false">"c6053"</definedName>
    <definedName function="false" hidden="true" name="IQ_CAPEX_5YR_ANN_GROWTH" vbProcedure="false">"c108"</definedName>
    <definedName function="false" hidden="true" name="IQ_CAPEX_7YR_ANN_CAGR" vbProcedure="false">"c6054"</definedName>
    <definedName function="false" hidden="true" name="IQ_CAPEX_7YR_ANN_GROWTH" vbProcedure="false">"c109"</definedName>
    <definedName function="false" hidden="true" name="IQ_CAPEX_ACT_OR_EST" vbProcedure="false">"c3584"</definedName>
    <definedName function="false" hidden="true" name="IQ_CAPEX_ACT_OR_EST_REUT" vbProcedure="false">"c5474"</definedName>
    <definedName function="false" hidden="true" name="IQ_CAPEX_ACT_OR_EST_THOM" vbProcedure="false">"c5546"</definedName>
    <definedName function="false" hidden="true" name="IQ_CAPEX_BNK" vbProcedure="false">"c110"</definedName>
    <definedName function="false" hidden="true" name="IQ_CAPEX_BR" vbProcedure="false">"c111"</definedName>
    <definedName function="false" hidden="true" name="IQ_CAPEX_DET_EST" vbProcedure="false">"c12048"</definedName>
    <definedName function="false" hidden="true" name="IQ_CAPEX_DET_EST_CURRENCY" vbProcedure="false">"c12457"</definedName>
    <definedName function="false" hidden="true" name="IQ_CAPEX_DET_EST_CURRENCY_REUT" vbProcedure="false">"c12525"</definedName>
    <definedName function="false" hidden="true" name="IQ_CAPEX_DET_EST_CURRENCY_THOM" vbProcedure="false">"c12477"</definedName>
    <definedName function="false" hidden="true" name="IQ_CAPEX_DET_EST_DATE" vbProcedure="false">"c12201"</definedName>
    <definedName function="false" hidden="true" name="IQ_CAPEX_DET_EST_DATE_REUT" vbProcedure="false">"c12282"</definedName>
    <definedName function="false" hidden="true" name="IQ_CAPEX_DET_EST_DATE_THOM" vbProcedure="false">"c12226"</definedName>
    <definedName function="false" hidden="true" name="IQ_CAPEX_DET_EST_INCL" vbProcedure="false">"c12340"</definedName>
    <definedName function="false" hidden="true" name="IQ_CAPEX_DET_EST_INCL_REUT" vbProcedure="false">"c12408"</definedName>
    <definedName function="false" hidden="true" name="IQ_CAPEX_DET_EST_INCL_THOM" vbProcedure="false">"c12360"</definedName>
    <definedName function="false" hidden="true" name="IQ_CAPEX_DET_EST_ORIGIN" vbProcedure="false">"c12765"</definedName>
    <definedName function="false" hidden="true" name="IQ_CAPEX_DET_EST_ORIGIN_REUT" vbProcedure="false">"c12768"</definedName>
    <definedName function="false" hidden="true" name="IQ_CAPEX_DET_EST_ORIGIN_THOM" vbProcedure="false">"c12596"</definedName>
    <definedName function="false" hidden="true" name="IQ_CAPEX_DET_EST_REUT" vbProcedure="false">"c12140"</definedName>
    <definedName function="false" hidden="true" name="IQ_CAPEX_DET_EST_THOM" vbProcedure="false">"c12076"</definedName>
    <definedName function="false" hidden="true" name="IQ_CAPEX_EST" vbProcedure="false">"c3523"</definedName>
    <definedName function="false" hidden="true" name="IQ_CAPEX_EST_REUT" vbProcedure="false">"c3969"</definedName>
    <definedName function="false" hidden="true" name="IQ_CAPEX_EST_THOM" vbProcedure="false">"c5502"</definedName>
    <definedName function="false" hidden="true" name="IQ_CAPEX_FIN" vbProcedure="false">"c112"</definedName>
    <definedName function="false" hidden="true" name="IQ_CAPEX_GUIDANCE" vbProcedure="false">"c4150"</definedName>
    <definedName function="false" hidden="true" name="IQ_CAPEX_GUIDANCE_CIQ" vbProcedure="false">"c4562"</definedName>
    <definedName function="false" hidden="true" name="IQ_CAPEX_GUIDANCE_CIQ_COL" vbProcedure="false">"c11211"</definedName>
    <definedName function="false" hidden="true" name="IQ_CAPEX_HIGH_EST" vbProcedure="false">"c3524"</definedName>
    <definedName function="false" hidden="true" name="IQ_CAPEX_HIGH_EST_REUT" vbProcedure="false">"c3971"</definedName>
    <definedName function="false" hidden="true" name="IQ_CAPEX_HIGH_EST_THOM" vbProcedure="false">"c5504"</definedName>
    <definedName function="false" hidden="true" name="IQ_CAPEX_HIGH_GUIDANCE" vbProcedure="false">"c4180"</definedName>
    <definedName function="false" hidden="true" name="IQ_CAPEX_HIGH_GUIDANCE_CIQ" vbProcedure="false">"c4592"</definedName>
    <definedName function="false" hidden="true" name="IQ_CAPEX_HIGH_GUIDANCE_CIQ_COL" vbProcedure="false">"c11241"</definedName>
    <definedName function="false" hidden="true" name="IQ_CAPEX_INS" vbProcedure="false">"c113"</definedName>
    <definedName function="false" hidden="true" name="IQ_CAPEX_LOW_EST" vbProcedure="false">"c3525"</definedName>
    <definedName function="false" hidden="true" name="IQ_CAPEX_LOW_EST_REUT" vbProcedure="false">"c3972"</definedName>
    <definedName function="false" hidden="true" name="IQ_CAPEX_LOW_EST_THOM" vbProcedure="false">"c5505"</definedName>
    <definedName function="false" hidden="true" name="IQ_CAPEX_LOW_GUIDANCE" vbProcedure="false">"c4220"</definedName>
    <definedName function="false" hidden="true" name="IQ_CAPEX_LOW_GUIDANCE_CIQ" vbProcedure="false">"c4632"</definedName>
    <definedName function="false" hidden="true" name="IQ_CAPEX_LOW_GUIDANCE_CIQ_COL" vbProcedure="false">"c11281"</definedName>
    <definedName function="false" hidden="true" name="IQ_CAPEX_MEDIAN_EST" vbProcedure="false">"c3526"</definedName>
    <definedName function="false" hidden="true" name="IQ_CAPEX_MEDIAN_EST_REUT" vbProcedure="false">"c3970"</definedName>
    <definedName function="false" hidden="true" name="IQ_CAPEX_MEDIAN_EST_THOM" vbProcedure="false">"c5503"</definedName>
    <definedName function="false" hidden="true" name="IQ_CAPEX_NUM_EST" vbProcedure="false">"c3521"</definedName>
    <definedName function="false" hidden="true" name="IQ_CAPEX_NUM_EST_REUT" vbProcedure="false">"c3973"</definedName>
    <definedName function="false" hidden="true" name="IQ_CAPEX_NUM_EST_THOM" vbProcedure="false">"c5506"</definedName>
    <definedName function="false" hidden="true" name="IQ_CAPEX_PCT_REV" vbProcedure="false">"c19144"</definedName>
    <definedName function="false" hidden="true" name="IQ_CAPEX_STDDEV_EST" vbProcedure="false">"c3522"</definedName>
    <definedName function="false" hidden="true" name="IQ_CAPEX_STDDEV_EST_REUT" vbProcedure="false">"c3974"</definedName>
    <definedName function="false" hidden="true" name="IQ_CAPEX_STDDEV_EST_THOM" vbProcedure="false">"c5507"</definedName>
    <definedName function="false" hidden="true" name="IQ_CAPEX_UTI" vbProcedure="false">"c114"</definedName>
    <definedName function="false" hidden="true" name="IQ_CAPITALIZED_INTEREST" vbProcedure="false">"c2076"</definedName>
    <definedName function="false" hidden="true" name="IQ_CAPITALIZED_INTEREST_BOP" vbProcedure="false">"c3459"</definedName>
    <definedName function="false" hidden="true" name="IQ_CAPITALIZED_INTEREST_EOP" vbProcedure="false">"c3464"</definedName>
    <definedName function="false" hidden="true" name="IQ_CAPITALIZED_INTEREST_EXP" vbProcedure="false">"c3461"</definedName>
    <definedName function="false" hidden="true" name="IQ_CAPITALIZED_INTEREST_OTHER_ADJ" vbProcedure="false">"c3463"</definedName>
    <definedName function="false" hidden="true" name="IQ_CAPITALIZED_INTEREST_WRITE_OFF" vbProcedure="false">"c3462"</definedName>
    <definedName function="false" hidden="true" name="IQ_CAPITAL_ALLOCATION_ADJUSTMENT_FOREIGN_FFIEC" vbProcedure="false">"c15389"</definedName>
    <definedName function="false" hidden="true" name="IQ_CAPITAL_LEASE" vbProcedure="false">"c1350"</definedName>
    <definedName function="false" hidden="true" name="IQ_CAPITAL_LEASES" vbProcedure="false">"c115"</definedName>
    <definedName function="false" hidden="true" name="IQ_CAPITAL_LEASES_TOTAL" vbProcedure="false">"c3031"</definedName>
    <definedName function="false" hidden="true" name="IQ_CAPITAL_LEASES_TOTAL_PCT" vbProcedure="false">"c2506"</definedName>
    <definedName function="false" hidden="true" name="IQ_CAPITAL_RAISED_PERIOD_COVERED" vbProcedure="false">"c9959"</definedName>
    <definedName function="false" hidden="true" name="IQ_CAPITAL_RAISED_PERIOD_GROUP" vbProcedure="false">"c9945"</definedName>
    <definedName function="false" hidden="true" name="IQ_CAPITAL_UNDER_MANAGE" vbProcedure="false">"c18929"</definedName>
    <definedName function="false" hidden="true" name="IQ_CAPITAL_UNDER_MANAGE_CURRENCY" vbProcedure="false">"c19171"</definedName>
    <definedName function="false" hidden="true" name="IQ_CAPITAL_UNDER_MANAGE_DATE" vbProcedure="false">"c18930"</definedName>
    <definedName function="false" hidden="true" name="IQ_CAP_INVEST_CABLE" vbProcedure="false">"c15794"</definedName>
    <definedName function="false" hidden="true" name="IQ_CAP_INVEST_COMMERCIAL" vbProcedure="false">"c15800"</definedName>
    <definedName function="false" hidden="true" name="IQ_CAP_INVEST_CUST_PREMISE_EQUIP" vbProcedure="false">"c15795"</definedName>
    <definedName function="false" hidden="true" name="IQ_CAP_INVEST_LINE_EXTENSIONS" vbProcedure="false">"c15797"</definedName>
    <definedName function="false" hidden="true" name="IQ_CAP_INVEST_SCALABLE_INFRASTRUCTURE" vbProcedure="false">"c15796"</definedName>
    <definedName function="false" hidden="true" name="IQ_CAP_INVEST_SUPPORT" vbProcedure="false">"c15799"</definedName>
    <definedName function="false" hidden="true" name="IQ_CAP_INVEST_UPGRADE_REBUILD" vbProcedure="false">"c15798"</definedName>
    <definedName function="false" hidden="true" name="IQ_CAP_LOSS_CF_1YR" vbProcedure="false">"c3474"</definedName>
    <definedName function="false" hidden="true" name="IQ_CAP_LOSS_CF_2YR" vbProcedure="false">"c3475"</definedName>
    <definedName function="false" hidden="true" name="IQ_CAP_LOSS_CF_3YR" vbProcedure="false">"c3476"</definedName>
    <definedName function="false" hidden="true" name="IQ_CAP_LOSS_CF_4YR" vbProcedure="false">"c3477"</definedName>
    <definedName function="false" hidden="true" name="IQ_CAP_LOSS_CF_5YR" vbProcedure="false">"c3478"</definedName>
    <definedName function="false" hidden="true" name="IQ_CAP_LOSS_CF_AFTER_FIVE" vbProcedure="false">"c3479"</definedName>
    <definedName function="false" hidden="true" name="IQ_CAP_LOSS_CF_MAX_YEAR" vbProcedure="false">"c3482"</definedName>
    <definedName function="false" hidden="true" name="IQ_CAP_LOSS_CF_NO_EXP" vbProcedure="false">"c3480"</definedName>
    <definedName function="false" hidden="true" name="IQ_CAP_LOSS_CF_TOTAL" vbProcedure="false">"c3481"</definedName>
    <definedName function="false" hidden="true" name="IQ_CAP_UTIL_RATE" vbProcedure="false">"c6824"</definedName>
    <definedName function="false" hidden="true" name="IQ_CAP_UTIL_RATE_POP" vbProcedure="false">"c7044"</definedName>
    <definedName function="false" hidden="true" name="IQ_CAP_UTIL_RATE_YOY" vbProcedure="false">"c7264"</definedName>
    <definedName function="false" hidden="true" name="IQ_CASH" vbProcedure="false">"c1458"</definedName>
    <definedName function="false" hidden="true" name="IQ_CASH_ACQUIRE_CF" vbProcedure="false">"c116"</definedName>
    <definedName function="false" hidden="true" name="IQ_CASH_BALANCES_DUE_FFIEC" vbProcedure="false">"c12773"</definedName>
    <definedName function="false" hidden="true" name="IQ_CASH_BANKS_FOREIGN_COUNTRIES_DOM_FFIEC" vbProcedure="false">"c15289"</definedName>
    <definedName function="false" hidden="true" name="IQ_CASH_COLLECTION_UNPOSTED_DEBITS_CURRENCY_FFIEC" vbProcedure="false">"c15279"</definedName>
    <definedName function="false" hidden="true" name="IQ_CASH_COLLECTION_UNPOSTED_DEBITS_DOM_FFIEC" vbProcedure="false">"c15286"</definedName>
    <definedName function="false" hidden="true" name="IQ_CASH_CONVERSION" vbProcedure="false">"c117"</definedName>
    <definedName function="false" hidden="true" name="IQ_CASH_COST_ALUM" vbProcedure="false">"c9252"</definedName>
    <definedName function="false" hidden="true" name="IQ_CASH_COST_COAL" vbProcedure="false">"c9825"</definedName>
    <definedName function="false" hidden="true" name="IQ_CASH_COST_COP" vbProcedure="false">"c9199"</definedName>
    <definedName function="false" hidden="true" name="IQ_CASH_COST_DIAM" vbProcedure="false">"c9676"</definedName>
    <definedName function="false" hidden="true" name="IQ_CASH_COST_GOLD" vbProcedure="false">"c9037"</definedName>
    <definedName function="false" hidden="true" name="IQ_CASH_COST_IRON" vbProcedure="false">"c9411"</definedName>
    <definedName function="false" hidden="true" name="IQ_CASH_COST_LEAD" vbProcedure="false">"c9464"</definedName>
    <definedName function="false" hidden="true" name="IQ_CASH_COST_MANG" vbProcedure="false">"c9517"</definedName>
    <definedName function="false" hidden="true" name="IQ_CASH_COST_MET_COAL" vbProcedure="false">"c9762"</definedName>
    <definedName function="false" hidden="true" name="IQ_CASH_COST_MOLYB" vbProcedure="false">"c9729"</definedName>
    <definedName function="false" hidden="true" name="IQ_CASH_COST_NICK" vbProcedure="false">"c9305"</definedName>
    <definedName function="false" hidden="true" name="IQ_CASH_COST_PER_SUB" vbProcedure="false">"c15763"</definedName>
    <definedName function="false" hidden="true" name="IQ_CASH_COST_PLAT" vbProcedure="false">"c9143"</definedName>
    <definedName function="false" hidden="true" name="IQ_CASH_COST_SILVER" vbProcedure="false">"c9090"</definedName>
    <definedName function="false" hidden="true" name="IQ_CASH_COST_STEAM" vbProcedure="false">"c9792"</definedName>
    <definedName function="false" hidden="true" name="IQ_CASH_COST_TITAN" vbProcedure="false">"c9570"</definedName>
    <definedName function="false" hidden="true" name="IQ_CASH_COST_URAN" vbProcedure="false">"c9623"</definedName>
    <definedName function="false" hidden="true" name="IQ_CASH_COST_ZINC" vbProcedure="false">"c9358"</definedName>
    <definedName function="false" hidden="true" name="IQ_CASH_DEPOSITORY_INSTIT_US_DOM_FFIEC" vbProcedure="false">"c15288"</definedName>
    <definedName function="false" hidden="true" name="IQ_CASH_DIVIDENDS_NET_INCOME_FDIC" vbProcedure="false">"c6738"</definedName>
    <definedName function="false" hidden="true" name="IQ_CASH_DUE_BANKS" vbProcedure="false">"c1351"</definedName>
    <definedName function="false" hidden="true" name="IQ_CASH_DUE_OTHER_FED_RESERVE_BANKS_DOM_FFIEC" vbProcedure="false">"c15290"</definedName>
    <definedName function="false" hidden="true" name="IQ_CASH_DUE_OTHER_FED_RESERVE_BANKS_FFIEC" vbProcedure="false">"c15284"</definedName>
    <definedName function="false" hidden="true" name="IQ_CASH_DUE_US_BRANCH_FOREIGN_BANK_FFIEC" vbProcedure="false">"c15280"</definedName>
    <definedName function="false" hidden="true" name="IQ_CASH_EPS_ACT_OR_EST" vbProcedure="false">"c5638"</definedName>
    <definedName function="false" hidden="true" name="IQ_CASH_EPS_ACT_OR_EST_THOM" vbProcedure="false">"c5646"</definedName>
    <definedName function="false" hidden="true" name="IQ_CASH_EPS_DET_EST_CURRENCY_THOM" vbProcedure="false">"c12478"</definedName>
    <definedName function="false" hidden="true" name="IQ_CASH_EPS_DET_EST_DATE_THOM" vbProcedure="false">"c12227"</definedName>
    <definedName function="false" hidden="true" name="IQ_CASH_EPS_DET_EST_INCL_THOM" vbProcedure="false">"c12361"</definedName>
    <definedName function="false" hidden="true" name="IQ_CASH_EPS_DET_EST_ORIGIN_THOM" vbProcedure="false">"c12597"</definedName>
    <definedName function="false" hidden="true" name="IQ_CASH_EPS_DET_EST_THOM" vbProcedure="false">"c12077"</definedName>
    <definedName function="false" hidden="true" name="IQ_CASH_EPS_EST" vbProcedure="false">"c5631"</definedName>
    <definedName function="false" hidden="true" name="IQ_CASH_EPS_EST_THOM" vbProcedure="false">"c5639"</definedName>
    <definedName function="false" hidden="true" name="IQ_CASH_EPS_HIGH_EST" vbProcedure="false">"c5633"</definedName>
    <definedName function="false" hidden="true" name="IQ_CASH_EPS_HIGH_EST_THOM" vbProcedure="false">"c5641"</definedName>
    <definedName function="false" hidden="true" name="IQ_CASH_EPS_LOW_EST" vbProcedure="false">"c5634"</definedName>
    <definedName function="false" hidden="true" name="IQ_CASH_EPS_LOW_EST_THOM" vbProcedure="false">"c5642"</definedName>
    <definedName function="false" hidden="true" name="IQ_CASH_EPS_MEDIAN_EST" vbProcedure="false">"c5632"</definedName>
    <definedName function="false" hidden="true" name="IQ_CASH_EPS_MEDIAN_EST_THOM" vbProcedure="false">"c5640"</definedName>
    <definedName function="false" hidden="true" name="IQ_CASH_EPS_NUM_EST" vbProcedure="false">"c5635"</definedName>
    <definedName function="false" hidden="true" name="IQ_CASH_EPS_NUM_EST_THOM" vbProcedure="false">"c5643"</definedName>
    <definedName function="false" hidden="true" name="IQ_CASH_EPS_STDDEV_EST" vbProcedure="false">"c5636"</definedName>
    <definedName function="false" hidden="true" name="IQ_CASH_EPS_STDDEV_EST_THOM" vbProcedure="false">"c5644"</definedName>
    <definedName function="false" hidden="true" name="IQ_CASH_EQUIV" vbProcedure="false">"c118"</definedName>
    <definedName function="false" hidden="true" name="IQ_CASH_FINAN" vbProcedure="false">"c119"</definedName>
    <definedName function="false" hidden="true" name="IQ_CASH_FINAN_AP" vbProcedure="false">"c8890"</definedName>
    <definedName function="false" hidden="true" name="IQ_CASH_FINAN_AP_ABS" vbProcedure="false">"c8909"</definedName>
    <definedName function="false" hidden="true" name="IQ_CASH_FINAN_NAME_AP" vbProcedure="false">"c8928"</definedName>
    <definedName function="false" hidden="true" name="IQ_CASH_FINAN_NAME_AP_ABS" vbProcedure="false">"c8947"</definedName>
    <definedName function="false" hidden="true" name="IQ_CASH_FINAN_SUBTOTAL_AP" vbProcedure="false">"c10111"</definedName>
    <definedName function="false" hidden="true" name="IQ_CASH_FLOW_ACT_OR_EST" vbProcedure="false">"c4154"</definedName>
    <definedName function="false" hidden="true" name="IQ_CASH_FLOW_ACT_OR_EST_CIQ" vbProcedure="false">"c4566"</definedName>
    <definedName function="false" hidden="true" name="IQ_CASH_FLOW_EST" vbProcedure="false">"c4153"</definedName>
    <definedName function="false" hidden="true" name="IQ_CASH_FLOW_GUIDANCE" vbProcedure="false">"c4155"</definedName>
    <definedName function="false" hidden="true" name="IQ_CASH_FLOW_GUIDANCE_CIQ" vbProcedure="false">"c4567"</definedName>
    <definedName function="false" hidden="true" name="IQ_CASH_FLOW_GUIDANCE_CIQ_COL" vbProcedure="false">"c11216"</definedName>
    <definedName function="false" hidden="true" name="IQ_CASH_FLOW_HIGH_EST" vbProcedure="false">"c4156"</definedName>
    <definedName function="false" hidden="true" name="IQ_CASH_FLOW_HIGH_GUIDANCE" vbProcedure="false">"c4201"</definedName>
    <definedName function="false" hidden="true" name="IQ_CASH_FLOW_HIGH_GUIDANCE_CIQ" vbProcedure="false">"c4613"</definedName>
    <definedName function="false" hidden="true" name="IQ_CASH_FLOW_HIGH_GUIDANCE_CIQ_COL" vbProcedure="false">"c11262"</definedName>
    <definedName function="false" hidden="true" name="IQ_CASH_FLOW_LOW_EST" vbProcedure="false">"c4157"</definedName>
    <definedName function="false" hidden="true" name="IQ_CASH_FLOW_LOW_GUIDANCE" vbProcedure="false">"c4241"</definedName>
    <definedName function="false" hidden="true" name="IQ_CASH_FLOW_LOW_GUIDANCE_CIQ" vbProcedure="false">"c4653"</definedName>
    <definedName function="false" hidden="true" name="IQ_CASH_FLOW_LOW_GUIDANCE_CIQ_COL" vbProcedure="false">"c11302"</definedName>
    <definedName function="false" hidden="true" name="IQ_CASH_FLOW_MEDIAN_EST" vbProcedure="false">"c4158"</definedName>
    <definedName function="false" hidden="true" name="IQ_CASH_FLOW_NUM_EST" vbProcedure="false">"c4159"</definedName>
    <definedName function="false" hidden="true" name="IQ_CASH_FLOW_STDDEV_EST" vbProcedure="false">"c4160"</definedName>
    <definedName function="false" hidden="true" name="IQ_CASH_FOREIGN_BRANCH_OTHER_US_BANKS_FFIEC" vbProcedure="false">"c15282"</definedName>
    <definedName function="false" hidden="true" name="IQ_CASH_INTEREST" vbProcedure="false">"c120"</definedName>
    <definedName function="false" hidden="true" name="IQ_CASH_INTEREST_FINAN" vbProcedure="false">"c6295"</definedName>
    <definedName function="false" hidden="true" name="IQ_CASH_INTEREST_INVEST" vbProcedure="false">"c6294"</definedName>
    <definedName function="false" hidden="true" name="IQ_CASH_INTEREST_NET" vbProcedure="false">"c12753"</definedName>
    <definedName function="false" hidden="true" name="IQ_CASH_INTEREST_OPER" vbProcedure="false">"c6293"</definedName>
    <definedName function="false" hidden="true" name="IQ_CASH_INTEREST_RECEIVED" vbProcedure="false">"c12754"</definedName>
    <definedName function="false" hidden="true" name="IQ_CASH_INVEST" vbProcedure="false">"c121"</definedName>
    <definedName function="false" hidden="true" name="IQ_CASH_INVEST_AP" vbProcedure="false">"c8889"</definedName>
    <definedName function="false" hidden="true" name="IQ_CASH_INVEST_AP_ABS" vbProcedure="false">"c8908"</definedName>
    <definedName function="false" hidden="true" name="IQ_CASH_INVEST_NAME_AP" vbProcedure="false">"c8927"</definedName>
    <definedName function="false" hidden="true" name="IQ_CASH_INVEST_NAME_AP_ABS" vbProcedure="false">"c8946"</definedName>
    <definedName function="false" hidden="true" name="IQ_CASH_INVEST_SUBTOTAL_AP" vbProcedure="false">"c8991"</definedName>
    <definedName function="false" hidden="true" name="IQ_CASH_IN_PROCESS_FDIC" vbProcedure="false">"c6386"</definedName>
    <definedName function="false" hidden="true" name="IQ_CASH_OPER" vbProcedure="false">"c122"</definedName>
    <definedName function="false" hidden="true" name="IQ_CASH_OPER_ACT_OR_EST" vbProcedure="false">"c4164"</definedName>
    <definedName function="false" hidden="true" name="IQ_CASH_OPER_ACT_OR_EST_CIQ" vbProcedure="false">"c4576"</definedName>
    <definedName function="false" hidden="true" name="IQ_CASH_OPER_AP" vbProcedure="false">"c8888"</definedName>
    <definedName function="false" hidden="true" name="IQ_CASH_OPER_AP_ABS" vbProcedure="false">"c8907"</definedName>
    <definedName function="false" hidden="true" name="IQ_CASH_OPER_EST" vbProcedure="false">"c4163"</definedName>
    <definedName function="false" hidden="true" name="IQ_CASH_OPER_GUIDANCE" vbProcedure="false">"c4165"</definedName>
    <definedName function="false" hidden="true" name="IQ_CASH_OPER_GUIDANCE_CIQ" vbProcedure="false">"c4577"</definedName>
    <definedName function="false" hidden="true" name="IQ_CASH_OPER_GUIDANCE_CIQ_COL" vbProcedure="false">"c11226"</definedName>
    <definedName function="false" hidden="true" name="IQ_CASH_OPER_HIGH_EST" vbProcedure="false">"c4166"</definedName>
    <definedName function="false" hidden="true" name="IQ_CASH_OPER_HIGH_GUIDANCE" vbProcedure="false">"c4185"</definedName>
    <definedName function="false" hidden="true" name="IQ_CASH_OPER_HIGH_GUIDANCE_CIQ" vbProcedure="false">"c4597"</definedName>
    <definedName function="false" hidden="true" name="IQ_CASH_OPER_HIGH_GUIDANCE_CIQ_COL" vbProcedure="false">"c11246"</definedName>
    <definedName function="false" hidden="true" name="IQ_CASH_OPER_LOW_EST" vbProcedure="false">"c4244"</definedName>
    <definedName function="false" hidden="true" name="IQ_CASH_OPER_LOW_GUIDANCE" vbProcedure="false">"c4225"</definedName>
    <definedName function="false" hidden="true" name="IQ_CASH_OPER_LOW_GUIDANCE_CIQ" vbProcedure="false">"c4637"</definedName>
    <definedName function="false" hidden="true" name="IQ_CASH_OPER_LOW_GUIDANCE_CIQ_COL" vbProcedure="false">"c11286"</definedName>
    <definedName function="false" hidden="true" name="IQ_CASH_OPER_MEDIAN_EST" vbProcedure="false">"c4245"</definedName>
    <definedName function="false" hidden="true" name="IQ_CASH_OPER_NAME_AP" vbProcedure="false">"c8926"</definedName>
    <definedName function="false" hidden="true" name="IQ_CASH_OPER_NAME_AP_ABS" vbProcedure="false">"c8945"</definedName>
    <definedName function="false" hidden="true" name="IQ_CASH_OPER_NUM_EST" vbProcedure="false">"c4246"</definedName>
    <definedName function="false" hidden="true" name="IQ_CASH_OPER_STDDEV_EST" vbProcedure="false">"c4247"</definedName>
    <definedName function="false" hidden="true" name="IQ_CASH_OPER_SUBTOTAL_AP" vbProcedure="false">"c8990"</definedName>
    <definedName function="false" hidden="true" name="IQ_CASH_OTHER_ADJ_AP" vbProcedure="false">"c8891"</definedName>
    <definedName function="false" hidden="true" name="IQ_CASH_OTHER_ADJ_AP_ABS" vbProcedure="false">"c8910"</definedName>
    <definedName function="false" hidden="true" name="IQ_CASH_OTHER_ADJ_NAME_AP" vbProcedure="false">"c8929"</definedName>
    <definedName function="false" hidden="true" name="IQ_CASH_OTHER_ADJ_NAME_AP_ABS" vbProcedure="false">"c8948"</definedName>
    <definedName function="false" hidden="true" name="IQ_CASH_OTHER_BANKS_FOREIGN_COUNTRIES_FFIEC" vbProcedure="false">"c15283"</definedName>
    <definedName function="false" hidden="true" name="IQ_CASH_OTHER_US_COMM_BANK_DEP_INSTIT_FFIEC" vbProcedure="false">"c15281"</definedName>
    <definedName function="false" hidden="true" name="IQ_CASH_SEGREG" vbProcedure="false">"c123"</definedName>
    <definedName function="false" hidden="true" name="IQ_CASH_SHARE" vbProcedure="false">"c1911"</definedName>
    <definedName function="false" hidden="true" name="IQ_CASH_ST" vbProcedure="false">"c1355"</definedName>
    <definedName function="false" hidden="true" name="IQ_CASH_STRUCTURED_PRODUCTS_AVAIL_SALE_FFIEC" vbProcedure="false">"c15263"</definedName>
    <definedName function="false" hidden="true" name="IQ_CASH_STRUCTURED_PRODUCTS_FFIEC" vbProcedure="false">"c15260"</definedName>
    <definedName function="false" hidden="true" name="IQ_CASH_ST_INVEST" vbProcedure="false">"c124"</definedName>
    <definedName function="false" hidden="true" name="IQ_CASH_ST_INVEST_EST" vbProcedure="false">"c4249"</definedName>
    <definedName function="false" hidden="true" name="IQ_CASH_ST_INVEST_GUIDANCE" vbProcedure="false">"c4250"</definedName>
    <definedName function="false" hidden="true" name="IQ_CASH_ST_INVEST_GUIDANCE_CIQ" vbProcedure="false">"c4776"</definedName>
    <definedName function="false" hidden="true" name="IQ_CASH_ST_INVEST_GUIDANCE_CIQ_COL" vbProcedure="false">"c11423"</definedName>
    <definedName function="false" hidden="true" name="IQ_CASH_ST_INVEST_HIGH_EST" vbProcedure="false">"c4251"</definedName>
    <definedName function="false" hidden="true" name="IQ_CASH_ST_INVEST_HIGH_GUIDANCE" vbProcedure="false">"c4195"</definedName>
    <definedName function="false" hidden="true" name="IQ_CASH_ST_INVEST_HIGH_GUIDANCE_CIQ" vbProcedure="false">"c4607"</definedName>
    <definedName function="false" hidden="true" name="IQ_CASH_ST_INVEST_HIGH_GUIDANCE_CIQ_COL" vbProcedure="false">"c11256"</definedName>
    <definedName function="false" hidden="true" name="IQ_CASH_ST_INVEST_LOW_EST" vbProcedure="false">"c4252"</definedName>
    <definedName function="false" hidden="true" name="IQ_CASH_ST_INVEST_LOW_GUIDANCE" vbProcedure="false">"c4235"</definedName>
    <definedName function="false" hidden="true" name="IQ_CASH_ST_INVEST_LOW_GUIDANCE_CIQ" vbProcedure="false">"c4647"</definedName>
    <definedName function="false" hidden="true" name="IQ_CASH_ST_INVEST_LOW_GUIDANCE_CIQ_COL" vbProcedure="false">"c11296"</definedName>
    <definedName function="false" hidden="true" name="IQ_CASH_ST_INVEST_MEDIAN_EST" vbProcedure="false">"c4253"</definedName>
    <definedName function="false" hidden="true" name="IQ_CASH_ST_INVEST_NUM_EST" vbProcedure="false">"c4254"</definedName>
    <definedName function="false" hidden="true" name="IQ_CASH_ST_INVEST_STDDEV_EST" vbProcedure="false">"c4255"</definedName>
    <definedName function="false" hidden="true" name="IQ_CASH_TAXES" vbProcedure="false">"c125"</definedName>
    <definedName function="false" hidden="true" name="IQ_CASH_TAXES_FINAN" vbProcedure="false">"c6292"</definedName>
    <definedName function="false" hidden="true" name="IQ_CASH_TAXES_INVEST" vbProcedure="false">"c6291"</definedName>
    <definedName function="false" hidden="true" name="IQ_CASH_TAXES_OPER" vbProcedure="false">"c6290"</definedName>
    <definedName function="false" hidden="true" name="IQ_CATASTROPHIC_LOSS_RATIO" vbProcedure="false">"c15881"</definedName>
    <definedName function="false" hidden="true" name="IQ_CA_AP" vbProcedure="false">"c8881"</definedName>
    <definedName function="false" hidden="true" name="IQ_CA_AP_ABS" vbProcedure="false">"c8900"</definedName>
    <definedName function="false" hidden="true" name="IQ_CA_NAME_AP" vbProcedure="false">"c8919"</definedName>
    <definedName function="false" hidden="true" name="IQ_CA_NAME_AP_ABS" vbProcedure="false">"c8938"</definedName>
    <definedName function="false" hidden="true" name="IQ_CCE_FDIC" vbProcedure="false">"c6296"</definedName>
    <definedName function="false" hidden="true" name="IQ_CDS_5YR_CIQID" vbProcedure="false">"c11751"</definedName>
    <definedName function="false" hidden="true" name="IQ_CDS_ASK" vbProcedure="false">"c6027"</definedName>
    <definedName function="false" hidden="true" name="IQ_CDS_BID" vbProcedure="false">"c6026"</definedName>
    <definedName function="false" hidden="true" name="IQ_CDS_COUPON" vbProcedure="false">"c15234"</definedName>
    <definedName function="false" hidden="true" name="IQ_CDS_CURRENCY" vbProcedure="false">"c6031"</definedName>
    <definedName function="false" hidden="true" name="IQ_CDS_DERIVATIVES_BENEFICIARY_FFIEC" vbProcedure="false">"c13119"</definedName>
    <definedName function="false" hidden="true" name="IQ_CDS_DERIVATIVES_GUARANTOR_FFIEC" vbProcedure="false">"c13112"</definedName>
    <definedName function="false" hidden="true" name="IQ_CDS_EVAL_DATE" vbProcedure="false">"c6029"</definedName>
    <definedName function="false" hidden="true" name="IQ_CDS_LIST" vbProcedure="false">"c13510"</definedName>
    <definedName function="false" hidden="true" name="IQ_CDS_LOAN_LIST" vbProcedure="false">"c13518"</definedName>
    <definedName function="false" hidden="true" name="IQ_CDS_MID" vbProcedure="false">"c6028"</definedName>
    <definedName function="false" hidden="true" name="IQ_CDS_NAME" vbProcedure="false">"c6034"</definedName>
    <definedName function="false" hidden="true" name="IQ_CDS_NEXT_SERIES_ID" vbProcedure="false">"c15231"</definedName>
    <definedName function="false" hidden="true" name="IQ_CDS_PREV_SERIES_ID" vbProcedure="false">"c15232"</definedName>
    <definedName function="false" hidden="true" name="IQ_CDS_PRICE_TYPE" vbProcedure="false">"c15233"</definedName>
    <definedName function="false" hidden="true" name="IQ_CDS_SENIOR_LIST" vbProcedure="false">"c13508"</definedName>
    <definedName function="false" hidden="true" name="IQ_CDS_SUB_LIST" vbProcedure="false">"c13509"</definedName>
    <definedName function="false" hidden="true" name="IQ_CDS_TERM" vbProcedure="false">"c6030"</definedName>
    <definedName function="false" hidden="true" name="IQ_CDS_TYPE" vbProcedure="false">"c6025"</definedName>
    <definedName function="false" hidden="true" name="IQ_CEDED_AH_EARNED" vbProcedure="false">"c2743"</definedName>
    <definedName function="false" hidden="true" name="IQ_CEDED_CLAIM_ADJ_EXP_RESERVE_BOP" vbProcedure="false">"c15875"</definedName>
    <definedName function="false" hidden="true" name="IQ_CEDED_CLAIM_EXP_INCUR" vbProcedure="false">"c2756"</definedName>
    <definedName function="false" hidden="true" name="IQ_CEDED_CLAIM_EXP_PAID" vbProcedure="false">"c2759"</definedName>
    <definedName function="false" hidden="true" name="IQ_CEDED_CLAIM_EXP_RES" vbProcedure="false">"c2753"</definedName>
    <definedName function="false" hidden="true" name="IQ_CEDED_EARNED" vbProcedure="false">"c2733"</definedName>
    <definedName function="false" hidden="true" name="IQ_CEDED_LIFE_EARNED" vbProcedure="false">"c2738"</definedName>
    <definedName function="false" hidden="true" name="IQ_CEDED_LIFE_IN_FORCE" vbProcedure="false">"c2768"</definedName>
    <definedName function="false" hidden="true" name="IQ_CEDED_LOSSES" vbProcedure="false">"c15872"</definedName>
    <definedName function="false" hidden="true" name="IQ_CEDED_PC_EARNED" vbProcedure="false">"c2748"</definedName>
    <definedName function="false" hidden="true" name="IQ_CEDED_PREMIUMS_EARNED_GROSS_PREMIUMS_EARNED" vbProcedure="false">"c15887"</definedName>
    <definedName function="false" hidden="true" name="IQ_CEDED_PREMIUMS_WRITTEN_GROSS_PREMIUMS_WRITTEN" vbProcedure="false">"c15885"</definedName>
    <definedName function="false" hidden="true" name="IQ_CEDED_WRITTEN" vbProcedure="false">"c2727"</definedName>
    <definedName function="false" hidden="true" name="IQ_CEO_ID" vbProcedure="false">"c15210"</definedName>
    <definedName function="false" hidden="true" name="IQ_CEO_NAME" vbProcedure="false">"c15209"</definedName>
    <definedName function="false" hidden="true" name="IQ_CERTIFIED_OFFICIAL_CHECKS_TRANS_ACCTS_FFIEC" vbProcedure="false">"c15320"</definedName>
    <definedName function="false" hidden="true" name="IQ_CFO_10YR_ANN_CAGR" vbProcedure="false">"c6055"</definedName>
    <definedName function="false" hidden="true" name="IQ_CFO_10YR_ANN_GROWTH" vbProcedure="false">"c126"</definedName>
    <definedName function="false" hidden="true" name="IQ_CFO_1YR_ANN_GROWTH" vbProcedure="false">"c127"</definedName>
    <definedName function="false" hidden="true" name="IQ_CFO_2YR_ANN_CAGR" vbProcedure="false">"c6056"</definedName>
    <definedName function="false" hidden="true" name="IQ_CFO_2YR_ANN_GROWTH" vbProcedure="false">"c128"</definedName>
    <definedName function="false" hidden="true" name="IQ_CFO_3YR_ANN_CAGR" vbProcedure="false">"c6057"</definedName>
    <definedName function="false" hidden="true" name="IQ_CFO_3YR_ANN_GROWTH" vbProcedure="false">"c129"</definedName>
    <definedName function="false" hidden="true" name="IQ_CFO_5YR_ANN_CAGR" vbProcedure="false">"c6058"</definedName>
    <definedName function="false" hidden="true" name="IQ_CFO_5YR_ANN_GROWTH" vbProcedure="false">"c130"</definedName>
    <definedName function="false" hidden="true" name="IQ_CFO_7YR_ANN_CAGR" vbProcedure="false">"c6059"</definedName>
    <definedName function="false" hidden="true" name="IQ_CFO_7YR_ANN_GROWTH" vbProcedure="false">"c131"</definedName>
    <definedName function="false" hidden="true" name="IQ_CFO_CURRENT_LIAB" vbProcedure="false">"c132"</definedName>
    <definedName function="false" hidden="true" name="IQ_CFO_ID" vbProcedure="false">"c15212"</definedName>
    <definedName function="false" hidden="true" name="IQ_CFO_NAME" vbProcedure="false">"c15211"</definedName>
    <definedName function="false" hidden="true" name="IQ_CFPS_ACT_OR_EST" vbProcedure="false">"c2217"</definedName>
    <definedName function="false" hidden="true" name="IQ_CFPS_ACT_OR_EST_REUT" vbProcedure="false">"c5463"</definedName>
    <definedName function="false" hidden="true" name="IQ_CFPS_ACT_OR_EST_THOM" vbProcedure="false">"c5301"</definedName>
    <definedName function="false" hidden="true" name="IQ_CFPS_DET_EST" vbProcedure="false">"c12049"</definedName>
    <definedName function="false" hidden="true" name="IQ_CFPS_DET_EST_CURRENCY" vbProcedure="false">"c12458"</definedName>
    <definedName function="false" hidden="true" name="IQ_CFPS_DET_EST_CURRENCY_THOM" vbProcedure="false">"c12479"</definedName>
    <definedName function="false" hidden="true" name="IQ_CFPS_DET_EST_DATE" vbProcedure="false">"c12202"</definedName>
    <definedName function="false" hidden="true" name="IQ_CFPS_DET_EST_DATE_REUT" vbProcedure="false">"c12283"</definedName>
    <definedName function="false" hidden="true" name="IQ_CFPS_DET_EST_DATE_THOM" vbProcedure="false">"c12228"</definedName>
    <definedName function="false" hidden="true" name="IQ_CFPS_DET_EST_INCL" vbProcedure="false">"c12341"</definedName>
    <definedName function="false" hidden="true" name="IQ_CFPS_DET_EST_INCL_REUT" vbProcedure="false">"c12409"</definedName>
    <definedName function="false" hidden="true" name="IQ_CFPS_DET_EST_INCL_THOM" vbProcedure="false">"c12362"</definedName>
    <definedName function="false" hidden="true" name="IQ_CFPS_DET_EST_ORIGIN" vbProcedure="false">"c12575"</definedName>
    <definedName function="false" hidden="true" name="IQ_CFPS_DET_EST_ORIGIN_REUT" vbProcedure="false">"c12651"</definedName>
    <definedName function="false" hidden="true" name="IQ_CFPS_DET_EST_ORIGIN_THOM" vbProcedure="false">"c12598"</definedName>
    <definedName function="false" hidden="true" name="IQ_CFPS_DET_EST_REUT" vbProcedure="false">"c12141"</definedName>
    <definedName function="false" hidden="true" name="IQ_CFPS_DET_EST_REUT_CURRENCY_CURRENCY_REUT" vbProcedure="false">"c12526"</definedName>
    <definedName function="false" hidden="true" name="IQ_CFPS_DET_EST_THOM" vbProcedure="false">"c12078"</definedName>
    <definedName function="false" hidden="true" name="IQ_CFPS_EST" vbProcedure="false">"c1667"</definedName>
    <definedName function="false" hidden="true" name="IQ_CFPS_EST_REUT" vbProcedure="false">"c3844"</definedName>
    <definedName function="false" hidden="true" name="IQ_CFPS_EST_THOM" vbProcedure="false">"c4006"</definedName>
    <definedName function="false" hidden="true" name="IQ_CFPS_GUIDANCE" vbProcedure="false">"c4256"</definedName>
    <definedName function="false" hidden="true" name="IQ_CFPS_GUIDANCE_CIQ" vbProcedure="false">"c4782"</definedName>
    <definedName function="false" hidden="true" name="IQ_CFPS_GUIDANCE_CIQ_COL" vbProcedure="false">"c11429"</definedName>
    <definedName function="false" hidden="true" name="IQ_CFPS_HIGH_EST" vbProcedure="false">"c1669"</definedName>
    <definedName function="false" hidden="true" name="IQ_CFPS_HIGH_EST_REUT" vbProcedure="false">"c3846"</definedName>
    <definedName function="false" hidden="true" name="IQ_CFPS_HIGH_EST_THOM" vbProcedure="false">"c4008"</definedName>
    <definedName function="false" hidden="true" name="IQ_CFPS_HIGH_GUIDANCE" vbProcedure="false">"c4167"</definedName>
    <definedName function="false" hidden="true" name="IQ_CFPS_HIGH_GUIDANCE_CIQ" vbProcedure="false">"c4579"</definedName>
    <definedName function="false" hidden="true" name="IQ_CFPS_HIGH_GUIDANCE_CIQ_COL" vbProcedure="false">"c11228"</definedName>
    <definedName function="false" hidden="true" name="IQ_CFPS_LOW_EST" vbProcedure="false">"c1670"</definedName>
    <definedName function="false" hidden="true" name="IQ_CFPS_LOW_EST_REUT" vbProcedure="false">"c3847"</definedName>
    <definedName function="false" hidden="true" name="IQ_CFPS_LOW_EST_THOM" vbProcedure="false">"c4009"</definedName>
    <definedName function="false" hidden="true" name="IQ_CFPS_LOW_GUIDANCE" vbProcedure="false">"c4207"</definedName>
    <definedName function="false" hidden="true" name="IQ_CFPS_LOW_GUIDANCE_CIQ" vbProcedure="false">"c4619"</definedName>
    <definedName function="false" hidden="true" name="IQ_CFPS_LOW_GUIDANCE_CIQ_COL" vbProcedure="false">"c11268"</definedName>
    <definedName function="false" hidden="true" name="IQ_CFPS_MEDIAN_EST" vbProcedure="false">"c1668"</definedName>
    <definedName function="false" hidden="true" name="IQ_CFPS_MEDIAN_EST_REUT" vbProcedure="false">"c3845"</definedName>
    <definedName function="false" hidden="true" name="IQ_CFPS_MEDIAN_EST_THOM" vbProcedure="false">"c4007"</definedName>
    <definedName function="false" hidden="true" name="IQ_CFPS_NUM_EST" vbProcedure="false">"c1671"</definedName>
    <definedName function="false" hidden="true" name="IQ_CFPS_NUM_EST_REUT" vbProcedure="false">"c3848"</definedName>
    <definedName function="false" hidden="true" name="IQ_CFPS_NUM_EST_THOM" vbProcedure="false">"c4010"</definedName>
    <definedName function="false" hidden="true" name="IQ_CFPS_STDDEV_EST" vbProcedure="false">"c1672"</definedName>
    <definedName function="false" hidden="true" name="IQ_CFPS_STDDEV_EST_REUT" vbProcedure="false">"c3849"</definedName>
    <definedName function="false" hidden="true" name="IQ_CFPS_STDDEV_EST_THOM" vbProcedure="false">"c4011"</definedName>
    <definedName function="false" hidden="true" name="IQ_CH" vbProcedure="false">110000</definedName>
    <definedName function="false" hidden="true" name="IQ_CHAIRMAN_ID" vbProcedure="false">"c15218"</definedName>
    <definedName function="false" hidden="true" name="IQ_CHAIRMAN_NAME" vbProcedure="false">"c15217"</definedName>
    <definedName function="false" hidden="true" name="IQ_CHANGES_WORK_CAP" vbProcedure="false">"c1357"</definedName>
    <definedName function="false" hidden="true" name="IQ_CHANGE_AP" vbProcedure="false">"c133"</definedName>
    <definedName function="false" hidden="true" name="IQ_CHANGE_AP_BNK" vbProcedure="false">"c134"</definedName>
    <definedName function="false" hidden="true" name="IQ_CHANGE_AP_BR" vbProcedure="false">"c135"</definedName>
    <definedName function="false" hidden="true" name="IQ_CHANGE_AP_FIN" vbProcedure="false">"c136"</definedName>
    <definedName function="false" hidden="true" name="IQ_CHANGE_AP_INS" vbProcedure="false">"c137"</definedName>
    <definedName function="false" hidden="true" name="IQ_CHANGE_AP_RE" vbProcedure="false">"c6200"</definedName>
    <definedName function="false" hidden="true" name="IQ_CHANGE_AP_REIT" vbProcedure="false">"c138"</definedName>
    <definedName function="false" hidden="true" name="IQ_CHANGE_AP_UTI" vbProcedure="false">"c139"</definedName>
    <definedName function="false" hidden="true" name="IQ_CHANGE_AR" vbProcedure="false">"c140"</definedName>
    <definedName function="false" hidden="true" name="IQ_CHANGE_AR_BNK" vbProcedure="false">"c141"</definedName>
    <definedName function="false" hidden="true" name="IQ_CHANGE_AR_BR" vbProcedure="false">"c142"</definedName>
    <definedName function="false" hidden="true" name="IQ_CHANGE_AR_FIN" vbProcedure="false">"c143"</definedName>
    <definedName function="false" hidden="true" name="IQ_CHANGE_AR_INS" vbProcedure="false">"c144"</definedName>
    <definedName function="false" hidden="true" name="IQ_CHANGE_AR_RE" vbProcedure="false">"c6201"</definedName>
    <definedName function="false" hidden="true" name="IQ_CHANGE_AR_REIT" vbProcedure="false">"c145"</definedName>
    <definedName function="false" hidden="true" name="IQ_CHANGE_AR_UTI" vbProcedure="false">"c146"</definedName>
    <definedName function="false" hidden="true" name="IQ_CHANGE_DEF_TAX" vbProcedure="false">"c147"</definedName>
    <definedName function="false" hidden="true" name="IQ_CHANGE_DEF_TAX_TOTAL" vbProcedure="false">"c15557"</definedName>
    <definedName function="false" hidden="true" name="IQ_CHANGE_DEPOSIT_ACCT" vbProcedure="false">"c148"</definedName>
    <definedName function="false" hidden="true" name="IQ_CHANGE_FAIR_VALUE_FINANCIAL_LIAB_T1_FFIEC" vbProcedure="false">"c13138"</definedName>
    <definedName function="false" hidden="true" name="IQ_CHANGE_FAIR_VALUE_OPTIONS_FFIEC" vbProcedure="false">"c13045"</definedName>
    <definedName function="false" hidden="true" name="IQ_CHANGE_INC_TAX" vbProcedure="false">"c149"</definedName>
    <definedName function="false" hidden="true" name="IQ_CHANGE_INS_RES_LIAB" vbProcedure="false">"c150"</definedName>
    <definedName function="false" hidden="true" name="IQ_CHANGE_INVENT" vbProcedure="false">"c6826"</definedName>
    <definedName function="false" hidden="true" name="IQ_CHANGE_INVENTORY" vbProcedure="false">"c151"</definedName>
    <definedName function="false" hidden="true" name="IQ_CHANGE_INVENT_APR" vbProcedure="false">"c7486"</definedName>
    <definedName function="false" hidden="true" name="IQ_CHANGE_INVENT_POP" vbProcedure="false">"c7046"</definedName>
    <definedName function="false" hidden="true" name="IQ_CHANGE_INVENT_REAL_APR_FC_UNUSED" vbProcedure="false">"c8500"</definedName>
    <definedName function="false" hidden="true" name="IQ_CHANGE_INVENT_REAL_APR_UNUSED" vbProcedure="false">"c7620"</definedName>
    <definedName function="false" hidden="true" name="IQ_CHANGE_INVENT_REAL_FC_UNUSED" vbProcedure="false">"c7840"</definedName>
    <definedName function="false" hidden="true" name="IQ_CHANGE_INVENT_REAL_POP_FC_UNUSED" vbProcedure="false">"c8060"</definedName>
    <definedName function="false" hidden="true" name="IQ_CHANGE_INVENT_REAL_POP_UNUSED" vbProcedure="false">"c7180"</definedName>
    <definedName function="false" hidden="true" name="IQ_CHANGE_INVENT_REAL_SAAR" vbProcedure="false">"c6962"</definedName>
    <definedName function="false" hidden="true" name="IQ_CHANGE_INVENT_REAL_SAAR_APR" vbProcedure="false">"c7622"</definedName>
    <definedName function="false" hidden="true" name="IQ_CHANGE_INVENT_REAL_SAAR_APR_FC" vbProcedure="false">"c8502"</definedName>
    <definedName function="false" hidden="true" name="IQ_CHANGE_INVENT_REAL_SAAR_FC" vbProcedure="false">"c7842"</definedName>
    <definedName function="false" hidden="true" name="IQ_CHANGE_INVENT_REAL_SAAR_POP" vbProcedure="false">"c7182"</definedName>
    <definedName function="false" hidden="true" name="IQ_CHANGE_INVENT_REAL_SAAR_POP_FC" vbProcedure="false">"c8062"</definedName>
    <definedName function="false" hidden="true" name="IQ_CHANGE_INVENT_REAL_SAAR_USD_APR_FC" vbProcedure="false">"c11917"</definedName>
    <definedName function="false" hidden="true" name="IQ_CHANGE_INVENT_REAL_SAAR_USD_FC" vbProcedure="false">"c11914"</definedName>
    <definedName function="false" hidden="true" name="IQ_CHANGE_INVENT_REAL_SAAR_USD_POP_FC" vbProcedure="false">"c11915"</definedName>
    <definedName function="false" hidden="true" name="IQ_CHANGE_INVENT_REAL_SAAR_USD_YOY_FC" vbProcedure="false">"c11916"</definedName>
    <definedName function="false" hidden="true" name="IQ_CHANGE_INVENT_REAL_SAAR_YOY" vbProcedure="false">"c7402"</definedName>
    <definedName function="false" hidden="true" name="IQ_CHANGE_INVENT_REAL_SAAR_YOY_FC" vbProcedure="false">"c8282"</definedName>
    <definedName function="false" hidden="true" name="IQ_CHANGE_INVENT_REAL_UNUSED" vbProcedure="false">"c6960"</definedName>
    <definedName function="false" hidden="true" name="IQ_CHANGE_INVENT_REAL_USD_APR_FC" vbProcedure="false">"c11913"</definedName>
    <definedName function="false" hidden="true" name="IQ_CHANGE_INVENT_REAL_USD_FC" vbProcedure="false">"c11910"</definedName>
    <definedName function="false" hidden="true" name="IQ_CHANGE_INVENT_REAL_USD_POP_FC" vbProcedure="false">"c11911"</definedName>
    <definedName function="false" hidden="true" name="IQ_CHANGE_INVENT_REAL_USD_YOY_FC" vbProcedure="false">"c11912"</definedName>
    <definedName function="false" hidden="true" name="IQ_CHANGE_INVENT_REAL_YOY_FC_UNUSED" vbProcedure="false">"c8280"</definedName>
    <definedName function="false" hidden="true" name="IQ_CHANGE_INVENT_REAL_YOY_UNUSED" vbProcedure="false">"c7400"</definedName>
    <definedName function="false" hidden="true" name="IQ_CHANGE_INVENT_SAAR" vbProcedure="false">"c6827"</definedName>
    <definedName function="false" hidden="true" name="IQ_CHANGE_INVENT_SAAR_APR" vbProcedure="false">"c7487"</definedName>
    <definedName function="false" hidden="true" name="IQ_CHANGE_INVENT_SAAR_APR_FC" vbProcedure="false">"c8367"</definedName>
    <definedName function="false" hidden="true" name="IQ_CHANGE_INVENT_SAAR_FC" vbProcedure="false">"c7707"</definedName>
    <definedName function="false" hidden="true" name="IQ_CHANGE_INVENT_SAAR_POP" vbProcedure="false">"c7047"</definedName>
    <definedName function="false" hidden="true" name="IQ_CHANGE_INVENT_SAAR_POP_FC" vbProcedure="false">"c7927"</definedName>
    <definedName function="false" hidden="true" name="IQ_CHANGE_INVENT_SAAR_YOY" vbProcedure="false">"c7267"</definedName>
    <definedName function="false" hidden="true" name="IQ_CHANGE_INVENT_SAAR_YOY_FC" vbProcedure="false">"c8147"</definedName>
    <definedName function="false" hidden="true" name="IQ_CHANGE_INVENT_YOY" vbProcedure="false">"c7266"</definedName>
    <definedName function="false" hidden="true" name="IQ_CHANGE_NET_OPER_ASSETS" vbProcedure="false">"c3592"</definedName>
    <definedName function="false" hidden="true" name="IQ_CHANGE_NET_WORKING_CAPITAL" vbProcedure="false">"c1909"</definedName>
    <definedName function="false" hidden="true" name="IQ_CHANGE_OTHER_NET_OPER_ASSETS" vbProcedure="false">"c3593"</definedName>
    <definedName function="false" hidden="true" name="IQ_CHANGE_OTHER_NET_OPER_ASSETS_BNK" vbProcedure="false">"c3594"</definedName>
    <definedName function="false" hidden="true" name="IQ_CHANGE_OTHER_NET_OPER_ASSETS_BR" vbProcedure="false">"c3595"</definedName>
    <definedName function="false" hidden="true" name="IQ_CHANGE_OTHER_NET_OPER_ASSETS_FIN" vbProcedure="false">"c3596"</definedName>
    <definedName function="false" hidden="true" name="IQ_CHANGE_OTHER_NET_OPER_ASSETS_INS" vbProcedure="false">"c3597"</definedName>
    <definedName function="false" hidden="true" name="IQ_CHANGE_OTHER_NET_OPER_ASSETS_RE" vbProcedure="false">"c6285"</definedName>
    <definedName function="false" hidden="true" name="IQ_CHANGE_OTHER_NET_OPER_ASSETS_REIT" vbProcedure="false">"c3598"</definedName>
    <definedName function="false" hidden="true" name="IQ_CHANGE_OTHER_NET_OPER_ASSETS_UTI" vbProcedure="false">"c3599"</definedName>
    <definedName function="false" hidden="true" name="IQ_CHANGE_OTHER_WORK_CAP" vbProcedure="false">"c152"</definedName>
    <definedName function="false" hidden="true" name="IQ_CHANGE_OTHER_WORK_CAP_BNK" vbProcedure="false">"c153"</definedName>
    <definedName function="false" hidden="true" name="IQ_CHANGE_OTHER_WORK_CAP_BR" vbProcedure="false">"c154"</definedName>
    <definedName function="false" hidden="true" name="IQ_CHANGE_OTHER_WORK_CAP_FIN" vbProcedure="false">"c155"</definedName>
    <definedName function="false" hidden="true" name="IQ_CHANGE_OTHER_WORK_CAP_INS" vbProcedure="false">"c156"</definedName>
    <definedName function="false" hidden="true" name="IQ_CHANGE_OTHER_WORK_CAP_REIT" vbProcedure="false">"c157"</definedName>
    <definedName function="false" hidden="true" name="IQ_CHANGE_OTHER_WORK_CAP_UTI" vbProcedure="false">"c158"</definedName>
    <definedName function="false" hidden="true" name="IQ_CHANGE_PRIVATE_INVENT" vbProcedure="false">"c6828"</definedName>
    <definedName function="false" hidden="true" name="IQ_CHANGE_PRIVATE_INVENT_APR" vbProcedure="false">"c7488"</definedName>
    <definedName function="false" hidden="true" name="IQ_CHANGE_PRIVATE_INVENT_APR_FC" vbProcedure="false">"c8368"</definedName>
    <definedName function="false" hidden="true" name="IQ_CHANGE_PRIVATE_INVENT_FC" vbProcedure="false">"c7708"</definedName>
    <definedName function="false" hidden="true" name="IQ_CHANGE_PRIVATE_INVENT_POP" vbProcedure="false">"c7048"</definedName>
    <definedName function="false" hidden="true" name="IQ_CHANGE_PRIVATE_INVENT_POP_FC" vbProcedure="false">"c7928"</definedName>
    <definedName function="false" hidden="true" name="IQ_CHANGE_PRIVATE_INVENT_YOY" vbProcedure="false">"c7268"</definedName>
    <definedName function="false" hidden="true" name="IQ_CHANGE_PRIVATE_INVENT_YOY_FC" vbProcedure="false">"c8148"</definedName>
    <definedName function="false" hidden="true" name="IQ_CHANGE_TRADING_ASSETS" vbProcedure="false">"c159"</definedName>
    <definedName function="false" hidden="true" name="IQ_CHANGE_UNEARN_REV" vbProcedure="false">"c160"</definedName>
    <definedName function="false" hidden="true" name="IQ_CHANGE_UNRECOG_TAX_BENEFIT_1_YR_MAX" vbProcedure="false">"c15747"</definedName>
    <definedName function="false" hidden="true" name="IQ_CHANGE_UNRECOG_TAX_BENEFIT_1_YR_MIN" vbProcedure="false">"c15746"</definedName>
    <definedName function="false" hidden="true" name="IQ_CHANGE_WORK_CAP" vbProcedure="false">"c161"</definedName>
    <definedName function="false" hidden="true" name="IQ_CHARGE_OFFS_1_4_FAMILY_FDIC" vbProcedure="false">"c6756"</definedName>
    <definedName function="false" hidden="true" name="IQ_CHARGE_OFFS_1_4_FAMILY_LOANS_FDIC" vbProcedure="false">"c6714"</definedName>
    <definedName function="false" hidden="true" name="IQ_CHARGE_OFFS_AUTO_LOANS_FDIC" vbProcedure="false">"c6708"</definedName>
    <definedName function="false" hidden="true" name="IQ_CHARGE_OFFS_CL_LOANS_FDIC" vbProcedure="false">"c6709"</definedName>
    <definedName function="false" hidden="true" name="IQ_CHARGE_OFFS_COMMERCIAL_INDUSTRIAL_FDIC" vbProcedure="false">"c6759"</definedName>
    <definedName function="false" hidden="true" name="IQ_CHARGE_OFFS_COMMERCIAL_RE_FDIC" vbProcedure="false">"c6754"</definedName>
    <definedName function="false" hidden="true" name="IQ_CHARGE_OFFS_COMMERCIAL_RE_NOT_SECURED_FDIC" vbProcedure="false">"c6764"</definedName>
    <definedName function="false" hidden="true" name="IQ_CHARGE_OFFS_CONSTRUCTION_DEVELOPMENT_FDIC" vbProcedure="false">"c6753"</definedName>
    <definedName function="false" hidden="true" name="IQ_CHARGE_OFFS_CREDIT_CARDS_FDIC" vbProcedure="false">"c6761"</definedName>
    <definedName function="false" hidden="true" name="IQ_CHARGE_OFFS_CREDIT_CARDS_RECEIVABLES_FDIC" vbProcedure="false">"c6711"</definedName>
    <definedName function="false" hidden="true" name="IQ_CHARGE_OFFS_GROSS" vbProcedure="false">"c162"</definedName>
    <definedName function="false" hidden="true" name="IQ_CHARGE_OFFS_HOME_EQUITY_FDIC" vbProcedure="false">"c6757"</definedName>
    <definedName function="false" hidden="true" name="IQ_CHARGE_OFFS_HOME_EQUITY_LINES_FDIC" vbProcedure="false">"c6712"</definedName>
    <definedName function="false" hidden="true" name="IQ_CHARGE_OFFS_INDIVIDUALS_FDIC" vbProcedure="false">"c6760"</definedName>
    <definedName function="false" hidden="true" name="IQ_CHARGE_OFFS_MULTI_FAMILY_FDIC" vbProcedure="false">"c6755"</definedName>
    <definedName function="false" hidden="true" name="IQ_CHARGE_OFFS_NET" vbProcedure="false">"c163"</definedName>
    <definedName function="false" hidden="true" name="IQ_CHARGE_OFFS_OTHER_1_4_FAMILY_FDIC" vbProcedure="false">"c6758"</definedName>
    <definedName function="false" hidden="true" name="IQ_CHARGE_OFFS_OTHER_CONSUMER_LOANS_FDIC" vbProcedure="false">"c6710"</definedName>
    <definedName function="false" hidden="true" name="IQ_CHARGE_OFFS_OTHER_INDIVIDUAL_FDIC" vbProcedure="false">"c6762"</definedName>
    <definedName function="false" hidden="true" name="IQ_CHARGE_OFFS_OTHER_LOANS_FDIC" vbProcedure="false">"c6763"</definedName>
    <definedName function="false" hidden="true" name="IQ_CHARGE_OFFS_OTHER_LOANS_OTHER_FDIC" vbProcedure="false">"c6713"</definedName>
    <definedName function="false" hidden="true" name="IQ_CHARGE_OFFS_RECOVERED" vbProcedure="false">"c164"</definedName>
    <definedName function="false" hidden="true" name="IQ_CHARGE_OFFS_RE_LOANS_FDIC" vbProcedure="false">"c6752"</definedName>
    <definedName function="false" hidden="true" name="IQ_CHARGE_OFFS_TOTAL_AVG_LOANS" vbProcedure="false">"c165"</definedName>
    <definedName function="false" hidden="true" name="IQ_CHICAGO_PMI" vbProcedure="false">"c6829"</definedName>
    <definedName function="false" hidden="true" name="IQ_CHICAGO_PMI_APR" vbProcedure="false">"c7489"</definedName>
    <definedName function="false" hidden="true" name="IQ_CHICAGO_PMI_APR_FC" vbProcedure="false">"c8369"</definedName>
    <definedName function="false" hidden="true" name="IQ_CHICAGO_PMI_FC" vbProcedure="false">"c7709"</definedName>
    <definedName function="false" hidden="true" name="IQ_CHICAGO_PMI_POP" vbProcedure="false">"c7049"</definedName>
    <definedName function="false" hidden="true" name="IQ_CHICAGO_PMI_POP_FC" vbProcedure="false">"c7929"</definedName>
    <definedName function="false" hidden="true" name="IQ_CHICAGO_PMI_YOY" vbProcedure="false">"c7269"</definedName>
    <definedName function="false" hidden="true" name="IQ_CHICAGO_PMI_YOY_FC" vbProcedure="false">"c8149"</definedName>
    <definedName function="false" hidden="true" name="IQ_CHURN_BASIC_CABLE" vbProcedure="false">"c2871"</definedName>
    <definedName function="false" hidden="true" name="IQ_CHURN_BBAND" vbProcedure="false">"c2872"</definedName>
    <definedName function="false" hidden="true" name="IQ_CHURN_DIG_CABLE" vbProcedure="false">"c2870"</definedName>
    <definedName function="false" hidden="true" name="IQ_CHURN_PHONE" vbProcedure="false">"c2873"</definedName>
    <definedName function="false" hidden="true" name="IQ_CHURN_POSTPAID_WIRELESS" vbProcedure="false">"c2121"</definedName>
    <definedName function="false" hidden="true" name="IQ_CHURN_PREPAID_WIRELESS" vbProcedure="false">"c2120"</definedName>
    <definedName function="false" hidden="true" name="IQ_CHURN_SATELLITE" vbProcedure="false">"c15791"</definedName>
    <definedName function="false" hidden="true" name="IQ_CHURN_TOTAL" vbProcedure="false">"c2874"</definedName>
    <definedName function="false" hidden="true" name="IQ_CHURN_TOTAL_WIRELESS" vbProcedure="false">"c2122"</definedName>
    <definedName function="false" hidden="true" name="IQ_CITY" vbProcedure="false">"c166"</definedName>
    <definedName function="false" hidden="true" name="IQ_CLAIMS_ADJUSTMENT_EXP_PC_FFIEC" vbProcedure="false">"c13100"</definedName>
    <definedName function="false" hidden="true" name="IQ_CLASSA_OPTIONS_BEG_OS" vbProcedure="false">"c2679"</definedName>
    <definedName function="false" hidden="true" name="IQ_CLASSA_OPTIONS_CANCELLED" vbProcedure="false">"c2682"</definedName>
    <definedName function="false" hidden="true" name="IQ_CLASSA_OPTIONS_END_OS" vbProcedure="false">"c2683"</definedName>
    <definedName function="false" hidden="true" name="IQ_CLASSA_OPTIONS_EXERCISABLE_END_OS" vbProcedure="false">"c5809"</definedName>
    <definedName function="false" hidden="true" name="IQ_CLASSA_OPTIONS_EXERCISED" vbProcedure="false">"c2681"</definedName>
    <definedName function="false" hidden="true" name="IQ_CLASSA_OPTIONS_GRANTED" vbProcedure="false">"c2680"</definedName>
    <definedName function="false" hidden="true" name="IQ_CLASSA_OPTIONS_STRIKE_PRICE_BEG_OS" vbProcedure="false">"c5810"</definedName>
    <definedName function="false" hidden="true" name="IQ_CLASSA_OPTIONS_STRIKE_PRICE_CANCELLED" vbProcedure="false">"c5812"</definedName>
    <definedName function="false" hidden="true" name="IQ_CLASSA_OPTIONS_STRIKE_PRICE_EXERCISABLE" vbProcedure="false">"c5813"</definedName>
    <definedName function="false" hidden="true" name="IQ_CLASSA_OPTIONS_STRIKE_PRICE_EXERCISED" vbProcedure="false">"c5811"</definedName>
    <definedName function="false" hidden="true" name="IQ_CLASSA_OPTIONS_STRIKE_PRICE_OS" vbProcedure="false">"c2684"</definedName>
    <definedName function="false" hidden="true" name="IQ_CLASSA_OUTSTANDING_BS_DATE" vbProcedure="false">"c1971"</definedName>
    <definedName function="false" hidden="true" name="IQ_CLASSA_OUTSTANDING_FILING_DATE" vbProcedure="false">"c1973"</definedName>
    <definedName function="false" hidden="true" name="IQ_CLASSA_STRIKE_PRICE_GRANTED" vbProcedure="false">"c2685"</definedName>
    <definedName function="false" hidden="true" name="IQ_CLASSA_WARRANTS_BEG_OS" vbProcedure="false">"c2705"</definedName>
    <definedName function="false" hidden="true" name="IQ_CLASSA_WARRANTS_CANCELLED" vbProcedure="false">"c2708"</definedName>
    <definedName function="false" hidden="true" name="IQ_CLASSA_WARRANTS_END_OS" vbProcedure="false">"c2709"</definedName>
    <definedName function="false" hidden="true" name="IQ_CLASSA_WARRANTS_EXERCISED" vbProcedure="false">"c2707"</definedName>
    <definedName function="false" hidden="true" name="IQ_CLASSA_WARRANTS_ISSUED" vbProcedure="false">"c2706"</definedName>
    <definedName function="false" hidden="true" name="IQ_CLASSA_WARRANTS_STRIKE_PRICE_ISSUED" vbProcedure="false">"c2711"</definedName>
    <definedName function="false" hidden="true" name="IQ_CLASSA_WARRANTS_STRIKE_PRICE_OS" vbProcedure="false">"c2710"</definedName>
    <definedName function="false" hidden="true" name="IQ_CLASS_MARKETCAP" vbProcedure="false">"c13512"</definedName>
    <definedName function="false" hidden="true" name="IQ_CLASS_SHARESOUTSTANDING" vbProcedure="false">"c13513"</definedName>
    <definedName function="false" hidden="true" name="IQ_CLOSED_END_1_4_FAM_LOANS_TOT_LOANS_FFIEC" vbProcedure="false">"c13866"</definedName>
    <definedName function="false" hidden="true" name="IQ_CLOSED_END_1_4_FIRST_LIENS_TRADING_DOM_FFIEC" vbProcedure="false">"c12928"</definedName>
    <definedName function="false" hidden="true" name="IQ_CLOSED_END_1_4_JR_LIENS_LL_REC_DOM_FFIEC" vbProcedure="false">"c12904"</definedName>
    <definedName function="false" hidden="true" name="IQ_CLOSED_END_1_4_JUNIOR_LIENS_TRADING_DOM_FFIEC" vbProcedure="false">"c12929"</definedName>
    <definedName function="false" hidden="true" name="IQ_CLOSED_END_SECURED_1_4_FIRST_LIENS_LL_REC_DOM_FFIEC" vbProcedure="false">"c12903"</definedName>
    <definedName function="false" hidden="true" name="IQ_CLOSED_END_SEC_1_4_1ST_LIENS_CHARGE_OFFS_FFIEC" vbProcedure="false">"c13169"</definedName>
    <definedName function="false" hidden="true" name="IQ_CLOSED_END_SEC_1_4_1ST_LIENS_DUE_30_89_FFIEC" vbProcedure="false">"c13261"</definedName>
    <definedName function="false" hidden="true" name="IQ_CLOSED_END_SEC_1_4_1ST_LIENS_DUE_90_FFIEC" vbProcedure="false">"c13289"</definedName>
    <definedName function="false" hidden="true" name="IQ_CLOSED_END_SEC_1_4_1ST_LIENS_NON_ACCRUAL_FFIEC" vbProcedure="false">"c13315"</definedName>
    <definedName function="false" hidden="true" name="IQ_CLOSED_END_SEC_1_4_1ST_LIENS_RECOV_FFIEC" vbProcedure="false">"c13191"</definedName>
    <definedName function="false" hidden="true" name="IQ_CLOSED_END_SEC_1_4_JR_LIENS_CHARGE_OFFS_FFIEC" vbProcedure="false">"c13170"</definedName>
    <definedName function="false" hidden="true" name="IQ_CLOSED_END_SEC_1_4_JR_LIENS_DUE_30_89_FFIEC" vbProcedure="false">"c13262"</definedName>
    <definedName function="false" hidden="true" name="IQ_CLOSED_END_SEC_1_4_JR_LIENS_DUE_90_FFIEC" vbProcedure="false">"c13290"</definedName>
    <definedName function="false" hidden="true" name="IQ_CLOSED_END_SEC_1_4_JR_LIENS_NON_ACCRUAL_FFIEC" vbProcedure="false">"c13316"</definedName>
    <definedName function="false" hidden="true" name="IQ_CLOSED_END_SEC_1_4_JR_LIENS_RECOV_FFIEC" vbProcedure="false">"c13192"</definedName>
    <definedName function="false" hidden="true" name="IQ_CLOSED_END_SEC_1_4_RESIDENT_CHARGE_OFFS_FFIEC" vbProcedure="false">"c15397"</definedName>
    <definedName function="false" hidden="true" name="IQ_CLOSED_END_SEC_1_4_RESIDENT_DUE_30_89_FFIEC" vbProcedure="false">"c15413"</definedName>
    <definedName function="false" hidden="true" name="IQ_CLOSED_END_SEC_1_4_RESIDENT_DUE_90_FFIEC" vbProcedure="false">"c15417"</definedName>
    <definedName function="false" hidden="true" name="IQ_CLOSED_END_SEC_1_4_RESIDENT_NON_ACCRUAL_FFIEC" vbProcedure="false">"c15460"</definedName>
    <definedName function="false" hidden="true" name="IQ_CLOSED_END_SEC_1_4_RESIDENT_RECOV_FFIEC" vbProcedure="false">"c15398"</definedName>
    <definedName function="false" hidden="true" name="IQ_CLOSED_LOANS_GROSS_LOANS_FFIEC" vbProcedure="false">"c13399"</definedName>
    <definedName function="false" hidden="true" name="IQ_CLOSED_LOANS_RISK_BASED_FFIEC" vbProcedure="false">"c13420"</definedName>
    <definedName function="false" hidden="true" name="IQ_CLOSEPRICE" vbProcedure="false">"c174"</definedName>
    <definedName function="false" hidden="true" name="IQ_CLOSEPRICE_ADJ" vbProcedure="false">"c2115"</definedName>
    <definedName function="false" hidden="true" name="IQ_CLOSEPRICE_RT" vbProcedure="false">"CLOSE"</definedName>
    <definedName function="false" hidden="true" name="IQ_CL_AP" vbProcedure="false">"c8884"</definedName>
    <definedName function="false" hidden="true" name="IQ_CL_AP_ABS" vbProcedure="false">"c8903"</definedName>
    <definedName function="false" hidden="true" name="IQ_CL_DUE_AFTER_FIVE" vbProcedure="false">"c167"</definedName>
    <definedName function="false" hidden="true" name="IQ_CL_DUE_CY" vbProcedure="false">"c168"</definedName>
    <definedName function="false" hidden="true" name="IQ_CL_DUE_CY1" vbProcedure="false">"c169"</definedName>
    <definedName function="false" hidden="true" name="IQ_CL_DUE_CY2" vbProcedure="false">"c170"</definedName>
    <definedName function="false" hidden="true" name="IQ_CL_DUE_CY3" vbProcedure="false">"c171"</definedName>
    <definedName function="false" hidden="true" name="IQ_CL_DUE_CY4" vbProcedure="false">"c172"</definedName>
    <definedName function="false" hidden="true" name="IQ_CL_DUE_NEXT_FIVE" vbProcedure="false">"c173"</definedName>
    <definedName function="false" hidden="true" name="IQ_CL_NAME_AP" vbProcedure="false">"c8922"</definedName>
    <definedName function="false" hidden="true" name="IQ_CL_NAME_AP_ABS" vbProcedure="false">"c8941"</definedName>
    <definedName function="false" hidden="true" name="IQ_CL_OBLIGATION_IMMEDIATE" vbProcedure="false">"c2253"</definedName>
    <definedName function="false" hidden="true" name="IQ_CMBS_ISSUED_AVAIL_SALE_FFIEC" vbProcedure="false">"c12800"</definedName>
    <definedName function="false" hidden="true" name="IQ_CMBS_ISSUED_FFIEC" vbProcedure="false">"c12786"</definedName>
    <definedName function="false" hidden="true" name="IQ_CMO_FDIC" vbProcedure="false">"c6406"</definedName>
    <definedName function="false" hidden="true" name="IQ_COAL_SALES_TO_OPERATING_REVENUE_COAL" vbProcedure="false">"c15954"</definedName>
    <definedName function="false" hidden="true" name="IQ_COGS" vbProcedure="false">"c175"</definedName>
    <definedName function="false" hidden="true" name="IQ_COLLATERAL_TYPE" vbProcedure="false">"c8954"</definedName>
    <definedName function="false" hidden="true" name="IQ_COLLECTION_DOMESTIC_FDIC" vbProcedure="false">"c6387"</definedName>
    <definedName function="false" hidden="true" name="IQ_COMBINED_RATIO" vbProcedure="false">"c176"</definedName>
    <definedName function="false" hidden="true" name="IQ_COMMERCIAL_BANKS_DEPOSITS_FOREIGN_FDIC" vbProcedure="false">"c6480"</definedName>
    <definedName function="false" hidden="true" name="IQ_COMMERCIAL_BANKS_LOANS_FDIC" vbProcedure="false">"c6434"</definedName>
    <definedName function="false" hidden="true" name="IQ_COMMERCIAL_BANKS_NONTRANSACTION_ACCOUNTS_FDIC" vbProcedure="false">"c6548"</definedName>
    <definedName function="false" hidden="true" name="IQ_COMMERCIAL_BANKS_TOTAL_DEPOSITS_FDIC" vbProcedure="false">"c6474"</definedName>
    <definedName function="false" hidden="true" name="IQ_COMMERCIAL_BANKS_TOTAL_LOANS_FOREIGN_FDIC" vbProcedure="false">"c6444"</definedName>
    <definedName function="false" hidden="true" name="IQ_COMMERCIAL_BANKS_TRANSACTION_ACCOUNTS_FDIC" vbProcedure="false">"c6540"</definedName>
    <definedName function="false" hidden="true" name="IQ_COMMERCIAL_DOM" vbProcedure="false">"c177"</definedName>
    <definedName function="false" hidden="true" name="IQ_COMMERCIAL_FIRE_WRITTEN" vbProcedure="false">"c178"</definedName>
    <definedName function="false" hidden="true" name="IQ_COMMERCIAL_INDUSTRIAL_CHARGE_OFFS_FDIC" vbProcedure="false">"c6598"</definedName>
    <definedName function="false" hidden="true" name="IQ_COMMERCIAL_INDUSTRIAL_DOM_QUARTERLY_AVG_FFIEC" vbProcedure="false">"c15478"</definedName>
    <definedName function="false" hidden="true" name="IQ_COMMERCIAL_INDUSTRIAL_GROSS_LOANS_FFIEC" vbProcedure="false">"c13410"</definedName>
    <definedName function="false" hidden="true" name="IQ_COMMERCIAL_INDUSTRIAL_LOANS_DUE_30_89_FFIEC" vbProcedure="false">"c13271"</definedName>
    <definedName function="false" hidden="true" name="IQ_COMMERCIAL_INDUSTRIAL_LOANS_DUE_90_FFIEC" vbProcedure="false">"c13297"</definedName>
    <definedName function="false" hidden="true" name="IQ_COMMERCIAL_INDUSTRIAL_LOANS_LL_REC_DOM_FFIEC" vbProcedure="false">"c12910"</definedName>
    <definedName function="false" hidden="true" name="IQ_COMMERCIAL_INDUSTRIAL_LOANS_NET_FDIC" vbProcedure="false">"c6317"</definedName>
    <definedName function="false" hidden="true" name="IQ_COMMERCIAL_INDUSTRIAL_LOANS_NON_ACCRUAL_FFIEC" vbProcedure="false">"c13323"</definedName>
    <definedName function="false" hidden="true" name="IQ_COMMERCIAL_INDUSTRIAL_NET_CHARGE_OFFS_FDIC" vbProcedure="false">"c6636"</definedName>
    <definedName function="false" hidden="true" name="IQ_COMMERCIAL_INDUSTRIAL_NON_US_CHARGE_OFFS_FFIEC" vbProcedure="false">"c13179"</definedName>
    <definedName function="false" hidden="true" name="IQ_COMMERCIAL_INDUSTRIAL_NON_US_DUE_30_89_FFIEC" vbProcedure="false">"c15415"</definedName>
    <definedName function="false" hidden="true" name="IQ_COMMERCIAL_INDUSTRIAL_NON_US_DUE_90_FFIEC" vbProcedure="false">"c15419"</definedName>
    <definedName function="false" hidden="true" name="IQ_COMMERCIAL_INDUSTRIAL_NON_US_NON_ACCRUAL_FFIEC" vbProcedure="false">"c15464"</definedName>
    <definedName function="false" hidden="true" name="IQ_COMMERCIAL_INDUSTRIAL_NON_US_RECOV_FFIEC" vbProcedure="false">"c13201"</definedName>
    <definedName function="false" hidden="true" name="IQ_COMMERCIAL_INDUSTRIAL_RECOVERIES_FDIC" vbProcedure="false">"c6617"</definedName>
    <definedName function="false" hidden="true" name="IQ_COMMERCIAL_INDUSTRIAL_RISK_BASED_FFIEC" vbProcedure="false">"c13431"</definedName>
    <definedName function="false" hidden="true" name="IQ_COMMERCIAL_INDUSTRIAL_TOTAL_LOANS_FOREIGN_FDIC" vbProcedure="false">"c6451"</definedName>
    <definedName function="false" hidden="true" name="IQ_COMMERCIAL_INDUSTRIAL_TRADING_DOM_FFIEC" vbProcedure="false">"c12932"</definedName>
    <definedName function="false" hidden="true" name="IQ_COMMERCIAL_INDUSTRIAL_US_CHARGE_OFFS_FFIEC" vbProcedure="false">"c13178"</definedName>
    <definedName function="false" hidden="true" name="IQ_COMMERCIAL_INDUSTRIAL_US_DUE_30_89_FFIEC" vbProcedure="false">"c15414"</definedName>
    <definedName function="false" hidden="true" name="IQ_COMMERCIAL_INDUSTRIAL_US_DUE_90_FFIEC" vbProcedure="false">"c15418"</definedName>
    <definedName function="false" hidden="true" name="IQ_COMMERCIAL_INDUSTRIAL_US_NON_ACCRUAL_FFIEC" vbProcedure="false">"c15463"</definedName>
    <definedName function="false" hidden="true" name="IQ_COMMERCIAL_INDUSTRIAL_US_RECOV_FFIEC" vbProcedure="false">"c13200"</definedName>
    <definedName function="false" hidden="true" name="IQ_COMMERCIAL_INVEST_CABLE_INVEST" vbProcedure="false">"c15806"</definedName>
    <definedName function="false" hidden="true" name="IQ_COMMERCIAL_LOANS_TOTAL_LOANS" vbProcedure="false">"c15709"</definedName>
    <definedName function="false" hidden="true" name="IQ_COMMERCIAL_MORT" vbProcedure="false">"c179"</definedName>
    <definedName function="false" hidden="true" name="IQ_COMMERCIAL_OTHER_LOC_FFIEC" vbProcedure="false">"c13253"</definedName>
    <definedName function="false" hidden="true" name="IQ_COMMERCIAL_PAPER_ASSETS_TOT_FFIEC" vbProcedure="false">"c13449"</definedName>
    <definedName function="false" hidden="true" name="IQ_COMMERCIAL_PAPER_FFIEC" vbProcedure="false">"c12863"</definedName>
    <definedName function="false" hidden="true" name="IQ_COMMERCIAL_RE_CONSTRUCTION_LAND_DEV_FDIC" vbProcedure="false">"c6526"</definedName>
    <definedName function="false" hidden="true" name="IQ_COMMERCIAL_RE_GROSS_LOANS_FFIEC" vbProcedure="false">"c13400"</definedName>
    <definedName function="false" hidden="true" name="IQ_COMMERCIAL_RE_LOANS_FDIC" vbProcedure="false">"c6312"</definedName>
    <definedName function="false" hidden="true" name="IQ_COMMERCIAL_RE_LOANS_TOTAL_LOANS" vbProcedure="false">"c15710"</definedName>
    <definedName function="false" hidden="true" name="IQ_COMMERCIAL_RE_RISK_BASED_FFIEC" vbProcedure="false">"c13421"</definedName>
    <definedName function="false" hidden="true" name="IQ_COMMISSION_DEF" vbProcedure="false">"c181"</definedName>
    <definedName function="false" hidden="true" name="IQ_COMMISS_FEES" vbProcedure="false">"c180"</definedName>
    <definedName function="false" hidden="true" name="IQ_COMMITMENTS_BUY_SEC_OTHER_OFF_BS_FFIEC" vbProcedure="false">"c13128"</definedName>
    <definedName function="false" hidden="true" name="IQ_COMMITMENTS_COMMERCIAL_RE_UNUSED_FFIEC" vbProcedure="false">"c13243"</definedName>
    <definedName function="false" hidden="true" name="IQ_COMMITMENTS_MATURITY_EXCEEDING_1YR_FDIC" vbProcedure="false">"c6531"</definedName>
    <definedName function="false" hidden="true" name="IQ_COMMITMENTS_NOT_SECURED_RE_FDIC" vbProcedure="false">"c6528"</definedName>
    <definedName function="false" hidden="true" name="IQ_COMMITMENTS_SECURED_RE_FDIC" vbProcedure="false">"c6527"</definedName>
    <definedName function="false" hidden="true" name="IQ_COMMITMENTS_SELL_SEC_OTHER_OFF_BS_FFIEC" vbProcedure="false">"c13129"</definedName>
    <definedName function="false" hidden="true" name="IQ_COMMODITY_EXPOSURES_FDIC" vbProcedure="false">"c6665"</definedName>
    <definedName function="false" hidden="true" name="IQ_COMMODITY_EXPOSURE_FFIEC" vbProcedure="false">"c13061"</definedName>
    <definedName function="false" hidden="true" name="IQ_COMMON" vbProcedure="false">"c182"</definedName>
    <definedName function="false" hidden="true" name="IQ_COMMON_APIC" vbProcedure="false">"c183"</definedName>
    <definedName function="false" hidden="true" name="IQ_COMMON_APIC_BNK" vbProcedure="false">"c184"</definedName>
    <definedName function="false" hidden="true" name="IQ_COMMON_APIC_BR" vbProcedure="false">"c185"</definedName>
    <definedName function="false" hidden="true" name="IQ_COMMON_APIC_FIN" vbProcedure="false">"c186"</definedName>
    <definedName function="false" hidden="true" name="IQ_COMMON_APIC_INS" vbProcedure="false">"c187"</definedName>
    <definedName function="false" hidden="true" name="IQ_COMMON_APIC_RE" vbProcedure="false">"c6202"</definedName>
    <definedName function="false" hidden="true" name="IQ_COMMON_APIC_REIT" vbProcedure="false">"c188"</definedName>
    <definedName function="false" hidden="true" name="IQ_COMMON_APIC_UTI" vbProcedure="false">"c189"</definedName>
    <definedName function="false" hidden="true" name="IQ_COMMON_DIV" vbProcedure="false">"c3006"</definedName>
    <definedName function="false" hidden="true" name="IQ_COMMON_DIV_CF" vbProcedure="false">"c190"</definedName>
    <definedName function="false" hidden="true" name="IQ_COMMON_EQUITY_10YR_ANN_CAGR" vbProcedure="false">"c6060"</definedName>
    <definedName function="false" hidden="true" name="IQ_COMMON_EQUITY_10YR_ANN_GROWTH" vbProcedure="false">"c191"</definedName>
    <definedName function="false" hidden="true" name="IQ_COMMON_EQUITY_1YR_ANN_GROWTH" vbProcedure="false">"c192"</definedName>
    <definedName function="false" hidden="true" name="IQ_COMMON_EQUITY_2YR_ANN_CAGR" vbProcedure="false">"c6061"</definedName>
    <definedName function="false" hidden="true" name="IQ_COMMON_EQUITY_2YR_ANN_GROWTH" vbProcedure="false">"c193"</definedName>
    <definedName function="false" hidden="true" name="IQ_COMMON_EQUITY_3YR_ANN_CAGR" vbProcedure="false">"c6062"</definedName>
    <definedName function="false" hidden="true" name="IQ_COMMON_EQUITY_3YR_ANN_GROWTH" vbProcedure="false">"c194"</definedName>
    <definedName function="false" hidden="true" name="IQ_COMMON_EQUITY_5YR_ANN_CAGR" vbProcedure="false">"c6063"</definedName>
    <definedName function="false" hidden="true" name="IQ_COMMON_EQUITY_5YR_ANN_GROWTH" vbProcedure="false">"c195"</definedName>
    <definedName function="false" hidden="true" name="IQ_COMMON_EQUITY_7YR_ANN_CAGR" vbProcedure="false">"c6064"</definedName>
    <definedName function="false" hidden="true" name="IQ_COMMON_EQUITY_7YR_ANN_GROWTH" vbProcedure="false">"c196"</definedName>
    <definedName function="false" hidden="true" name="IQ_COMMON_FDIC" vbProcedure="false">"c6350"</definedName>
    <definedName function="false" hidden="true" name="IQ_COMMON_ISSUED" vbProcedure="false">"c197"</definedName>
    <definedName function="false" hidden="true" name="IQ_COMMON_ISSUED_BNK" vbProcedure="false">"c198"</definedName>
    <definedName function="false" hidden="true" name="IQ_COMMON_ISSUED_BR" vbProcedure="false">"c199"</definedName>
    <definedName function="false" hidden="true" name="IQ_COMMON_ISSUED_FIN" vbProcedure="false">"c200"</definedName>
    <definedName function="false" hidden="true" name="IQ_COMMON_ISSUED_INS" vbProcedure="false">"c201"</definedName>
    <definedName function="false" hidden="true" name="IQ_COMMON_ISSUED_RE" vbProcedure="false">"c6203"</definedName>
    <definedName function="false" hidden="true" name="IQ_COMMON_ISSUED_REIT" vbProcedure="false">"c202"</definedName>
    <definedName function="false" hidden="true" name="IQ_COMMON_ISSUED_UTI" vbProcedure="false">"c203"</definedName>
    <definedName function="false" hidden="true" name="IQ_COMMON_PER_ADR" vbProcedure="false">"c13596"</definedName>
    <definedName function="false" hidden="true" name="IQ_COMMON_PREF_DIV_CF" vbProcedure="false">"c205"</definedName>
    <definedName function="false" hidden="true" name="IQ_COMMON_REP" vbProcedure="false">"c206"</definedName>
    <definedName function="false" hidden="true" name="IQ_COMMON_REP_BNK" vbProcedure="false">"c207"</definedName>
    <definedName function="false" hidden="true" name="IQ_COMMON_REP_BR" vbProcedure="false">"c208"</definedName>
    <definedName function="false" hidden="true" name="IQ_COMMON_REP_FIN" vbProcedure="false">"c209"</definedName>
    <definedName function="false" hidden="true" name="IQ_COMMON_REP_INS" vbProcedure="false">"c210"</definedName>
    <definedName function="false" hidden="true" name="IQ_COMMON_REP_RE" vbProcedure="false">"c6204"</definedName>
    <definedName function="false" hidden="true" name="IQ_COMMON_REP_REIT" vbProcedure="false">"c211"</definedName>
    <definedName function="false" hidden="true" name="IQ_COMMON_REP_UTI" vbProcedure="false">"c212"</definedName>
    <definedName function="false" hidden="true" name="IQ_COMMON_STOCK" vbProcedure="false">"c1358"</definedName>
    <definedName function="false" hidden="true" name="IQ_COMMON_STOCK_FFIEC" vbProcedure="false">"c12876"</definedName>
    <definedName function="false" hidden="true" name="IQ_COMM_BANKS_OTHER_DEP_INST_US_TRANS_ACCTS_FFIEC" vbProcedure="false">"c15317"</definedName>
    <definedName function="false" hidden="true" name="IQ_COMM_BANKS_OTHER_INST_US_NON_TRANS_ACCTS_FFIEC" vbProcedure="false">"c15325"</definedName>
    <definedName function="false" hidden="true" name="IQ_COMM_INDUSTRIAL_LL_REC_FFIEC" vbProcedure="false">"c18880"</definedName>
    <definedName function="false" hidden="true" name="IQ_COMM_INDUSTRIAL_LOANS_FFIEC" vbProcedure="false">"c12821"</definedName>
    <definedName function="false" hidden="true" name="IQ_COMM_INDUSTRIAL_NON_US_LL_REC_FFIEC" vbProcedure="false">"c12888"</definedName>
    <definedName function="false" hidden="true" name="IQ_COMM_INDUSTRIAL_US_LL_REC_FFIEC" vbProcedure="false">"c12887"</definedName>
    <definedName function="false" hidden="true" name="IQ_COMM_IND_LOANS_TOT_LOANS_FFIEC" vbProcedure="false">"c13874"</definedName>
    <definedName function="false" hidden="true" name="IQ_COMM_RE_FARM_LOANS_TOT_LOANS_FFIEC" vbProcedure="false">"c13872"</definedName>
    <definedName function="false" hidden="true" name="IQ_COMM_RE_NONFARM_NONRES_TOT_LOANS_FFIEC" vbProcedure="false">"c13871"</definedName>
    <definedName function="false" hidden="true" name="IQ_COMPANY_ADDRESS" vbProcedure="false">"c214"</definedName>
    <definedName function="false" hidden="true" name="IQ_COMPANY_ID" vbProcedure="false">"c3513"</definedName>
    <definedName function="false" hidden="true" name="IQ_COMPANY_NAME" vbProcedure="false">"c215"</definedName>
    <definedName function="false" hidden="true" name="IQ_COMPANY_NAME_LONG" vbProcedure="false">"c1585"</definedName>
    <definedName function="false" hidden="true" name="IQ_COMPANY_NOTE" vbProcedure="false">"c6792"</definedName>
    <definedName function="false" hidden="true" name="IQ_COMPANY_PHONE" vbProcedure="false">"c216"</definedName>
    <definedName function="false" hidden="true" name="IQ_COMPANY_STATUS" vbProcedure="false">"c2097"</definedName>
    <definedName function="false" hidden="true" name="IQ_COMPANY_STREET1" vbProcedure="false">"c217"</definedName>
    <definedName function="false" hidden="true" name="IQ_COMPANY_STREET2" vbProcedure="false">"c218"</definedName>
    <definedName function="false" hidden="true" name="IQ_COMPANY_TICKER" vbProcedure="false">"c219"</definedName>
    <definedName function="false" hidden="true" name="IQ_COMPANY_TICKER_NO_EXCH" vbProcedure="false">"c15490"</definedName>
    <definedName function="false" hidden="true" name="IQ_COMPANY_TYPE" vbProcedure="false">"c2096"</definedName>
    <definedName function="false" hidden="true" name="IQ_COMPANY_WEBSITE" vbProcedure="false">"c220"</definedName>
    <definedName function="false" hidden="true" name="IQ_COMPANY_ZIP" vbProcedure="false">"c221"</definedName>
    <definedName function="false" hidden="true" name="IQ_COMPETITOR_ALL" vbProcedure="false">"c13754"</definedName>
    <definedName function="false" hidden="true" name="IQ_COMPETITOR_NAMED_BY_COMPANY" vbProcedure="false">"c13751"</definedName>
    <definedName function="false" hidden="true" name="IQ_COMPETITOR_NAMED_BY_COMPETITOR" vbProcedure="false">"c13752"</definedName>
    <definedName function="false" hidden="true" name="IQ_COMPETITOR_NAMED_BY_THIRDPARTY" vbProcedure="false">"c13753"</definedName>
    <definedName function="false" hidden="true" name="IQ_COMPOSITE_CYCLICAL_IND" vbProcedure="false">"c6830"</definedName>
    <definedName function="false" hidden="true" name="IQ_COMPOSITE_CYCLICAL_IND_APR" vbProcedure="false">"c7490"</definedName>
    <definedName function="false" hidden="true" name="IQ_COMPOSITE_CYCLICAL_IND_APR_FC" vbProcedure="false">"c8370"</definedName>
    <definedName function="false" hidden="true" name="IQ_COMPOSITE_CYCLICAL_IND_FC" vbProcedure="false">"c7710"</definedName>
    <definedName function="false" hidden="true" name="IQ_COMPOSITE_CYCLICAL_IND_POP" vbProcedure="false">"c7050"</definedName>
    <definedName function="false" hidden="true" name="IQ_COMPOSITE_CYCLICAL_IND_POP_FC" vbProcedure="false">"c7930"</definedName>
    <definedName function="false" hidden="true" name="IQ_COMPOSITE_CYCLICAL_IND_YOY" vbProcedure="false">"c7270"</definedName>
    <definedName function="false" hidden="true" name="IQ_COMPOSITE_CYCLICAL_IND_YOY_FC" vbProcedure="false">"c8150"</definedName>
    <definedName function="false" hidden="true" name="IQ_COMP_BENEFITS" vbProcedure="false">"c213"</definedName>
    <definedName function="false" hidden="true" name="IQ_COM_TARGET_PRICE" vbProcedure="false">"c13606"</definedName>
    <definedName function="false" hidden="true" name="IQ_COM_TARGET_PRICE_CIQ" vbProcedure="false">"c13599"</definedName>
    <definedName function="false" hidden="true" name="IQ_COM_TARGET_PRICE_DET_EST" vbProcedure="false">"c13610"</definedName>
    <definedName function="false" hidden="true" name="IQ_COM_TARGET_PRICE_DET_EST_CIQ" vbProcedure="false">"c13603"</definedName>
    <definedName function="false" hidden="true" name="IQ_COM_TARGET_PRICE_HIGH" vbProcedure="false">"c13607"</definedName>
    <definedName function="false" hidden="true" name="IQ_COM_TARGET_PRICE_HIGH_CIQ" vbProcedure="false">"c13600"</definedName>
    <definedName function="false" hidden="true" name="IQ_COM_TARGET_PRICE_LOW" vbProcedure="false">"c13608"</definedName>
    <definedName function="false" hidden="true" name="IQ_COM_TARGET_PRICE_LOW_CIQ" vbProcedure="false">"c13601"</definedName>
    <definedName function="false" hidden="true" name="IQ_COM_TARGET_PRICE_MEDIAN" vbProcedure="false">"c13609"</definedName>
    <definedName function="false" hidden="true" name="IQ_COM_TARGET_PRICE_MEDIAN_CIQ" vbProcedure="false">"c13602"</definedName>
    <definedName function="false" hidden="true" name="IQ_COM_TARGET_PRICE_NUM" vbProcedure="false">"c13604"</definedName>
    <definedName function="false" hidden="true" name="IQ_COM_TARGET_PRICE_NUM_CIQ" vbProcedure="false">"c13597"</definedName>
    <definedName function="false" hidden="true" name="IQ_COM_TARGET_PRICE_STDDEV" vbProcedure="false">"c13605"</definedName>
    <definedName function="false" hidden="true" name="IQ_COM_TARGET_PRICE_STDDEV_CIQ" vbProcedure="false">"c13598"</definedName>
    <definedName function="false" hidden="true" name="IQ_CONSOLIDATED_ASSETS_QUARTERLY_AVG_FFIEC" vbProcedure="false">"c13087"</definedName>
    <definedName function="false" hidden="true" name="IQ_CONSOLIDATED_NI_FOREIGN_FFIEC" vbProcedure="false">"c15396"</definedName>
    <definedName function="false" hidden="true" name="IQ_CONSOL_BEDS" vbProcedure="false">"c8782"</definedName>
    <definedName function="false" hidden="true" name="IQ_CONSOL_PROP_OPERATIONAL" vbProcedure="false">"c8758"</definedName>
    <definedName function="false" hidden="true" name="IQ_CONSOL_PROP_OTHER_OWNED" vbProcedure="false">"c8760"</definedName>
    <definedName function="false" hidden="true" name="IQ_CONSOL_PROP_TOTAL" vbProcedure="false">"c8761"</definedName>
    <definedName function="false" hidden="true" name="IQ_CONSOL_PROP_UNDEVELOPED" vbProcedure="false">"c8759"</definedName>
    <definedName function="false" hidden="true" name="IQ_CONSOL_ROOMS" vbProcedure="false">"c8786"</definedName>
    <definedName function="false" hidden="true" name="IQ_CONSOL_SQ_FT_OPERATIONAL" vbProcedure="false">"c8774"</definedName>
    <definedName function="false" hidden="true" name="IQ_CONSOL_SQ_FT_OTHER_OWNED" vbProcedure="false">"c8776"</definedName>
    <definedName function="false" hidden="true" name="IQ_CONSOL_SQ_FT_TOTAL" vbProcedure="false">"c8777"</definedName>
    <definedName function="false" hidden="true" name="IQ_CONSOL_SQ_FT_UNDEVELOPED" vbProcedure="false">"c8775"</definedName>
    <definedName function="false" hidden="true" name="IQ_CONSOL_UNITS_OPERATIONAL" vbProcedure="false">"c8766"</definedName>
    <definedName function="false" hidden="true" name="IQ_CONSOL_UNITS_OTHER_OWNED" vbProcedure="false">"c8768"</definedName>
    <definedName function="false" hidden="true" name="IQ_CONSOL_UNITS_TOTAL" vbProcedure="false">"c8769"</definedName>
    <definedName function="false" hidden="true" name="IQ_CONSOL_UNITS_UNDEVELOPED" vbProcedure="false">"c8767"</definedName>
    <definedName function="false" hidden="true" name="IQ_CONSTITUENTS" vbProcedure="false">"c19169"</definedName>
    <definedName function="false" hidden="true" name="IQ_CONSTRUCTION_DEV_LOANS_FDIC" vbProcedure="false">"c6313"</definedName>
    <definedName function="false" hidden="true" name="IQ_CONSTRUCTION_LAND_DEVELOPMENT_CHARGE_OFFS_FDIC" vbProcedure="false">"c6594"</definedName>
    <definedName function="false" hidden="true" name="IQ_CONSTRUCTION_LAND_DEVELOPMENT_NET_CHARGE_OFFS_FDIC" vbProcedure="false">"c6632"</definedName>
    <definedName function="false" hidden="true" name="IQ_CONSTRUCTION_LAND_DEVELOPMENT_RECOVERIES_FDIC" vbProcedure="false">"c6613"</definedName>
    <definedName function="false" hidden="true" name="IQ_CONSTRUCTION_LAND_DEV_DOM_FFIEC" vbProcedure="false">"c15267"</definedName>
    <definedName function="false" hidden="true" name="IQ_CONSTRUCTION_LL_REC_DOM_FFIEC" vbProcedure="false">"c12900"</definedName>
    <definedName function="false" hidden="true" name="IQ_CONSTRUCTION_LOANS" vbProcedure="false">"c222"</definedName>
    <definedName function="false" hidden="true" name="IQ_CONSTRUCTION_LOANS_DOM_DUE_30_89_FFIEC" vbProcedure="false">"c13256"</definedName>
    <definedName function="false" hidden="true" name="IQ_CONSTRUCTION_LOANS_DOM_DUE_90_FFIEC" vbProcedure="false">"c13284"</definedName>
    <definedName function="false" hidden="true" name="IQ_CONSTRUCTION_LOANS_DOM_NON_ACCRUAL_FFIEC" vbProcedure="false">"c13310"</definedName>
    <definedName function="false" hidden="true" name="IQ_CONSTRUCTION_LOANS_GROSS_LOANS_FFIEC" vbProcedure="false">"c13401"</definedName>
    <definedName function="false" hidden="true" name="IQ_CONSTRUCTION_LOANS_TOTAL_LOANS" vbProcedure="false">"c15711"</definedName>
    <definedName function="false" hidden="true" name="IQ_CONSTRUCTION_RISK_BASED_FFIEC" vbProcedure="false">"c13422"</definedName>
    <definedName function="false" hidden="true" name="IQ_CONST_LAND_DEVELOP_OTHER_DOM_CHARGE_OFFS_FFIEC" vbProcedure="false">"c13628"</definedName>
    <definedName function="false" hidden="true" name="IQ_CONST_LAND_DEVELOP_OTHER_DOM_RECOV_FFIEC" vbProcedure="false">"c13632"</definedName>
    <definedName function="false" hidden="true" name="IQ_CONST_LAND_DEV_LOANS_TOT_LOANS_FFIEC" vbProcedure="false">"c13865"</definedName>
    <definedName function="false" hidden="true" name="IQ_CONSULTING_FFIEC" vbProcedure="false">"c13055"</definedName>
    <definedName function="false" hidden="true" name="IQ_CONSUMER_COMFORT" vbProcedure="false">"c6831"</definedName>
    <definedName function="false" hidden="true" name="IQ_CONSUMER_COMFORT_APR" vbProcedure="false">"c7491"</definedName>
    <definedName function="false" hidden="true" name="IQ_CONSUMER_COMFORT_APR_FC" vbProcedure="false">"c8371"</definedName>
    <definedName function="false" hidden="true" name="IQ_CONSUMER_COMFORT_FC" vbProcedure="false">"c7711"</definedName>
    <definedName function="false" hidden="true" name="IQ_CONSUMER_COMFORT_POP" vbProcedure="false">"c7051"</definedName>
    <definedName function="false" hidden="true" name="IQ_CONSUMER_COMFORT_POP_FC" vbProcedure="false">"c7931"</definedName>
    <definedName function="false" hidden="true" name="IQ_CONSUMER_CONFIDENCE" vbProcedure="false">"c6832"</definedName>
    <definedName function="false" hidden="true" name="IQ_CONSUMER_CONFIDENCE_APR" vbProcedure="false">"c7492"</definedName>
    <definedName function="false" hidden="true" name="IQ_CONSUMER_CONFIDENCE_APR_FC" vbProcedure="false">"c8372"</definedName>
    <definedName function="false" hidden="true" name="IQ_CONSUMER_CONFIDENCE_FC" vbProcedure="false">"c7712"</definedName>
    <definedName function="false" hidden="true" name="IQ_CONSUMER_CONFIDENCE_POP" vbProcedure="false">"c7052"</definedName>
    <definedName function="false" hidden="true" name="IQ_CONSUMER_CONFIDENCE_POP_FC" vbProcedure="false">"c7932"</definedName>
    <definedName function="false" hidden="true" name="IQ_CONSUMER_CONFIDENCE_YOY" vbProcedure="false">"c7272"</definedName>
    <definedName function="false" hidden="true" name="IQ_CONSUMER_CONFIDENCE_YOY_FC" vbProcedure="false">"c8152"</definedName>
    <definedName function="false" hidden="true" name="IQ_CONSUMER_LEASES_LL_REC_FFIEC" vbProcedure="false">"c12895"</definedName>
    <definedName function="false" hidden="true" name="IQ_CONSUMER_LENDING" vbProcedure="false">"c6833"</definedName>
    <definedName function="false" hidden="true" name="IQ_CONSUMER_LENDING_APR" vbProcedure="false">"c7493"</definedName>
    <definedName function="false" hidden="true" name="IQ_CONSUMER_LENDING_APR_FC" vbProcedure="false">"c8373"</definedName>
    <definedName function="false" hidden="true" name="IQ_CONSUMER_LENDING_FC" vbProcedure="false">"c7713"</definedName>
    <definedName function="false" hidden="true" name="IQ_CONSUMER_LENDING_GROSS" vbProcedure="false">"c6878"</definedName>
    <definedName function="false" hidden="true" name="IQ_CONSUMER_LENDING_GROSS_APR" vbProcedure="false">"c7538"</definedName>
    <definedName function="false" hidden="true" name="IQ_CONSUMER_LENDING_GROSS_APR_FC" vbProcedure="false">"c8418"</definedName>
    <definedName function="false" hidden="true" name="IQ_CONSUMER_LENDING_GROSS_FC" vbProcedure="false">"c7758"</definedName>
    <definedName function="false" hidden="true" name="IQ_CONSUMER_LENDING_GROSS_POP" vbProcedure="false">"c7098"</definedName>
    <definedName function="false" hidden="true" name="IQ_CONSUMER_LENDING_GROSS_POP_FC" vbProcedure="false">"c7978"</definedName>
    <definedName function="false" hidden="true" name="IQ_CONSUMER_LENDING_GROSS_YOY" vbProcedure="false">"c7318"</definedName>
    <definedName function="false" hidden="true" name="IQ_CONSUMER_LENDING_GROSS_YOY_FC" vbProcedure="false">"c8198"</definedName>
    <definedName function="false" hidden="true" name="IQ_CONSUMER_LENDING_NET" vbProcedure="false">"c6922"</definedName>
    <definedName function="false" hidden="true" name="IQ_CONSUMER_LENDING_NET_APR" vbProcedure="false">"c7582"</definedName>
    <definedName function="false" hidden="true" name="IQ_CONSUMER_LENDING_NET_APR_FC" vbProcedure="false">"c8462"</definedName>
    <definedName function="false" hidden="true" name="IQ_CONSUMER_LENDING_NET_FC" vbProcedure="false">"c7802"</definedName>
    <definedName function="false" hidden="true" name="IQ_CONSUMER_LENDING_NET_POP" vbProcedure="false">"c7142"</definedName>
    <definedName function="false" hidden="true" name="IQ_CONSUMER_LENDING_NET_POP_FC" vbProcedure="false">"c8022"</definedName>
    <definedName function="false" hidden="true" name="IQ_CONSUMER_LENDING_NET_YOY" vbProcedure="false">"c7362"</definedName>
    <definedName function="false" hidden="true" name="IQ_CONSUMER_LENDING_NET_YOY_FC" vbProcedure="false">"c8242"</definedName>
    <definedName function="false" hidden="true" name="IQ_CONSUMER_LENDING_POP" vbProcedure="false">"c7053"</definedName>
    <definedName function="false" hidden="true" name="IQ_CONSUMER_LENDING_POP_FC" vbProcedure="false">"c7933"</definedName>
    <definedName function="false" hidden="true" name="IQ_CONSUMER_LENDING_TOTAL" vbProcedure="false">"c7018"</definedName>
    <definedName function="false" hidden="true" name="IQ_CONSUMER_LENDING_TOTAL_APR" vbProcedure="false">"c7678"</definedName>
    <definedName function="false" hidden="true" name="IQ_CONSUMER_LENDING_TOTAL_APR_FC" vbProcedure="false">"c8558"</definedName>
    <definedName function="false" hidden="true" name="IQ_CONSUMER_LENDING_TOTAL_FC" vbProcedure="false">"c7898"</definedName>
    <definedName function="false" hidden="true" name="IQ_CONSUMER_LENDING_TOTAL_POP" vbProcedure="false">"c7238"</definedName>
    <definedName function="false" hidden="true" name="IQ_CONSUMER_LENDING_TOTAL_POP_FC" vbProcedure="false">"c8118"</definedName>
    <definedName function="false" hidden="true" name="IQ_CONSUMER_LENDING_TOTAL_YOY" vbProcedure="false">"c7458"</definedName>
    <definedName function="false" hidden="true" name="IQ_CONSUMER_LENDING_TOTAL_YOY_FC" vbProcedure="false">"c8338"</definedName>
    <definedName function="false" hidden="true" name="IQ_CONSUMER_LENDING_YOY" vbProcedure="false">"c7273"</definedName>
    <definedName function="false" hidden="true" name="IQ_CONSUMER_LENDING_YOY_FC" vbProcedure="false">"c8153"</definedName>
    <definedName function="false" hidden="true" name="IQ_CONSUMER_LOANS" vbProcedure="false">"c223"</definedName>
    <definedName function="false" hidden="true" name="IQ_CONSUMER_LOANS_LL_REC_DOM_FFIEC" vbProcedure="false">"c12911"</definedName>
    <definedName function="false" hidden="true" name="IQ_CONSUMER_LOANS_TOTAL_LOANS" vbProcedure="false">"c15712"</definedName>
    <definedName function="false" hidden="true" name="IQ_CONSUMER_LOANS_TOT_LOANS_FFIEC" vbProcedure="false">"c13875"</definedName>
    <definedName function="false" hidden="true" name="IQ_CONSUMER_SPENDING" vbProcedure="false">"c6834"</definedName>
    <definedName function="false" hidden="true" name="IQ_CONSUMER_SPENDING_APR" vbProcedure="false">"c7494"</definedName>
    <definedName function="false" hidden="true" name="IQ_CONSUMER_SPENDING_APR_FC" vbProcedure="false">"c8374"</definedName>
    <definedName function="false" hidden="true" name="IQ_CONSUMER_SPENDING_DURABLE" vbProcedure="false">"c6835"</definedName>
    <definedName function="false" hidden="true" name="IQ_CONSUMER_SPENDING_DURABLE_APR" vbProcedure="false">"c7495"</definedName>
    <definedName function="false" hidden="true" name="IQ_CONSUMER_SPENDING_DURABLE_APR_FC" vbProcedure="false">"c8375"</definedName>
    <definedName function="false" hidden="true" name="IQ_CONSUMER_SPENDING_DURABLE_FC" vbProcedure="false">"c7715"</definedName>
    <definedName function="false" hidden="true" name="IQ_CONSUMER_SPENDING_DURABLE_POP" vbProcedure="false">"c7055"</definedName>
    <definedName function="false" hidden="true" name="IQ_CONSUMER_SPENDING_DURABLE_POP_FC" vbProcedure="false">"c7935"</definedName>
    <definedName function="false" hidden="true" name="IQ_CONSUMER_SPENDING_DURABLE_REAL" vbProcedure="false">"c6964"</definedName>
    <definedName function="false" hidden="true" name="IQ_CONSUMER_SPENDING_DURABLE_REAL_APR" vbProcedure="false">"c7624"</definedName>
    <definedName function="false" hidden="true" name="IQ_CONSUMER_SPENDING_DURABLE_REAL_APR_FC" vbProcedure="false">"c8504"</definedName>
    <definedName function="false" hidden="true" name="IQ_CONSUMER_SPENDING_DURABLE_REAL_FC" vbProcedure="false">"c7844"</definedName>
    <definedName function="false" hidden="true" name="IQ_CONSUMER_SPENDING_DURABLE_REAL_POP" vbProcedure="false">"c7184"</definedName>
    <definedName function="false" hidden="true" name="IQ_CONSUMER_SPENDING_DURABLE_REAL_POP_FC" vbProcedure="false">"c8064"</definedName>
    <definedName function="false" hidden="true" name="IQ_CONSUMER_SPENDING_DURABLE_REAL_SAAR" vbProcedure="false">"c6965"</definedName>
    <definedName function="false" hidden="true" name="IQ_CONSUMER_SPENDING_DURABLE_REAL_SAAR_APR" vbProcedure="false">"c7625"</definedName>
    <definedName function="false" hidden="true" name="IQ_CONSUMER_SPENDING_DURABLE_REAL_SAAR_APR_FC" vbProcedure="false">"c8505"</definedName>
    <definedName function="false" hidden="true" name="IQ_CONSUMER_SPENDING_DURABLE_REAL_SAAR_FC" vbProcedure="false">"c7845"</definedName>
    <definedName function="false" hidden="true" name="IQ_CONSUMER_SPENDING_DURABLE_REAL_SAAR_POP" vbProcedure="false">"c7185"</definedName>
    <definedName function="false" hidden="true" name="IQ_CONSUMER_SPENDING_DURABLE_REAL_SAAR_POP_FC" vbProcedure="false">"c8065"</definedName>
    <definedName function="false" hidden="true" name="IQ_CONSUMER_SPENDING_DURABLE_REAL_SAAR_YOY" vbProcedure="false">"c7405"</definedName>
    <definedName function="false" hidden="true" name="IQ_CONSUMER_SPENDING_DURABLE_REAL_SAAR_YOY_FC" vbProcedure="false">"c8285"</definedName>
    <definedName function="false" hidden="true" name="IQ_CONSUMER_SPENDING_DURABLE_REAL_YOY" vbProcedure="false">"c7404"</definedName>
    <definedName function="false" hidden="true" name="IQ_CONSUMER_SPENDING_DURABLE_REAL_YOY_FC" vbProcedure="false">"c8284"</definedName>
    <definedName function="false" hidden="true" name="IQ_CONSUMER_SPENDING_DURABLE_YOY" vbProcedure="false">"c7275"</definedName>
    <definedName function="false" hidden="true" name="IQ_CONSUMER_SPENDING_DURABLE_YOY_FC" vbProcedure="false">"c8155"</definedName>
    <definedName function="false" hidden="true" name="IQ_CONSUMER_SPENDING_FC" vbProcedure="false">"c7714"</definedName>
    <definedName function="false" hidden="true" name="IQ_CONSUMER_SPENDING_NONDURABLE" vbProcedure="false">"c6836"</definedName>
    <definedName function="false" hidden="true" name="IQ_CONSUMER_SPENDING_NONDURABLE_APR" vbProcedure="false">"c7496"</definedName>
    <definedName function="false" hidden="true" name="IQ_CONSUMER_SPENDING_NONDURABLE_APR_FC" vbProcedure="false">"c8376"</definedName>
    <definedName function="false" hidden="true" name="IQ_CONSUMER_SPENDING_NONDURABLE_FC" vbProcedure="false">"c7716"</definedName>
    <definedName function="false" hidden="true" name="IQ_CONSUMER_SPENDING_NONDURABLE_POP" vbProcedure="false">"c7056"</definedName>
    <definedName function="false" hidden="true" name="IQ_CONSUMER_SPENDING_NONDURABLE_POP_FC" vbProcedure="false">"c7936"</definedName>
    <definedName function="false" hidden="true" name="IQ_CONSUMER_SPENDING_NONDURABLE_REAL" vbProcedure="false">"c6966"</definedName>
    <definedName function="false" hidden="true" name="IQ_CONSUMER_SPENDING_NONDURABLE_REAL_APR" vbProcedure="false">"c7626"</definedName>
    <definedName function="false" hidden="true" name="IQ_CONSUMER_SPENDING_NONDURABLE_REAL_APR_FC" vbProcedure="false">"c8506"</definedName>
    <definedName function="false" hidden="true" name="IQ_CONSUMER_SPENDING_NONDURABLE_REAL_FC" vbProcedure="false">"c7846"</definedName>
    <definedName function="false" hidden="true" name="IQ_CONSUMER_SPENDING_NONDURABLE_REAL_POP" vbProcedure="false">"c7186"</definedName>
    <definedName function="false" hidden="true" name="IQ_CONSUMER_SPENDING_NONDURABLE_REAL_POP_FC" vbProcedure="false">"c8066"</definedName>
    <definedName function="false" hidden="true" name="IQ_CONSUMER_SPENDING_NONDURABLE_REAL_SAAR" vbProcedure="false">"c6967"</definedName>
    <definedName function="false" hidden="true" name="IQ_CONSUMER_SPENDING_NONDURABLE_REAL_SAAR_APR" vbProcedure="false">"c7627"</definedName>
    <definedName function="false" hidden="true" name="IQ_CONSUMER_SPENDING_NONDURABLE_REAL_SAAR_APR_FC" vbProcedure="false">"c8507"</definedName>
    <definedName function="false" hidden="true" name="IQ_CONSUMER_SPENDING_NONDURABLE_REAL_SAAR_FC" vbProcedure="false">"c7847"</definedName>
    <definedName function="false" hidden="true" name="IQ_CONSUMER_SPENDING_NONDURABLE_REAL_SAAR_POP" vbProcedure="false">"c7187"</definedName>
    <definedName function="false" hidden="true" name="IQ_CONSUMER_SPENDING_NONDURABLE_REAL_SAAR_POP_FC" vbProcedure="false">"c8067"</definedName>
    <definedName function="false" hidden="true" name="IQ_CONSUMER_SPENDING_NONDURABLE_REAL_SAAR_YOY" vbProcedure="false">"c7407"</definedName>
    <definedName function="false" hidden="true" name="IQ_CONSUMER_SPENDING_NONDURABLE_REAL_SAAR_YOY_FC" vbProcedure="false">"c8287"</definedName>
    <definedName function="false" hidden="true" name="IQ_CONSUMER_SPENDING_NONDURABLE_REAL_YOY" vbProcedure="false">"c7406"</definedName>
    <definedName function="false" hidden="true" name="IQ_CONSUMER_SPENDING_NONDURABLE_REAL_YOY_FC" vbProcedure="false">"c8286"</definedName>
    <definedName function="false" hidden="true" name="IQ_CONSUMER_SPENDING_NONDURABLE_YOY" vbProcedure="false">"c7276"</definedName>
    <definedName function="false" hidden="true" name="IQ_CONSUMER_SPENDING_NONDURABLE_YOY_FC" vbProcedure="false">"c8156"</definedName>
    <definedName function="false" hidden="true" name="IQ_CONSUMER_SPENDING_POP" vbProcedure="false">"c7054"</definedName>
    <definedName function="false" hidden="true" name="IQ_CONSUMER_SPENDING_POP_FC" vbProcedure="false">"c7934"</definedName>
    <definedName function="false" hidden="true" name="IQ_CONSUMER_SPENDING_REAL" vbProcedure="false">"c6963"</definedName>
    <definedName function="false" hidden="true" name="IQ_CONSUMER_SPENDING_REAL_APR" vbProcedure="false">"c7623"</definedName>
    <definedName function="false" hidden="true" name="IQ_CONSUMER_SPENDING_REAL_APR_FC" vbProcedure="false">"c8503"</definedName>
    <definedName function="false" hidden="true" name="IQ_CONSUMER_SPENDING_REAL_FC" vbProcedure="false">"c7843"</definedName>
    <definedName function="false" hidden="true" name="IQ_CONSUMER_SPENDING_REAL_POP" vbProcedure="false">"c7183"</definedName>
    <definedName function="false" hidden="true" name="IQ_CONSUMER_SPENDING_REAL_POP_FC" vbProcedure="false">"c8063"</definedName>
    <definedName function="false" hidden="true" name="IQ_CONSUMER_SPENDING_REAL_SAAR" vbProcedure="false">"c6968"</definedName>
    <definedName function="false" hidden="true" name="IQ_CONSUMER_SPENDING_REAL_SAAR_APR" vbProcedure="false">"c7628"</definedName>
    <definedName function="false" hidden="true" name="IQ_CONSUMER_SPENDING_REAL_SAAR_APR_FC" vbProcedure="false">"c8508"</definedName>
    <definedName function="false" hidden="true" name="IQ_CONSUMER_SPENDING_REAL_SAAR_FC" vbProcedure="false">"c7848"</definedName>
    <definedName function="false" hidden="true" name="IQ_CONSUMER_SPENDING_REAL_SAAR_POP" vbProcedure="false">"c7188"</definedName>
    <definedName function="false" hidden="true" name="IQ_CONSUMER_SPENDING_REAL_SAAR_POP_FC" vbProcedure="false">"c8068"</definedName>
    <definedName function="false" hidden="true" name="IQ_CONSUMER_SPENDING_REAL_SAAR_YOY" vbProcedure="false">"c7408"</definedName>
    <definedName function="false" hidden="true" name="IQ_CONSUMER_SPENDING_REAL_SAAR_YOY_FC" vbProcedure="false">"c8288"</definedName>
    <definedName function="false" hidden="true" name="IQ_CONSUMER_SPENDING_REAL_USD_APR_FC" vbProcedure="false">"c11921"</definedName>
    <definedName function="false" hidden="true" name="IQ_CONSUMER_SPENDING_REAL_USD_FC" vbProcedure="false">"c11918"</definedName>
    <definedName function="false" hidden="true" name="IQ_CONSUMER_SPENDING_REAL_USD_POP_FC" vbProcedure="false">"c11919"</definedName>
    <definedName function="false" hidden="true" name="IQ_CONSUMER_SPENDING_REAL_USD_YOY_FC" vbProcedure="false">"c11920"</definedName>
    <definedName function="false" hidden="true" name="IQ_CONSUMER_SPENDING_REAL_YOY" vbProcedure="false">"c7403"</definedName>
    <definedName function="false" hidden="true" name="IQ_CONSUMER_SPENDING_REAL_YOY_FC" vbProcedure="false">"c8283"</definedName>
    <definedName function="false" hidden="true" name="IQ_CONSUMER_SPENDING_SERVICES" vbProcedure="false">"c6837"</definedName>
    <definedName function="false" hidden="true" name="IQ_CONSUMER_SPENDING_SERVICES_APR" vbProcedure="false">"c7497"</definedName>
    <definedName function="false" hidden="true" name="IQ_CONSUMER_SPENDING_SERVICES_APR_FC" vbProcedure="false">"c8377"</definedName>
    <definedName function="false" hidden="true" name="IQ_CONSUMER_SPENDING_SERVICES_FC" vbProcedure="false">"c7717"</definedName>
    <definedName function="false" hidden="true" name="IQ_CONSUMER_SPENDING_SERVICES_POP" vbProcedure="false">"c7057"</definedName>
    <definedName function="false" hidden="true" name="IQ_CONSUMER_SPENDING_SERVICES_POP_FC" vbProcedure="false">"c7937"</definedName>
    <definedName function="false" hidden="true" name="IQ_CONSUMER_SPENDING_SERVICES_REAL" vbProcedure="false">"c6969"</definedName>
    <definedName function="false" hidden="true" name="IQ_CONSUMER_SPENDING_SERVICES_REAL_APR" vbProcedure="false">"c7629"</definedName>
    <definedName function="false" hidden="true" name="IQ_CONSUMER_SPENDING_SERVICES_REAL_APR_FC" vbProcedure="false">"c8509"</definedName>
    <definedName function="false" hidden="true" name="IQ_CONSUMER_SPENDING_SERVICES_REAL_FC" vbProcedure="false">"c7849"</definedName>
    <definedName function="false" hidden="true" name="IQ_CONSUMER_SPENDING_SERVICES_REAL_POP" vbProcedure="false">"c7189"</definedName>
    <definedName function="false" hidden="true" name="IQ_CONSUMER_SPENDING_SERVICES_REAL_POP_FC" vbProcedure="false">"c8069"</definedName>
    <definedName function="false" hidden="true" name="IQ_CONSUMER_SPENDING_SERVICES_REAL_SAAR" vbProcedure="false">"c6970"</definedName>
    <definedName function="false" hidden="true" name="IQ_CONSUMER_SPENDING_SERVICES_REAL_SAAR_APR" vbProcedure="false">"c7630"</definedName>
    <definedName function="false" hidden="true" name="IQ_CONSUMER_SPENDING_SERVICES_REAL_SAAR_APR_FC" vbProcedure="false">"c8510"</definedName>
    <definedName function="false" hidden="true" name="IQ_CONSUMER_SPENDING_SERVICES_REAL_SAAR_FC" vbProcedure="false">"c7850"</definedName>
    <definedName function="false" hidden="true" name="IQ_CONSUMER_SPENDING_SERVICES_REAL_SAAR_POP" vbProcedure="false">"c7190"</definedName>
    <definedName function="false" hidden="true" name="IQ_CONSUMER_SPENDING_SERVICES_REAL_SAAR_POP_FC" vbProcedure="false">"c8070"</definedName>
    <definedName function="false" hidden="true" name="IQ_CONSUMER_SPENDING_SERVICES_REAL_SAAR_YOY" vbProcedure="false">"c7410"</definedName>
    <definedName function="false" hidden="true" name="IQ_CONSUMER_SPENDING_SERVICES_REAL_SAAR_YOY_FC" vbProcedure="false">"c8290"</definedName>
    <definedName function="false" hidden="true" name="IQ_CONSUMER_SPENDING_SERVICES_REAL_YOY" vbProcedure="false">"c7409"</definedName>
    <definedName function="false" hidden="true" name="IQ_CONSUMER_SPENDING_SERVICES_REAL_YOY_FC" vbProcedure="false">"c8289"</definedName>
    <definedName function="false" hidden="true" name="IQ_CONSUMER_SPENDING_SERVICES_YOY" vbProcedure="false">"c7277"</definedName>
    <definedName function="false" hidden="true" name="IQ_CONSUMER_SPENDING_SERVICES_YOY_FC" vbProcedure="false">"c8157"</definedName>
    <definedName function="false" hidden="true" name="IQ_CONSUMER_SPENDING_YOY" vbProcedure="false">"c7274"</definedName>
    <definedName function="false" hidden="true" name="IQ_CONSUMER_SPENDING_YOY_FC" vbProcedure="false">"c8154"</definedName>
    <definedName function="false" hidden="true" name="IQ_CONTINGENT_LIABILITIES" vbProcedure="false">"c18873"</definedName>
    <definedName function="false" hidden="true" name="IQ_CONTRACTS_OTHER_COMMODITIES_EQUITIES_FDIC" vbProcedure="false">"c6522"</definedName>
    <definedName function="false" hidden="true" name="IQ_CONTRACT_OBLIGATION_AFTER_FIVE" vbProcedure="false">"c15691"</definedName>
    <definedName function="false" hidden="true" name="IQ_CONTRACT_OBLIGATION_CY" vbProcedure="false">"c15685"</definedName>
    <definedName function="false" hidden="true" name="IQ_CONTRACT_OBLIGATION_CY1" vbProcedure="false">"c15686"</definedName>
    <definedName function="false" hidden="true" name="IQ_CONTRACT_OBLIGATION_CY2" vbProcedure="false">"c15687"</definedName>
    <definedName function="false" hidden="true" name="IQ_CONTRACT_OBLIGATION_CY3" vbProcedure="false">"c15688"</definedName>
    <definedName function="false" hidden="true" name="IQ_CONTRACT_OBLIGATION_CY4" vbProcedure="false">"c15689"</definedName>
    <definedName function="false" hidden="true" name="IQ_CONTRACT_OBLIGATION_NEXT_FIVE" vbProcedure="false">"c15690"</definedName>
    <definedName function="false" hidden="true" name="IQ_CONTRACT_OBLIGATION_TOTAL" vbProcedure="false">"c15692"</definedName>
    <definedName function="false" hidden="true" name="IQ_CONTRIBUTOR_CIQID" vbProcedure="false">"c13742"</definedName>
    <definedName function="false" hidden="true" name="IQ_CONTRIBUTOR_NAME" vbProcedure="false">"c13735"</definedName>
    <definedName function="false" hidden="true" name="IQ_CONTRIBUTOR_START_DATE" vbProcedure="false">"c13741"</definedName>
    <definedName function="false" hidden="true" name="IQ_CONTRIB_ID_DET_EST" vbProcedure="false">"c12045"</definedName>
    <definedName function="false" hidden="true" name="IQ_CONTRIB_ID_DET_EST_REUT" vbProcedure="false">"c12137"</definedName>
    <definedName function="false" hidden="true" name="IQ_CONTRIB_ID_DET_EST_THOM" vbProcedure="false">"c12073"</definedName>
    <definedName function="false" hidden="true" name="IQ_CONTRIB_ID_NON_PER_DET_EST" vbProcedure="false">"c13824"</definedName>
    <definedName function="false" hidden="true" name="IQ_CONTRIB_ID_NON_PER_DET_EST_THOM" vbProcedure="false">"c13826"</definedName>
    <definedName function="false" hidden="true" name="IQ_CONTRIB_NAME_DET_EST" vbProcedure="false">"c12046"</definedName>
    <definedName function="false" hidden="true" name="IQ_CONTRIB_NAME_DET_EST_REUT" vbProcedure="false">"c12138"</definedName>
    <definedName function="false" hidden="true" name="IQ_CONTRIB_NAME_DET_EST_THOM" vbProcedure="false">"c12074"</definedName>
    <definedName function="false" hidden="true" name="IQ_CONTRIB_NAME_NON_PER_DET_EST" vbProcedure="false">"c12760"</definedName>
    <definedName function="false" hidden="true" name="IQ_CONTRIB_NAME_NON_PER_DET_EST_REUT" vbProcedure="false">"c12763"</definedName>
    <definedName function="false" hidden="true" name="IQ_CONTRIB_NAME_NON_PER_DET_EST_THOM" vbProcedure="false">"c12764"</definedName>
    <definedName function="false" hidden="true" name="IQ_CONTRIB_REC_DET_EST" vbProcedure="false">"c12051"</definedName>
    <definedName function="false" hidden="true" name="IQ_CONTRIB_REC_DET_EST_DATE" vbProcedure="false">"c12204"</definedName>
    <definedName function="false" hidden="true" name="IQ_CONTRIB_REC_DET_EST_DATE_REUT" vbProcedure="false">"c12285"</definedName>
    <definedName function="false" hidden="true" name="IQ_CONTRIB_REC_DET_EST_DATE_THOM" vbProcedure="false">"c12230"</definedName>
    <definedName function="false" hidden="true" name="IQ_CONTRIB_REC_DET_EST_ORIGIN" vbProcedure="false">"c12577"</definedName>
    <definedName function="false" hidden="true" name="IQ_CONTRIB_REC_DET_EST_ORIGIN_REUT" vbProcedure="false">"c12653"</definedName>
    <definedName function="false" hidden="true" name="IQ_CONTRIB_REC_DET_EST_ORIGIN_THOM" vbProcedure="false">"c12600"</definedName>
    <definedName function="false" hidden="true" name="IQ_CONTRIB_REC_DET_EST_REUT" vbProcedure="false">"c12143"</definedName>
    <definedName function="false" hidden="true" name="IQ_CONTRIB_REC_DET_EST_THOM" vbProcedure="false">"c12080"</definedName>
    <definedName function="false" hidden="true" name="IQ_CONVERSION_COMMON_FFIEC" vbProcedure="false">"c12964"</definedName>
    <definedName function="false" hidden="true" name="IQ_CONVERSION_PREF_FFIEC" vbProcedure="false">"c12962"</definedName>
    <definedName function="false" hidden="true" name="IQ_CONVERT" vbProcedure="false">"c2536"</definedName>
    <definedName function="false" hidden="true" name="IQ_CONVERT_PCT" vbProcedure="false">"c2537"</definedName>
    <definedName function="false" hidden="true" name="IQ_CONVEXITY" vbProcedure="false">"c2182"</definedName>
    <definedName function="false" hidden="true" name="IQ_CONVEYED_TO_OTHERS_FDIC" vbProcedure="false">"c6534"</definedName>
    <definedName function="false" hidden="true" name="IQ_CONV_DATE" vbProcedure="false">"c2191"</definedName>
    <definedName function="false" hidden="true" name="IQ_CONV_EXP_DATE" vbProcedure="false">"c3043"</definedName>
    <definedName function="false" hidden="true" name="IQ_CONV_PARITY" vbProcedure="false">"c16197"</definedName>
    <definedName function="false" hidden="true" name="IQ_CONV_PREMIUM" vbProcedure="false">"c2195"</definedName>
    <definedName function="false" hidden="true" name="IQ_CONV_PRICE" vbProcedure="false">"c2193"</definedName>
    <definedName function="false" hidden="true" name="IQ_CONV_PRICE_ISSUE" vbProcedure="false">"c16195"</definedName>
    <definedName function="false" hidden="true" name="IQ_CONV_PRICE_PREMIUM" vbProcedure="false">"c16198"</definedName>
    <definedName function="false" hidden="true" name="IQ_CONV_PRICE_PREM_ISSUE" vbProcedure="false">"c16196"</definedName>
    <definedName function="false" hidden="true" name="IQ_CONV_PT_PREMIUM" vbProcedure="false">"c16199"</definedName>
    <definedName function="false" hidden="true" name="IQ_CONV_PT_PREMIUM_PCT" vbProcedure="false">"c16200"</definedName>
    <definedName function="false" hidden="true" name="IQ_CONV_RATE" vbProcedure="false">"c2192"</definedName>
    <definedName function="false" hidden="true" name="IQ_CONV_RATIO" vbProcedure="false">"c2192"</definedName>
    <definedName function="false" hidden="true" name="IQ_CONV_SECURITY" vbProcedure="false">"c2189"</definedName>
    <definedName function="false" hidden="true" name="IQ_CONV_SECURITY_ISSUER" vbProcedure="false">"c2190"</definedName>
    <definedName function="false" hidden="true" name="IQ_CONV_SECURITY_PRICE" vbProcedure="false">"c2194"</definedName>
    <definedName function="false" hidden="true" name="IQ_COO_ID" vbProcedure="false">"c15222"</definedName>
    <definedName function="false" hidden="true" name="IQ_COO_NAME" vbProcedure="false">"c15221"</definedName>
    <definedName function="false" hidden="true" name="IQ_CORE_CAPITAL_RATIO_FDIC" vbProcedure="false">"c6745"</definedName>
    <definedName function="false" hidden="true" name="IQ_CORE_DEPOSITS_ASSETS_TOT_FFIEC" vbProcedure="false">"c13442"</definedName>
    <definedName function="false" hidden="true" name="IQ_CORE_DEPOSITS_FFIEC" vbProcedure="false">"c13862"</definedName>
    <definedName function="false" hidden="true" name="IQ_CORE_DEPOSITS_TOT_DEPOSITS_FFIEC" vbProcedure="false">"c13911"</definedName>
    <definedName function="false" hidden="true" name="IQ_CORE_TIER_ONE_CAPITAL" vbProcedure="false">"c15244"</definedName>
    <definedName function="false" hidden="true" name="IQ_CORE_TIER_ONE_CAPITAL_RATIO" vbProcedure="false">"c15240"</definedName>
    <definedName function="false" hidden="true" name="IQ_CORPORATE_OVER_TOTAL" vbProcedure="false">"c13767"</definedName>
    <definedName function="false" hidden="true" name="IQ_CORP_GOODS_PRICE_INDEX_APR_FC_UNUSED" vbProcedure="false">"c8381"</definedName>
    <definedName function="false" hidden="true" name="IQ_CORP_GOODS_PRICE_INDEX_APR_UNUSED" vbProcedure="false">"c7501"</definedName>
    <definedName function="false" hidden="true" name="IQ_CORP_GOODS_PRICE_INDEX_FC_UNUSED" vbProcedure="false">"c7721"</definedName>
    <definedName function="false" hidden="true" name="IQ_CORP_GOODS_PRICE_INDEX_POP_FC_UNUSED" vbProcedure="false">"c7941"</definedName>
    <definedName function="false" hidden="true" name="IQ_CORP_GOODS_PRICE_INDEX_POP_UNUSED" vbProcedure="false">"c7061"</definedName>
    <definedName function="false" hidden="true" name="IQ_CORP_GOODS_PRICE_INDEX_UNUSED" vbProcedure="false">"c6841"</definedName>
    <definedName function="false" hidden="true" name="IQ_CORP_GOODS_PRICE_INDEX_YOY_FC_UNUSED" vbProcedure="false">"c8161"</definedName>
    <definedName function="false" hidden="true" name="IQ_CORP_GOODS_PRICE_INDEX_YOY_UNUSED" vbProcedure="false">"c7281"</definedName>
    <definedName function="false" hidden="true" name="IQ_CORP_PROFITS" vbProcedure="false">"c6843"</definedName>
    <definedName function="false" hidden="true" name="IQ_CORP_PROFITS_AFTER_TAX_SAAR" vbProcedure="false">"c6842"</definedName>
    <definedName function="false" hidden="true" name="IQ_CORP_PROFITS_AFTER_TAX_SAAR_APR" vbProcedure="false">"c7502"</definedName>
    <definedName function="false" hidden="true" name="IQ_CORP_PROFITS_AFTER_TAX_SAAR_APR_FC" vbProcedure="false">"c8382"</definedName>
    <definedName function="false" hidden="true" name="IQ_CORP_PROFITS_AFTER_TAX_SAAR_FC" vbProcedure="false">"c7722"</definedName>
    <definedName function="false" hidden="true" name="IQ_CORP_PROFITS_AFTER_TAX_SAAR_POP" vbProcedure="false">"c7062"</definedName>
    <definedName function="false" hidden="true" name="IQ_CORP_PROFITS_AFTER_TAX_SAAR_POP_FC" vbProcedure="false">"c7942"</definedName>
    <definedName function="false" hidden="true" name="IQ_CORP_PROFITS_AFTER_TAX_SAAR_YOY" vbProcedure="false">"c7282"</definedName>
    <definedName function="false" hidden="true" name="IQ_CORP_PROFITS_AFTER_TAX_SAAR_YOY_FC" vbProcedure="false">"c8162"</definedName>
    <definedName function="false" hidden="true" name="IQ_CORP_PROFITS_APR" vbProcedure="false">"c7503"</definedName>
    <definedName function="false" hidden="true" name="IQ_CORP_PROFITS_APR_FC" vbProcedure="false">"c8383"</definedName>
    <definedName function="false" hidden="true" name="IQ_CORP_PROFITS_FC" vbProcedure="false">"c7723"</definedName>
    <definedName function="false" hidden="true" name="IQ_CORP_PROFITS_POP" vbProcedure="false">"c7063"</definedName>
    <definedName function="false" hidden="true" name="IQ_CORP_PROFITS_POP_FC" vbProcedure="false">"c7943"</definedName>
    <definedName function="false" hidden="true" name="IQ_CORP_PROFITS_SAAR" vbProcedure="false">"c6844"</definedName>
    <definedName function="false" hidden="true" name="IQ_CORP_PROFITS_SAAR_APR" vbProcedure="false">"c7504"</definedName>
    <definedName function="false" hidden="true" name="IQ_CORP_PROFITS_SAAR_APR_FC" vbProcedure="false">"c8384"</definedName>
    <definedName function="false" hidden="true" name="IQ_CORP_PROFITS_SAAR_FC" vbProcedure="false">"c7724"</definedName>
    <definedName function="false" hidden="true" name="IQ_CORP_PROFITS_SAAR_POP" vbProcedure="false">"c7064"</definedName>
    <definedName function="false" hidden="true" name="IQ_CORP_PROFITS_SAAR_POP_FC" vbProcedure="false">"c7944"</definedName>
    <definedName function="false" hidden="true" name="IQ_CORP_PROFITS_SAAR_YOY" vbProcedure="false">"c7284"</definedName>
    <definedName function="false" hidden="true" name="IQ_CORP_PROFITS_SAAR_YOY_FC" vbProcedure="false">"c8164"</definedName>
    <definedName function="false" hidden="true" name="IQ_CORP_PROFITS_YOY" vbProcedure="false">"c7283"</definedName>
    <definedName function="false" hidden="true" name="IQ_CORP_PROFITS_YOY_FC" vbProcedure="false">"c8163"</definedName>
    <definedName function="false" hidden="true" name="IQ_COST_BORROWED_FUNDS_FFIEC" vbProcedure="false">"c13492"</definedName>
    <definedName function="false" hidden="true" name="IQ_COST_BORROWING" vbProcedure="false">"c2936"</definedName>
    <definedName function="false" hidden="true" name="IQ_COST_BORROWINGS" vbProcedure="false">"c225"</definedName>
    <definedName function="false" hidden="true" name="IQ_COST_CAPITAL_NEW_BUSINESS" vbProcedure="false">"c9968"</definedName>
    <definedName function="false" hidden="true" name="IQ_COST_FOREIGN_DEPOSITS_FFIEC" vbProcedure="false">"c13490"</definedName>
    <definedName function="false" hidden="true" name="IQ_COST_FUNDS" vbProcedure="false">"c15726"</definedName>
    <definedName function="false" hidden="true" name="IQ_COST_FUNDS_PURCHASED_FFIEC" vbProcedure="false">"c13491"</definedName>
    <definedName function="false" hidden="true" name="IQ_COST_INT_DEPOSITS_FFIEC" vbProcedure="false">"c13489"</definedName>
    <definedName function="false" hidden="true" name="IQ_COST_OF_FUNDING_ASSETS_FDIC" vbProcedure="false">"c6725"</definedName>
    <definedName function="false" hidden="true" name="IQ_COST_REV" vbProcedure="false">"c226"</definedName>
    <definedName function="false" hidden="true" name="IQ_COST_REVENUE" vbProcedure="false">"c1359"</definedName>
    <definedName function="false" hidden="true" name="IQ_COST_SALES_COAL" vbProcedure="false">"c15933"</definedName>
    <definedName function="false" hidden="true" name="IQ_COST_SALES_PER_UNIT_SOLD_COAL" vbProcedure="false">"c15944"</definedName>
    <definedName function="false" hidden="true" name="IQ_COST_SALES_TO_SALES_COAL" vbProcedure="false">"c15951"</definedName>
    <definedName function="false" hidden="true" name="IQ_COST_SAVINGS" vbProcedure="false">"c227"</definedName>
    <definedName function="false" hidden="true" name="IQ_COST_SERVICE" vbProcedure="false">"c228"</definedName>
    <definedName function="false" hidden="true" name="IQ_COST_SOLVENCY_CAPITAL_COVERED" vbProcedure="false">"c9965"</definedName>
    <definedName function="false" hidden="true" name="IQ_COST_SOLVENCY_CAPITAL_GROUP" vbProcedure="false">"c9951"</definedName>
    <definedName function="false" hidden="true" name="IQ_COST_TOTAL_BORROWINGS" vbProcedure="false">"c229"</definedName>
    <definedName function="false" hidden="true" name="IQ_COUNTRY_NAME" vbProcedure="false">"c230"</definedName>
    <definedName function="false" hidden="true" name="IQ_COUNTRY_NAME_ECON" vbProcedure="false">"c11752"</definedName>
    <definedName function="false" hidden="true" name="IQ_COUPON_FORMULA" vbProcedure="false">"c8965"</definedName>
    <definedName function="false" hidden="true" name="IQ_COVERAGE_RATIO" vbProcedure="false">"c15243"</definedName>
    <definedName function="false" hidden="true" name="IQ_COVERED_POPS" vbProcedure="false">"c2124"</definedName>
    <definedName function="false" hidden="true" name="IQ_COVERED_WIRELESS_POPS" vbProcedure="false">"c2124"</definedName>
    <definedName function="false" hidden="true" name="IQ_CO_INVESTORS" vbProcedure="false">"c18910"</definedName>
    <definedName function="false" hidden="true" name="IQ_CO_INVESTORS_ID" vbProcedure="false">"c18911"</definedName>
    <definedName function="false" hidden="true" name="IQ_CO_INVESTORS_INVESTMENT" vbProcedure="false">"c19113"</definedName>
    <definedName function="false" hidden="true" name="IQ_CO_INVESTORS_NUM_INVESTMENTS" vbProcedure="false">"c19170"</definedName>
    <definedName function="false" hidden="true" name="IQ_CP" vbProcedure="false">"c2495"</definedName>
    <definedName function="false" hidden="true" name="IQ_CPI" vbProcedure="false">"c6845"</definedName>
    <definedName function="false" hidden="true" name="IQ_CPI_APR" vbProcedure="false">"c7505"</definedName>
    <definedName function="false" hidden="true" name="IQ_CPI_APR_FC" vbProcedure="false">"c8385"</definedName>
    <definedName function="false" hidden="true" name="IQ_CPI_CORE" vbProcedure="false">"c6838"</definedName>
    <definedName function="false" hidden="true" name="IQ_CPI_CORE_APR" vbProcedure="false">"c7498"</definedName>
    <definedName function="false" hidden="true" name="IQ_CPI_CORE_POP" vbProcedure="false">"c7058"</definedName>
    <definedName function="false" hidden="true" name="IQ_CPI_CORE_YOY" vbProcedure="false">"c7278"</definedName>
    <definedName function="false" hidden="true" name="IQ_CPI_FC" vbProcedure="false">"c7725"</definedName>
    <definedName function="false" hidden="true" name="IQ_CPI_POP" vbProcedure="false">"c7065"</definedName>
    <definedName function="false" hidden="true" name="IQ_CPI_POP_FC" vbProcedure="false">"c7945"</definedName>
    <definedName function="false" hidden="true" name="IQ_CPI_YOY" vbProcedure="false">"c7285"</definedName>
    <definedName function="false" hidden="true" name="IQ_CPI_YOY_FC" vbProcedure="false">"c8165"</definedName>
    <definedName function="false" hidden="true" name="IQ_CP_PCT" vbProcedure="false">"c2496"</definedName>
    <definedName function="false" hidden="true" name="IQ_CQ" vbProcedure="false">5000</definedName>
    <definedName function="false" hidden="true" name="IQ_CREDIT_CARDS_CONSUMER_LOANS_FFIEC" vbProcedure="false">"c12822"</definedName>
    <definedName function="false" hidden="true" name="IQ_CREDIT_CARDS_LL_REC_FFIEC" vbProcedure="false">"c12889"</definedName>
    <definedName function="false" hidden="true" name="IQ_CREDIT_CARDS_LOANS_TRADING_DOM_FFIEC" vbProcedure="false">"c12933"</definedName>
    <definedName function="false" hidden="true" name="IQ_CREDIT_CARD_CHARGE_OFFS_FDIC" vbProcedure="false">"c6652"</definedName>
    <definedName function="false" hidden="true" name="IQ_CREDIT_CARD_FEE_BNK" vbProcedure="false">"c231"</definedName>
    <definedName function="false" hidden="true" name="IQ_CREDIT_CARD_FEE_FIN" vbProcedure="false">"c1583"</definedName>
    <definedName function="false" hidden="true" name="IQ_CREDIT_CARD_GROSS_LOANS_FFIEC" vbProcedure="false">"c13412"</definedName>
    <definedName function="false" hidden="true" name="IQ_CREDIT_CARD_INTERCHANGE_FEES_FFIEC" vbProcedure="false">"c13046"</definedName>
    <definedName function="false" hidden="true" name="IQ_CREDIT_CARD_LINES_FDIC" vbProcedure="false">"c6525"</definedName>
    <definedName function="false" hidden="true" name="IQ_CREDIT_CARD_LINES_UNUSED_FFIEC" vbProcedure="false">"c13242"</definedName>
    <definedName function="false" hidden="true" name="IQ_CREDIT_CARD_LOANS_CHARGE_OFFS_FFIEC" vbProcedure="false">"c13180"</definedName>
    <definedName function="false" hidden="true" name="IQ_CREDIT_CARD_LOANS_DOM_QUARTERLY_AVG_FFIEC" vbProcedure="false">"c15480"</definedName>
    <definedName function="false" hidden="true" name="IQ_CREDIT_CARD_LOANS_DUE_30_89_FFIEC" vbProcedure="false">"c13272"</definedName>
    <definedName function="false" hidden="true" name="IQ_CREDIT_CARD_LOANS_DUE_90_FFIEC" vbProcedure="false">"c13298"</definedName>
    <definedName function="false" hidden="true" name="IQ_CREDIT_CARD_LOANS_FDIC" vbProcedure="false">"c6319"</definedName>
    <definedName function="false" hidden="true" name="IQ_CREDIT_CARD_LOANS_NON_ACCRUAL_FFIEC" vbProcedure="false">"c13324"</definedName>
    <definedName function="false" hidden="true" name="IQ_CREDIT_CARD_LOANS_RECOV_FFIEC" vbProcedure="false">"c13202"</definedName>
    <definedName function="false" hidden="true" name="IQ_CREDIT_CARD_NET_CHARGE_OFFS_FDIC" vbProcedure="false">"c6654"</definedName>
    <definedName function="false" hidden="true" name="IQ_CREDIT_CARD_RECOVERIES_FDIC" vbProcedure="false">"c6653"</definedName>
    <definedName function="false" hidden="true" name="IQ_CREDIT_CARD_RISK_BASED_FFIEC" vbProcedure="false">"c13433"</definedName>
    <definedName function="false" hidden="true" name="IQ_CREDIT_EXPOSURE" vbProcedure="false">"c10038"</definedName>
    <definedName function="false" hidden="true" name="IQ_CREDIT_EXPOSURE_FFIEC" vbProcedure="false">"c13062"</definedName>
    <definedName function="false" hidden="true" name="IQ_CREDIT_LOSSES_DERIVATIVES_FFIEC" vbProcedure="false">"c13068"</definedName>
    <definedName function="false" hidden="true" name="IQ_CREDIT_LOSS_CF" vbProcedure="false">"c232"</definedName>
    <definedName function="false" hidden="true" name="IQ_CREDIT_LOSS_PROVISION_NET_CHARGE_OFFS_FDIC" vbProcedure="false">"c6734"</definedName>
    <definedName function="false" hidden="true" name="IQ_CREDIT_OPTIONS_DERIVATIVES_BENEFICIARY_FFIEC" vbProcedure="false">"c13121"</definedName>
    <definedName function="false" hidden="true" name="IQ_CREDIT_OPTIONS_DERIVATIVES_GUARANTOR_FFIEC" vbProcedure="false">"c13114"</definedName>
    <definedName function="false" hidden="true" name="IQ_CUMULATIVE_PREFERREDS_T2_FFIEC" vbProcedure="false">"c13145"</definedName>
    <definedName function="false" hidden="true" name="IQ_CUMULATIVE_SPLIT_FACTOR" vbProcedure="false">"c2094"</definedName>
    <definedName function="false" hidden="true" name="IQ_CURRENCY_COIN_DOMESTIC_FDIC" vbProcedure="false">"c6388"</definedName>
    <definedName function="false" hidden="true" name="IQ_CURRENCY_COIN_DOM_FFIEC" vbProcedure="false">"c15287"</definedName>
    <definedName function="false" hidden="true" name="IQ_CURRENCY_FACTOR_BS" vbProcedure="false">"c233"</definedName>
    <definedName function="false" hidden="true" name="IQ_CURRENCY_FACTOR_IS" vbProcedure="false">"c234"</definedName>
    <definedName function="false" hidden="true" name="IQ_CURRENCY_GAIN" vbProcedure="false">"c235"</definedName>
    <definedName function="false" hidden="true" name="IQ_CURRENCY_GAIN_BR" vbProcedure="false">"c236"</definedName>
    <definedName function="false" hidden="true" name="IQ_CURRENCY_GAIN_FIN" vbProcedure="false">"c237"</definedName>
    <definedName function="false" hidden="true" name="IQ_CURRENCY_GAIN_INS" vbProcedure="false">"c238"</definedName>
    <definedName function="false" hidden="true" name="IQ_CURRENCY_GAIN_RE" vbProcedure="false">"c6205"</definedName>
    <definedName function="false" hidden="true" name="IQ_CURRENCY_GAIN_REIT" vbProcedure="false">"c239"</definedName>
    <definedName function="false" hidden="true" name="IQ_CURRENCY_GAIN_UTI" vbProcedure="false">"c240"</definedName>
    <definedName function="false" hidden="true" name="IQ_CURRENT_BENCHMARK" vbProcedure="false">"c6780"</definedName>
    <definedName function="false" hidden="true" name="IQ_CURRENT_BENCHMARK_CIQID" vbProcedure="false">"c6781"</definedName>
    <definedName function="false" hidden="true" name="IQ_CURRENT_BENCHMARK_MATURITY" vbProcedure="false">"c6782"</definedName>
    <definedName function="false" hidden="true" name="IQ_CURRENT_PORT" vbProcedure="false">"c241"</definedName>
    <definedName function="false" hidden="true" name="IQ_CURRENT_PORT_BNK" vbProcedure="false">"c242"</definedName>
    <definedName function="false" hidden="true" name="IQ_CURRENT_PORT_DEBT" vbProcedure="false">"c243"</definedName>
    <definedName function="false" hidden="true" name="IQ_CURRENT_PORT_DEBT_BNK" vbProcedure="false">"c244"</definedName>
    <definedName function="false" hidden="true" name="IQ_CURRENT_PORT_DEBT_BR" vbProcedure="false">"c1567"</definedName>
    <definedName function="false" hidden="true" name="IQ_CURRENT_PORT_DEBT_FIN" vbProcedure="false">"c1568"</definedName>
    <definedName function="false" hidden="true" name="IQ_CURRENT_PORT_DEBT_INS" vbProcedure="false">"c1569"</definedName>
    <definedName function="false" hidden="true" name="IQ_CURRENT_PORT_DEBT_RE" vbProcedure="false">"c6283"</definedName>
    <definedName function="false" hidden="true" name="IQ_CURRENT_PORT_DEBT_REIT" vbProcedure="false">"c1570"</definedName>
    <definedName function="false" hidden="true" name="IQ_CURRENT_PORT_DEBT_UTI" vbProcedure="false">"c1571"</definedName>
    <definedName function="false" hidden="true" name="IQ_CURRENT_PORT_FHLB_DEBT" vbProcedure="false">"c5657"</definedName>
    <definedName function="false" hidden="true" name="IQ_CURRENT_PORT_LEASES" vbProcedure="false">"c245"</definedName>
    <definedName function="false" hidden="true" name="IQ_CURRENT_PORT_PCT" vbProcedure="false">"c2541"</definedName>
    <definedName function="false" hidden="true" name="IQ_CURRENT_RATIO" vbProcedure="false">"c246"</definedName>
    <definedName function="false" hidden="true" name="IQ_CURR_ACCT_BALANCE_APR_FC_UNUSED" vbProcedure="false">"c8387"</definedName>
    <definedName function="false" hidden="true" name="IQ_CURR_ACCT_BALANCE_APR_UNUSED" vbProcedure="false">"c7507"</definedName>
    <definedName function="false" hidden="true" name="IQ_CURR_ACCT_BALANCE_FC_UNUSED" vbProcedure="false">"c7727"</definedName>
    <definedName function="false" hidden="true" name="IQ_CURR_ACCT_BALANCE_PCT" vbProcedure="false">"c6846"</definedName>
    <definedName function="false" hidden="true" name="IQ_CURR_ACCT_BALANCE_PCT_FC" vbProcedure="false">"c7726"</definedName>
    <definedName function="false" hidden="true" name="IQ_CURR_ACCT_BALANCE_PCT_POP" vbProcedure="false">"c7066"</definedName>
    <definedName function="false" hidden="true" name="IQ_CURR_ACCT_BALANCE_PCT_POP_FC" vbProcedure="false">"c7946"</definedName>
    <definedName function="false" hidden="true" name="IQ_CURR_ACCT_BALANCE_PCT_YOY" vbProcedure="false">"c7286"</definedName>
    <definedName function="false" hidden="true" name="IQ_CURR_ACCT_BALANCE_PCT_YOY_FC" vbProcedure="false">"c8166"</definedName>
    <definedName function="false" hidden="true" name="IQ_CURR_ACCT_BALANCE_POP_FC_UNUSED" vbProcedure="false">"c7947"</definedName>
    <definedName function="false" hidden="true" name="IQ_CURR_ACCT_BALANCE_POP_UNUSED" vbProcedure="false">"c7067"</definedName>
    <definedName function="false" hidden="true" name="IQ_CURR_ACCT_BALANCE_SAAR" vbProcedure="false">"c6848"</definedName>
    <definedName function="false" hidden="true" name="IQ_CURR_ACCT_BALANCE_SAAR_APR" vbProcedure="false">"c7508"</definedName>
    <definedName function="false" hidden="true" name="IQ_CURR_ACCT_BALANCE_SAAR_APR_FC" vbProcedure="false">"c8388"</definedName>
    <definedName function="false" hidden="true" name="IQ_CURR_ACCT_BALANCE_SAAR_FC" vbProcedure="false">"c7728"</definedName>
    <definedName function="false" hidden="true" name="IQ_CURR_ACCT_BALANCE_SAAR_POP" vbProcedure="false">"c7068"</definedName>
    <definedName function="false" hidden="true" name="IQ_CURR_ACCT_BALANCE_SAAR_POP_FC" vbProcedure="false">"c7948"</definedName>
    <definedName function="false" hidden="true" name="IQ_CURR_ACCT_BALANCE_SAAR_USD_APR_FC" vbProcedure="false">"c11797"</definedName>
    <definedName function="false" hidden="true" name="IQ_CURR_ACCT_BALANCE_SAAR_USD_FC" vbProcedure="false">"c11794"</definedName>
    <definedName function="false" hidden="true" name="IQ_CURR_ACCT_BALANCE_SAAR_USD_POP_FC" vbProcedure="false">"c11795"</definedName>
    <definedName function="false" hidden="true" name="IQ_CURR_ACCT_BALANCE_SAAR_USD_YOY_FC" vbProcedure="false">"c11796"</definedName>
    <definedName function="false" hidden="true" name="IQ_CURR_ACCT_BALANCE_SAAR_YOY" vbProcedure="false">"c7288"</definedName>
    <definedName function="false" hidden="true" name="IQ_CURR_ACCT_BALANCE_SAAR_YOY_FC" vbProcedure="false">"c8168"</definedName>
    <definedName function="false" hidden="true" name="IQ_CURR_ACCT_BALANCE_UNUSED" vbProcedure="false">"c6847"</definedName>
    <definedName function="false" hidden="true" name="IQ_CURR_ACCT_BALANCE_USD" vbProcedure="false">"c11786"</definedName>
    <definedName function="false" hidden="true" name="IQ_CURR_ACCT_BALANCE_USD_APR" vbProcedure="false">"c11789"</definedName>
    <definedName function="false" hidden="true" name="IQ_CURR_ACCT_BALANCE_USD_APR_FC" vbProcedure="false">"c11793"</definedName>
    <definedName function="false" hidden="true" name="IQ_CURR_ACCT_BALANCE_USD_FC" vbProcedure="false">"c11790"</definedName>
    <definedName function="false" hidden="true" name="IQ_CURR_ACCT_BALANCE_USD_POP" vbProcedure="false">"c11787"</definedName>
    <definedName function="false" hidden="true" name="IQ_CURR_ACCT_BALANCE_USD_POP_FC" vbProcedure="false">"c11791"</definedName>
    <definedName function="false" hidden="true" name="IQ_CURR_ACCT_BALANCE_USD_YOY" vbProcedure="false">"c11788"</definedName>
    <definedName function="false" hidden="true" name="IQ_CURR_ACCT_BALANCE_USD_YOY_FC" vbProcedure="false">"c11792"</definedName>
    <definedName function="false" hidden="true" name="IQ_CURR_ACCT_BALANCE_YOY_FC_UNUSED" vbProcedure="false">"c8167"</definedName>
    <definedName function="false" hidden="true" name="IQ_CURR_ACCT_BALANCE_YOY_UNUSED" vbProcedure="false">"c7287"</definedName>
    <definedName function="false" hidden="true" name="IQ_CURR_ACCT_INC_RECEIPTS" vbProcedure="false">"c6849"</definedName>
    <definedName function="false" hidden="true" name="IQ_CURR_ACCT_INC_RECEIPTS_APR" vbProcedure="false">"c7509"</definedName>
    <definedName function="false" hidden="true" name="IQ_CURR_ACCT_INC_RECEIPTS_APR_FC" vbProcedure="false">"c8389"</definedName>
    <definedName function="false" hidden="true" name="IQ_CURR_ACCT_INC_RECEIPTS_FC" vbProcedure="false">"c7729"</definedName>
    <definedName function="false" hidden="true" name="IQ_CURR_ACCT_INC_RECEIPTS_POP" vbProcedure="false">"c7069"</definedName>
    <definedName function="false" hidden="true" name="IQ_CURR_ACCT_INC_RECEIPTS_POP_FC" vbProcedure="false">"c7949"</definedName>
    <definedName function="false" hidden="true" name="IQ_CURR_ACCT_INC_RECEIPTS_YOY" vbProcedure="false">"c7289"</definedName>
    <definedName function="false" hidden="true" name="IQ_CURR_ACCT_INC_RECEIPTS_YOY_FC" vbProcedure="false">"c8169"</definedName>
    <definedName function="false" hidden="true" name="IQ_CURR_DOMESTIC_TAXES" vbProcedure="false">"c2074"</definedName>
    <definedName function="false" hidden="true" name="IQ_CURR_FOREIGN_TAXES" vbProcedure="false">"c2075"</definedName>
    <definedName function="false" hidden="true" name="IQ_CURR_TAXES" vbProcedure="false">"c19141"</definedName>
    <definedName function="false" hidden="true" name="IQ_CUSIP" vbProcedure="false">"c2245"</definedName>
    <definedName function="false" hidden="true" name="IQ_CUSTOMER_LIAB_ACCEPTANCES_OUT_FFIEC" vbProcedure="false">"c12835"</definedName>
    <definedName function="false" hidden="true" name="IQ_CUST_PREMISE_EQUIP_CABLE_INVEST" vbProcedure="false">"c15801"</definedName>
    <definedName function="false" hidden="true" name="IQ_CY" vbProcedure="false">10000</definedName>
    <definedName function="false" hidden="true" name="IQ_DA" vbProcedure="false">"c247"</definedName>
    <definedName function="false" hidden="true" name="IQ_DAILY" vbProcedure="false">500000</definedName>
    <definedName function="false" hidden="true" name="IQ_DATA_PROCESSING_EXP_FFIEC" vbProcedure="false">"c13047"</definedName>
    <definedName function="false" hidden="true" name="IQ_DATED_DATE" vbProcedure="false">"c2185"</definedName>
    <definedName function="false" hidden="true" name="IQ_DAYS_COVER_SHORT" vbProcedure="false">"c1578"</definedName>
    <definedName function="false" hidden="true" name="IQ_DAYS_DELAY" vbProcedure="false">"c8963"</definedName>
    <definedName function="false" hidden="true" name="IQ_DAYS_INVENTORY_OUT" vbProcedure="false">"c273"</definedName>
    <definedName function="false" hidden="true" name="IQ_DAYS_PAYABLE_OUT" vbProcedure="false">"c274"</definedName>
    <definedName function="false" hidden="true" name="IQ_DAYS_PAY_OUTST" vbProcedure="false">"c1362"</definedName>
    <definedName function="false" hidden="true" name="IQ_DAYS_SALES_OUT" vbProcedure="false">"c275"</definedName>
    <definedName function="false" hidden="true" name="IQ_DAYS_SALES_OUTST" vbProcedure="false">"c1363"</definedName>
    <definedName function="false" hidden="true" name="IQ_DAY_COUNT" vbProcedure="false">"c2161"</definedName>
    <definedName function="false" hidden="true" name="IQ_DA_BR" vbProcedure="false">"c248"</definedName>
    <definedName function="false" hidden="true" name="IQ_DA_CF" vbProcedure="false">"c249"</definedName>
    <definedName function="false" hidden="true" name="IQ_DA_CF_BNK" vbProcedure="false">"c250"</definedName>
    <definedName function="false" hidden="true" name="IQ_DA_CF_BR" vbProcedure="false">"c251"</definedName>
    <definedName function="false" hidden="true" name="IQ_DA_CF_FIN" vbProcedure="false">"c252"</definedName>
    <definedName function="false" hidden="true" name="IQ_DA_CF_INS" vbProcedure="false">"c253"</definedName>
    <definedName function="false" hidden="true" name="IQ_DA_CF_RE" vbProcedure="false">"c6206"</definedName>
    <definedName function="false" hidden="true" name="IQ_DA_CF_REIT" vbProcedure="false">"c254"</definedName>
    <definedName function="false" hidden="true" name="IQ_DA_CF_UTI" vbProcedure="false">"c255"</definedName>
    <definedName function="false" hidden="true" name="IQ_DA_EBITDA" vbProcedure="false">"c5528"</definedName>
    <definedName function="false" hidden="true" name="IQ_DA_FIN" vbProcedure="false">"c256"</definedName>
    <definedName function="false" hidden="true" name="IQ_DA_INS" vbProcedure="false">"c257"</definedName>
    <definedName function="false" hidden="true" name="IQ_DA_RE" vbProcedure="false">"c6207"</definedName>
    <definedName function="false" hidden="true" name="IQ_DA_REIT" vbProcedure="false">"c258"</definedName>
    <definedName function="false" hidden="true" name="IQ_DA_SUPPL" vbProcedure="false">"c259"</definedName>
    <definedName function="false" hidden="true" name="IQ_DA_SUPPL_BR" vbProcedure="false">"c260"</definedName>
    <definedName function="false" hidden="true" name="IQ_DA_SUPPL_CF" vbProcedure="false">"c261"</definedName>
    <definedName function="false" hidden="true" name="IQ_DA_SUPPL_CF_BNK" vbProcedure="false">"c262"</definedName>
    <definedName function="false" hidden="true" name="IQ_DA_SUPPL_CF_BR" vbProcedure="false">"c263"</definedName>
    <definedName function="false" hidden="true" name="IQ_DA_SUPPL_CF_FIN" vbProcedure="false">"c264"</definedName>
    <definedName function="false" hidden="true" name="IQ_DA_SUPPL_CF_INS" vbProcedure="false">"c265"</definedName>
    <definedName function="false" hidden="true" name="IQ_DA_SUPPL_CF_RE" vbProcedure="false">"c6208"</definedName>
    <definedName function="false" hidden="true" name="IQ_DA_SUPPL_CF_REIT" vbProcedure="false">"c266"</definedName>
    <definedName function="false" hidden="true" name="IQ_DA_SUPPL_CF_UTI" vbProcedure="false">"c267"</definedName>
    <definedName function="false" hidden="true" name="IQ_DA_SUPPL_FIN" vbProcedure="false">"c268"</definedName>
    <definedName function="false" hidden="true" name="IQ_DA_SUPPL_INS" vbProcedure="false">"c269"</definedName>
    <definedName function="false" hidden="true" name="IQ_DA_SUPPL_RE" vbProcedure="false">"c6209"</definedName>
    <definedName function="false" hidden="true" name="IQ_DA_SUPPL_REIT" vbProcedure="false">"c270"</definedName>
    <definedName function="false" hidden="true" name="IQ_DA_SUPPL_UTI" vbProcedure="false">"c271"</definedName>
    <definedName function="false" hidden="true" name="IQ_DA_UTI" vbProcedure="false">"c272"</definedName>
    <definedName function="false" hidden="true" name="IQ_DEBT_1_5_INVEST_SECURITIES_FFIEC" vbProcedure="false">"c13465"</definedName>
    <definedName function="false" hidden="true" name="IQ_DEBT_ADJ" vbProcedure="false">"c2515"</definedName>
    <definedName function="false" hidden="true" name="IQ_DEBT_ADJ_PCT" vbProcedure="false">"c2516"</definedName>
    <definedName function="false" hidden="true" name="IQ_DEBT_EQUITY_EST" vbProcedure="false">"c4257"</definedName>
    <definedName function="false" hidden="true" name="IQ_DEBT_EQUITY_HIGH_EST" vbProcedure="false">"c4258"</definedName>
    <definedName function="false" hidden="true" name="IQ_DEBT_EQUITY_LOW_EST" vbProcedure="false">"c4259"</definedName>
    <definedName function="false" hidden="true" name="IQ_DEBT_EQUITY_MEDIAN_EST" vbProcedure="false">"c4260"</definedName>
    <definedName function="false" hidden="true" name="IQ_DEBT_EQUITY_NUM_EST" vbProcedure="false">"c4261"</definedName>
    <definedName function="false" hidden="true" name="IQ_DEBT_EQUITY_STDDEV_EST" vbProcedure="false">"c4262"</definedName>
    <definedName function="false" hidden="true" name="IQ_DEBT_EQUIV_NET_PBO" vbProcedure="false">"c2938"</definedName>
    <definedName function="false" hidden="true" name="IQ_DEBT_EQUIV_OPER_LEASE" vbProcedure="false">"c2935"</definedName>
    <definedName function="false" hidden="true" name="IQ_DEBT_LESS_1YR_INVEST_SECURITIES_FFIEC" vbProcedure="false">"c13464"</definedName>
    <definedName function="false" hidden="true" name="IQ_DEBT_MATURING_MORE_THAN_ONE_YEAR_FFIEC" vbProcedure="false">"c13164"</definedName>
    <definedName function="false" hidden="true" name="IQ_DEBT_MATURING_WITHIN_ONE_YEAR_FFIEC" vbProcedure="false">"c13163"</definedName>
    <definedName function="false" hidden="true" name="IQ_DEBT_SECURITIES_FOREIGN_FFIEC" vbProcedure="false">"c13484"</definedName>
    <definedName function="false" hidden="true" name="IQ_DEBT_SECURITIES_OTHER_ASSETS_DUE_30_89_FFIEC" vbProcedure="false">"c13279"</definedName>
    <definedName function="false" hidden="true" name="IQ_DEBT_SECURITIES_OTHER_ASSETS_DUE_90_FFIEC" vbProcedure="false">"c13305"</definedName>
    <definedName function="false" hidden="true" name="IQ_DEBT_SECURITIES_OTHER_ASSETS_NON_ACCRUAL_FFIEC" vbProcedure="false">"c13331"</definedName>
    <definedName function="false" hidden="true" name="IQ_DEBT_SEC_OVER_5YR_INVEST_SECURITIES_FFIEC" vbProcedure="false">"c13466"</definedName>
    <definedName function="false" hidden="true" name="IQ_DECREASE_INT_EXPENSE_FFIEC" vbProcedure="false">"c13064"</definedName>
    <definedName function="false" hidden="true" name="IQ_DEDUCTIONS_TOTAL_RISK_BASED_CAPITAL_FFIEC" vbProcedure="false">"c13152"</definedName>
    <definedName function="false" hidden="true" name="IQ_DEFAULT_DATE" vbProcedure="false">"c16220"</definedName>
    <definedName function="false" hidden="true" name="IQ_DEFAULT_TYPE" vbProcedure="false">"c16219"</definedName>
    <definedName function="false" hidden="true" name="IQ_DEFERRED_CONTINGENT_RENT" vbProcedure="false">"c16181"</definedName>
    <definedName function="false" hidden="true" name="IQ_DEFERRED_DOMESTIC_TAXES" vbProcedure="false">"c2077"</definedName>
    <definedName function="false" hidden="true" name="IQ_DEFERRED_FOREIGN_TAXES" vbProcedure="false">"c2078"</definedName>
    <definedName function="false" hidden="true" name="IQ_DEFERRED_INC_TAX" vbProcedure="false">"c1447"</definedName>
    <definedName function="false" hidden="true" name="IQ_DEFERRED_TAXES" vbProcedure="false">"c1356"</definedName>
    <definedName function="false" hidden="true" name="IQ_DEFERRED_TAXES_TOTAL" vbProcedure="false">"c19142"</definedName>
    <definedName function="false" hidden="true" name="IQ_DEFERRED_TAX_ASSETS_FFIEC" vbProcedure="false">"c12843"</definedName>
    <definedName function="false" hidden="true" name="IQ_DEFERRED_TAX_ASSETS_T1_FFIEC" vbProcedure="false">"c13141"</definedName>
    <definedName function="false" hidden="true" name="IQ_DEFERRED_TAX_LIAB_FFIEC" vbProcedure="false">"c12870"</definedName>
    <definedName function="false" hidden="true" name="IQ_DEFERRED_TAX_NAV" vbProcedure="false">"c16003"</definedName>
    <definedName function="false" hidden="true" name="IQ_DEFERRED_TAX_NNAV" vbProcedure="false">"c16008"</definedName>
    <definedName function="false" hidden="true" name="IQ_DEF_ACQ_CST" vbProcedure="false">"c1364"</definedName>
    <definedName function="false" hidden="true" name="IQ_DEF_AMORT" vbProcedure="false">"c276"</definedName>
    <definedName function="false" hidden="true" name="IQ_DEF_AMORT_BNK" vbProcedure="false">"c277"</definedName>
    <definedName function="false" hidden="true" name="IQ_DEF_AMORT_BR" vbProcedure="false">"c278"</definedName>
    <definedName function="false" hidden="true" name="IQ_DEF_AMORT_FIN" vbProcedure="false">"c279"</definedName>
    <definedName function="false" hidden="true" name="IQ_DEF_AMORT_INS" vbProcedure="false">"c280"</definedName>
    <definedName function="false" hidden="true" name="IQ_DEF_AMORT_REIT" vbProcedure="false">"c281"</definedName>
    <definedName function="false" hidden="true" name="IQ_DEF_AMORT_UTI" vbProcedure="false">"c282"</definedName>
    <definedName function="false" hidden="true" name="IQ_DEF_BENEFIT_INTEREST_COST" vbProcedure="false">"c283"</definedName>
    <definedName function="false" hidden="true" name="IQ_DEF_BENEFIT_INTEREST_COST_DOMESTIC" vbProcedure="false">"c2652"</definedName>
    <definedName function="false" hidden="true" name="IQ_DEF_BENEFIT_INTEREST_COST_FOREIGN" vbProcedure="false">"c2660"</definedName>
    <definedName function="false" hidden="true" name="IQ_DEF_BENEFIT_OTHER_COST" vbProcedure="false">"c284"</definedName>
    <definedName function="false" hidden="true" name="IQ_DEF_BENEFIT_OTHER_COST_DOMESTIC" vbProcedure="false">"c2654"</definedName>
    <definedName function="false" hidden="true" name="IQ_DEF_BENEFIT_OTHER_COST_FOREIGN" vbProcedure="false">"c2662"</definedName>
    <definedName function="false" hidden="true" name="IQ_DEF_BENEFIT_ROA" vbProcedure="false">"c285"</definedName>
    <definedName function="false" hidden="true" name="IQ_DEF_BENEFIT_ROA_DOMESTIC" vbProcedure="false">"c2653"</definedName>
    <definedName function="false" hidden="true" name="IQ_DEF_BENEFIT_ROA_FOREIGN" vbProcedure="false">"c2661"</definedName>
    <definedName function="false" hidden="true" name="IQ_DEF_BENEFIT_SERVICE_COST" vbProcedure="false">"c286"</definedName>
    <definedName function="false" hidden="true" name="IQ_DEF_BENEFIT_SERVICE_COST_DOMESTIC" vbProcedure="false">"c2651"</definedName>
    <definedName function="false" hidden="true" name="IQ_DEF_BENEFIT_SERVICE_COST_FOREIGN" vbProcedure="false">"c2659"</definedName>
    <definedName function="false" hidden="true" name="IQ_DEF_BENEFIT_TOTAL_COST" vbProcedure="false">"c287"</definedName>
    <definedName function="false" hidden="true" name="IQ_DEF_BENEFIT_TOTAL_COST_DOMESTIC" vbProcedure="false">"c2655"</definedName>
    <definedName function="false" hidden="true" name="IQ_DEF_BENEFIT_TOTAL_COST_FOREIGN" vbProcedure="false">"c2663"</definedName>
    <definedName function="false" hidden="true" name="IQ_DEF_CHARGES_BR" vbProcedure="false">"c288"</definedName>
    <definedName function="false" hidden="true" name="IQ_DEF_CHARGES_CF" vbProcedure="false">"c289"</definedName>
    <definedName function="false" hidden="true" name="IQ_DEF_CHARGES_FIN" vbProcedure="false">"c290"</definedName>
    <definedName function="false" hidden="true" name="IQ_DEF_CHARGES_INS" vbProcedure="false">"c291"</definedName>
    <definedName function="false" hidden="true" name="IQ_DEF_CHARGES_LT" vbProcedure="false">"c292"</definedName>
    <definedName function="false" hidden="true" name="IQ_DEF_CHARGES_LT_BNK" vbProcedure="false">"c293"</definedName>
    <definedName function="false" hidden="true" name="IQ_DEF_CHARGES_LT_BR" vbProcedure="false">"c294"</definedName>
    <definedName function="false" hidden="true" name="IQ_DEF_CHARGES_LT_FIN" vbProcedure="false">"c295"</definedName>
    <definedName function="false" hidden="true" name="IQ_DEF_CHARGES_LT_INS" vbProcedure="false">"c296"</definedName>
    <definedName function="false" hidden="true" name="IQ_DEF_CHARGES_LT_RE" vbProcedure="false">"c6210"</definedName>
    <definedName function="false" hidden="true" name="IQ_DEF_CHARGES_LT_REIT" vbProcedure="false">"c297"</definedName>
    <definedName function="false" hidden="true" name="IQ_DEF_CHARGES_LT_UTI" vbProcedure="false">"c298"</definedName>
    <definedName function="false" hidden="true" name="IQ_DEF_CHARGES_RE" vbProcedure="false">"c6211"</definedName>
    <definedName function="false" hidden="true" name="IQ_DEF_CHARGES_REIT" vbProcedure="false">"c299"</definedName>
    <definedName function="false" hidden="true" name="IQ_DEF_CONTRIBUTION_TOTAL_COST" vbProcedure="false">"c300"</definedName>
    <definedName function="false" hidden="true" name="IQ_DEF_INC_TAX" vbProcedure="false">"c1365"</definedName>
    <definedName function="false" hidden="true" name="IQ_DEF_POLICY_ACQ_COSTS" vbProcedure="false">"c301"</definedName>
    <definedName function="false" hidden="true" name="IQ_DEF_POLICY_ACQ_COSTS_CF" vbProcedure="false">"c302"</definedName>
    <definedName function="false" hidden="true" name="IQ_DEF_POLICY_AMORT" vbProcedure="false">"c303"</definedName>
    <definedName function="false" hidden="true" name="IQ_DEF_SPENDING_REAL_SAAR" vbProcedure="false">"c6971"</definedName>
    <definedName function="false" hidden="true" name="IQ_DEF_SPENDING_REAL_SAAR_APR" vbProcedure="false">"c7631"</definedName>
    <definedName function="false" hidden="true" name="IQ_DEF_SPENDING_REAL_SAAR_APR_FC" vbProcedure="false">"c8511"</definedName>
    <definedName function="false" hidden="true" name="IQ_DEF_SPENDING_REAL_SAAR_FC" vbProcedure="false">"c7851"</definedName>
    <definedName function="false" hidden="true" name="IQ_DEF_SPENDING_REAL_SAAR_POP" vbProcedure="false">"c7191"</definedName>
    <definedName function="false" hidden="true" name="IQ_DEF_SPENDING_REAL_SAAR_POP_FC" vbProcedure="false">"c8071"</definedName>
    <definedName function="false" hidden="true" name="IQ_DEF_SPENDING_REAL_SAAR_YOY" vbProcedure="false">"c7411"</definedName>
    <definedName function="false" hidden="true" name="IQ_DEF_SPENDING_REAL_SAAR_YOY_FC" vbProcedure="false">"c8291"</definedName>
    <definedName function="false" hidden="true" name="IQ_DEF_TAX_ASSETS_CURRENT" vbProcedure="false">"c309"</definedName>
    <definedName function="false" hidden="true" name="IQ_DEF_TAX_ASSETS_LT" vbProcedure="false">"c310"</definedName>
    <definedName function="false" hidden="true" name="IQ_DEF_TAX_ASSETS_LT_BNK" vbProcedure="false">"c311"</definedName>
    <definedName function="false" hidden="true" name="IQ_DEF_TAX_ASSET_LT_BR" vbProcedure="false">"c304"</definedName>
    <definedName function="false" hidden="true" name="IQ_DEF_TAX_ASSET_LT_FIN" vbProcedure="false">"c305"</definedName>
    <definedName function="false" hidden="true" name="IQ_DEF_TAX_ASSET_LT_INS" vbProcedure="false">"c306"</definedName>
    <definedName function="false" hidden="true" name="IQ_DEF_TAX_ASSET_LT_RE" vbProcedure="false">"c6212"</definedName>
    <definedName function="false" hidden="true" name="IQ_DEF_TAX_ASSET_LT_REIT" vbProcedure="false">"c307"</definedName>
    <definedName function="false" hidden="true" name="IQ_DEF_TAX_ASSET_LT_UTI" vbProcedure="false">"c308"</definedName>
    <definedName function="false" hidden="true" name="IQ_DEF_TAX_LIAB_CURRENT" vbProcedure="false">"c312"</definedName>
    <definedName function="false" hidden="true" name="IQ_DEF_TAX_LIAB_LT" vbProcedure="false">"c313"</definedName>
    <definedName function="false" hidden="true" name="IQ_DEF_TAX_LIAB_LT_BNK" vbProcedure="false">"c314"</definedName>
    <definedName function="false" hidden="true" name="IQ_DEF_TAX_LIAB_LT_BR" vbProcedure="false">"c315"</definedName>
    <definedName function="false" hidden="true" name="IQ_DEF_TAX_LIAB_LT_FIN" vbProcedure="false">"c316"</definedName>
    <definedName function="false" hidden="true" name="IQ_DEF_TAX_LIAB_LT_INS" vbProcedure="false">"c317"</definedName>
    <definedName function="false" hidden="true" name="IQ_DEF_TAX_LIAB_LT_RE" vbProcedure="false">"c6213"</definedName>
    <definedName function="false" hidden="true" name="IQ_DEF_TAX_LIAB_LT_REIT" vbProcedure="false">"c318"</definedName>
    <definedName function="false" hidden="true" name="IQ_DEF_TAX_LIAB_LT_UTI" vbProcedure="false">"c319"</definedName>
    <definedName function="false" hidden="true" name="IQ_DELIVERED_HOMES_NEW_ORDERS" vbProcedure="false">"c15821"</definedName>
    <definedName function="false" hidden="true" name="IQ_DELIVERED_HOMES_PRICE_NEW_ORDER_PRICE" vbProcedure="false">"c15822"</definedName>
    <definedName function="false" hidden="true" name="IQ_DEMAND_DEP" vbProcedure="false">"c320"</definedName>
    <definedName function="false" hidden="true" name="IQ_DEMAND_DEPOSITS_COMMERCIAL_BANK_SUBS_FFIEC" vbProcedure="false">"c12945"</definedName>
    <definedName function="false" hidden="true" name="IQ_DEMAND_DEPOSITS_FDIC" vbProcedure="false">"c6489"</definedName>
    <definedName function="false" hidden="true" name="IQ_DEMAND_DEPOSITS_TOT_DEPOSITS_FFIEC" vbProcedure="false">"c13902"</definedName>
    <definedName function="false" hidden="true" name="IQ_DEPOSITORY_INSTITUTIONS_CHARGE_OFFS_FDIC" vbProcedure="false">"c6596"</definedName>
    <definedName function="false" hidden="true" name="IQ_DEPOSITORY_INSTITUTIONS_NET_CHARGE_OFFS_FDIC" vbProcedure="false">"c6634"</definedName>
    <definedName function="false" hidden="true" name="IQ_DEPOSITORY_INSTITUTIONS_RECOVERIES_FDIC" vbProcedure="false">"c6615"</definedName>
    <definedName function="false" hidden="true" name="IQ_DEPOSITORY_INST_ACCEPTANCES_LL_REC_DOM_FFIEC" vbProcedure="false">"c12908"</definedName>
    <definedName function="false" hidden="true" name="IQ_DEPOSITORY_INST_GROSS_LOANS_FFIEC" vbProcedure="false">"c13409"</definedName>
    <definedName function="false" hidden="true" name="IQ_DEPOSITORY_INST_RISK_BASED_FFIEC" vbProcedure="false">"c13430"</definedName>
    <definedName function="false" hidden="true" name="IQ_DEPOSITS_100K_MORE_ASSETS_TOT_FFIEC" vbProcedure="false">"c13444"</definedName>
    <definedName function="false" hidden="true" name="IQ_DEPOSITS_DOM_FFIEC" vbProcedure="false">"c12850"</definedName>
    <definedName function="false" hidden="true" name="IQ_DEPOSITS_FAIR_VALUE_TOT_FFIEC" vbProcedure="false">"c13213"</definedName>
    <definedName function="false" hidden="true" name="IQ_DEPOSITS_FIN" vbProcedure="false">"c321"</definedName>
    <definedName function="false" hidden="true" name="IQ_DEPOSITS_FOREIGN_BANKS_FOREIGN_AGENCIES_FFIEC" vbProcedure="false">"c15344"</definedName>
    <definedName function="false" hidden="true" name="IQ_DEPOSITS_FOREIGN_FFIEC" vbProcedure="false">"c12853"</definedName>
    <definedName function="false" hidden="true" name="IQ_DEPOSITS_HELD_DOMESTIC_FDIC" vbProcedure="false">"c6340"</definedName>
    <definedName function="false" hidden="true" name="IQ_DEPOSITS_HELD_FOREIGN_FDIC" vbProcedure="false">"c6341"</definedName>
    <definedName function="false" hidden="true" name="IQ_DEPOSITS_INTEREST_SECURITIES" vbProcedure="false">"c5509"</definedName>
    <definedName function="false" hidden="true" name="IQ_DEPOSITS_LESS_100K_COMMERCIAL_BANK_SUBS_FFIEC" vbProcedure="false">"c12948"</definedName>
    <definedName function="false" hidden="true" name="IQ_DEPOSITS_LESS_THAN_100K_AFTER_THREE_YEARS_FDIC" vbProcedure="false">"c6464"</definedName>
    <definedName function="false" hidden="true" name="IQ_DEPOSITS_LESS_THAN_100K_THREE_MONTHS_FDIC" vbProcedure="false">"c6461"</definedName>
    <definedName function="false" hidden="true" name="IQ_DEPOSITS_LESS_THAN_100K_THREE_YEARS_FDIC" vbProcedure="false">"c6463"</definedName>
    <definedName function="false" hidden="true" name="IQ_DEPOSITS_LESS_THAN_100K_TWELVE_MONTHS_FDIC" vbProcedure="false">"c6462"</definedName>
    <definedName function="false" hidden="true" name="IQ_DEPOSITS_LEVEL_1_FFIEC" vbProcedure="false">"c13221"</definedName>
    <definedName function="false" hidden="true" name="IQ_DEPOSITS_LEVEL_2_FFIEC" vbProcedure="false">"c13229"</definedName>
    <definedName function="false" hidden="true" name="IQ_DEPOSITS_LEVEL_3_FFIEC" vbProcedure="false">"c13237"</definedName>
    <definedName function="false" hidden="true" name="IQ_DEPOSITS_MORE_100K_COMMERCIAL_BANK_SUBS_FFIEC" vbProcedure="false">"c12949"</definedName>
    <definedName function="false" hidden="true" name="IQ_DEPOSITS_MORE_THAN_100K_AFTER_THREE_YEARS_FDIC" vbProcedure="false">"c6469"</definedName>
    <definedName function="false" hidden="true" name="IQ_DEPOSITS_MORE_THAN_100K_THREE_MONTHS_FDIC" vbProcedure="false">"c6466"</definedName>
    <definedName function="false" hidden="true" name="IQ_DEPOSITS_MORE_THAN_100K_THREE_YEARS_FDIC" vbProcedure="false">"c6468"</definedName>
    <definedName function="false" hidden="true" name="IQ_DEPOSITS_MORE_THAN_100K_TWELVE_MONTHS_FDIC" vbProcedure="false">"c6467"</definedName>
    <definedName function="false" hidden="true" name="IQ_DEPOSIT_ACCOUNTS_LESS_THAN_100K_FDIC" vbProcedure="false">"c6494"</definedName>
    <definedName function="false" hidden="true" name="IQ_DEPOSIT_ACCOUNTS_MORE_THAN_100K_FDIC" vbProcedure="false">"c6492"</definedName>
    <definedName function="false" hidden="true" name="IQ_DEPRE_AMORT" vbProcedure="false">"c1360"</definedName>
    <definedName function="false" hidden="true" name="IQ_DEPRE_AMORT_SUPPL" vbProcedure="false">"c1593"</definedName>
    <definedName function="false" hidden="true" name="IQ_DEPRE_DEPLE" vbProcedure="false">"c1361"</definedName>
    <definedName function="false" hidden="true" name="IQ_DEPRE_SUPP" vbProcedure="false">"c1443"</definedName>
    <definedName function="false" hidden="true" name="IQ_DERIVATIVES_FDIC" vbProcedure="false">"c6523"</definedName>
    <definedName function="false" hidden="true" name="IQ_DERIVATIVES_NEGATIVE_FAIR_VALUE_DOM_FFIEC" vbProcedure="false">"c12943"</definedName>
    <definedName function="false" hidden="true" name="IQ_DERIVATIVES_NEGATIVE_VALUE_FFIEC" vbProcedure="false">"c12861"</definedName>
    <definedName function="false" hidden="true" name="IQ_DERIVATIVES_POSITIVE_FAIR_VALUE_TRADING_DOM_FFIEC" vbProcedure="false">"c12938"</definedName>
    <definedName function="false" hidden="true" name="IQ_DERIVATIVES_POS_FAIR_VALUE_FFIEC" vbProcedure="false">"c12827"</definedName>
    <definedName function="false" hidden="true" name="IQ_DERIVATIVE_ASSETS_FAIR_VALUE_TOT_FFIEC" vbProcedure="false">"c15403"</definedName>
    <definedName function="false" hidden="true" name="IQ_DERIVATIVE_ASSETS_LEVEL_1_FFIEC" vbProcedure="false">"c15425"</definedName>
    <definedName function="false" hidden="true" name="IQ_DERIVATIVE_ASSETS_LEVEL_2_FFIEC" vbProcedure="false">"c15438"</definedName>
    <definedName function="false" hidden="true" name="IQ_DERIVATIVE_ASSETS_LEVEL_3_FFIEC" vbProcedure="false">"c15451"</definedName>
    <definedName function="false" hidden="true" name="IQ_DERIVATIVE_LIABILITIES_FAIR_VALUE_TOT_FFIEC" vbProcedure="false">"c15407"</definedName>
    <definedName function="false" hidden="true" name="IQ_DERIVATIVE_LIABILITIES_LEVEL_1_FFIEC" vbProcedure="false">"c15429"</definedName>
    <definedName function="false" hidden="true" name="IQ_DERIVATIVE_LIABILITIES_LEVEL_2_FFIEC" vbProcedure="false">"c15442"</definedName>
    <definedName function="false" hidden="true" name="IQ_DERIVATIVE_LIABILITIES_LEVEL_3_FFIEC" vbProcedure="false">"c15455"</definedName>
    <definedName function="false" hidden="true" name="IQ_DESCRIPTION_LONG" vbProcedure="false">"c1520"</definedName>
    <definedName function="false" hidden="true" name="IQ_DEVELOPMENT_EXPENSE" vbProcedure="false">"c16040"</definedName>
    <definedName function="false" hidden="true" name="IQ_DEVELOPMENT_REVENUE" vbProcedure="false">"c16024"</definedName>
    <definedName function="false" hidden="true" name="IQ_DEVELOP_LAND" vbProcedure="false">"c323"</definedName>
    <definedName function="false" hidden="true" name="IQ_DIC" vbProcedure="false">"c13834"</definedName>
    <definedName function="false" hidden="true" name="IQ_DIFF_LASTCLOSE_TARGET_PRICE" vbProcedure="false">"c1854"</definedName>
    <definedName function="false" hidden="true" name="IQ_DIFF_LASTCLOSE_TARGET_PRICE_CIQ" vbProcedure="false">"c4767"</definedName>
    <definedName function="false" hidden="true" name="IQ_DIFF_LASTCLOSE_TARGET_PRICE_REUT" vbProcedure="false">"c5436"</definedName>
    <definedName function="false" hidden="true" name="IQ_DIFF_LASTCLOSE_TARGET_PRICE_THOM" vbProcedure="false">"c5278"</definedName>
    <definedName function="false" hidden="true" name="IQ_DIGITAL_SUB_TOTAL_HOMES_PASSED" vbProcedure="false">"c15769"</definedName>
    <definedName function="false" hidden="true" name="IQ_DIGITAL_VIDEO_PENETRATION" vbProcedure="false">"c15768"</definedName>
    <definedName function="false" hidden="true" name="IQ_DIG_SUB_BASIC_SUB" vbProcedure="false">"c16202"</definedName>
    <definedName function="false" hidden="true" name="IQ_DIG_SUB_VIDEO_SUB" vbProcedure="false">"c15788"</definedName>
    <definedName function="false" hidden="true" name="IQ_DILUTED_EPRA_NAV" vbProcedure="false">"c16005"</definedName>
    <definedName function="false" hidden="true" name="IQ_DILUTED_EPRA_NAV_SHARE_RE" vbProcedure="false">"c16014"</definedName>
    <definedName function="false" hidden="true" name="IQ_DILUTED_EPRA_NNAV" vbProcedure="false">"c16010"</definedName>
    <definedName function="false" hidden="true" name="IQ_DILUTED_EPRA_NNAV_SHARE_RE" vbProcedure="false">"c16015"</definedName>
    <definedName function="false" hidden="true" name="IQ_DILUTED_NAV_RE" vbProcedure="false">"c15998"</definedName>
    <definedName function="false" hidden="true" name="IQ_DILUTED_NAV_SHARES" vbProcedure="false">"c16016"</definedName>
    <definedName function="false" hidden="true" name="IQ_DILUTED_NAV_SHARE_RE" vbProcedure="false">"c16013"</definedName>
    <definedName function="false" hidden="true" name="IQ_DILUTION_EFFECT_NAV" vbProcedure="false">"c15997"</definedName>
    <definedName function="false" hidden="true" name="IQ_DILUT_ADJUST" vbProcedure="false">"c1621"</definedName>
    <definedName function="false" hidden="true" name="IQ_DILUT_EPS_EXCL" vbProcedure="false">"c324"</definedName>
    <definedName function="false" hidden="true" name="IQ_DILUT_EPS_INCL" vbProcedure="false">"c325"</definedName>
    <definedName function="false" hidden="true" name="IQ_DILUT_EPS_NORM" vbProcedure="false">"c1903"</definedName>
    <definedName function="false" hidden="true" name="IQ_DILUT_NI" vbProcedure="false">"c2079"</definedName>
    <definedName function="false" hidden="true" name="IQ_DILUT_NORMAL_EPS" vbProcedure="false">"c1594"</definedName>
    <definedName function="false" hidden="true" name="IQ_DILUT_OUTSTANDING_CURRENT_EST" vbProcedure="false">"c4263"</definedName>
    <definedName function="false" hidden="true" name="IQ_DILUT_OUTSTANDING_CURRENT_HIGH_EST" vbProcedure="false">"c4264"</definedName>
    <definedName function="false" hidden="true" name="IQ_DILUT_OUTSTANDING_CURRENT_LOW_EST" vbProcedure="false">"c4265"</definedName>
    <definedName function="false" hidden="true" name="IQ_DILUT_OUTSTANDING_CURRENT_MEDIAN_EST" vbProcedure="false">"c4266"</definedName>
    <definedName function="false" hidden="true" name="IQ_DILUT_OUTSTANDING_CURRENT_NUM_EST" vbProcedure="false">"c4267"</definedName>
    <definedName function="false" hidden="true" name="IQ_DILUT_OUTSTANDING_CURRENT_STDDEV_EST" vbProcedure="false">"c4268"</definedName>
    <definedName function="false" hidden="true" name="IQ_DILUT_WEIGHT" vbProcedure="false">"c326"</definedName>
    <definedName function="false" hidden="true" name="IQ_DILUT_WEIGHT_EST" vbProcedure="false">"c4269"</definedName>
    <definedName function="false" hidden="true" name="IQ_DILUT_WEIGHT_GUIDANCE" vbProcedure="false">"c4270"</definedName>
    <definedName function="false" hidden="true" name="IQ_DILUT_WEIGHT_HIGH_EST" vbProcedure="false">"c4271"</definedName>
    <definedName function="false" hidden="true" name="IQ_DILUT_WEIGHT_LOW_EST" vbProcedure="false">"c4272"</definedName>
    <definedName function="false" hidden="true" name="IQ_DILUT_WEIGHT_MEDIAN_EST" vbProcedure="false">"c4273"</definedName>
    <definedName function="false" hidden="true" name="IQ_DILUT_WEIGHT_NUM_EST" vbProcedure="false">"c4274"</definedName>
    <definedName function="false" hidden="true" name="IQ_DILUT_WEIGHT_STDDEV_EST" vbProcedure="false">"c4275"</definedName>
    <definedName function="false" hidden="true" name="IQ_DIRECTORS_FEES_FFIEC" vbProcedure="false">"c13049"</definedName>
    <definedName function="false" hidden="true" name="IQ_DIRECT_AH_EARNED" vbProcedure="false">"c2740"</definedName>
    <definedName function="false" hidden="true" name="IQ_DIRECT_EARNED" vbProcedure="false">"c2730"</definedName>
    <definedName function="false" hidden="true" name="IQ_DIRECT_INDIRECT_RE_VENTURES_FFIEC" vbProcedure="false">"c15266"</definedName>
    <definedName function="false" hidden="true" name="IQ_DIRECT_INDIRECT_RE_VENTURES_UNCONSOL_FFIEC" vbProcedure="false">"c15274"</definedName>
    <definedName function="false" hidden="true" name="IQ_DIRECT_LIFE_EARNED" vbProcedure="false">"c2735"</definedName>
    <definedName function="false" hidden="true" name="IQ_DIRECT_LIFE_IN_FORCE" vbProcedure="false">"c2765"</definedName>
    <definedName function="false" hidden="true" name="IQ_DIRECT_LOSSES" vbProcedure="false">"c15869"</definedName>
    <definedName function="false" hidden="true" name="IQ_DIRECT_PC_EARNED" vbProcedure="false">"c2745"</definedName>
    <definedName function="false" hidden="true" name="IQ_DIRECT_WRITTEN" vbProcedure="false">"c2724"</definedName>
    <definedName function="false" hidden="true" name="IQ_DISALLOWED_DEFERRED_TAX_ASSETS_FFIEC" vbProcedure="false">"c13157"</definedName>
    <definedName function="false" hidden="true" name="IQ_DISALLOWED_GOODWILL_INTANGIBLES_T1_FFIEC" vbProcedure="false">"c13137"</definedName>
    <definedName function="false" hidden="true" name="IQ_DISALLOWED_GOODWILL_INTANGIBLE_ASSETS_FFIEC" vbProcedure="false">"c13155"</definedName>
    <definedName function="false" hidden="true" name="IQ_DISALLOWED_SERVICING_ASSETS_FFIEC" vbProcedure="false">"c13156"</definedName>
    <definedName function="false" hidden="true" name="IQ_DISALLOWED_SERVICING_ASSETS_T1_FFIEC" vbProcedure="false">"c13140"</definedName>
    <definedName function="false" hidden="true" name="IQ_DISCONT_OPER" vbProcedure="false">"c1367"</definedName>
    <definedName function="false" hidden="true" name="IQ_DISCOUNT_RATE_PENSION_DOMESTIC" vbProcedure="false">"c327"</definedName>
    <definedName function="false" hidden="true" name="IQ_DISCOUNT_RATE_PENSION_FOREIGN" vbProcedure="false">"c328"</definedName>
    <definedName function="false" hidden="true" name="IQ_DISCRETIONARY_CAPEX" vbProcedure="false">"c16183"</definedName>
    <definedName function="false" hidden="true" name="IQ_DISPOSABLE_PERSONAL_INC" vbProcedure="false">"c6850"</definedName>
    <definedName function="false" hidden="true" name="IQ_DISPOSABLE_PERSONAL_INC_APR" vbProcedure="false">"c7510"</definedName>
    <definedName function="false" hidden="true" name="IQ_DISPOSABLE_PERSONAL_INC_APR_FC" vbProcedure="false">"c8390"</definedName>
    <definedName function="false" hidden="true" name="IQ_DISPOSABLE_PERSONAL_INC_FC" vbProcedure="false">"c7730"</definedName>
    <definedName function="false" hidden="true" name="IQ_DISPOSABLE_PERSONAL_INC_POP" vbProcedure="false">"c7070"</definedName>
    <definedName function="false" hidden="true" name="IQ_DISPOSABLE_PERSONAL_INC_POP_FC" vbProcedure="false">"c7950"</definedName>
    <definedName function="false" hidden="true" name="IQ_DISPOSABLE_PERSONAL_INC_REAL" vbProcedure="false">"c11922"</definedName>
    <definedName function="false" hidden="true" name="IQ_DISPOSABLE_PERSONAL_INC_REAL_APR" vbProcedure="false">"c11925"</definedName>
    <definedName function="false" hidden="true" name="IQ_DISPOSABLE_PERSONAL_INC_REAL_POP" vbProcedure="false">"c11923"</definedName>
    <definedName function="false" hidden="true" name="IQ_DISPOSABLE_PERSONAL_INC_REAL_YOY" vbProcedure="false">"c11924"</definedName>
    <definedName function="false" hidden="true" name="IQ_DISPOSABLE_PERSONAL_INC_SAAR" vbProcedure="false">"c6851"</definedName>
    <definedName function="false" hidden="true" name="IQ_DISPOSABLE_PERSONAL_INC_SAAR_APR" vbProcedure="false">"c7511"</definedName>
    <definedName function="false" hidden="true" name="IQ_DISPOSABLE_PERSONAL_INC_SAAR_APR_FC" vbProcedure="false">"c8391"</definedName>
    <definedName function="false" hidden="true" name="IQ_DISPOSABLE_PERSONAL_INC_SAAR_FC" vbProcedure="false">"c7731"</definedName>
    <definedName function="false" hidden="true" name="IQ_DISPOSABLE_PERSONAL_INC_SAAR_POP" vbProcedure="false">"c7071"</definedName>
    <definedName function="false" hidden="true" name="IQ_DISPOSABLE_PERSONAL_INC_SAAR_POP_FC" vbProcedure="false">"c7951"</definedName>
    <definedName function="false" hidden="true" name="IQ_DISPOSABLE_PERSONAL_INC_SAAR_USD_APR_FC" vbProcedure="false">"c11805"</definedName>
    <definedName function="false" hidden="true" name="IQ_DISPOSABLE_PERSONAL_INC_SAAR_USD_FC" vbProcedure="false">"c11802"</definedName>
    <definedName function="false" hidden="true" name="IQ_DISPOSABLE_PERSONAL_INC_SAAR_USD_POP_FC" vbProcedure="false">"c11803"</definedName>
    <definedName function="false" hidden="true" name="IQ_DISPOSABLE_PERSONAL_INC_SAAR_USD_YOY_FC" vbProcedure="false">"c11804"</definedName>
    <definedName function="false" hidden="true" name="IQ_DISPOSABLE_PERSONAL_INC_SAAR_YOY" vbProcedure="false">"c7291"</definedName>
    <definedName function="false" hidden="true" name="IQ_DISPOSABLE_PERSONAL_INC_SAAR_YOY_FC" vbProcedure="false">"c8171"</definedName>
    <definedName function="false" hidden="true" name="IQ_DISPOSABLE_PERSONAL_INC_USD_APR_FC" vbProcedure="false">"c11801"</definedName>
    <definedName function="false" hidden="true" name="IQ_DISPOSABLE_PERSONAL_INC_USD_FC" vbProcedure="false">"c11798"</definedName>
    <definedName function="false" hidden="true" name="IQ_DISPOSABLE_PERSONAL_INC_USD_POP_FC" vbProcedure="false">"c11799"</definedName>
    <definedName function="false" hidden="true" name="IQ_DISPOSABLE_PERSONAL_INC_USD_YOY_FC" vbProcedure="false">"c11800"</definedName>
    <definedName function="false" hidden="true" name="IQ_DISPOSABLE_PERSONAL_INC_YOY" vbProcedure="false">"c7290"</definedName>
    <definedName function="false" hidden="true" name="IQ_DISPOSABLE_PERSONAL_INC_YOY_FC" vbProcedure="false">"c8170"</definedName>
    <definedName function="false" hidden="true" name="IQ_DISTRIBUTABLE_CASH" vbProcedure="false">"c3002"</definedName>
    <definedName function="false" hidden="true" name="IQ_DISTRIBUTABLE_CASH_ACT_OR_EST" vbProcedure="false">"c4278"</definedName>
    <definedName function="false" hidden="true" name="IQ_DISTRIBUTABLE_CASH_ACT_OR_EST_CIQ" vbProcedure="false">"c4803"</definedName>
    <definedName function="false" hidden="true" name="IQ_DISTRIBUTABLE_CASH_EST" vbProcedure="false">"c4277"</definedName>
    <definedName function="false" hidden="true" name="IQ_DISTRIBUTABLE_CASH_GUIDANCE" vbProcedure="false">"c4279"</definedName>
    <definedName function="false" hidden="true" name="IQ_DISTRIBUTABLE_CASH_GUIDANCE_CIQ" vbProcedure="false">"c4804"</definedName>
    <definedName function="false" hidden="true" name="IQ_DISTRIBUTABLE_CASH_GUIDANCE_CIQ_COL" vbProcedure="false">"c11451"</definedName>
    <definedName function="false" hidden="true" name="IQ_DISTRIBUTABLE_CASH_HIGH_EST" vbProcedure="false">"c4280"</definedName>
    <definedName function="false" hidden="true" name="IQ_DISTRIBUTABLE_CASH_HIGH_GUIDANCE" vbProcedure="false">"c4198"</definedName>
    <definedName function="false" hidden="true" name="IQ_DISTRIBUTABLE_CASH_HIGH_GUIDANCE_CIQ" vbProcedure="false">"c4610"</definedName>
    <definedName function="false" hidden="true" name="IQ_DISTRIBUTABLE_CASH_HIGH_GUIDANCE_CIQ_COL" vbProcedure="false">"c11259"</definedName>
    <definedName function="false" hidden="true" name="IQ_DISTRIBUTABLE_CASH_LOW_EST" vbProcedure="false">"c4281"</definedName>
    <definedName function="false" hidden="true" name="IQ_DISTRIBUTABLE_CASH_LOW_GUIDANCE" vbProcedure="false">"c4238"</definedName>
    <definedName function="false" hidden="true" name="IQ_DISTRIBUTABLE_CASH_LOW_GUIDANCE_CIQ" vbProcedure="false">"c4650"</definedName>
    <definedName function="false" hidden="true" name="IQ_DISTRIBUTABLE_CASH_LOW_GUIDANCE_CIQ_COL" vbProcedure="false">"c11299"</definedName>
    <definedName function="false" hidden="true" name="IQ_DISTRIBUTABLE_CASH_MEDIAN_EST" vbProcedure="false">"c4282"</definedName>
    <definedName function="false" hidden="true" name="IQ_DISTRIBUTABLE_CASH_NUM_EST" vbProcedure="false">"c4283"</definedName>
    <definedName function="false" hidden="true" name="IQ_DISTRIBUTABLE_CASH_PAYOUT" vbProcedure="false">"c3005"</definedName>
    <definedName function="false" hidden="true" name="IQ_DISTRIBUTABLE_CASH_PER_SHARE_DILUTED" vbProcedure="false">"c16191"</definedName>
    <definedName function="false" hidden="true" name="IQ_DISTRIBUTABLE_CASH_SHARE" vbProcedure="false">"c3003"</definedName>
    <definedName function="false" hidden="true" name="IQ_DISTRIBUTABLE_CASH_SHARES_BASIC" vbProcedure="false">"c16189"</definedName>
    <definedName function="false" hidden="true" name="IQ_DISTRIBUTABLE_CASH_SHARES_DILUTED" vbProcedure="false">"c16190"</definedName>
    <definedName function="false" hidden="true" name="IQ_DISTRIBUTABLE_CASH_SHARE_ACT_OR_EST" vbProcedure="false">"c4286"</definedName>
    <definedName function="false" hidden="true" name="IQ_DISTRIBUTABLE_CASH_SHARE_ACT_OR_EST_CIQ" vbProcedure="false">"c4811"</definedName>
    <definedName function="false" hidden="true" name="IQ_DISTRIBUTABLE_CASH_SHARE_EST" vbProcedure="false">"c4285"</definedName>
    <definedName function="false" hidden="true" name="IQ_DISTRIBUTABLE_CASH_SHARE_GUIDANCE" vbProcedure="false">"c4287"</definedName>
    <definedName function="false" hidden="true" name="IQ_DISTRIBUTABLE_CASH_SHARE_GUIDANCE_CIQ" vbProcedure="false">"c4812"</definedName>
    <definedName function="false" hidden="true" name="IQ_DISTRIBUTABLE_CASH_SHARE_GUIDANCE_CIQ_COL" vbProcedure="false">"c11459"</definedName>
    <definedName function="false" hidden="true" name="IQ_DISTRIBUTABLE_CASH_SHARE_HIGH_EST" vbProcedure="false">"c4288"</definedName>
    <definedName function="false" hidden="true" name="IQ_DISTRIBUTABLE_CASH_SHARE_HIGH_GUIDANCE" vbProcedure="false">"c4199"</definedName>
    <definedName function="false" hidden="true" name="IQ_DISTRIBUTABLE_CASH_SHARE_HIGH_GUIDANCE_CIQ" vbProcedure="false">"c4611"</definedName>
    <definedName function="false" hidden="true" name="IQ_DISTRIBUTABLE_CASH_SHARE_HIGH_GUIDANCE_CIQ_COL" vbProcedure="false">"c11260"</definedName>
    <definedName function="false" hidden="true" name="IQ_DISTRIBUTABLE_CASH_SHARE_LOW_EST" vbProcedure="false">"c4289"</definedName>
    <definedName function="false" hidden="true" name="IQ_DISTRIBUTABLE_CASH_SHARE_LOW_GUIDANCE" vbProcedure="false">"c4239"</definedName>
    <definedName function="false" hidden="true" name="IQ_DISTRIBUTABLE_CASH_SHARE_LOW_GUIDANCE_CIQ" vbProcedure="false">"c4651"</definedName>
    <definedName function="false" hidden="true" name="IQ_DISTRIBUTABLE_CASH_SHARE_LOW_GUIDANCE_CIQ_COL" vbProcedure="false">"c11300"</definedName>
    <definedName function="false" hidden="true" name="IQ_DISTRIBUTABLE_CASH_SHARE_MEDIAN_EST" vbProcedure="false">"c4290"</definedName>
    <definedName function="false" hidden="true" name="IQ_DISTRIBUTABLE_CASH_SHARE_NUM_EST" vbProcedure="false">"c4291"</definedName>
    <definedName function="false" hidden="true" name="IQ_DISTRIBUTABLE_CASH_SHARE_STDDEV_EST" vbProcedure="false">"c4292"</definedName>
    <definedName function="false" hidden="true" name="IQ_DISTRIBUTABLE_CASH_STDDEV_EST" vbProcedure="false">"c4294"</definedName>
    <definedName function="false" hidden="true" name="IQ_DISTR_EXCESS_EARN" vbProcedure="false">"c329"</definedName>
    <definedName function="false" hidden="true" name="IQ_DIVEST_CF" vbProcedure="false">"c331"</definedName>
    <definedName function="false" hidden="true" name="IQ_DIVIDENDS_DECLARED_COMMON_FDIC" vbProcedure="false">"c6659"</definedName>
    <definedName function="false" hidden="true" name="IQ_DIVIDENDS_DECLARED_COMMON_FFIEC" vbProcedure="false">"c12969"</definedName>
    <definedName function="false" hidden="true" name="IQ_DIVIDENDS_DECLARED_PREFERRED_FDIC" vbProcedure="false">"c6658"</definedName>
    <definedName function="false" hidden="true" name="IQ_DIVIDENDS_DECLARED_PREFERRED_FFIEC" vbProcedure="false">"c12968"</definedName>
    <definedName function="false" hidden="true" name="IQ_DIVIDENDS_FDIC" vbProcedure="false">"c6660"</definedName>
    <definedName function="false" hidden="true" name="IQ_DIVIDENDS_NET_INCOME_FFIEC" vbProcedure="false">"c13349"</definedName>
    <definedName function="false" hidden="true" name="IQ_DIVIDENDS_PAID_DECLARED_PERIOD_COVERED" vbProcedure="false">"c9960"</definedName>
    <definedName function="false" hidden="true" name="IQ_DIVIDENDS_PAID_DECLARED_PERIOD_GROUP" vbProcedure="false">"c9946"</definedName>
    <definedName function="false" hidden="true" name="IQ_DIVIDEND_EST" vbProcedure="false">"c4296"</definedName>
    <definedName function="false" hidden="true" name="IQ_DIVIDEND_HIGH_EST" vbProcedure="false">"c4297"</definedName>
    <definedName function="false" hidden="true" name="IQ_DIVIDEND_LOW_EST" vbProcedure="false">"c4298"</definedName>
    <definedName function="false" hidden="true" name="IQ_DIVIDEND_MEDIAN_EST" vbProcedure="false">"c4299"</definedName>
    <definedName function="false" hidden="true" name="IQ_DIVIDEND_NUM_EST" vbProcedure="false">"c4300"</definedName>
    <definedName function="false" hidden="true" name="IQ_DIVIDEND_STDDEV_EST" vbProcedure="false">"c4301"</definedName>
    <definedName function="false" hidden="true" name="IQ_DIVIDEND_YIELD" vbProcedure="false">"c332"</definedName>
    <definedName function="false" hidden="true" name="IQ_DIVID_SHARE" vbProcedure="false">"c1366"</definedName>
    <definedName function="false" hidden="true" name="IQ_DIV_AMOUNT" vbProcedure="false">"c3041"</definedName>
    <definedName function="false" hidden="true" name="IQ_DIV_PAYMENT_DATE" vbProcedure="false">"c2205"</definedName>
    <definedName function="false" hidden="true" name="IQ_DIV_PAYMENT_TYPE" vbProcedure="false">"c12752"</definedName>
    <definedName function="false" hidden="true" name="IQ_DIV_RECORD_DATE" vbProcedure="false">"c2204"</definedName>
    <definedName function="false" hidden="true" name="IQ_DIV_SHARE" vbProcedure="false">"c330"</definedName>
    <definedName function="false" hidden="true" name="IQ_DNB_OTHER_EXP_INC_TAX_US" vbProcedure="false">"c6787"</definedName>
    <definedName function="false" hidden="true" name="IQ_DNTM" vbProcedure="false">700000</definedName>
    <definedName function="false" hidden="true" name="IQ_DO" vbProcedure="false">"c333"</definedName>
    <definedName function="false" hidden="true" name="IQ_DOC_CLAUSE" vbProcedure="false">"c6032"</definedName>
    <definedName function="false" hidden="true" name="IQ_DOM_OFFICE_DEPOSITS_TOT_DEPOSITS_FFIEC" vbProcedure="false">"c13910"</definedName>
    <definedName function="false" hidden="true" name="IQ_DO_ASSETS_CURRENT" vbProcedure="false">"c334"</definedName>
    <definedName function="false" hidden="true" name="IQ_DO_ASSETS_LT" vbProcedure="false">"c335"</definedName>
    <definedName function="false" hidden="true" name="IQ_DO_CF" vbProcedure="false">"c336"</definedName>
    <definedName function="false" hidden="true" name="IQ_DPAC_ACC" vbProcedure="false">"c2799"</definedName>
    <definedName function="false" hidden="true" name="IQ_DPAC_AMORT" vbProcedure="false">"c2795"</definedName>
    <definedName function="false" hidden="true" name="IQ_DPAC_BEG" vbProcedure="false">"c2791"</definedName>
    <definedName function="false" hidden="true" name="IQ_DPAC_COMMISSIONS" vbProcedure="false">"c2792"</definedName>
    <definedName function="false" hidden="true" name="IQ_DPAC_END" vbProcedure="false">"c2801"</definedName>
    <definedName function="false" hidden="true" name="IQ_DPAC_FX" vbProcedure="false">"c2798"</definedName>
    <definedName function="false" hidden="true" name="IQ_DPAC_OTHERS" vbProcedure="false">"c2793"</definedName>
    <definedName function="false" hidden="true" name="IQ_DPAC_OTHER_ADJ" vbProcedure="false">"c2800"</definedName>
    <definedName function="false" hidden="true" name="IQ_DPAC_PERIOD" vbProcedure="false">"c2794"</definedName>
    <definedName function="false" hidden="true" name="IQ_DPAC_REAL_GAIN" vbProcedure="false">"c2797"</definedName>
    <definedName function="false" hidden="true" name="IQ_DPAC_UNREAL_GAIN" vbProcedure="false">"c2796"</definedName>
    <definedName function="false" hidden="true" name="IQ_DPS_10YR_ANN_CAGR" vbProcedure="false">"c6065"</definedName>
    <definedName function="false" hidden="true" name="IQ_DPS_10YR_ANN_GROWTH" vbProcedure="false">"c337"</definedName>
    <definedName function="false" hidden="true" name="IQ_DPS_1YR_ANN_GROWTH" vbProcedure="false">"c338"</definedName>
    <definedName function="false" hidden="true" name="IQ_DPS_2YR_ANN_CAGR" vbProcedure="false">"c6066"</definedName>
    <definedName function="false" hidden="true" name="IQ_DPS_2YR_ANN_GROWTH" vbProcedure="false">"c339"</definedName>
    <definedName function="false" hidden="true" name="IQ_DPS_3YR_ANN_CAGR" vbProcedure="false">"c6067"</definedName>
    <definedName function="false" hidden="true" name="IQ_DPS_3YR_ANN_GROWTH" vbProcedure="false">"c340"</definedName>
    <definedName function="false" hidden="true" name="IQ_DPS_5YR_ANN_CAGR" vbProcedure="false">"c6068"</definedName>
    <definedName function="false" hidden="true" name="IQ_DPS_5YR_ANN_GROWTH" vbProcedure="false">"c341"</definedName>
    <definedName function="false" hidden="true" name="IQ_DPS_7YR_ANN_CAGR" vbProcedure="false">"c6069"</definedName>
    <definedName function="false" hidden="true" name="IQ_DPS_7YR_ANN_GROWTH" vbProcedure="false">"c342"</definedName>
    <definedName function="false" hidden="true" name="IQ_DPS_ACT_OR_EST" vbProcedure="false">"c2218"</definedName>
    <definedName function="false" hidden="true" name="IQ_DPS_ACT_OR_EST_REUT" vbProcedure="false">"c5464"</definedName>
    <definedName function="false" hidden="true" name="IQ_DPS_ACT_OR_EST_THOM" vbProcedure="false">"c5302"</definedName>
    <definedName function="false" hidden="true" name="IQ_DPS_DET_EST" vbProcedure="false">"c12052"</definedName>
    <definedName function="false" hidden="true" name="IQ_DPS_DET_EST_CURRENCY" vbProcedure="false">"c12459"</definedName>
    <definedName function="false" hidden="true" name="IQ_DPS_DET_EST_CURRENCY_REUT" vbProcedure="false">"c12527"</definedName>
    <definedName function="false" hidden="true" name="IQ_DPS_DET_EST_CURRENCY_THOM" vbProcedure="false">"c12480"</definedName>
    <definedName function="false" hidden="true" name="IQ_DPS_DET_EST_DATE" vbProcedure="false">"c12205"</definedName>
    <definedName function="false" hidden="true" name="IQ_DPS_DET_EST_DATE_REUT" vbProcedure="false">"c12286"</definedName>
    <definedName function="false" hidden="true" name="IQ_DPS_DET_EST_DATE_THOM" vbProcedure="false">"c12231"</definedName>
    <definedName function="false" hidden="true" name="IQ_DPS_DET_EST_INCL" vbProcedure="false">"c12342"</definedName>
    <definedName function="false" hidden="true" name="IQ_DPS_DET_EST_INCL_REUT" vbProcedure="false">"c12410"</definedName>
    <definedName function="false" hidden="true" name="IQ_DPS_DET_EST_INCL_THOM" vbProcedure="false">"c12363"</definedName>
    <definedName function="false" hidden="true" name="IQ_DPS_DET_EST_ORIGIN" vbProcedure="false">"c12578"</definedName>
    <definedName function="false" hidden="true" name="IQ_DPS_DET_EST_ORIGIN_REUT" vbProcedure="false">"c12654"</definedName>
    <definedName function="false" hidden="true" name="IQ_DPS_DET_EST_ORIGIN_THOM" vbProcedure="false">"c12601"</definedName>
    <definedName function="false" hidden="true" name="IQ_DPS_DET_EST_REUT" vbProcedure="false">"c12144"</definedName>
    <definedName function="false" hidden="true" name="IQ_DPS_DET_EST_THOM" vbProcedure="false">"c12081"</definedName>
    <definedName function="false" hidden="true" name="IQ_DPS_EST" vbProcedure="false">"c1674"</definedName>
    <definedName function="false" hidden="true" name="IQ_DPS_EST_BOTTOM_UP" vbProcedure="false">"c5493"</definedName>
    <definedName function="false" hidden="true" name="IQ_DPS_EST_BOTTOM_UP_REUT" vbProcedure="false">"c5501"</definedName>
    <definedName function="false" hidden="true" name="IQ_DPS_EST_REUT" vbProcedure="false">"c3851"</definedName>
    <definedName function="false" hidden="true" name="IQ_DPS_EST_THOM" vbProcedure="false">"c4013"</definedName>
    <definedName function="false" hidden="true" name="IQ_DPS_GUIDANCE" vbProcedure="false">"c4302"</definedName>
    <definedName function="false" hidden="true" name="IQ_DPS_GUIDANCE_CIQ" vbProcedure="false">"c4827"</definedName>
    <definedName function="false" hidden="true" name="IQ_DPS_GUIDANCE_CIQ_COL" vbProcedure="false">"c11474"</definedName>
    <definedName function="false" hidden="true" name="IQ_DPS_HIGH_EST" vbProcedure="false">"c1676"</definedName>
    <definedName function="false" hidden="true" name="IQ_DPS_HIGH_EST_REUT" vbProcedure="false">"c3853"</definedName>
    <definedName function="false" hidden="true" name="IQ_DPS_HIGH_EST_THOM" vbProcedure="false">"c4015"</definedName>
    <definedName function="false" hidden="true" name="IQ_DPS_HIGH_GUIDANCE" vbProcedure="false">"c4168"</definedName>
    <definedName function="false" hidden="true" name="IQ_DPS_HIGH_GUIDANCE_CIQ" vbProcedure="false">"c4580"</definedName>
    <definedName function="false" hidden="true" name="IQ_DPS_HIGH_GUIDANCE_CIQ_COL" vbProcedure="false">"c11229"</definedName>
    <definedName function="false" hidden="true" name="IQ_DPS_LOW_EST" vbProcedure="false">"c1677"</definedName>
    <definedName function="false" hidden="true" name="IQ_DPS_LOW_EST_REUT" vbProcedure="false">"c3854"</definedName>
    <definedName function="false" hidden="true" name="IQ_DPS_LOW_EST_THOM" vbProcedure="false">"c4016"</definedName>
    <definedName function="false" hidden="true" name="IQ_DPS_LOW_GUIDANCE" vbProcedure="false">"c4208"</definedName>
    <definedName function="false" hidden="true" name="IQ_DPS_LOW_GUIDANCE_CIQ" vbProcedure="false">"c4620"</definedName>
    <definedName function="false" hidden="true" name="IQ_DPS_LOW_GUIDANCE_CIQ_COL" vbProcedure="false">"c11269"</definedName>
    <definedName function="false" hidden="true" name="IQ_DPS_MEDIAN_EST" vbProcedure="false">"c1675"</definedName>
    <definedName function="false" hidden="true" name="IQ_DPS_MEDIAN_EST_REUT" vbProcedure="false">"c3852"</definedName>
    <definedName function="false" hidden="true" name="IQ_DPS_MEDIAN_EST_THOM" vbProcedure="false">"c4014"</definedName>
    <definedName function="false" hidden="true" name="IQ_DPS_NUM_EST" vbProcedure="false">"c1678"</definedName>
    <definedName function="false" hidden="true" name="IQ_DPS_NUM_EST_REUT" vbProcedure="false">"c3855"</definedName>
    <definedName function="false" hidden="true" name="IQ_DPS_NUM_EST_THOM" vbProcedure="false">"c4017"</definedName>
    <definedName function="false" hidden="true" name="IQ_DPS_STDDEV_EST" vbProcedure="false">"c1679"</definedName>
    <definedName function="false" hidden="true" name="IQ_DPS_STDDEV_EST_REUT" vbProcedure="false">"c3856"</definedName>
    <definedName function="false" hidden="true" name="IQ_DPS_STDDEV_EST_THOM" vbProcedure="false">"c4018"</definedName>
    <definedName function="false" hidden="true" name="IQ_DURABLE_INVENTORIES" vbProcedure="false">"c6853"</definedName>
    <definedName function="false" hidden="true" name="IQ_DURABLE_INVENTORIES_APR" vbProcedure="false">"c7513"</definedName>
    <definedName function="false" hidden="true" name="IQ_DURABLE_INVENTORIES_APR_FC" vbProcedure="false">"c8393"</definedName>
    <definedName function="false" hidden="true" name="IQ_DURABLE_INVENTORIES_FC" vbProcedure="false">"c7733"</definedName>
    <definedName function="false" hidden="true" name="IQ_DURABLE_INVENTORIES_POP" vbProcedure="false">"c7073"</definedName>
    <definedName function="false" hidden="true" name="IQ_DURABLE_INVENTORIES_POP_FC" vbProcedure="false">"c7953"</definedName>
    <definedName function="false" hidden="true" name="IQ_DURABLE_INVENTORIES_YOY" vbProcedure="false">"c7293"</definedName>
    <definedName function="false" hidden="true" name="IQ_DURABLE_INVENTORIES_YOY_FC" vbProcedure="false">"c8173"</definedName>
    <definedName function="false" hidden="true" name="IQ_DURABLE_ORDERS" vbProcedure="false">"c6854"</definedName>
    <definedName function="false" hidden="true" name="IQ_DURABLE_ORDERS_APR" vbProcedure="false">"c7514"</definedName>
    <definedName function="false" hidden="true" name="IQ_DURABLE_ORDERS_APR_FC" vbProcedure="false">"c8394"</definedName>
    <definedName function="false" hidden="true" name="IQ_DURABLE_ORDERS_FC" vbProcedure="false">"c7734"</definedName>
    <definedName function="false" hidden="true" name="IQ_DURABLE_ORDERS_POP" vbProcedure="false">"c7074"</definedName>
    <definedName function="false" hidden="true" name="IQ_DURABLE_ORDERS_POP_FC" vbProcedure="false">"c7954"</definedName>
    <definedName function="false" hidden="true" name="IQ_DURABLE_ORDERS_YOY" vbProcedure="false">"c7294"</definedName>
    <definedName function="false" hidden="true" name="IQ_DURABLE_ORDERS_YOY_FC" vbProcedure="false">"c8174"</definedName>
    <definedName function="false" hidden="true" name="IQ_DURABLE_SHIPMENTS" vbProcedure="false">"c6855"</definedName>
    <definedName function="false" hidden="true" name="IQ_DURABLE_SHIPMENTS_APR" vbProcedure="false">"c7515"</definedName>
    <definedName function="false" hidden="true" name="IQ_DURABLE_SHIPMENTS_APR_FC" vbProcedure="false">"c8395"</definedName>
    <definedName function="false" hidden="true" name="IQ_DURABLE_SHIPMENTS_FC" vbProcedure="false">"c7735"</definedName>
    <definedName function="false" hidden="true" name="IQ_DURABLE_SHIPMENTS_POP" vbProcedure="false">"c7075"</definedName>
    <definedName function="false" hidden="true" name="IQ_DURABLE_SHIPMENTS_POP_FC" vbProcedure="false">"c7955"</definedName>
    <definedName function="false" hidden="true" name="IQ_DURABLE_SHIPMENTS_YOY" vbProcedure="false">"c7295"</definedName>
    <definedName function="false" hidden="true" name="IQ_DURABLE_SHIPMENTS_YOY_FC" vbProcedure="false">"c8175"</definedName>
    <definedName function="false" hidden="true" name="IQ_DURATION" vbProcedure="false">"c2181"</definedName>
    <definedName function="false" hidden="true" name="IQ_EARNINGS_ANNOUNCE_DATE" vbProcedure="false">"c1649"</definedName>
    <definedName function="false" hidden="true" name="IQ_EARNINGS_ANNOUNCE_DATE_CIQ" vbProcedure="false">"c4656"</definedName>
    <definedName function="false" hidden="true" name="IQ_EARNINGS_ANNOUNCE_DATE_REUT" vbProcedure="false">"c5314"</definedName>
    <definedName function="false" hidden="true" name="IQ_EARNINGS_ANNOUNCE_DATE_THOM" vbProcedure="false">"c5093"</definedName>
    <definedName function="false" hidden="true" name="IQ_EARNINGS_CONT_OPS_HOMEBUILDING_SALES" vbProcedure="false">"c15817"</definedName>
    <definedName function="false" hidden="true" name="IQ_EARNINGS_COVERAGE_LOSSES_FFIEC" vbProcedure="false">"c13351"</definedName>
    <definedName function="false" hidden="true" name="IQ_EARNINGS_COVERAGE_NET_CHARGE_OFFS_FDIC" vbProcedure="false">"c6735"</definedName>
    <definedName function="false" hidden="true" name="IQ_EARNINGS_CO_FFIEC" vbProcedure="false">"c13032"</definedName>
    <definedName function="false" hidden="true" name="IQ_EARNINGS_LIFE_INSURANCE_FFIEC" vbProcedure="false">"c13041"</definedName>
    <definedName function="false" hidden="true" name="IQ_EARNINGS_PERIOD_COVERED" vbProcedure="false">"c9958"</definedName>
    <definedName function="false" hidden="true" name="IQ_EARNINGS_PERIOD_GROUP" vbProcedure="false">"c9944"</definedName>
    <definedName function="false" hidden="true" name="IQ_EARNING_ASSETS_AVG_ASSETS_FFIEC" vbProcedure="false">"c13354"</definedName>
    <definedName function="false" hidden="true" name="IQ_EARNING_ASSETS_FDIC" vbProcedure="false">"c6360"</definedName>
    <definedName function="false" hidden="true" name="IQ_EARNING_ASSETS_QUARTERLY_AVG_FFIEC" vbProcedure="false">"c13086"</definedName>
    <definedName function="false" hidden="true" name="IQ_EARNING_ASSETS_REPRICE_ASSETS_TOT_FFIEC" vbProcedure="false">"c13451"</definedName>
    <definedName function="false" hidden="true" name="IQ_EARNING_ASSETS_YIELD_FDIC" vbProcedure="false">"c6724"</definedName>
    <definedName function="false" hidden="true" name="IQ_EARNING_ASSET_INT_BEAR_LIABILITIES" vbProcedure="false">"c15703"</definedName>
    <definedName function="false" hidden="true" name="IQ_EARNING_ASSET_YIELD" vbProcedure="false">"c343"</definedName>
    <definedName function="false" hidden="true" name="IQ_EARNING_CO" vbProcedure="false">"c344"</definedName>
    <definedName function="false" hidden="true" name="IQ_EARNING_CO_10YR_ANN_CAGR" vbProcedure="false">"c6070"</definedName>
    <definedName function="false" hidden="true" name="IQ_EARNING_CO_10YR_ANN_GROWTH" vbProcedure="false">"c345"</definedName>
    <definedName function="false" hidden="true" name="IQ_EARNING_CO_1YR_ANN_GROWTH" vbProcedure="false">"c346"</definedName>
    <definedName function="false" hidden="true" name="IQ_EARNING_CO_2YR_ANN_CAGR" vbProcedure="false">"c6071"</definedName>
    <definedName function="false" hidden="true" name="IQ_EARNING_CO_2YR_ANN_GROWTH" vbProcedure="false">"c347"</definedName>
    <definedName function="false" hidden="true" name="IQ_EARNING_CO_3YR_ANN_CAGR" vbProcedure="false">"c6072"</definedName>
    <definedName function="false" hidden="true" name="IQ_EARNING_CO_3YR_ANN_GROWTH" vbProcedure="false">"c348"</definedName>
    <definedName function="false" hidden="true" name="IQ_EARNING_CO_5YR_ANN_CAGR" vbProcedure="false">"c6073"</definedName>
    <definedName function="false" hidden="true" name="IQ_EARNING_CO_5YR_ANN_GROWTH" vbProcedure="false">"c349"</definedName>
    <definedName function="false" hidden="true" name="IQ_EARNING_CO_7YR_ANN_CAGR" vbProcedure="false">"c6074"</definedName>
    <definedName function="false" hidden="true" name="IQ_EARNING_CO_7YR_ANN_GROWTH" vbProcedure="false">"c350"</definedName>
    <definedName function="false" hidden="true" name="IQ_EARNING_CO_MARGIN" vbProcedure="false">"c351"</definedName>
    <definedName function="false" hidden="true" name="IQ_EBIT" vbProcedure="false">"c352"</definedName>
    <definedName function="false" hidden="true" name="IQ_EBITA" vbProcedure="false">"c1910"</definedName>
    <definedName function="false" hidden="true" name="IQ_EBITA_10YR_ANN_CAGR" vbProcedure="false">"c6184"</definedName>
    <definedName function="false" hidden="true" name="IQ_EBITA_10YR_ANN_GROWTH" vbProcedure="false">"c1954"</definedName>
    <definedName function="false" hidden="true" name="IQ_EBITA_1YR_ANN_GROWTH" vbProcedure="false">"c1949"</definedName>
    <definedName function="false" hidden="true" name="IQ_EBITA_2YR_ANN_CAGR" vbProcedure="false">"c6180"</definedName>
    <definedName function="false" hidden="true" name="IQ_EBITA_2YR_ANN_GROWTH" vbProcedure="false">"c1950"</definedName>
    <definedName function="false" hidden="true" name="IQ_EBITA_3YR_ANN_CAGR" vbProcedure="false">"c6181"</definedName>
    <definedName function="false" hidden="true" name="IQ_EBITA_3YR_ANN_GROWTH" vbProcedure="false">"c1951"</definedName>
    <definedName function="false" hidden="true" name="IQ_EBITA_5YR_ANN_CAGR" vbProcedure="false">"c6182"</definedName>
    <definedName function="false" hidden="true" name="IQ_EBITA_5YR_ANN_GROWTH" vbProcedure="false">"c1952"</definedName>
    <definedName function="false" hidden="true" name="IQ_EBITA_7YR_ANN_CAGR" vbProcedure="false">"c6183"</definedName>
    <definedName function="false" hidden="true" name="IQ_EBITA_7YR_ANN_GROWTH" vbProcedure="false">"c1953"</definedName>
    <definedName function="false" hidden="true" name="IQ_EBITA_EQ_INC" vbProcedure="false">"c3497"</definedName>
    <definedName function="false" hidden="true" name="IQ_EBITA_EQ_INC_EXCL_SBC" vbProcedure="false">"c3501"</definedName>
    <definedName function="false" hidden="true" name="IQ_EBITA_EXCL_SBC" vbProcedure="false">"c3080"</definedName>
    <definedName function="false" hidden="true" name="IQ_EBITA_MARGIN" vbProcedure="false">"c1963"</definedName>
    <definedName function="false" hidden="true" name="IQ_EBITDA" vbProcedure="false">"c361"</definedName>
    <definedName function="false" hidden="true" name="IQ_EBITDAR" vbProcedure="false">"c2989"</definedName>
    <definedName function="false" hidden="true" name="IQ_EBITDAR_EQ_INC" vbProcedure="false">"c3499"</definedName>
    <definedName function="false" hidden="true" name="IQ_EBITDAR_EQ_INC_EXCL_SBC" vbProcedure="false">"c3503"</definedName>
    <definedName function="false" hidden="true" name="IQ_EBITDAR_EXCL_SBC" vbProcedure="false">"c3083"</definedName>
    <definedName function="false" hidden="true" name="IQ_EBITDA_10K" vbProcedure="false">"IQ_EBITDA_10K"</definedName>
    <definedName function="false" hidden="true" name="IQ_EBITDA_10Q" vbProcedure="false">"IQ_EBITDA_10Q"</definedName>
    <definedName function="false" hidden="true" name="IQ_EBITDA_10Q1" vbProcedure="false">"IQ_EBITDA_10Q1"</definedName>
    <definedName function="false" hidden="true" name="IQ_EBITDA_10YR_ANN_CAGR" vbProcedure="false">"c6080"</definedName>
    <definedName function="false" hidden="true" name="IQ_EBITDA_10YR_ANN_GROWTH" vbProcedure="false">"c362"</definedName>
    <definedName function="false" hidden="true" name="IQ_EBITDA_1YR_ANN_GROWTH" vbProcedure="false">"c363"</definedName>
    <definedName function="false" hidden="true" name="IQ_EBITDA_2YR_ANN_CAGR" vbProcedure="false">"c6081"</definedName>
    <definedName function="false" hidden="true" name="IQ_EBITDA_2YR_ANN_GROWTH" vbProcedure="false">"c364"</definedName>
    <definedName function="false" hidden="true" name="IQ_EBITDA_3YR_ANN_CAGR" vbProcedure="false">"c6082"</definedName>
    <definedName function="false" hidden="true" name="IQ_EBITDA_3YR_ANN_GROWTH" vbProcedure="false">"c365"</definedName>
    <definedName function="false" hidden="true" name="IQ_EBITDA_5YR_ANN_CAGR" vbProcedure="false">"c6083"</definedName>
    <definedName function="false" hidden="true" name="IQ_EBITDA_5YR_ANN_GROWTH" vbProcedure="false">"c366"</definedName>
    <definedName function="false" hidden="true" name="IQ_EBITDA_7YR_ANN_CAGR" vbProcedure="false">"c6084"</definedName>
    <definedName function="false" hidden="true" name="IQ_EBITDA_7YR_ANN_GROWTH" vbProcedure="false">"c367"</definedName>
    <definedName function="false" hidden="true" name="IQ_EBITDA_ACT_OR_EST" vbProcedure="false">"c2215"</definedName>
    <definedName function="false" hidden="true" name="IQ_EBITDA_ACT_OR_EST_CIQ" vbProcedure="false">"c5060"</definedName>
    <definedName function="false" hidden="true" name="IQ_EBITDA_ACT_OR_EST_REUT" vbProcedure="false">"c5462"</definedName>
    <definedName function="false" hidden="true" name="IQ_EBITDA_ACT_OR_EST_THOM" vbProcedure="false">"c5300"</definedName>
    <definedName function="false" hidden="true" name="IQ_EBITDA_CAPEX" vbProcedure="false">"c19143"</definedName>
    <definedName function="false" hidden="true" name="IQ_EBITDA_CAPEX_INT" vbProcedure="false">"c368"</definedName>
    <definedName function="false" hidden="true" name="IQ_EBITDA_CAPEX_OVER_TOTAL_IE" vbProcedure="false">"c1370"</definedName>
    <definedName function="false" hidden="true" name="IQ_EBITDA_DET_EST" vbProcedure="false">"c12054"</definedName>
    <definedName function="false" hidden="true" name="IQ_EBITDA_DET_EST_CURRENCY" vbProcedure="false">"c12461"</definedName>
    <definedName function="false" hidden="true" name="IQ_EBITDA_DET_EST_CURRENCY_THOM" vbProcedure="false">"c12482"</definedName>
    <definedName function="false" hidden="true" name="IQ_EBITDA_DET_EST_DATE" vbProcedure="false">"c12207"</definedName>
    <definedName function="false" hidden="true" name="IQ_EBITDA_DET_EST_DATE_REUT" vbProcedure="false">"c12288"</definedName>
    <definedName function="false" hidden="true" name="IQ_EBITDA_DET_EST_DATE_THOM" vbProcedure="false">"c12233"</definedName>
    <definedName function="false" hidden="true" name="IQ_EBITDA_DET_EST_INCL" vbProcedure="false">"c12344"</definedName>
    <definedName function="false" hidden="true" name="IQ_EBITDA_DET_EST_INCL_REUT" vbProcedure="false">"c12412"</definedName>
    <definedName function="false" hidden="true" name="IQ_EBITDA_DET_EST_INCL_THOM" vbProcedure="false">"c12365"</definedName>
    <definedName function="false" hidden="true" name="IQ_EBITDA_DET_EST_ORIGIN" vbProcedure="false">"c12580"</definedName>
    <definedName function="false" hidden="true" name="IQ_EBITDA_DET_EST_ORIGIN_REUT" vbProcedure="false">"c12656"</definedName>
    <definedName function="false" hidden="true" name="IQ_EBITDA_DET_EST_ORIGIN_THOM" vbProcedure="false">"c12603"</definedName>
    <definedName function="false" hidden="true" name="IQ_EBITDA_DET_EST_REUT" vbProcedure="false">"c12146"</definedName>
    <definedName function="false" hidden="true" name="IQ_EBITDA_DET_EST_REUT_CURRENCY_CURRENCY_REUT" vbProcedure="false">"c12529"</definedName>
    <definedName function="false" hidden="true" name="IQ_EBITDA_DET_EST_THOM" vbProcedure="false">"c12083"</definedName>
    <definedName function="false" hidden="true" name="IQ_EBITDA_EQ_INC" vbProcedure="false">"c3496"</definedName>
    <definedName function="false" hidden="true" name="IQ_EBITDA_EQ_INC_EXCL_SBC" vbProcedure="false">"c3500"</definedName>
    <definedName function="false" hidden="true" name="IQ_EBITDA_EST" vbProcedure="false">"c369"</definedName>
    <definedName function="false" hidden="true" name="IQ_EBITDA_EST_CIQ" vbProcedure="false">"c3622"</definedName>
    <definedName function="false" hidden="true" name="IQ_EBITDA_EST_REUT" vbProcedure="false">"c3640"</definedName>
    <definedName function="false" hidden="true" name="IQ_EBITDA_EST_THOM" vbProcedure="false">"c3658"</definedName>
    <definedName function="false" hidden="true" name="IQ_EBITDA_EXCL_SBC" vbProcedure="false">"c3081"</definedName>
    <definedName function="false" hidden="true" name="IQ_EBITDA_GROWTH_1" vbProcedure="false">"IQ_EBITDA_GROWTH_1"</definedName>
    <definedName function="false" hidden="true" name="IQ_EBITDA_GROWTH_2" vbProcedure="false">"IQ_EBITDA_GROWTH_2"</definedName>
    <definedName function="false" hidden="true" name="IQ_EBITDA_GUIDANCE" vbProcedure="false">"c4334"</definedName>
    <definedName function="false" hidden="true" name="IQ_EBITDA_GUIDANCE_CIQ" vbProcedure="false">"c4859"</definedName>
    <definedName function="false" hidden="true" name="IQ_EBITDA_GUIDANCE_CIQ_COL" vbProcedure="false">"c11506"</definedName>
    <definedName function="false" hidden="true" name="IQ_EBITDA_HIGH_EST" vbProcedure="false">"c370"</definedName>
    <definedName function="false" hidden="true" name="IQ_EBITDA_HIGH_EST_CIQ" vbProcedure="false">"c3624"</definedName>
    <definedName function="false" hidden="true" name="IQ_EBITDA_HIGH_EST_REUT" vbProcedure="false">"c3642"</definedName>
    <definedName function="false" hidden="true" name="IQ_EBITDA_HIGH_EST_THOM" vbProcedure="false">"c3660"</definedName>
    <definedName function="false" hidden="true" name="IQ_EBITDA_HIGH_GUIDANCE" vbProcedure="false">"c4170"</definedName>
    <definedName function="false" hidden="true" name="IQ_EBITDA_HIGH_GUIDANCE_CIQ" vbProcedure="false">"c4582"</definedName>
    <definedName function="false" hidden="true" name="IQ_EBITDA_HIGH_GUIDANCE_CIQ_COL" vbProcedure="false">"c11231"</definedName>
    <definedName function="false" hidden="true" name="IQ_EBITDA_HOMEBUILDING_SALES" vbProcedure="false">"c15814"</definedName>
    <definedName function="false" hidden="true" name="IQ_EBITDA_INT" vbProcedure="false">"c373"</definedName>
    <definedName function="false" hidden="true" name="IQ_EBITDA_LOW_EST" vbProcedure="false">"c371"</definedName>
    <definedName function="false" hidden="true" name="IQ_EBITDA_LOW_EST_CIQ" vbProcedure="false">"c3625"</definedName>
    <definedName function="false" hidden="true" name="IQ_EBITDA_LOW_EST_REUT" vbProcedure="false">"c3643"</definedName>
    <definedName function="false" hidden="true" name="IQ_EBITDA_LOW_EST_THOM" vbProcedure="false">"c3661"</definedName>
    <definedName function="false" hidden="true" name="IQ_EBITDA_LOW_GUIDANCE" vbProcedure="false">"c4210"</definedName>
    <definedName function="false" hidden="true" name="IQ_EBITDA_LOW_GUIDANCE_CIQ" vbProcedure="false">"c4622"</definedName>
    <definedName function="false" hidden="true" name="IQ_EBITDA_LOW_GUIDANCE_CIQ_COL" vbProcedure="false">"c11271"</definedName>
    <definedName function="false" hidden="true" name="IQ_EBITDA_MARGIN" vbProcedure="false">"c372"</definedName>
    <definedName function="false" hidden="true" name="IQ_EBITDA_MEDIAN_EST" vbProcedure="false">"c1663"</definedName>
    <definedName function="false" hidden="true" name="IQ_EBITDA_MEDIAN_EST_CIQ" vbProcedure="false">"c3623"</definedName>
    <definedName function="false" hidden="true" name="IQ_EBITDA_MEDIAN_EST_REUT" vbProcedure="false">"c3641"</definedName>
    <definedName function="false" hidden="true" name="IQ_EBITDA_MEDIAN_EST_THOM" vbProcedure="false">"c3659"</definedName>
    <definedName function="false" hidden="true" name="IQ_EBITDA_NUM_EST" vbProcedure="false">"c374"</definedName>
    <definedName function="false" hidden="true" name="IQ_EBITDA_NUM_EST_CIQ" vbProcedure="false">"c3626"</definedName>
    <definedName function="false" hidden="true" name="IQ_EBITDA_NUM_EST_REUT" vbProcedure="false">"c3644"</definedName>
    <definedName function="false" hidden="true" name="IQ_EBITDA_NUM_EST_THOM" vbProcedure="false">"c3662"</definedName>
    <definedName function="false" hidden="true" name="IQ_EBITDA_OVER_TOTAL_IE" vbProcedure="false">"c1371"</definedName>
    <definedName function="false" hidden="true" name="IQ_EBITDA_SBC_ACT_OR_EST" vbProcedure="false">"c4337"</definedName>
    <definedName function="false" hidden="true" name="IQ_EBITDA_SBC_ACT_OR_EST_CIQ" vbProcedure="false">"c4862"</definedName>
    <definedName function="false" hidden="true" name="IQ_EBITDA_SBC_EST" vbProcedure="false">"c4336"</definedName>
    <definedName function="false" hidden="true" name="IQ_EBITDA_SBC_GUIDANCE" vbProcedure="false">"c4338"</definedName>
    <definedName function="false" hidden="true" name="IQ_EBITDA_SBC_GUIDANCE_CIQ" vbProcedure="false">"c4863"</definedName>
    <definedName function="false" hidden="true" name="IQ_EBITDA_SBC_GUIDANCE_CIQ_COL" vbProcedure="false">"c11510"</definedName>
    <definedName function="false" hidden="true" name="IQ_EBITDA_SBC_HIGH_EST" vbProcedure="false">"c4339"</definedName>
    <definedName function="false" hidden="true" name="IQ_EBITDA_SBC_HIGH_GUIDANCE" vbProcedure="false">"c4194"</definedName>
    <definedName function="false" hidden="true" name="IQ_EBITDA_SBC_HIGH_GUIDANCE_CIQ" vbProcedure="false">"c4606"</definedName>
    <definedName function="false" hidden="true" name="IQ_EBITDA_SBC_HIGH_GUIDANCE_CIQ_COL" vbProcedure="false">"c11255"</definedName>
    <definedName function="false" hidden="true" name="IQ_EBITDA_SBC_LOW_EST" vbProcedure="false">"c4340"</definedName>
    <definedName function="false" hidden="true" name="IQ_EBITDA_SBC_LOW_GUIDANCE" vbProcedure="false">"c4234"</definedName>
    <definedName function="false" hidden="true" name="IQ_EBITDA_SBC_LOW_GUIDANCE_CIQ" vbProcedure="false">"c4646"</definedName>
    <definedName function="false" hidden="true" name="IQ_EBITDA_SBC_LOW_GUIDANCE_CIQ_COL" vbProcedure="false">"c11295"</definedName>
    <definedName function="false" hidden="true" name="IQ_EBITDA_SBC_MEDIAN_EST" vbProcedure="false">"c4341"</definedName>
    <definedName function="false" hidden="true" name="IQ_EBITDA_SBC_NUM_EST" vbProcedure="false">"c4342"</definedName>
    <definedName function="false" hidden="true" name="IQ_EBITDA_SBC_STDDEV_EST" vbProcedure="false">"c4343"</definedName>
    <definedName function="false" hidden="true" name="IQ_EBITDA_STDDEV_EST" vbProcedure="false">"c375"</definedName>
    <definedName function="false" hidden="true" name="IQ_EBITDA_STDDEV_EST_CIQ" vbProcedure="false">"c3627"</definedName>
    <definedName function="false" hidden="true" name="IQ_EBITDA_STDDEV_EST_REUT" vbProcedure="false">"c3645"</definedName>
    <definedName function="false" hidden="true" name="IQ_EBITDA_STDDEV_EST_THOM" vbProcedure="false">"c3663"</definedName>
    <definedName function="false" hidden="true" name="IQ_EBIT_10K" vbProcedure="false">"IQ_EBIT_10K"</definedName>
    <definedName function="false" hidden="true" name="IQ_EBIT_10Q" vbProcedure="false">"IQ_EBIT_10Q"</definedName>
    <definedName function="false" hidden="true" name="IQ_EBIT_10Q1" vbProcedure="false">"IQ_EBIT_10Q1"</definedName>
    <definedName function="false" hidden="true" name="IQ_EBIT_10YR_ANN_CAGR" vbProcedure="false">"c6075"</definedName>
    <definedName function="false" hidden="true" name="IQ_EBIT_10YR_ANN_GROWTH" vbProcedure="false">"c353"</definedName>
    <definedName function="false" hidden="true" name="IQ_EBIT_1YR_ANN_GROWTH" vbProcedure="false">"c354"</definedName>
    <definedName function="false" hidden="true" name="IQ_EBIT_2YR_ANN_CAGR" vbProcedure="false">"c6076"</definedName>
    <definedName function="false" hidden="true" name="IQ_EBIT_2YR_ANN_GROWTH" vbProcedure="false">"c355"</definedName>
    <definedName function="false" hidden="true" name="IQ_EBIT_3YR_ANN_CAGR" vbProcedure="false">"c6077"</definedName>
    <definedName function="false" hidden="true" name="IQ_EBIT_3YR_ANN_GROWTH" vbProcedure="false">"c356"</definedName>
    <definedName function="false" hidden="true" name="IQ_EBIT_5YR_ANN_CAGR" vbProcedure="false">"c6078"</definedName>
    <definedName function="false" hidden="true" name="IQ_EBIT_5YR_ANN_GROWTH" vbProcedure="false">"c357"</definedName>
    <definedName function="false" hidden="true" name="IQ_EBIT_7YR_ANN_CAGR" vbProcedure="false">"c6079"</definedName>
    <definedName function="false" hidden="true" name="IQ_EBIT_7YR_ANN_GROWTH" vbProcedure="false">"c358"</definedName>
    <definedName function="false" hidden="true" name="IQ_EBIT_ACT_OR_EST" vbProcedure="false">"c2219"</definedName>
    <definedName function="false" hidden="true" name="IQ_EBIT_ACT_OR_EST_REUT" vbProcedure="false">"c5465"</definedName>
    <definedName function="false" hidden="true" name="IQ_EBIT_ACT_OR_EST_THOM" vbProcedure="false">"c5303"</definedName>
    <definedName function="false" hidden="true" name="IQ_EBIT_DET_EST" vbProcedure="false">"c12053"</definedName>
    <definedName function="false" hidden="true" name="IQ_EBIT_DET_EST_CURRENCY" vbProcedure="false">"c12460"</definedName>
    <definedName function="false" hidden="true" name="IQ_EBIT_DET_EST_CURRENCY_REUT" vbProcedure="false">"c12528"</definedName>
    <definedName function="false" hidden="true" name="IQ_EBIT_DET_EST_CURRENCY_THOM" vbProcedure="false">"c12481"</definedName>
    <definedName function="false" hidden="true" name="IQ_EBIT_DET_EST_DATE" vbProcedure="false">"c12206"</definedName>
    <definedName function="false" hidden="true" name="IQ_EBIT_DET_EST_DATE_REUT" vbProcedure="false">"c12287"</definedName>
    <definedName function="false" hidden="true" name="IQ_EBIT_DET_EST_DATE_THOM" vbProcedure="false">"c12232"</definedName>
    <definedName function="false" hidden="true" name="IQ_EBIT_DET_EST_INCL" vbProcedure="false">"c12343"</definedName>
    <definedName function="false" hidden="true" name="IQ_EBIT_DET_EST_INCL_REUT" vbProcedure="false">"c12411"</definedName>
    <definedName function="false" hidden="true" name="IQ_EBIT_DET_EST_INCL_THOM" vbProcedure="false">"c12364"</definedName>
    <definedName function="false" hidden="true" name="IQ_EBIT_DET_EST_ORIGIN" vbProcedure="false">"c12579"</definedName>
    <definedName function="false" hidden="true" name="IQ_EBIT_DET_EST_ORIGIN_REUT" vbProcedure="false">"c12655"</definedName>
    <definedName function="false" hidden="true" name="IQ_EBIT_DET_EST_ORIGIN_THOM" vbProcedure="false">"c12602"</definedName>
    <definedName function="false" hidden="true" name="IQ_EBIT_DET_EST_REUT" vbProcedure="false">"c12145"</definedName>
    <definedName function="false" hidden="true" name="IQ_EBIT_DET_EST_THOM" vbProcedure="false">"c12082"</definedName>
    <definedName function="false" hidden="true" name="IQ_EBIT_EQ_INC" vbProcedure="false">"c3498"</definedName>
    <definedName function="false" hidden="true" name="IQ_EBIT_EQ_INC_EXCL_SBC" vbProcedure="false">"c3502"</definedName>
    <definedName function="false" hidden="true" name="IQ_EBIT_EST" vbProcedure="false">"c1681"</definedName>
    <definedName function="false" hidden="true" name="IQ_EBIT_EST_REUT" vbProcedure="false">"c5333"</definedName>
    <definedName function="false" hidden="true" name="IQ_EBIT_EST_THOM" vbProcedure="false">"c5105"</definedName>
    <definedName function="false" hidden="true" name="IQ_EBIT_EXCL_SBC" vbProcedure="false">"c3082"</definedName>
    <definedName function="false" hidden="true" name="IQ_EBIT_GROWTH_1" vbProcedure="false">"IQ_EBIT_GROWTH_1"</definedName>
    <definedName function="false" hidden="true" name="IQ_EBIT_GROWTH_2" vbProcedure="false">"IQ_EBIT_GROWTH_2"</definedName>
    <definedName function="false" hidden="true" name="IQ_EBIT_GUIDANCE" vbProcedure="false">"c4303"</definedName>
    <definedName function="false" hidden="true" name="IQ_EBIT_GUIDANCE_CIQ" vbProcedure="false">"c4828"</definedName>
    <definedName function="false" hidden="true" name="IQ_EBIT_GUIDANCE_CIQ_COL" vbProcedure="false">"c11475"</definedName>
    <definedName function="false" hidden="true" name="IQ_EBIT_GW_ACT_OR_EST" vbProcedure="false">"c4306"</definedName>
    <definedName function="false" hidden="true" name="IQ_EBIT_GW_EST" vbProcedure="false">"c4305"</definedName>
    <definedName function="false" hidden="true" name="IQ_EBIT_GW_GUIDANCE" vbProcedure="false">"c4307"</definedName>
    <definedName function="false" hidden="true" name="IQ_EBIT_GW_GUIDANCE_CIQ" vbProcedure="false">"c4832"</definedName>
    <definedName function="false" hidden="true" name="IQ_EBIT_GW_GUIDANCE_CIQ_COL" vbProcedure="false">"c11479"</definedName>
    <definedName function="false" hidden="true" name="IQ_EBIT_GW_HIGH_EST" vbProcedure="false">"c4308"</definedName>
    <definedName function="false" hidden="true" name="IQ_EBIT_GW_HIGH_GUIDANCE" vbProcedure="false">"c4171"</definedName>
    <definedName function="false" hidden="true" name="IQ_EBIT_GW_HIGH_GUIDANCE_CIQ" vbProcedure="false">"c4583"</definedName>
    <definedName function="false" hidden="true" name="IQ_EBIT_GW_HIGH_GUIDANCE_CIQ_COL" vbProcedure="false">"c11232"</definedName>
    <definedName function="false" hidden="true" name="IQ_EBIT_GW_LOW_EST" vbProcedure="false">"c4309"</definedName>
    <definedName function="false" hidden="true" name="IQ_EBIT_GW_LOW_GUIDANCE" vbProcedure="false">"c4211"</definedName>
    <definedName function="false" hidden="true" name="IQ_EBIT_GW_LOW_GUIDANCE_CIQ" vbProcedure="false">"c4623"</definedName>
    <definedName function="false" hidden="true" name="IQ_EBIT_GW_LOW_GUIDANCE_CIQ_COL" vbProcedure="false">"c11272"</definedName>
    <definedName function="false" hidden="true" name="IQ_EBIT_GW_MEDIAN_EST" vbProcedure="false">"c4310"</definedName>
    <definedName function="false" hidden="true" name="IQ_EBIT_GW_NUM_EST" vbProcedure="false">"c4311"</definedName>
    <definedName function="false" hidden="true" name="IQ_EBIT_GW_STDDEV_EST" vbProcedure="false">"c4312"</definedName>
    <definedName function="false" hidden="true" name="IQ_EBIT_HIGH_EST" vbProcedure="false">"c1683"</definedName>
    <definedName function="false" hidden="true" name="IQ_EBIT_HIGH_EST_REUT" vbProcedure="false">"c5335"</definedName>
    <definedName function="false" hidden="true" name="IQ_EBIT_HIGH_EST_THOM" vbProcedure="false">"c5107"</definedName>
    <definedName function="false" hidden="true" name="IQ_EBIT_HIGH_GUIDANCE" vbProcedure="false">"c4172"</definedName>
    <definedName function="false" hidden="true" name="IQ_EBIT_HIGH_GUIDANCE_CIQ" vbProcedure="false">"c4584"</definedName>
    <definedName function="false" hidden="true" name="IQ_EBIT_HIGH_GUIDANCE_CIQ_COL" vbProcedure="false">"c11233"</definedName>
    <definedName function="false" hidden="true" name="IQ_EBIT_HOMEBUILDING_SALES" vbProcedure="false">"c15815"</definedName>
    <definedName function="false" hidden="true" name="IQ_EBIT_INT" vbProcedure="false">"c360"</definedName>
    <definedName function="false" hidden="true" name="IQ_EBIT_LOW_EST" vbProcedure="false">"c1684"</definedName>
    <definedName function="false" hidden="true" name="IQ_EBIT_LOW_EST_REUT" vbProcedure="false">"c5336"</definedName>
    <definedName function="false" hidden="true" name="IQ_EBIT_LOW_EST_THOM" vbProcedure="false">"c5108"</definedName>
    <definedName function="false" hidden="true" name="IQ_EBIT_LOW_GUIDANCE" vbProcedure="false">"c4212"</definedName>
    <definedName function="false" hidden="true" name="IQ_EBIT_LOW_GUIDANCE_CIQ" vbProcedure="false">"c4624"</definedName>
    <definedName function="false" hidden="true" name="IQ_EBIT_LOW_GUIDANCE_CIQ_COL" vbProcedure="false">"c11273"</definedName>
    <definedName function="false" hidden="true" name="IQ_EBIT_MARGIN" vbProcedure="false">"c359"</definedName>
    <definedName function="false" hidden="true" name="IQ_EBIT_MEDIAN_EST" vbProcedure="false">"c1682"</definedName>
    <definedName function="false" hidden="true" name="IQ_EBIT_MEDIAN_EST_REUT" vbProcedure="false">"c5334"</definedName>
    <definedName function="false" hidden="true" name="IQ_EBIT_MEDIAN_EST_THOM" vbProcedure="false">"c5106"</definedName>
    <definedName function="false" hidden="true" name="IQ_EBIT_NUM_EST" vbProcedure="false">"c1685"</definedName>
    <definedName function="false" hidden="true" name="IQ_EBIT_NUM_EST_REUT" vbProcedure="false">"c5337"</definedName>
    <definedName function="false" hidden="true" name="IQ_EBIT_NUM_EST_THOM" vbProcedure="false">"c5109"</definedName>
    <definedName function="false" hidden="true" name="IQ_EBIT_OVER_IE" vbProcedure="false">"c1369"</definedName>
    <definedName function="false" hidden="true" name="IQ_EBIT_SBC_ACT_OR_EST" vbProcedure="false">"c4316"</definedName>
    <definedName function="false" hidden="true" name="IQ_EBIT_SBC_ACT_OR_EST_CIQ" vbProcedure="false">"c4841"</definedName>
    <definedName function="false" hidden="true" name="IQ_EBIT_SBC_EST" vbProcedure="false">"c4315"</definedName>
    <definedName function="false" hidden="true" name="IQ_EBIT_SBC_GUIDANCE" vbProcedure="false">"c4317"</definedName>
    <definedName function="false" hidden="true" name="IQ_EBIT_SBC_GUIDANCE_CIQ" vbProcedure="false">"c4842"</definedName>
    <definedName function="false" hidden="true" name="IQ_EBIT_SBC_GUIDANCE_CIQ_COL" vbProcedure="false">"c11489"</definedName>
    <definedName function="false" hidden="true" name="IQ_EBIT_SBC_GW_ACT_OR_EST" vbProcedure="false">"c4320"</definedName>
    <definedName function="false" hidden="true" name="IQ_EBIT_SBC_GW_ACT_OR_EST_CIQ" vbProcedure="false">"c4845"</definedName>
    <definedName function="false" hidden="true" name="IQ_EBIT_SBC_GW_EST" vbProcedure="false">"c4319"</definedName>
    <definedName function="false" hidden="true" name="IQ_EBIT_SBC_GW_GUIDANCE" vbProcedure="false">"c4321"</definedName>
    <definedName function="false" hidden="true" name="IQ_EBIT_SBC_GW_GUIDANCE_CIQ" vbProcedure="false">"c4846"</definedName>
    <definedName function="false" hidden="true" name="IQ_EBIT_SBC_GW_GUIDANCE_CIQ_COL" vbProcedure="false">"c11493"</definedName>
    <definedName function="false" hidden="true" name="IQ_EBIT_SBC_GW_HIGH_EST" vbProcedure="false">"c4322"</definedName>
    <definedName function="false" hidden="true" name="IQ_EBIT_SBC_GW_HIGH_GUIDANCE" vbProcedure="false">"c4193"</definedName>
    <definedName function="false" hidden="true" name="IQ_EBIT_SBC_GW_HIGH_GUIDANCE_CIQ" vbProcedure="false">"c4605"</definedName>
    <definedName function="false" hidden="true" name="IQ_EBIT_SBC_GW_HIGH_GUIDANCE_CIQ_COL" vbProcedure="false">"c11254"</definedName>
    <definedName function="false" hidden="true" name="IQ_EBIT_SBC_GW_LOW_EST" vbProcedure="false">"c4323"</definedName>
    <definedName function="false" hidden="true" name="IQ_EBIT_SBC_GW_LOW_GUIDANCE" vbProcedure="false">"c4233"</definedName>
    <definedName function="false" hidden="true" name="IQ_EBIT_SBC_GW_LOW_GUIDANCE_CIQ" vbProcedure="false">"c4645"</definedName>
    <definedName function="false" hidden="true" name="IQ_EBIT_SBC_GW_LOW_GUIDANCE_CIQ_COL" vbProcedure="false">"c11294"</definedName>
    <definedName function="false" hidden="true" name="IQ_EBIT_SBC_GW_MEDIAN_EST" vbProcedure="false">"c4324"</definedName>
    <definedName function="false" hidden="true" name="IQ_EBIT_SBC_GW_NUM_EST" vbProcedure="false">"c4325"</definedName>
    <definedName function="false" hidden="true" name="IQ_EBIT_SBC_GW_STDDEV_EST" vbProcedure="false">"c4326"</definedName>
    <definedName function="false" hidden="true" name="IQ_EBIT_SBC_HIGH_EST" vbProcedure="false">"c4328"</definedName>
    <definedName function="false" hidden="true" name="IQ_EBIT_SBC_HIGH_GUIDANCE" vbProcedure="false">"c4192"</definedName>
    <definedName function="false" hidden="true" name="IQ_EBIT_SBC_HIGH_GUIDANCE_CIQ" vbProcedure="false">"c4604"</definedName>
    <definedName function="false" hidden="true" name="IQ_EBIT_SBC_HIGH_GUIDANCE_CIQ_COL" vbProcedure="false">"c11253"</definedName>
    <definedName function="false" hidden="true" name="IQ_EBIT_SBC_LOW_EST" vbProcedure="false">"c4329"</definedName>
    <definedName function="false" hidden="true" name="IQ_EBIT_SBC_LOW_GUIDANCE" vbProcedure="false">"c4232"</definedName>
    <definedName function="false" hidden="true" name="IQ_EBIT_SBC_LOW_GUIDANCE_CIQ" vbProcedure="false">"c4644"</definedName>
    <definedName function="false" hidden="true" name="IQ_EBIT_SBC_LOW_GUIDANCE_CIQ_COL" vbProcedure="false">"c11293"</definedName>
    <definedName function="false" hidden="true" name="IQ_EBIT_SBC_MEDIAN_EST" vbProcedure="false">"c4330"</definedName>
    <definedName function="false" hidden="true" name="IQ_EBIT_SBC_NUM_EST" vbProcedure="false">"c4331"</definedName>
    <definedName function="false" hidden="true" name="IQ_EBIT_SBC_STDDEV_EST" vbProcedure="false">"c4332"</definedName>
    <definedName function="false" hidden="true" name="IQ_EBIT_STDDEV_EST" vbProcedure="false">"c1686"</definedName>
    <definedName function="false" hidden="true" name="IQ_EBIT_STDDEV_EST_REUT" vbProcedure="false">"c5338"</definedName>
    <definedName function="false" hidden="true" name="IQ_EBIT_STDDEV_EST_THOM" vbProcedure="false">"c5110"</definedName>
    <definedName function="false" hidden="true" name="IQ_EBT" vbProcedure="false">"c376"</definedName>
    <definedName function="false" hidden="true" name="IQ_EBT_BNK" vbProcedure="false">"c377"</definedName>
    <definedName function="false" hidden="true" name="IQ_EBT_BR" vbProcedure="false">"c378"</definedName>
    <definedName function="false" hidden="true" name="IQ_EBT_EXCL" vbProcedure="false">"c379"</definedName>
    <definedName function="false" hidden="true" name="IQ_EBT_EXCL_BNK" vbProcedure="false">"c380"</definedName>
    <definedName function="false" hidden="true" name="IQ_EBT_EXCL_BR" vbProcedure="false">"c381"</definedName>
    <definedName function="false" hidden="true" name="IQ_EBT_EXCL_FIN" vbProcedure="false">"c382"</definedName>
    <definedName function="false" hidden="true" name="IQ_EBT_EXCL_INS" vbProcedure="false">"c383"</definedName>
    <definedName function="false" hidden="true" name="IQ_EBT_EXCL_MARGIN" vbProcedure="false">"c1462"</definedName>
    <definedName function="false" hidden="true" name="IQ_EBT_EXCL_RE" vbProcedure="false">"c6214"</definedName>
    <definedName function="false" hidden="true" name="IQ_EBT_EXCL_REIT" vbProcedure="false">"c384"</definedName>
    <definedName function="false" hidden="true" name="IQ_EBT_EXCL_UTI" vbProcedure="false">"c385"</definedName>
    <definedName function="false" hidden="true" name="IQ_EBT_FFIEC" vbProcedure="false">"c13029"</definedName>
    <definedName function="false" hidden="true" name="IQ_EBT_FIN" vbProcedure="false">"c386"</definedName>
    <definedName function="false" hidden="true" name="IQ_EBT_FTE_FFIEC" vbProcedure="false">"c13037"</definedName>
    <definedName function="false" hidden="true" name="IQ_EBT_GAAP_GUIDANCE" vbProcedure="false">"c4345"</definedName>
    <definedName function="false" hidden="true" name="IQ_EBT_GAAP_GUIDANCE_CIQ" vbProcedure="false">"c4870"</definedName>
    <definedName function="false" hidden="true" name="IQ_EBT_GAAP_GUIDANCE_CIQ_COL" vbProcedure="false">"c11517"</definedName>
    <definedName function="false" hidden="true" name="IQ_EBT_GAAP_HIGH_GUIDANCE" vbProcedure="false">"c4174"</definedName>
    <definedName function="false" hidden="true" name="IQ_EBT_GAAP_HIGH_GUIDANCE_CIQ" vbProcedure="false">"c4586"</definedName>
    <definedName function="false" hidden="true" name="IQ_EBT_GAAP_HIGH_GUIDANCE_CIQ_COL" vbProcedure="false">"c11235"</definedName>
    <definedName function="false" hidden="true" name="IQ_EBT_GAAP_LOW_GUIDANCE" vbProcedure="false">"c4214"</definedName>
    <definedName function="false" hidden="true" name="IQ_EBT_GAAP_LOW_GUIDANCE_CIQ" vbProcedure="false">"c4626"</definedName>
    <definedName function="false" hidden="true" name="IQ_EBT_GAAP_LOW_GUIDANCE_CIQ_COL" vbProcedure="false">"c11275"</definedName>
    <definedName function="false" hidden="true" name="IQ_EBT_GUIDANCE" vbProcedure="false">"c4346"</definedName>
    <definedName function="false" hidden="true" name="IQ_EBT_GUIDANCE_CIQ" vbProcedure="false">"c4871"</definedName>
    <definedName function="false" hidden="true" name="IQ_EBT_GUIDANCE_CIQ_COL" vbProcedure="false">"c11518"</definedName>
    <definedName function="false" hidden="true" name="IQ_EBT_GW_GUIDANCE" vbProcedure="false">"c4347"</definedName>
    <definedName function="false" hidden="true" name="IQ_EBT_GW_GUIDANCE_CIQ" vbProcedure="false">"c4872"</definedName>
    <definedName function="false" hidden="true" name="IQ_EBT_GW_GUIDANCE_CIQ_COL" vbProcedure="false">"c11519"</definedName>
    <definedName function="false" hidden="true" name="IQ_EBT_GW_HIGH_GUIDANCE" vbProcedure="false">"c4175"</definedName>
    <definedName function="false" hidden="true" name="IQ_EBT_GW_HIGH_GUIDANCE_CIQ" vbProcedure="false">"c4587"</definedName>
    <definedName function="false" hidden="true" name="IQ_EBT_GW_HIGH_GUIDANCE_CIQ_COL" vbProcedure="false">"c11236"</definedName>
    <definedName function="false" hidden="true" name="IQ_EBT_GW_LOW_GUIDANCE" vbProcedure="false">"c4215"</definedName>
    <definedName function="false" hidden="true" name="IQ_EBT_GW_LOW_GUIDANCE_CIQ" vbProcedure="false">"c4627"</definedName>
    <definedName function="false" hidden="true" name="IQ_EBT_GW_LOW_GUIDANCE_CIQ_COL" vbProcedure="false">"c11276"</definedName>
    <definedName function="false" hidden="true" name="IQ_EBT_HIGH_GUIDANCE" vbProcedure="false">"c4173"</definedName>
    <definedName function="false" hidden="true" name="IQ_EBT_HIGH_GUIDANCE_CIQ" vbProcedure="false">"c4585"</definedName>
    <definedName function="false" hidden="true" name="IQ_EBT_HIGH_GUIDANCE_CIQ_COL" vbProcedure="false">"c11234"</definedName>
    <definedName function="false" hidden="true" name="IQ_EBT_HOMEBUILDING_SALES" vbProcedure="false">"c15816"</definedName>
    <definedName function="false" hidden="true" name="IQ_EBT_INCL_MARGIN" vbProcedure="false">"c387"</definedName>
    <definedName function="false" hidden="true" name="IQ_EBT_INS" vbProcedure="false">"c388"</definedName>
    <definedName function="false" hidden="true" name="IQ_EBT_LOW_GUIDANCE" vbProcedure="false">"c4213"</definedName>
    <definedName function="false" hidden="true" name="IQ_EBT_LOW_GUIDANCE_CIQ" vbProcedure="false">"c4625"</definedName>
    <definedName function="false" hidden="true" name="IQ_EBT_LOW_GUIDANCE_CIQ_COL" vbProcedure="false">"c11274"</definedName>
    <definedName function="false" hidden="true" name="IQ_EBT_RE" vbProcedure="false">"c6215"</definedName>
    <definedName function="false" hidden="true" name="IQ_EBT_REIT" vbProcedure="false">"c389"</definedName>
    <definedName function="false" hidden="true" name="IQ_EBT_SBC_ACT_OR_EST" vbProcedure="false">"c4350"</definedName>
    <definedName function="false" hidden="true" name="IQ_EBT_SBC_ACT_OR_EST_CIQ" vbProcedure="false">"c4875"</definedName>
    <definedName function="false" hidden="true" name="IQ_EBT_SBC_EST" vbProcedure="false">"c4349"</definedName>
    <definedName function="false" hidden="true" name="IQ_EBT_SBC_GUIDANCE" vbProcedure="false">"c4351"</definedName>
    <definedName function="false" hidden="true" name="IQ_EBT_SBC_GUIDANCE_CIQ" vbProcedure="false">"c4876"</definedName>
    <definedName function="false" hidden="true" name="IQ_EBT_SBC_GUIDANCE_CIQ_COL" vbProcedure="false">"c11523"</definedName>
    <definedName function="false" hidden="true" name="IQ_EBT_SBC_GW_ACT_OR_EST" vbProcedure="false">"c4354"</definedName>
    <definedName function="false" hidden="true" name="IQ_EBT_SBC_GW_ACT_OR_EST_CIQ" vbProcedure="false">"c4879"</definedName>
    <definedName function="false" hidden="true" name="IQ_EBT_SBC_GW_EST" vbProcedure="false">"c4353"</definedName>
    <definedName function="false" hidden="true" name="IQ_EBT_SBC_GW_GUIDANCE" vbProcedure="false">"c4355"</definedName>
    <definedName function="false" hidden="true" name="IQ_EBT_SBC_GW_GUIDANCE_CIQ" vbProcedure="false">"c4880"</definedName>
    <definedName function="false" hidden="true" name="IQ_EBT_SBC_GW_GUIDANCE_CIQ_COL" vbProcedure="false">"c11527"</definedName>
    <definedName function="false" hidden="true" name="IQ_EBT_SBC_GW_HIGH_EST" vbProcedure="false">"c4356"</definedName>
    <definedName function="false" hidden="true" name="IQ_EBT_SBC_GW_HIGH_GUIDANCE" vbProcedure="false">"c4191"</definedName>
    <definedName function="false" hidden="true" name="IQ_EBT_SBC_GW_HIGH_GUIDANCE_CIQ" vbProcedure="false">"c4603"</definedName>
    <definedName function="false" hidden="true" name="IQ_EBT_SBC_GW_HIGH_GUIDANCE_CIQ_COL" vbProcedure="false">"c11252"</definedName>
    <definedName function="false" hidden="true" name="IQ_EBT_SBC_GW_LOW_EST" vbProcedure="false">"c4357"</definedName>
    <definedName function="false" hidden="true" name="IQ_EBT_SBC_GW_LOW_GUIDANCE" vbProcedure="false">"c4231"</definedName>
    <definedName function="false" hidden="true" name="IQ_EBT_SBC_GW_LOW_GUIDANCE_CIQ" vbProcedure="false">"c4643"</definedName>
    <definedName function="false" hidden="true" name="IQ_EBT_SBC_GW_LOW_GUIDANCE_CIQ_COL" vbProcedure="false">"c11292"</definedName>
    <definedName function="false" hidden="true" name="IQ_EBT_SBC_GW_MEDIAN_EST" vbProcedure="false">"c4358"</definedName>
    <definedName function="false" hidden="true" name="IQ_EBT_SBC_GW_NUM_EST" vbProcedure="false">"c4359"</definedName>
    <definedName function="false" hidden="true" name="IQ_EBT_SBC_GW_STDDEV_EST" vbProcedure="false">"c4360"</definedName>
    <definedName function="false" hidden="true" name="IQ_EBT_SBC_HIGH_EST" vbProcedure="false">"c4362"</definedName>
    <definedName function="false" hidden="true" name="IQ_EBT_SBC_HIGH_GUIDANCE" vbProcedure="false">"c4190"</definedName>
    <definedName function="false" hidden="true" name="IQ_EBT_SBC_HIGH_GUIDANCE_CIQ" vbProcedure="false">"c4602"</definedName>
    <definedName function="false" hidden="true" name="IQ_EBT_SBC_HIGH_GUIDANCE_CIQ_COL" vbProcedure="false">"c11251"</definedName>
    <definedName function="false" hidden="true" name="IQ_EBT_SBC_LOW_EST" vbProcedure="false">"c4363"</definedName>
    <definedName function="false" hidden="true" name="IQ_EBT_SBC_LOW_GUIDANCE" vbProcedure="false">"c4230"</definedName>
    <definedName function="false" hidden="true" name="IQ_EBT_SBC_LOW_GUIDANCE_CIQ" vbProcedure="false">"c4642"</definedName>
    <definedName function="false" hidden="true" name="IQ_EBT_SBC_LOW_GUIDANCE_CIQ_COL" vbProcedure="false">"c11291"</definedName>
    <definedName function="false" hidden="true" name="IQ_EBT_SBC_MEDIAN_EST" vbProcedure="false">"c4364"</definedName>
    <definedName function="false" hidden="true" name="IQ_EBT_SBC_NUM_EST" vbProcedure="false">"c4365"</definedName>
    <definedName function="false" hidden="true" name="IQ_EBT_SBC_STDDEV_EST" vbProcedure="false">"c4366"</definedName>
    <definedName function="false" hidden="true" name="IQ_EBT_SUBTOTAL_AP" vbProcedure="false">"c8982"</definedName>
    <definedName function="false" hidden="true" name="IQ_EBT_UTI" vbProcedure="false">"c390"</definedName>
    <definedName function="false" hidden="true" name="IQ_ECO_METRIC_6825_UNUSED" vbProcedure="false">"c6825"</definedName>
    <definedName function="false" hidden="true" name="IQ_ECO_METRIC_6839_UNUSED" vbProcedure="false">"c6839"</definedName>
    <definedName function="false" hidden="true" name="IQ_ECO_METRIC_6896_UNUSED" vbProcedure="false">"c6896"</definedName>
    <definedName function="false" hidden="true" name="IQ_ECO_METRIC_6897_UNUSED" vbProcedure="false">"c6897"</definedName>
    <definedName function="false" hidden="true" name="IQ_ECO_METRIC_6927" vbProcedure="false">"c6927"</definedName>
    <definedName function="false" hidden="true" name="IQ_ECO_METRIC_6988_UNUSED" vbProcedure="false">"c6988"</definedName>
    <definedName function="false" hidden="true" name="IQ_ECO_METRIC_7045_UNUSED" vbProcedure="false">"c7045"</definedName>
    <definedName function="false" hidden="true" name="IQ_ECO_METRIC_7059_UNUSED" vbProcedure="false">"c7059"</definedName>
    <definedName function="false" hidden="true" name="IQ_ECO_METRIC_7116_UNUSED" vbProcedure="false">"c7116"</definedName>
    <definedName function="false" hidden="true" name="IQ_ECO_METRIC_7117_UNUSED" vbProcedure="false">"c7117"</definedName>
    <definedName function="false" hidden="true" name="IQ_ECO_METRIC_7147" vbProcedure="false">"c7147"</definedName>
    <definedName function="false" hidden="true" name="IQ_ECO_METRIC_7208_UNUSED" vbProcedure="false">"c7208"</definedName>
    <definedName function="false" hidden="true" name="IQ_ECO_METRIC_7265_UNUSED" vbProcedure="false">"c7265"</definedName>
    <definedName function="false" hidden="true" name="IQ_ECO_METRIC_7279_UNUSED" vbProcedure="false">"c7279"</definedName>
    <definedName function="false" hidden="true" name="IQ_ECO_METRIC_7336_UNUSED" vbProcedure="false">"c7336"</definedName>
    <definedName function="false" hidden="true" name="IQ_ECO_METRIC_7337_UNUSED" vbProcedure="false">"c7337"</definedName>
    <definedName function="false" hidden="true" name="IQ_ECO_METRIC_7367" vbProcedure="false">"c7367"</definedName>
    <definedName function="false" hidden="true" name="IQ_ECO_METRIC_7428_UNUSED" vbProcedure="false">"c7428"</definedName>
    <definedName function="false" hidden="true" name="IQ_ECO_METRIC_7556_UNUSED" vbProcedure="false">"c7556"</definedName>
    <definedName function="false" hidden="true" name="IQ_ECO_METRIC_7557_UNUSED" vbProcedure="false">"c7557"</definedName>
    <definedName function="false" hidden="true" name="IQ_ECO_METRIC_7587" vbProcedure="false">"c7587"</definedName>
    <definedName function="false" hidden="true" name="IQ_ECO_METRIC_7648_UNUSED" vbProcedure="false">"c7648"</definedName>
    <definedName function="false" hidden="true" name="IQ_ECO_METRIC_7704" vbProcedure="false">"c7704"</definedName>
    <definedName function="false" hidden="true" name="IQ_ECO_METRIC_7705_UNUSED" vbProcedure="false">"c7705"</definedName>
    <definedName function="false" hidden="true" name="IQ_ECO_METRIC_7706" vbProcedure="false">"c7706"</definedName>
    <definedName function="false" hidden="true" name="IQ_ECO_METRIC_7718" vbProcedure="false">"c7718"</definedName>
    <definedName function="false" hidden="true" name="IQ_ECO_METRIC_7719_UNUSED" vbProcedure="false">"c7719"</definedName>
    <definedName function="false" hidden="true" name="IQ_ECO_METRIC_7776_UNUSED" vbProcedure="false">"c7776"</definedName>
    <definedName function="false" hidden="true" name="IQ_ECO_METRIC_7777_UNUSED" vbProcedure="false">"c7777"</definedName>
    <definedName function="false" hidden="true" name="IQ_ECO_METRIC_7807" vbProcedure="false">"c7807"</definedName>
    <definedName function="false" hidden="true" name="IQ_ECO_METRIC_7811" vbProcedure="false">"c7811"</definedName>
    <definedName function="false" hidden="true" name="IQ_ECO_METRIC_7868_UNUSED" vbProcedure="false">"c7868"</definedName>
    <definedName function="false" hidden="true" name="IQ_ECO_METRIC_7873" vbProcedure="false">"c7873"</definedName>
    <definedName function="false" hidden="true" name="IQ_ECO_METRIC_7924" vbProcedure="false">"c7924"</definedName>
    <definedName function="false" hidden="true" name="IQ_ECO_METRIC_7925_UNUSED" vbProcedure="false">"c7925"</definedName>
    <definedName function="false" hidden="true" name="IQ_ECO_METRIC_7926" vbProcedure="false">"c7926"</definedName>
    <definedName function="false" hidden="true" name="IQ_ECO_METRIC_7938" vbProcedure="false">"c7938"</definedName>
    <definedName function="false" hidden="true" name="IQ_ECO_METRIC_7939_UNUSED" vbProcedure="false">"c7939"</definedName>
    <definedName function="false" hidden="true" name="IQ_ECO_METRIC_7996_UNUSED" vbProcedure="false">"c7996"</definedName>
    <definedName function="false" hidden="true" name="IQ_ECO_METRIC_7997_UNUSED" vbProcedure="false">"c7997"</definedName>
    <definedName function="false" hidden="true" name="IQ_ECO_METRIC_8027" vbProcedure="false">"c8027"</definedName>
    <definedName function="false" hidden="true" name="IQ_ECO_METRIC_8031" vbProcedure="false">"c8031"</definedName>
    <definedName function="false" hidden="true" name="IQ_ECO_METRIC_8088_UNUSED" vbProcedure="false">"c8088"</definedName>
    <definedName function="false" hidden="true" name="IQ_ECO_METRIC_8093" vbProcedure="false">"c8093"</definedName>
    <definedName function="false" hidden="true" name="IQ_ECO_METRIC_8144" vbProcedure="false">"c8144"</definedName>
    <definedName function="false" hidden="true" name="IQ_ECO_METRIC_8145_UNUSED" vbProcedure="false">"c8145"</definedName>
    <definedName function="false" hidden="true" name="IQ_ECO_METRIC_8146" vbProcedure="false">"c8146"</definedName>
    <definedName function="false" hidden="true" name="IQ_ECO_METRIC_8158" vbProcedure="false">"c8158"</definedName>
    <definedName function="false" hidden="true" name="IQ_ECO_METRIC_8159_UNUSED" vbProcedure="false">"c8159"</definedName>
    <definedName function="false" hidden="true" name="IQ_ECO_METRIC_8216_UNUSED" vbProcedure="false">"c8216"</definedName>
    <definedName function="false" hidden="true" name="IQ_ECO_METRIC_8217_UNUSED" vbProcedure="false">"c8217"</definedName>
    <definedName function="false" hidden="true" name="IQ_ECO_METRIC_8247" vbProcedure="false">"c8247"</definedName>
    <definedName function="false" hidden="true" name="IQ_ECO_METRIC_8251" vbProcedure="false">"c8251"</definedName>
    <definedName function="false" hidden="true" name="IQ_ECO_METRIC_8308_UNUSED" vbProcedure="false">"c8308"</definedName>
    <definedName function="false" hidden="true" name="IQ_ECO_METRIC_8313" vbProcedure="false">"c8313"</definedName>
    <definedName function="false" hidden="true" name="IQ_ECO_METRIC_8366" vbProcedure="false">"c8366"</definedName>
    <definedName function="false" hidden="true" name="IQ_ECO_METRIC_8378" vbProcedure="false">"c8378"</definedName>
    <definedName function="false" hidden="true" name="IQ_ECO_METRIC_8436_UNUSED" vbProcedure="false">"c8436"</definedName>
    <definedName function="false" hidden="true" name="IQ_ECO_METRIC_8437_UNUSED" vbProcedure="false">"c8437"</definedName>
    <definedName function="false" hidden="true" name="IQ_ECO_METRIC_8467" vbProcedure="false">"c8467"</definedName>
    <definedName function="false" hidden="true" name="IQ_ECO_METRIC_8471" vbProcedure="false">"c8471"</definedName>
    <definedName function="false" hidden="true" name="IQ_ECO_METRIC_8528_UNUSED" vbProcedure="false">"c8528"</definedName>
    <definedName function="false" hidden="true" name="IQ_ECO_METRIC_8533" vbProcedure="false">"c8533"</definedName>
    <definedName function="false" hidden="true" name="IQ_ECS_AUTHORIZED_SHARES" vbProcedure="false">"c5583"</definedName>
    <definedName function="false" hidden="true" name="IQ_ECS_AUTHORIZED_SHARES_ABS" vbProcedure="false">"c5597"</definedName>
    <definedName function="false" hidden="true" name="IQ_ECS_AUTHORIZED_SHARES_OTHER" vbProcedure="false">"c15613"</definedName>
    <definedName function="false" hidden="true" name="IQ_ECS_AUTHORIZED_SHARES_OTHER_ABS" vbProcedure="false">"c15630"</definedName>
    <definedName function="false" hidden="true" name="IQ_ECS_CONVERT_FACTOR" vbProcedure="false">"c5581"</definedName>
    <definedName function="false" hidden="true" name="IQ_ECS_CONVERT_FACTOR_ABS" vbProcedure="false">"c5595"</definedName>
    <definedName function="false" hidden="true" name="IQ_ECS_CONVERT_FACTOR_OTHER" vbProcedure="false">"c15611"</definedName>
    <definedName function="false" hidden="true" name="IQ_ECS_CONVERT_FACTOR_OTHER_ABS" vbProcedure="false">"c15628"</definedName>
    <definedName function="false" hidden="true" name="IQ_ECS_CONVERT_INTO" vbProcedure="false">"c5580"</definedName>
    <definedName function="false" hidden="true" name="IQ_ECS_CONVERT_INTO_ABS" vbProcedure="false">"c5594"</definedName>
    <definedName function="false" hidden="true" name="IQ_ECS_CONVERT_INTO_OTHER" vbProcedure="false">"c15610"</definedName>
    <definedName function="false" hidden="true" name="IQ_ECS_CONVERT_INTO_OTHER_ABS" vbProcedure="false">"c15627"</definedName>
    <definedName function="false" hidden="true" name="IQ_ECS_CONVERT_PRIMARY_FACTOR" vbProcedure="false">"c15592"</definedName>
    <definedName function="false" hidden="true" name="IQ_ECS_CONVERT_PRIMARY_FACTOR_ABS" vbProcedure="false">"c15596"</definedName>
    <definedName function="false" hidden="true" name="IQ_ECS_CONVERT_TYPE" vbProcedure="false">"c5579"</definedName>
    <definedName function="false" hidden="true" name="IQ_ECS_CONVERT_TYPE_ABS" vbProcedure="false">"c5593"</definedName>
    <definedName function="false" hidden="true" name="IQ_ECS_CONVERT_TYPE_OTHER" vbProcedure="false">"c15609"</definedName>
    <definedName function="false" hidden="true" name="IQ_ECS_CONVERT_TYPE_OTHER_ABS" vbProcedure="false">"c15626"</definedName>
    <definedName function="false" hidden="true" name="IQ_ECS_INACTIVE_DATE" vbProcedure="false">"c5576"</definedName>
    <definedName function="false" hidden="true" name="IQ_ECS_INACTIVE_DATE_ABS" vbProcedure="false">"c5590"</definedName>
    <definedName function="false" hidden="true" name="IQ_ECS_INACTIVE_DATE_OTHER" vbProcedure="false">"c15606"</definedName>
    <definedName function="false" hidden="true" name="IQ_ECS_INACTIVE_DATE_OTHER_ABS" vbProcedure="false">"c15623"</definedName>
    <definedName function="false" hidden="true" name="IQ_ECS_NAME" vbProcedure="false">"c5571"</definedName>
    <definedName function="false" hidden="true" name="IQ_ECS_NAME_ABS" vbProcedure="false">"c5585"</definedName>
    <definedName function="false" hidden="true" name="IQ_ECS_NAME_OTHER" vbProcedure="false">"c15599"</definedName>
    <definedName function="false" hidden="true" name="IQ_ECS_NAME_OTHER_ABS" vbProcedure="false">"c15616"</definedName>
    <definedName function="false" hidden="true" name="IQ_ECS_NUM_SHAREHOLDERS" vbProcedure="false">"c5584"</definedName>
    <definedName function="false" hidden="true" name="IQ_ECS_NUM_SHAREHOLDERS_ABS" vbProcedure="false">"c5598"</definedName>
    <definedName function="false" hidden="true" name="IQ_ECS_NUM_SHAREHOLDERS_OTHER" vbProcedure="false">"c15615"</definedName>
    <definedName function="false" hidden="true" name="IQ_ECS_NUM_SHAREHOLDERS_OTHER_ABS" vbProcedure="false">"c15632"</definedName>
    <definedName function="false" hidden="true" name="IQ_ECS_PARTICIPATE_FLAG" vbProcedure="false">"c15591"</definedName>
    <definedName function="false" hidden="true" name="IQ_ECS_PARTICIPATE_FLAG_ABS" vbProcedure="false">"c15595"</definedName>
    <definedName function="false" hidden="true" name="IQ_ECS_PARTICIPATE_FLAG_OTHER" vbProcedure="false">"c15614"</definedName>
    <definedName function="false" hidden="true" name="IQ_ECS_PARTICIPATE_FLAG_OTHER_ABS" vbProcedure="false">"c15631"</definedName>
    <definedName function="false" hidden="true" name="IQ_ECS_PAR_VALUE" vbProcedure="false">"c5577"</definedName>
    <definedName function="false" hidden="true" name="IQ_ECS_PAR_VALUE_ABS" vbProcedure="false">"c5591"</definedName>
    <definedName function="false" hidden="true" name="IQ_ECS_PAR_VALUE_CURRENCY" vbProcedure="false">"c5578"</definedName>
    <definedName function="false" hidden="true" name="IQ_ECS_PAR_VALUE_CURRENCY_ABS" vbProcedure="false">"c5592"</definedName>
    <definedName function="false" hidden="true" name="IQ_ECS_PAR_VALUE_CURRENCY_OTHER" vbProcedure="false">"c15608"</definedName>
    <definedName function="false" hidden="true" name="IQ_ECS_PAR_VALUE_CURRENCY_OTHER_ABS" vbProcedure="false">"c15625"</definedName>
    <definedName function="false" hidden="true" name="IQ_ECS_PAR_VALUE_OTHER" vbProcedure="false">"c15607"</definedName>
    <definedName function="false" hidden="true" name="IQ_ECS_PAR_VALUE_OTHER_ABS" vbProcedure="false">"c15624"</definedName>
    <definedName function="false" hidden="true" name="IQ_ECS_SHARES_OUT_BS_DATE" vbProcedure="false">"c5572"</definedName>
    <definedName function="false" hidden="true" name="IQ_ECS_SHARES_OUT_BS_DATE_ABS" vbProcedure="false">"c5586"</definedName>
    <definedName function="false" hidden="true" name="IQ_ECS_SHARES_OUT_BS_DATE_OTHER" vbProcedure="false">"c15600"</definedName>
    <definedName function="false" hidden="true" name="IQ_ECS_SHARES_OUT_BS_DATE_OTHER_ABS" vbProcedure="false">"c15617"</definedName>
    <definedName function="false" hidden="true" name="IQ_ECS_SHARES_OUT_FILING_DATE" vbProcedure="false">"c5573"</definedName>
    <definedName function="false" hidden="true" name="IQ_ECS_SHARES_OUT_FILING_DATE_ABS" vbProcedure="false">"c5587"</definedName>
    <definedName function="false" hidden="true" name="IQ_ECS_SHARES_OUT_FILING_DATE_OTHER" vbProcedure="false">"c15601"</definedName>
    <definedName function="false" hidden="true" name="IQ_ECS_SHARES_OUT_FILING_DATE_OTHER_ABS" vbProcedure="false">"c15618"</definedName>
    <definedName function="false" hidden="true" name="IQ_ECS_START_DATE" vbProcedure="false">"c5575"</definedName>
    <definedName function="false" hidden="true" name="IQ_ECS_START_DATE_ABS" vbProcedure="false">"c5589"</definedName>
    <definedName function="false" hidden="true" name="IQ_ECS_START_DATE_OTHER" vbProcedure="false">"c15605"</definedName>
    <definedName function="false" hidden="true" name="IQ_ECS_START_DATE_OTHER_ABS" vbProcedure="false">"c15622"</definedName>
    <definedName function="false" hidden="true" name="IQ_ECS_TICKER" vbProcedure="false">"c15594"</definedName>
    <definedName function="false" hidden="true" name="IQ_ECS_TICKER_ABS" vbProcedure="false">"c15598"</definedName>
    <definedName function="false" hidden="true" name="IQ_ECS_TICKER_OTHER" vbProcedure="false">"c15603"</definedName>
    <definedName function="false" hidden="true" name="IQ_ECS_TICKER_OTHER_ABS" vbProcedure="false">"c15620"</definedName>
    <definedName function="false" hidden="true" name="IQ_ECS_TRADING_ITEM_CIQID" vbProcedure="false">"c15593"</definedName>
    <definedName function="false" hidden="true" name="IQ_ECS_TRADING_ITEM_CIQID_ABS" vbProcedure="false">"c15597"</definedName>
    <definedName function="false" hidden="true" name="IQ_ECS_TRADING_ITEM_CIQID_OTHER" vbProcedure="false">"c15602"</definedName>
    <definedName function="false" hidden="true" name="IQ_ECS_TRADING_ITEM_CIQID_OTHER_ABS" vbProcedure="false">"c15619"</definedName>
    <definedName function="false" hidden="true" name="IQ_ECS_TYPE" vbProcedure="false">"c5574"</definedName>
    <definedName function="false" hidden="true" name="IQ_ECS_TYPE_ABS" vbProcedure="false">"c5588"</definedName>
    <definedName function="false" hidden="true" name="IQ_ECS_TYPE_OTHER" vbProcedure="false">"c15604"</definedName>
    <definedName function="false" hidden="true" name="IQ_ECS_TYPE_OTHER_ABS" vbProcedure="false">"c15621"</definedName>
    <definedName function="false" hidden="true" name="IQ_ECS_VOTING" vbProcedure="false">"c5582"</definedName>
    <definedName function="false" hidden="true" name="IQ_ECS_VOTING_ABS" vbProcedure="false">"c5596"</definedName>
    <definedName function="false" hidden="true" name="IQ_ECS_VOTING_OTHER" vbProcedure="false">"c15612"</definedName>
    <definedName function="false" hidden="true" name="IQ_ECS_VOTING_OTHER_ABS" vbProcedure="false">"c15629"</definedName>
    <definedName function="false" hidden="true" name="IQ_EFFECTIVE_DATE" vbProcedure="false">"c8966"</definedName>
    <definedName function="false" hidden="true" name="IQ_EFFECT_SPECIAL_CHARGE" vbProcedure="false">"c1595"</definedName>
    <definedName function="false" hidden="true" name="IQ_EFFECT_TAX_RATE" vbProcedure="false">"c1899"</definedName>
    <definedName function="false" hidden="true" name="IQ_EFFICIENCY_RATIO" vbProcedure="false">"c391"</definedName>
    <definedName function="false" hidden="true" name="IQ_EFFICIENCY_RATIO_FDIC" vbProcedure="false">"c6736"</definedName>
    <definedName function="false" hidden="true" name="IQ_ELIMINATIONS_CONSOL_OFFICES_FOREIGN_FFIEC" vbProcedure="false">"c15395"</definedName>
    <definedName function="false" hidden="true" name="IQ_EMBEDDED_VAL_COVERED" vbProcedure="false">"c9962"</definedName>
    <definedName function="false" hidden="true" name="IQ_EMBEDDED_VAL_COVERED_BEG" vbProcedure="false">"c9957"</definedName>
    <definedName function="false" hidden="true" name="IQ_EMBEDDED_VAL_GROUP" vbProcedure="false">"c9948"</definedName>
    <definedName function="false" hidden="true" name="IQ_EMBEDDED_VAL_GROUP_BEG" vbProcedure="false">"c9943"</definedName>
    <definedName function="false" hidden="true" name="IQ_EMPLOYEES" vbProcedure="false">"c392"</definedName>
    <definedName function="false" hidden="true" name="IQ_EMPLOYEES_FFIEC" vbProcedure="false">"c13035"</definedName>
    <definedName function="false" hidden="true" name="IQ_EMPLOYEES_UNDER_UNION_CONTRACTS" vbProcedure="false">"c16109"</definedName>
    <definedName function="false" hidden="true" name="IQ_EMPLOY_COST_INDEX_BENEFITS" vbProcedure="false">"c6857"</definedName>
    <definedName function="false" hidden="true" name="IQ_EMPLOY_COST_INDEX_BENEFITS_APR" vbProcedure="false">"c7517"</definedName>
    <definedName function="false" hidden="true" name="IQ_EMPLOY_COST_INDEX_BENEFITS_APR_FC" vbProcedure="false">"c8397"</definedName>
    <definedName function="false" hidden="true" name="IQ_EMPLOY_COST_INDEX_BENEFITS_FC" vbProcedure="false">"c7737"</definedName>
    <definedName function="false" hidden="true" name="IQ_EMPLOY_COST_INDEX_BENEFITS_POP" vbProcedure="false">"c7077"</definedName>
    <definedName function="false" hidden="true" name="IQ_EMPLOY_COST_INDEX_BENEFITS_POP_FC" vbProcedure="false">"c7957"</definedName>
    <definedName function="false" hidden="true" name="IQ_EMPLOY_COST_INDEX_BENEFITS_YOY" vbProcedure="false">"c7297"</definedName>
    <definedName function="false" hidden="true" name="IQ_EMPLOY_COST_INDEX_BENEFITS_YOY_FC" vbProcedure="false">"c8177"</definedName>
    <definedName function="false" hidden="true" name="IQ_EMPLOY_COST_INDEX_COMP" vbProcedure="false">"c6856"</definedName>
    <definedName function="false" hidden="true" name="IQ_EMPLOY_COST_INDEX_COMP_APR" vbProcedure="false">"c7516"</definedName>
    <definedName function="false" hidden="true" name="IQ_EMPLOY_COST_INDEX_COMP_APR_FC" vbProcedure="false">"c8396"</definedName>
    <definedName function="false" hidden="true" name="IQ_EMPLOY_COST_INDEX_COMP_FC" vbProcedure="false">"c7736"</definedName>
    <definedName function="false" hidden="true" name="IQ_EMPLOY_COST_INDEX_COMP_POP" vbProcedure="false">"c7076"</definedName>
    <definedName function="false" hidden="true" name="IQ_EMPLOY_COST_INDEX_COMP_POP_FC" vbProcedure="false">"c7956"</definedName>
    <definedName function="false" hidden="true" name="IQ_EMPLOY_COST_INDEX_COMP_YOY" vbProcedure="false">"c7296"</definedName>
    <definedName function="false" hidden="true" name="IQ_EMPLOY_COST_INDEX_COMP_YOY_FC" vbProcedure="false">"c8176"</definedName>
    <definedName function="false" hidden="true" name="IQ_EMPLOY_COST_INDEX_WAGE_SALARY" vbProcedure="false">"c6858"</definedName>
    <definedName function="false" hidden="true" name="IQ_EMPLOY_COST_INDEX_WAGE_SALARY_APR" vbProcedure="false">"c7518"</definedName>
    <definedName function="false" hidden="true" name="IQ_EMPLOY_COST_INDEX_WAGE_SALARY_APR_FC" vbProcedure="false">"c8398"</definedName>
    <definedName function="false" hidden="true" name="IQ_EMPLOY_COST_INDEX_WAGE_SALARY_FC" vbProcedure="false">"c7738"</definedName>
    <definedName function="false" hidden="true" name="IQ_EMPLOY_COST_INDEX_WAGE_SALARY_POP" vbProcedure="false">"c7078"</definedName>
    <definedName function="false" hidden="true" name="IQ_EMPLOY_COST_INDEX_WAGE_SALARY_POP_FC" vbProcedure="false">"c7958"</definedName>
    <definedName function="false" hidden="true" name="IQ_EMPLOY_COST_INDEX_WAGE_SALARY_YOY" vbProcedure="false">"c7298"</definedName>
    <definedName function="false" hidden="true" name="IQ_EMPLOY_COST_INDEX_WAGE_SALARY_YOY_FC" vbProcedure="false">"c8178"</definedName>
    <definedName function="false" hidden="true" name="IQ_ENTERPRISE_VALUE" vbProcedure="false">"c1348"</definedName>
    <definedName function="false" hidden="true" name="IQ_ENTITLEMENT_DET_EST" vbProcedure="false">"c12044"</definedName>
    <definedName function="false" hidden="true" name="IQ_ENTITLEMENT_DET_EST_REUT" vbProcedure="false">"c12136"</definedName>
    <definedName function="false" hidden="true" name="IQ_ENTITLEMENT_DET_EST_THOM" vbProcedure="false">"c12072"</definedName>
    <definedName function="false" hidden="true" name="IQ_ENTREPRENEURAL_PROPERTY_INC" vbProcedure="false">"c6859"</definedName>
    <definedName function="false" hidden="true" name="IQ_ENTREPRENEURAL_PROPERTY_INC_APR" vbProcedure="false">"c7519"</definedName>
    <definedName function="false" hidden="true" name="IQ_ENTREPRENEURAL_PROPERTY_INC_APR_FC" vbProcedure="false">"c8399"</definedName>
    <definedName function="false" hidden="true" name="IQ_ENTREPRENEURAL_PROPERTY_INC_FC" vbProcedure="false">"c7739"</definedName>
    <definedName function="false" hidden="true" name="IQ_ENTREPRENEURAL_PROPERTY_INC_POP" vbProcedure="false">"c7079"</definedName>
    <definedName function="false" hidden="true" name="IQ_ENTREPRENEURAL_PROPERTY_INC_POP_FC" vbProcedure="false">"c7959"</definedName>
    <definedName function="false" hidden="true" name="IQ_ENTREPRENEURAL_PROPERTY_INC_YOY" vbProcedure="false">"c7299"</definedName>
    <definedName function="false" hidden="true" name="IQ_ENTREPRENEURAL_PROPERTY_INC_YOY_FC" vbProcedure="false">"c8179"</definedName>
    <definedName function="false" hidden="true" name="IQ_EPS" vbProcedure="false">"IQ_EPS"</definedName>
    <definedName function="false" hidden="true" name="IQ_EPS_10K" vbProcedure="false">"IQ_EPS_10K"</definedName>
    <definedName function="false" hidden="true" name="IQ_EPS_10Q" vbProcedure="false">"IQ_EPS_10Q"</definedName>
    <definedName function="false" hidden="true" name="IQ_EPS_10Q1" vbProcedure="false">"IQ_EPS_10Q1"</definedName>
    <definedName function="false" hidden="true" name="IQ_EPS_10YR_ANN_CAGR" vbProcedure="false">"c6085"</definedName>
    <definedName function="false" hidden="true" name="IQ_EPS_10YR_ANN_GROWTH" vbProcedure="false">"c393"</definedName>
    <definedName function="false" hidden="true" name="IQ_EPS_1YR_ANN_GROWTH" vbProcedure="false">"c394"</definedName>
    <definedName function="false" hidden="true" name="IQ_EPS_2YR_ANN_CAGR" vbProcedure="false">"c6086"</definedName>
    <definedName function="false" hidden="true" name="IQ_EPS_2YR_ANN_GROWTH" vbProcedure="false">"c395"</definedName>
    <definedName function="false" hidden="true" name="IQ_EPS_3YR_ANN_CAGR" vbProcedure="false">"c6087"</definedName>
    <definedName function="false" hidden="true" name="IQ_EPS_3YR_ANN_GROWTH" vbProcedure="false">"c396"</definedName>
    <definedName function="false" hidden="true" name="IQ_EPS_5YR_ANN_CAGR" vbProcedure="false">"c6088"</definedName>
    <definedName function="false" hidden="true" name="IQ_EPS_5YR_ANN_GROWTH" vbProcedure="false">"c397"</definedName>
    <definedName function="false" hidden="true" name="IQ_EPS_7YR_ANN_CAGR" vbProcedure="false">"c6089"</definedName>
    <definedName function="false" hidden="true" name="IQ_EPS_7YR_ANN_GROWTH" vbProcedure="false">"c398"</definedName>
    <definedName function="false" hidden="true" name="IQ_EPS_ACT_OR_EST" vbProcedure="false">"c2213"</definedName>
    <definedName function="false" hidden="true" name="IQ_EPS_ACT_OR_EST_CIQ" vbProcedure="false">"c5058"</definedName>
    <definedName function="false" hidden="true" name="IQ_EPS_ACT_OR_EST_REUT" vbProcedure="false">"c5460"</definedName>
    <definedName function="false" hidden="true" name="IQ_EPS_ACT_OR_EST_THOM" vbProcedure="false">"c5298"</definedName>
    <definedName function="false" hidden="true" name="IQ_EPS_AP" vbProcedure="false">"c8880"</definedName>
    <definedName function="false" hidden="true" name="IQ_EPS_AP_ABS" vbProcedure="false">"c8899"</definedName>
    <definedName function="false" hidden="true" name="IQ_EPS_DET_EST" vbProcedure="false">"c13571"</definedName>
    <definedName function="false" hidden="true" name="IQ_EPS_DET_EST_CURRENCY" vbProcedure="false">"c13583"</definedName>
    <definedName function="false" hidden="true" name="IQ_EPS_DET_EST_CURRENCY_REUT" vbProcedure="false">"c13584"</definedName>
    <definedName function="false" hidden="true" name="IQ_EPS_DET_EST_CURRENCY_THOM" vbProcedure="false">"c12484"</definedName>
    <definedName function="false" hidden="true" name="IQ_EPS_DET_EST_DATE" vbProcedure="false">"c13575"</definedName>
    <definedName function="false" hidden="true" name="IQ_EPS_DET_EST_DATE_REUT" vbProcedure="false">"c13576"</definedName>
    <definedName function="false" hidden="true" name="IQ_EPS_DET_EST_DATE_THOM" vbProcedure="false">"c12235"</definedName>
    <definedName function="false" hidden="true" name="IQ_EPS_DET_EST_INCL" vbProcedure="false">"c13587"</definedName>
    <definedName function="false" hidden="true" name="IQ_EPS_DET_EST_INCL_REUT" vbProcedure="false">"c13588"</definedName>
    <definedName function="false" hidden="true" name="IQ_EPS_DET_EST_INCL_THOM" vbProcedure="false">"c12367"</definedName>
    <definedName function="false" hidden="true" name="IQ_EPS_DET_EST_ORIGIN" vbProcedure="false">"c13579"</definedName>
    <definedName function="false" hidden="true" name="IQ_EPS_DET_EST_ORIGIN_REUT" vbProcedure="false">"c13580"</definedName>
    <definedName function="false" hidden="true" name="IQ_EPS_DET_EST_ORIGIN_THOM" vbProcedure="false">"c12605"</definedName>
    <definedName function="false" hidden="true" name="IQ_EPS_DET_EST_REUT" vbProcedure="false">"c13572"</definedName>
    <definedName function="false" hidden="true" name="IQ_EPS_DET_EST_THOM" vbProcedure="false">"c12085"</definedName>
    <definedName function="false" hidden="true" name="IQ_EPS_EST" vbProcedure="false">"c399"</definedName>
    <definedName function="false" hidden="true" name="IQ_EPS_EST_1" vbProcedure="false">"IQ_EPS_EST_1"</definedName>
    <definedName function="false" hidden="true" name="IQ_EPS_EST_BOTTOM_UP" vbProcedure="false">"c5489"</definedName>
    <definedName function="false" hidden="true" name="IQ_EPS_EST_BOTTOM_UP_CIQ" vbProcedure="false">"c12026"</definedName>
    <definedName function="false" hidden="true" name="IQ_EPS_EST_BOTTOM_UP_REUT" vbProcedure="false">"c5497"</definedName>
    <definedName function="false" hidden="true" name="IQ_EPS_EST_BOTTOM_UP_THOM" vbProcedure="false">"c5647"</definedName>
    <definedName function="false" hidden="true" name="IQ_EPS_EST_CIQ" vbProcedure="false">"c4994"</definedName>
    <definedName function="false" hidden="true" name="IQ_EPS_EST_REUT" vbProcedure="false">"c5453"</definedName>
    <definedName function="false" hidden="true" name="IQ_EPS_EST_THOM" vbProcedure="false">"c5290"</definedName>
    <definedName function="false" hidden="true" name="IQ_EPS_EXCL_GUIDANCE" vbProcedure="false">"c4368"</definedName>
    <definedName function="false" hidden="true" name="IQ_EPS_EXCL_GUIDANCE_CIQ" vbProcedure="false">"c4893"</definedName>
    <definedName function="false" hidden="true" name="IQ_EPS_EXCL_GUIDANCE_CIQ_COL" vbProcedure="false">"c11540"</definedName>
    <definedName function="false" hidden="true" name="IQ_EPS_EXCL_HIGH_GUIDANCE" vbProcedure="false">"c4369"</definedName>
    <definedName function="false" hidden="true" name="IQ_EPS_EXCL_HIGH_GUIDANCE_CIQ" vbProcedure="false">"c4894"</definedName>
    <definedName function="false" hidden="true" name="IQ_EPS_EXCL_HIGH_GUIDANCE_CIQ_COL" vbProcedure="false">"c11541"</definedName>
    <definedName function="false" hidden="true" name="IQ_EPS_EXCL_LOW_GUIDANCE" vbProcedure="false">"c4204"</definedName>
    <definedName function="false" hidden="true" name="IQ_EPS_EXCL_LOW_GUIDANCE_CIQ" vbProcedure="false">"c4616"</definedName>
    <definedName function="false" hidden="true" name="IQ_EPS_EXCL_LOW_GUIDANCE_CIQ_COL" vbProcedure="false">"c11265"</definedName>
    <definedName function="false" hidden="true" name="IQ_EPS_GAAP_GUIDANCE" vbProcedure="false">"c4370"</definedName>
    <definedName function="false" hidden="true" name="IQ_EPS_GAAP_GUIDANCE_CIQ" vbProcedure="false">"c4895"</definedName>
    <definedName function="false" hidden="true" name="IQ_EPS_GAAP_GUIDANCE_CIQ_COL" vbProcedure="false">"c11542"</definedName>
    <definedName function="false" hidden="true" name="IQ_EPS_GAAP_HIGH_GUIDANCE" vbProcedure="false">"c4371"</definedName>
    <definedName function="false" hidden="true" name="IQ_EPS_GAAP_HIGH_GUIDANCE_CIQ" vbProcedure="false">"c4896"</definedName>
    <definedName function="false" hidden="true" name="IQ_EPS_GAAP_HIGH_GUIDANCE_CIQ_COL" vbProcedure="false">"c11543"</definedName>
    <definedName function="false" hidden="true" name="IQ_EPS_GAAP_LOW_GUIDANCE" vbProcedure="false">"c4205"</definedName>
    <definedName function="false" hidden="true" name="IQ_EPS_GAAP_LOW_GUIDANCE_CIQ" vbProcedure="false">"c4617"</definedName>
    <definedName function="false" hidden="true" name="IQ_EPS_GAAP_LOW_GUIDANCE_CIQ_COL" vbProcedure="false">"c11266"</definedName>
    <definedName function="false" hidden="true" name="IQ_EPS_GROWTH_GUIDANCE_CIQ" vbProcedure="false">"c32283"</definedName>
    <definedName function="false" hidden="true" name="IQ_EPS_GROWTH_GUIDANCE_CIQ_COL" vbProcedure="false">"c32286"</definedName>
    <definedName function="false" hidden="true" name="IQ_EPS_GROWTH_HIGH_GUIDANCE_CIQ" vbProcedure="false">"c32284"</definedName>
    <definedName function="false" hidden="true" name="IQ_EPS_GROWTH_HIGH_GUIDANCE_CIQ_COL" vbProcedure="false">"c32287"</definedName>
    <definedName function="false" hidden="true" name="IQ_EPS_GROWTH_LOW_GUIDANCE_CIQ" vbProcedure="false">"c32285"</definedName>
    <definedName function="false" hidden="true" name="IQ_EPS_GROWTH_LOW_GUIDANCE_CIQ_COL" vbProcedure="false">"c32288"</definedName>
    <definedName function="false" hidden="true" name="IQ_EPS_GW_ACT_OR_EST" vbProcedure="false">"c2223"</definedName>
    <definedName function="false" hidden="true" name="IQ_EPS_GW_ACT_OR_EST_CIQ" vbProcedure="false">"c5066"</definedName>
    <definedName function="false" hidden="true" name="IQ_EPS_GW_ACT_OR_EST_REUT" vbProcedure="false">"c5469"</definedName>
    <definedName function="false" hidden="true" name="IQ_EPS_GW_DET_EST" vbProcedure="false">"c12056"</definedName>
    <definedName function="false" hidden="true" name="IQ_EPS_GW_DET_EST_CURRENCY" vbProcedure="false">"c12463"</definedName>
    <definedName function="false" hidden="true" name="IQ_EPS_GW_DET_EST_CURRENCY_THOM" vbProcedure="false">"c12485"</definedName>
    <definedName function="false" hidden="true" name="IQ_EPS_GW_DET_EST_DATE" vbProcedure="false">"c12209"</definedName>
    <definedName function="false" hidden="true" name="IQ_EPS_GW_DET_EST_DATE_REUT" vbProcedure="false">"c12292"</definedName>
    <definedName function="false" hidden="true" name="IQ_EPS_GW_DET_EST_DATE_THOM" vbProcedure="false">"c12236"</definedName>
    <definedName function="false" hidden="true" name="IQ_EPS_GW_DET_EST_INCL" vbProcedure="false">"c12346"</definedName>
    <definedName function="false" hidden="true" name="IQ_EPS_GW_DET_EST_INCL_REUT" vbProcedure="false">"c12416"</definedName>
    <definedName function="false" hidden="true" name="IQ_EPS_GW_DET_EST_INCL_THOM" vbProcedure="false">"c12368"</definedName>
    <definedName function="false" hidden="true" name="IQ_EPS_GW_DET_EST_ORIGIN" vbProcedure="false">"c12582"</definedName>
    <definedName function="false" hidden="true" name="IQ_EPS_GW_DET_EST_ORIGIN_REUT" vbProcedure="false">"c12660"</definedName>
    <definedName function="false" hidden="true" name="IQ_EPS_GW_DET_EST_ORIGIN_THOM" vbProcedure="false">"c12606"</definedName>
    <definedName function="false" hidden="true" name="IQ_EPS_GW_DET_EST_REUT" vbProcedure="false">"c12150"</definedName>
    <definedName function="false" hidden="true" name="IQ_EPS_GW_DET_EST_REUT_CURRENCY_CURRENCY_REUT" vbProcedure="false">"c12533"</definedName>
    <definedName function="false" hidden="true" name="IQ_EPS_GW_DET_EST_THOM" vbProcedure="false">"c12086"</definedName>
    <definedName function="false" hidden="true" name="IQ_EPS_GW_EST" vbProcedure="false">"c1737"</definedName>
    <definedName function="false" hidden="true" name="IQ_EPS_GW_EST_BOTTOM_UP" vbProcedure="false">"c5491"</definedName>
    <definedName function="false" hidden="true" name="IQ_EPS_GW_EST_BOTTOM_UP_CIQ" vbProcedure="false">"c12028"</definedName>
    <definedName function="false" hidden="true" name="IQ_EPS_GW_EST_BOTTOM_UP_REUT" vbProcedure="false">"c5499"</definedName>
    <definedName function="false" hidden="true" name="IQ_EPS_GW_EST_CIQ" vbProcedure="false">"c4723"</definedName>
    <definedName function="false" hidden="true" name="IQ_EPS_GW_EST_REUT" vbProcedure="false">"c5389"</definedName>
    <definedName function="false" hidden="true" name="IQ_EPS_GW_EST_THOM" vbProcedure="false">"c5133"</definedName>
    <definedName function="false" hidden="true" name="IQ_EPS_GW_GUIDANCE" vbProcedure="false">"c4372"</definedName>
    <definedName function="false" hidden="true" name="IQ_EPS_GW_GUIDANCE_CIQ" vbProcedure="false">"c4897"</definedName>
    <definedName function="false" hidden="true" name="IQ_EPS_GW_GUIDANCE_CIQ_COL" vbProcedure="false">"c11544"</definedName>
    <definedName function="false" hidden="true" name="IQ_EPS_GW_HIGH_EST" vbProcedure="false">"c1739"</definedName>
    <definedName function="false" hidden="true" name="IQ_EPS_GW_HIGH_EST_CIQ" vbProcedure="false">"c4725"</definedName>
    <definedName function="false" hidden="true" name="IQ_EPS_GW_HIGH_EST_REUT" vbProcedure="false">"c5391"</definedName>
    <definedName function="false" hidden="true" name="IQ_EPS_GW_HIGH_EST_THOM" vbProcedure="false">"c5135"</definedName>
    <definedName function="false" hidden="true" name="IQ_EPS_GW_HIGH_GUIDANCE" vbProcedure="false">"c4373"</definedName>
    <definedName function="false" hidden="true" name="IQ_EPS_GW_HIGH_GUIDANCE_CIQ" vbProcedure="false">"c4898"</definedName>
    <definedName function="false" hidden="true" name="IQ_EPS_GW_HIGH_GUIDANCE_CIQ_COL" vbProcedure="false">"c11545"</definedName>
    <definedName function="false" hidden="true" name="IQ_EPS_GW_LOW_EST" vbProcedure="false">"c1740"</definedName>
    <definedName function="false" hidden="true" name="IQ_EPS_GW_LOW_EST_CIQ" vbProcedure="false">"c4726"</definedName>
    <definedName function="false" hidden="true" name="IQ_EPS_GW_LOW_EST_REUT" vbProcedure="false">"c5392"</definedName>
    <definedName function="false" hidden="true" name="IQ_EPS_GW_LOW_EST_THOM" vbProcedure="false">"c5136"</definedName>
    <definedName function="false" hidden="true" name="IQ_EPS_GW_LOW_GUIDANCE" vbProcedure="false">"c4206"</definedName>
    <definedName function="false" hidden="true" name="IQ_EPS_GW_LOW_GUIDANCE_CIQ" vbProcedure="false">"c4618"</definedName>
    <definedName function="false" hidden="true" name="IQ_EPS_GW_LOW_GUIDANCE_CIQ_COL" vbProcedure="false">"c11267"</definedName>
    <definedName function="false" hidden="true" name="IQ_EPS_GW_MEDIAN_EST" vbProcedure="false">"c1738"</definedName>
    <definedName function="false" hidden="true" name="IQ_EPS_GW_MEDIAN_EST_CIQ" vbProcedure="false">"c4724"</definedName>
    <definedName function="false" hidden="true" name="IQ_EPS_GW_MEDIAN_EST_REUT" vbProcedure="false">"c5390"</definedName>
    <definedName function="false" hidden="true" name="IQ_EPS_GW_MEDIAN_EST_THOM" vbProcedure="false">"c5134"</definedName>
    <definedName function="false" hidden="true" name="IQ_EPS_GW_NUM_EST" vbProcedure="false">"c1741"</definedName>
    <definedName function="false" hidden="true" name="IQ_EPS_GW_NUM_EST_CIQ" vbProcedure="false">"c4727"</definedName>
    <definedName function="false" hidden="true" name="IQ_EPS_GW_NUM_EST_REUT" vbProcedure="false">"c5393"</definedName>
    <definedName function="false" hidden="true" name="IQ_EPS_GW_NUM_EST_THOM" vbProcedure="false">"c5137"</definedName>
    <definedName function="false" hidden="true" name="IQ_EPS_GW_STDDEV_EST" vbProcedure="false">"c1742"</definedName>
    <definedName function="false" hidden="true" name="IQ_EPS_GW_STDDEV_EST_CIQ" vbProcedure="false">"c4728"</definedName>
    <definedName function="false" hidden="true" name="IQ_EPS_GW_STDDEV_EST_REUT" vbProcedure="false">"c5394"</definedName>
    <definedName function="false" hidden="true" name="IQ_EPS_GW_STDDEV_EST_THOM" vbProcedure="false">"c5138"</definedName>
    <definedName function="false" hidden="true" name="IQ_EPS_HIGH_EST" vbProcedure="false">"c400"</definedName>
    <definedName function="false" hidden="true" name="IQ_EPS_HIGH_EST_CIQ" vbProcedure="false">"c4995"</definedName>
    <definedName function="false" hidden="true" name="IQ_EPS_HIGH_EST_REUT" vbProcedure="false">"c5454"</definedName>
    <definedName function="false" hidden="true" name="IQ_EPS_HIGH_EST_THOM" vbProcedure="false">"c5291"</definedName>
    <definedName function="false" hidden="true" name="IQ_EPS_LOW_EST" vbProcedure="false">"c401"</definedName>
    <definedName function="false" hidden="true" name="IQ_EPS_LOW_EST_CIQ" vbProcedure="false">"c4996"</definedName>
    <definedName function="false" hidden="true" name="IQ_EPS_LOW_EST_REUT" vbProcedure="false">"c5455"</definedName>
    <definedName function="false" hidden="true" name="IQ_EPS_LOW_EST_THOM" vbProcedure="false">"c5292"</definedName>
    <definedName function="false" hidden="true" name="IQ_EPS_MEDIAN_EST" vbProcedure="false">"c1661"</definedName>
    <definedName function="false" hidden="true" name="IQ_EPS_MEDIAN_EST_CIQ" vbProcedure="false">"c4997"</definedName>
    <definedName function="false" hidden="true" name="IQ_EPS_MEDIAN_EST_REUT" vbProcedure="false">"c5456"</definedName>
    <definedName function="false" hidden="true" name="IQ_EPS_MEDIAN_EST_THOM" vbProcedure="false">"c5293"</definedName>
    <definedName function="false" hidden="true" name="IQ_EPS_NAME_AP" vbProcedure="false">"c8918"</definedName>
    <definedName function="false" hidden="true" name="IQ_EPS_NAME_AP_ABS" vbProcedure="false">"c8937"</definedName>
    <definedName function="false" hidden="true" name="IQ_EPS_NORM" vbProcedure="false">"c1902"</definedName>
    <definedName function="false" hidden="true" name="IQ_EPS_NORM_DET_EST" vbProcedure="false">"c12058"</definedName>
    <definedName function="false" hidden="true" name="IQ_EPS_NORM_DET_EST_CURRENCY" vbProcedure="false">"c12465"</definedName>
    <definedName function="false" hidden="true" name="IQ_EPS_NORM_DET_EST_CURRENCY_REUT" vbProcedure="false">"c12535"</definedName>
    <definedName function="false" hidden="true" name="IQ_EPS_NORM_DET_EST_DATE" vbProcedure="false">"c12211"</definedName>
    <definedName function="false" hidden="true" name="IQ_EPS_NORM_DET_EST_DATE_REUT" vbProcedure="false">"c12294"</definedName>
    <definedName function="false" hidden="true" name="IQ_EPS_NORM_DET_EST_INCL" vbProcedure="false">"c12348"</definedName>
    <definedName function="false" hidden="true" name="IQ_EPS_NORM_DET_EST_INCL_REUT" vbProcedure="false">"c12418"</definedName>
    <definedName function="false" hidden="true" name="IQ_EPS_NORM_DET_EST_ORIGIN" vbProcedure="false">"c12583"</definedName>
    <definedName function="false" hidden="true" name="IQ_EPS_NORM_DET_EST_ORIGIN_REUT" vbProcedure="false">"c12662"</definedName>
    <definedName function="false" hidden="true" name="IQ_EPS_NORM_DET_EST_ORIGIN_THOM" vbProcedure="false">"c12607"</definedName>
    <definedName function="false" hidden="true" name="IQ_EPS_NORM_DET_EST_REUT" vbProcedure="false">"c12152"</definedName>
    <definedName function="false" hidden="true" name="IQ_EPS_NORM_EST" vbProcedure="false">"c2226"</definedName>
    <definedName function="false" hidden="true" name="IQ_EPS_NORM_EST_BOTTOM_UP" vbProcedure="false">"c5490"</definedName>
    <definedName function="false" hidden="true" name="IQ_EPS_NORM_EST_BOTTOM_UP_CIQ" vbProcedure="false">"c12027"</definedName>
    <definedName function="false" hidden="true" name="IQ_EPS_NORM_EST_BOTTOM_UP_REUT" vbProcedure="false">"c5498"</definedName>
    <definedName function="false" hidden="true" name="IQ_EPS_NORM_EST_CIQ" vbProcedure="false">"c4667"</definedName>
    <definedName function="false" hidden="true" name="IQ_EPS_NORM_EST_REUT" vbProcedure="false">"c5326"</definedName>
    <definedName function="false" hidden="true" name="IQ_EPS_NORM_HIGH_EST" vbProcedure="false">"c2228"</definedName>
    <definedName function="false" hidden="true" name="IQ_EPS_NORM_HIGH_EST_CIQ" vbProcedure="false">"c4669"</definedName>
    <definedName function="false" hidden="true" name="IQ_EPS_NORM_HIGH_EST_REUT" vbProcedure="false">"c5328"</definedName>
    <definedName function="false" hidden="true" name="IQ_EPS_NORM_LOW_EST" vbProcedure="false">"c2229"</definedName>
    <definedName function="false" hidden="true" name="IQ_EPS_NORM_LOW_EST_CIQ" vbProcedure="false">"c4670"</definedName>
    <definedName function="false" hidden="true" name="IQ_EPS_NORM_LOW_EST_REUT" vbProcedure="false">"c5329"</definedName>
    <definedName function="false" hidden="true" name="IQ_EPS_NORM_MEDIAN_EST" vbProcedure="false">"c2227"</definedName>
    <definedName function="false" hidden="true" name="IQ_EPS_NORM_MEDIAN_EST_CIQ" vbProcedure="false">"c4668"</definedName>
    <definedName function="false" hidden="true" name="IQ_EPS_NORM_MEDIAN_EST_REUT" vbProcedure="false">"c5327"</definedName>
    <definedName function="false" hidden="true" name="IQ_EPS_NORM_NUM_EST" vbProcedure="false">"c2230"</definedName>
    <definedName function="false" hidden="true" name="IQ_EPS_NORM_NUM_EST_CIQ" vbProcedure="false">"c4671"</definedName>
    <definedName function="false" hidden="true" name="IQ_EPS_NORM_NUM_EST_REUT" vbProcedure="false">"c5330"</definedName>
    <definedName function="false" hidden="true" name="IQ_EPS_NORM_STDDEV_EST" vbProcedure="false">"c2231"</definedName>
    <definedName function="false" hidden="true" name="IQ_EPS_NORM_STDDEV_EST_CIQ" vbProcedure="false">"c4672"</definedName>
    <definedName function="false" hidden="true" name="IQ_EPS_NORM_STDDEV_EST_REUT" vbProcedure="false">"c5331"</definedName>
    <definedName function="false" hidden="true" name="IQ_EPS_NUM_EST" vbProcedure="false">"c402"</definedName>
    <definedName function="false" hidden="true" name="IQ_EPS_NUM_EST_CIQ" vbProcedure="false">"c4992"</definedName>
    <definedName function="false" hidden="true" name="IQ_EPS_NUM_EST_REUT" vbProcedure="false">"c5451"</definedName>
    <definedName function="false" hidden="true" name="IQ_EPS_NUM_EST_THOM" vbProcedure="false">"c5288"</definedName>
    <definedName function="false" hidden="true" name="IQ_EPS_REPORTED_DET_EST" vbProcedure="false">"c12057"</definedName>
    <definedName function="false" hidden="true" name="IQ_EPS_REPORTED_DET_EST_CURRENCY" vbProcedure="false">"c12464"</definedName>
    <definedName function="false" hidden="true" name="IQ_EPS_REPORTED_DET_EST_CURRENCY_REUT" vbProcedure="false">"c12534"</definedName>
    <definedName function="false" hidden="true" name="IQ_EPS_REPORTED_DET_EST_CURRENCY_THOM" vbProcedure="false">"c12486"</definedName>
    <definedName function="false" hidden="true" name="IQ_EPS_REPORTED_DET_EST_DATE" vbProcedure="false">"c12210"</definedName>
    <definedName function="false" hidden="true" name="IQ_EPS_REPORTED_DET_EST_DATE_REUT" vbProcedure="false">"c12293"</definedName>
    <definedName function="false" hidden="true" name="IQ_EPS_REPORTED_DET_EST_DATE_THOM" vbProcedure="false">"c12237"</definedName>
    <definedName function="false" hidden="true" name="IQ_EPS_REPORTED_DET_EST_INCL" vbProcedure="false">"c12347"</definedName>
    <definedName function="false" hidden="true" name="IQ_EPS_REPORTED_DET_EST_INCL_REUT" vbProcedure="false">"c12417"</definedName>
    <definedName function="false" hidden="true" name="IQ_EPS_REPORTED_DET_EST_INCL_THOM" vbProcedure="false">"c12369"</definedName>
    <definedName function="false" hidden="true" name="IQ_EPS_REPORTED_DET_EST_ORIGIN" vbProcedure="false">"c12772"</definedName>
    <definedName function="false" hidden="true" name="IQ_EPS_REPORTED_DET_EST_ORIGIN_REUT" vbProcedure="false">"c12661"</definedName>
    <definedName function="false" hidden="true" name="IQ_EPS_REPORTED_DET_EST_ORIGIN_THOM" vbProcedure="false">"c13511"</definedName>
    <definedName function="false" hidden="true" name="IQ_EPS_REPORTED_DET_EST_REUT" vbProcedure="false">"c12151"</definedName>
    <definedName function="false" hidden="true" name="IQ_EPS_REPORTED_DET_EST_THOM" vbProcedure="false">"c12087"</definedName>
    <definedName function="false" hidden="true" name="IQ_EPS_REPORTED_EST" vbProcedure="false">"c1744"</definedName>
    <definedName function="false" hidden="true" name="IQ_EPS_REPORTED_EST_BOTTOM_UP" vbProcedure="false">"c5492"</definedName>
    <definedName function="false" hidden="true" name="IQ_EPS_REPORTED_EST_BOTTOM_UP_CIQ" vbProcedure="false">"c12029"</definedName>
    <definedName function="false" hidden="true" name="IQ_EPS_REPORTED_EST_BOTTOM_UP_REUT" vbProcedure="false">"c5500"</definedName>
    <definedName function="false" hidden="true" name="IQ_EPS_REPORTED_EST_CIQ" vbProcedure="false">"c4730"</definedName>
    <definedName function="false" hidden="true" name="IQ_EPS_REPORTED_EST_REUT" vbProcedure="false">"c5396"</definedName>
    <definedName function="false" hidden="true" name="IQ_EPS_REPORTED_EST_THOM" vbProcedure="false">"c5140"</definedName>
    <definedName function="false" hidden="true" name="IQ_EPS_REPORTED_HIGH_EST" vbProcedure="false">"c1746"</definedName>
    <definedName function="false" hidden="true" name="IQ_EPS_REPORTED_HIGH_EST_CIQ" vbProcedure="false">"c4732"</definedName>
    <definedName function="false" hidden="true" name="IQ_EPS_REPORTED_HIGH_EST_REUT" vbProcedure="false">"c5398"</definedName>
    <definedName function="false" hidden="true" name="IQ_EPS_REPORTED_HIGH_EST_THOM" vbProcedure="false">"c5142"</definedName>
    <definedName function="false" hidden="true" name="IQ_EPS_REPORTED_LOW_EST" vbProcedure="false">"c1747"</definedName>
    <definedName function="false" hidden="true" name="IQ_EPS_REPORTED_LOW_EST_CIQ" vbProcedure="false">"c4733"</definedName>
    <definedName function="false" hidden="true" name="IQ_EPS_REPORTED_LOW_EST_REUT" vbProcedure="false">"c5399"</definedName>
    <definedName function="false" hidden="true" name="IQ_EPS_REPORTED_LOW_EST_THOM" vbProcedure="false">"c5143"</definedName>
    <definedName function="false" hidden="true" name="IQ_EPS_REPORTED_MEDIAN_EST" vbProcedure="false">"c1745"</definedName>
    <definedName function="false" hidden="true" name="IQ_EPS_REPORTED_MEDIAN_EST_CIQ" vbProcedure="false">"c4731"</definedName>
    <definedName function="false" hidden="true" name="IQ_EPS_REPORTED_MEDIAN_EST_REUT" vbProcedure="false">"c5397"</definedName>
    <definedName function="false" hidden="true" name="IQ_EPS_REPORTED_MEDIAN_EST_THOM" vbProcedure="false">"c5141"</definedName>
    <definedName function="false" hidden="true" name="IQ_EPS_REPORTED_NUM_EST" vbProcedure="false">"c1748"</definedName>
    <definedName function="false" hidden="true" name="IQ_EPS_REPORTED_NUM_EST_CIQ" vbProcedure="false">"c4734"</definedName>
    <definedName function="false" hidden="true" name="IQ_EPS_REPORTED_NUM_EST_REUT" vbProcedure="false">"c5400"</definedName>
    <definedName function="false" hidden="true" name="IQ_EPS_REPORTED_NUM_EST_THOM" vbProcedure="false">"c5144"</definedName>
    <definedName function="false" hidden="true" name="IQ_EPS_REPORTED_STDDEV_EST" vbProcedure="false">"c1749"</definedName>
    <definedName function="false" hidden="true" name="IQ_EPS_REPORTED_STDDEV_EST_CIQ" vbProcedure="false">"c4735"</definedName>
    <definedName function="false" hidden="true" name="IQ_EPS_REPORTED_STDDEV_EST_REUT" vbProcedure="false">"c5401"</definedName>
    <definedName function="false" hidden="true" name="IQ_EPS_REPORTED_STDDEV_EST_THOM" vbProcedure="false">"c5145"</definedName>
    <definedName function="false" hidden="true" name="IQ_EPS_REPORT_ACT_OR_EST" vbProcedure="false">"c2224"</definedName>
    <definedName function="false" hidden="true" name="IQ_EPS_REPORT_ACT_OR_EST_CIQ" vbProcedure="false">"c5067"</definedName>
    <definedName function="false" hidden="true" name="IQ_EPS_REPORT_ACT_OR_EST_REUT" vbProcedure="false">"c5470"</definedName>
    <definedName function="false" hidden="true" name="IQ_EPS_REPORT_ACT_OR_EST_THOM" vbProcedure="false">"c5307"</definedName>
    <definedName function="false" hidden="true" name="IQ_EPS_SBC_ACT_OR_EST" vbProcedure="false">"c4376"</definedName>
    <definedName function="false" hidden="true" name="IQ_EPS_SBC_ACT_OR_EST_CIQ" vbProcedure="false">"c4901"</definedName>
    <definedName function="false" hidden="true" name="IQ_EPS_SBC_EST" vbProcedure="false">"c4375"</definedName>
    <definedName function="false" hidden="true" name="IQ_EPS_SBC_GUIDANCE" vbProcedure="false">"c4377"</definedName>
    <definedName function="false" hidden="true" name="IQ_EPS_SBC_GUIDANCE_CIQ" vbProcedure="false">"c4902"</definedName>
    <definedName function="false" hidden="true" name="IQ_EPS_SBC_GUIDANCE_CIQ_COL" vbProcedure="false">"c11549"</definedName>
    <definedName function="false" hidden="true" name="IQ_EPS_SBC_GW_ACT_OR_EST" vbProcedure="false">"c4380"</definedName>
    <definedName function="false" hidden="true" name="IQ_EPS_SBC_GW_ACT_OR_EST_CIQ" vbProcedure="false">"c4905"</definedName>
    <definedName function="false" hidden="true" name="IQ_EPS_SBC_GW_EST" vbProcedure="false">"c4379"</definedName>
    <definedName function="false" hidden="true" name="IQ_EPS_SBC_GW_GUIDANCE" vbProcedure="false">"c4381"</definedName>
    <definedName function="false" hidden="true" name="IQ_EPS_SBC_GW_GUIDANCE_CIQ" vbProcedure="false">"c4906"</definedName>
    <definedName function="false" hidden="true" name="IQ_EPS_SBC_GW_GUIDANCE_CIQ_COL" vbProcedure="false">"c11553"</definedName>
    <definedName function="false" hidden="true" name="IQ_EPS_SBC_GW_HIGH_EST" vbProcedure="false">"c4382"</definedName>
    <definedName function="false" hidden="true" name="IQ_EPS_SBC_GW_HIGH_GUIDANCE" vbProcedure="false">"c4189"</definedName>
    <definedName function="false" hidden="true" name="IQ_EPS_SBC_GW_HIGH_GUIDANCE_CIQ" vbProcedure="false">"c4601"</definedName>
    <definedName function="false" hidden="true" name="IQ_EPS_SBC_GW_HIGH_GUIDANCE_CIQ_COL" vbProcedure="false">"c11250"</definedName>
    <definedName function="false" hidden="true" name="IQ_EPS_SBC_GW_LOW_EST" vbProcedure="false">"c4383"</definedName>
    <definedName function="false" hidden="true" name="IQ_EPS_SBC_GW_LOW_GUIDANCE" vbProcedure="false">"c4229"</definedName>
    <definedName function="false" hidden="true" name="IQ_EPS_SBC_GW_LOW_GUIDANCE_CIQ" vbProcedure="false">"c4641"</definedName>
    <definedName function="false" hidden="true" name="IQ_EPS_SBC_GW_LOW_GUIDANCE_CIQ_COL" vbProcedure="false">"c11290"</definedName>
    <definedName function="false" hidden="true" name="IQ_EPS_SBC_GW_MEDIAN_EST" vbProcedure="false">"c4384"</definedName>
    <definedName function="false" hidden="true" name="IQ_EPS_SBC_GW_NUM_EST" vbProcedure="false">"c4385"</definedName>
    <definedName function="false" hidden="true" name="IQ_EPS_SBC_GW_STDDEV_EST" vbProcedure="false">"c4386"</definedName>
    <definedName function="false" hidden="true" name="IQ_EPS_SBC_HIGH_EST" vbProcedure="false">"c4388"</definedName>
    <definedName function="false" hidden="true" name="IQ_EPS_SBC_HIGH_GUIDANCE" vbProcedure="false">"c4188"</definedName>
    <definedName function="false" hidden="true" name="IQ_EPS_SBC_HIGH_GUIDANCE_CIQ" vbProcedure="false">"c4600"</definedName>
    <definedName function="false" hidden="true" name="IQ_EPS_SBC_HIGH_GUIDANCE_CIQ_COL" vbProcedure="false">"c11249"</definedName>
    <definedName function="false" hidden="true" name="IQ_EPS_SBC_LOW_EST" vbProcedure="false">"c4389"</definedName>
    <definedName function="false" hidden="true" name="IQ_EPS_SBC_LOW_GUIDANCE" vbProcedure="false">"c4228"</definedName>
    <definedName function="false" hidden="true" name="IQ_EPS_SBC_LOW_GUIDANCE_CIQ" vbProcedure="false">"c4640"</definedName>
    <definedName function="false" hidden="true" name="IQ_EPS_SBC_LOW_GUIDANCE_CIQ_COL" vbProcedure="false">"c11289"</definedName>
    <definedName function="false" hidden="true" name="IQ_EPS_SBC_MEDIAN_EST" vbProcedure="false">"c4390"</definedName>
    <definedName function="false" hidden="true" name="IQ_EPS_SBC_NUM_EST" vbProcedure="false">"c4391"</definedName>
    <definedName function="false" hidden="true" name="IQ_EPS_SBC_STDDEV_EST" vbProcedure="false">"c4392"</definedName>
    <definedName function="false" hidden="true" name="IQ_EPS_STDDEV_EST" vbProcedure="false">"c403"</definedName>
    <definedName function="false" hidden="true" name="IQ_EPS_STDDEV_EST_CIQ" vbProcedure="false">"c4993"</definedName>
    <definedName function="false" hidden="true" name="IQ_EPS_STDDEV_EST_REUT" vbProcedure="false">"c5452"</definedName>
    <definedName function="false" hidden="true" name="IQ_EPS_STDDEV_EST_THOM" vbProcedure="false">"c5289"</definedName>
    <definedName function="false" hidden="true" name="IQ_EQUITY_AFFIL" vbProcedure="false">"c1451"</definedName>
    <definedName function="false" hidden="true" name="IQ_EQUITY_AP" vbProcedure="false">"c8887"</definedName>
    <definedName function="false" hidden="true" name="IQ_EQUITY_AP_ABS" vbProcedure="false">"c8906"</definedName>
    <definedName function="false" hidden="true" name="IQ_EQUITY_ASSETS_TOT_FFIEC" vbProcedure="false">"c13436"</definedName>
    <definedName function="false" hidden="true" name="IQ_EQUITY_BEG_EXCL_FFIEC" vbProcedure="false">"c12957"</definedName>
    <definedName function="false" hidden="true" name="IQ_EQUITY_BEG_FFIEC" vbProcedure="false">"c12959"</definedName>
    <definedName function="false" hidden="true" name="IQ_EQUITY_CAPITAL_ASSETS_FDIC" vbProcedure="false">"c6744"</definedName>
    <definedName function="false" hidden="true" name="IQ_EQUITY_CAPITAL_QUARTERLY_AVG_FFIEC" vbProcedure="false">"c13092"</definedName>
    <definedName function="false" hidden="true" name="IQ_EQUITY_ENDING_FFIEC" vbProcedure="false">"c12973"</definedName>
    <definedName function="false" hidden="true" name="IQ_EQUITY_FDIC" vbProcedure="false">"c6353"</definedName>
    <definedName function="false" hidden="true" name="IQ_EQUITY_INDEX_EXPOSURE_FFIEC" vbProcedure="false">"c13060"</definedName>
    <definedName function="false" hidden="true" name="IQ_EQUITY_LIST" vbProcedure="false">"c15158"</definedName>
    <definedName function="false" hidden="true" name="IQ_EQUITY_METHOD" vbProcedure="false">"c404"</definedName>
    <definedName function="false" hidden="true" name="IQ_EQUITY_NAME_AP" vbProcedure="false">"c8925"</definedName>
    <definedName function="false" hidden="true" name="IQ_EQUITY_NAME_AP_ABS" vbProcedure="false">"c8944"</definedName>
    <definedName function="false" hidden="true" name="IQ_EQUITY_SECURITIES_FDIC" vbProcedure="false">"c6304"</definedName>
    <definedName function="false" hidden="true" name="IQ_EQUITY_SECURITIES_QUARTERLY_AVG_FFIEC" vbProcedure="false">"c15474"</definedName>
    <definedName function="false" hidden="true" name="IQ_EQUITY_SECURITIES_WITHOUT_FAIR_VALUES_FFIEC" vbProcedure="false">"c12846"</definedName>
    <definedName function="false" hidden="true" name="IQ_EQUITY_SECURITY_EXPOSURES_FDIC" vbProcedure="false">"c6664"</definedName>
    <definedName function="false" hidden="true" name="IQ_EQUITY_SEC_FAIR_VALUE_FFIEC" vbProcedure="false">"c12805"</definedName>
    <definedName function="false" hidden="true" name="IQ_EQUITY_SEC_INVEST_SECURITIES_FFIEC" vbProcedure="false">"c13463"</definedName>
    <definedName function="false" hidden="true" name="IQ_EQUITY_TIER_ONE_CAPITAL" vbProcedure="false">"c15246"</definedName>
    <definedName function="false" hidden="true" name="IQ_EQUITY_TIER_ONE_CAPITAL_RATIO" vbProcedure="false">"c15242"</definedName>
    <definedName function="false" hidden="true" name="IQ_EQV_OVER_BV" vbProcedure="false">"c1596"</definedName>
    <definedName function="false" hidden="true" name="IQ_EQV_OVER_LTM_PRETAX_INC" vbProcedure="false">"c1390"</definedName>
    <definedName function="false" hidden="true" name="IQ_ESOP_DEBT" vbProcedure="false">"c1597"</definedName>
    <definedName function="false" hidden="true" name="IQ_ESOP_DEBT_GUARANTEED_FFIEC" vbProcedure="false">"c12971"</definedName>
    <definedName function="false" hidden="true" name="IQ_ESOP_OVER_TOTAL" vbProcedure="false">"c13768"</definedName>
    <definedName function="false" hidden="true" name="IQ_ESTIMATED_ASSESSABLE_DEPOSITS_FDIC" vbProcedure="false">"c6490"</definedName>
    <definedName function="false" hidden="true" name="IQ_ESTIMATED_INSURED_DEPOSITS_FDIC" vbProcedure="false">"c6491"</definedName>
    <definedName function="false" hidden="true" name="IQ_EST_ACT_BV" vbProcedure="false">"c5630"</definedName>
    <definedName function="false" hidden="true" name="IQ_EST_ACT_BV_SHARE" vbProcedure="false">"c3549"</definedName>
    <definedName function="false" hidden="true" name="IQ_EST_ACT_BV_SHARE_REUT" vbProcedure="false">"c5445"</definedName>
    <definedName function="false" hidden="true" name="IQ_EST_ACT_BV_SHARE_THOM" vbProcedure="false">"c4026"</definedName>
    <definedName function="false" hidden="true" name="IQ_EST_ACT_CAPEX" vbProcedure="false">"c3546"</definedName>
    <definedName function="false" hidden="true" name="IQ_EST_ACT_CAPEX_REUT" vbProcedure="false">"c3975"</definedName>
    <definedName function="false" hidden="true" name="IQ_EST_ACT_CAPEX_THOM" vbProcedure="false">"c5508"</definedName>
    <definedName function="false" hidden="true" name="IQ_EST_ACT_CASH_EPS" vbProcedure="false">"c5637"</definedName>
    <definedName function="false" hidden="true" name="IQ_EST_ACT_CASH_EPS_THOM" vbProcedure="false">"c5645"</definedName>
    <definedName function="false" hidden="true" name="IQ_EST_ACT_CASH_FLOW" vbProcedure="false">"c4394"</definedName>
    <definedName function="false" hidden="true" name="IQ_EST_ACT_CASH_OPER" vbProcedure="false">"c4395"</definedName>
    <definedName function="false" hidden="true" name="IQ_EST_ACT_CFPS" vbProcedure="false">"c1673"</definedName>
    <definedName function="false" hidden="true" name="IQ_EST_ACT_CFPS_REUT" vbProcedure="false">"c3850"</definedName>
    <definedName function="false" hidden="true" name="IQ_EST_ACT_CFPS_THOM" vbProcedure="false">"c4012"</definedName>
    <definedName function="false" hidden="true" name="IQ_EST_ACT_DISTRIBUTABLE_CASH" vbProcedure="false">"c4396"</definedName>
    <definedName function="false" hidden="true" name="IQ_EST_ACT_DISTRIBUTABLE_CASH_SHARE" vbProcedure="false">"c4397"</definedName>
    <definedName function="false" hidden="true" name="IQ_EST_ACT_DPS" vbProcedure="false">"c1680"</definedName>
    <definedName function="false" hidden="true" name="IQ_EST_ACT_DPS_REUT" vbProcedure="false">"c3857"</definedName>
    <definedName function="false" hidden="true" name="IQ_EST_ACT_DPS_THOM" vbProcedure="false">"c4019"</definedName>
    <definedName function="false" hidden="true" name="IQ_EST_ACT_EBIT" vbProcedure="false">"c1687"</definedName>
    <definedName function="false" hidden="true" name="IQ_EST_ACT_EBITDA" vbProcedure="false">"c1664"</definedName>
    <definedName function="false" hidden="true" name="IQ_EST_ACT_EBITDA_CIQ" vbProcedure="false">"c3667"</definedName>
    <definedName function="false" hidden="true" name="IQ_EST_ACT_EBITDA_REUT" vbProcedure="false">"c3836"</definedName>
    <definedName function="false" hidden="true" name="IQ_EST_ACT_EBITDA_SBC" vbProcedure="false">"c4401"</definedName>
    <definedName function="false" hidden="true" name="IQ_EST_ACT_EBITDA_THOM" vbProcedure="false">"c3998"</definedName>
    <definedName function="false" hidden="true" name="IQ_EST_ACT_EBIT_GW" vbProcedure="false">"c4398"</definedName>
    <definedName function="false" hidden="true" name="IQ_EST_ACT_EBIT_REUT" vbProcedure="false">"c5339"</definedName>
    <definedName function="false" hidden="true" name="IQ_EST_ACT_EBIT_SBC" vbProcedure="false">"c4399"</definedName>
    <definedName function="false" hidden="true" name="IQ_EST_ACT_EBIT_SBC_GW" vbProcedure="false">"c4400"</definedName>
    <definedName function="false" hidden="true" name="IQ_EST_ACT_EBIT_THOM" vbProcedure="false">"c5111"</definedName>
    <definedName function="false" hidden="true" name="IQ_EST_ACT_EBT_SBC" vbProcedure="false">"c4402"</definedName>
    <definedName function="false" hidden="true" name="IQ_EST_ACT_EBT_SBC_GW" vbProcedure="false">"c4403"</definedName>
    <definedName function="false" hidden="true" name="IQ_EST_ACT_EPS" vbProcedure="false">"c1648"</definedName>
    <definedName function="false" hidden="true" name="IQ_EST_ACT_EPS_CIQ" vbProcedure="false">"c4998"</definedName>
    <definedName function="false" hidden="true" name="IQ_EST_ACT_EPS_GW" vbProcedure="false">"c1743"</definedName>
    <definedName function="false" hidden="true" name="IQ_EST_ACT_EPS_GW_CIQ" vbProcedure="false">"c4729"</definedName>
    <definedName function="false" hidden="true" name="IQ_EST_ACT_EPS_GW_REUT" vbProcedure="false">"c5395"</definedName>
    <definedName function="false" hidden="true" name="IQ_EST_ACT_EPS_GW_THOM" vbProcedure="false">"c5139"</definedName>
    <definedName function="false" hidden="true" name="IQ_EST_ACT_EPS_NORM" vbProcedure="false">"c2232"</definedName>
    <definedName function="false" hidden="true" name="IQ_EST_ACT_EPS_NORM_CIQ" vbProcedure="false">"c4673"</definedName>
    <definedName function="false" hidden="true" name="IQ_EST_ACT_EPS_NORM_REUT" vbProcedure="false">"c5332"</definedName>
    <definedName function="false" hidden="true" name="IQ_EST_ACT_EPS_REPORTED" vbProcedure="false">"c1750"</definedName>
    <definedName function="false" hidden="true" name="IQ_EST_ACT_EPS_REPORTED_CIQ" vbProcedure="false">"c4736"</definedName>
    <definedName function="false" hidden="true" name="IQ_EST_ACT_EPS_REPORTED_REUT" vbProcedure="false">"c5402"</definedName>
    <definedName function="false" hidden="true" name="IQ_EST_ACT_EPS_REPORTED_THOM" vbProcedure="false">"c5146"</definedName>
    <definedName function="false" hidden="true" name="IQ_EST_ACT_EPS_REUT" vbProcedure="false">"c5457"</definedName>
    <definedName function="false" hidden="true" name="IQ_EST_ACT_EPS_SBC" vbProcedure="false">"c4404"</definedName>
    <definedName function="false" hidden="true" name="IQ_EST_ACT_EPS_SBC_GW" vbProcedure="false">"c4405"</definedName>
    <definedName function="false" hidden="true" name="IQ_EST_ACT_EPS_THOM" vbProcedure="false">"c5294"</definedName>
    <definedName function="false" hidden="true" name="IQ_EST_ACT_FFO" vbProcedure="false">"c4407"</definedName>
    <definedName function="false" hidden="true" name="IQ_EST_ACT_FFO_ADJ" vbProcedure="false">"c4406"</definedName>
    <definedName function="false" hidden="true" name="IQ_EST_ACT_FFO_REUT" vbProcedure="false">"c3843"</definedName>
    <definedName function="false" hidden="true" name="IQ_EST_ACT_FFO_SHARE" vbProcedure="false">"c1666"</definedName>
    <definedName function="false" hidden="true" name="IQ_EST_ACT_FFO_SHARE_SHARE_REUT" vbProcedure="false">"c3843"</definedName>
    <definedName function="false" hidden="true" name="IQ_EST_ACT_FFO_SHARE_SHARE_THOM" vbProcedure="false">"c4005"</definedName>
    <definedName function="false" hidden="true" name="IQ_EST_ACT_FFO_SHARE_THOM" vbProcedure="false">"c4005"</definedName>
    <definedName function="false" hidden="true" name="IQ_EST_ACT_FFO_THOM" vbProcedure="false">"c4005"</definedName>
    <definedName function="false" hidden="true" name="IQ_EST_ACT_GROSS_MARGIN" vbProcedure="false">"c5553"</definedName>
    <definedName function="false" hidden="true" name="IQ_EST_ACT_GROSS_MARGIN_THOM" vbProcedure="false">"c5561"</definedName>
    <definedName function="false" hidden="true" name="IQ_EST_ACT_MAINT_CAPEX" vbProcedure="false">"c4408"</definedName>
    <definedName function="false" hidden="true" name="IQ_EST_ACT_NAV" vbProcedure="false">"c1757"</definedName>
    <definedName function="false" hidden="true" name="IQ_EST_ACT_NAV_SHARE" vbProcedure="false">"c5608"</definedName>
    <definedName function="false" hidden="true" name="IQ_EST_ACT_NAV_SHARE_REUT" vbProcedure="false">"c5616"</definedName>
    <definedName function="false" hidden="true" name="IQ_EST_ACT_NAV_THOM" vbProcedure="false">"c5600"</definedName>
    <definedName function="false" hidden="true" name="IQ_EST_ACT_NET_DEBT" vbProcedure="false">"c3545"</definedName>
    <definedName function="false" hidden="true" name="IQ_EST_ACT_NET_DEBT_REUT" vbProcedure="false">"c5446"</definedName>
    <definedName function="false" hidden="true" name="IQ_EST_ACT_NET_DEBT_THOM" vbProcedure="false">"c4033"</definedName>
    <definedName function="false" hidden="true" name="IQ_EST_ACT_NI" vbProcedure="false">"c1722"</definedName>
    <definedName function="false" hidden="true" name="IQ_EST_ACT_NI_GW" vbProcedure="false">"c1729"</definedName>
    <definedName function="false" hidden="true" name="IQ_EST_ACT_NI_GW_REUT" vbProcedure="false">"c5381"</definedName>
    <definedName function="false" hidden="true" name="IQ_EST_ACT_NI_REPORTED" vbProcedure="false">"c1736"</definedName>
    <definedName function="false" hidden="true" name="IQ_EST_ACT_NI_REPORTED_REUT" vbProcedure="false">"c5388"</definedName>
    <definedName function="false" hidden="true" name="IQ_EST_ACT_NI_REUT" vbProcedure="false">"c5374"</definedName>
    <definedName function="false" hidden="true" name="IQ_EST_ACT_NI_SBC" vbProcedure="false">"c4409"</definedName>
    <definedName function="false" hidden="true" name="IQ_EST_ACT_NI_SBC_GW" vbProcedure="false">"c4410"</definedName>
    <definedName function="false" hidden="true" name="IQ_EST_ACT_NI_THOM" vbProcedure="false">"c5132"</definedName>
    <definedName function="false" hidden="true" name="IQ_EST_ACT_OPER_INC" vbProcedure="false">"c1694"</definedName>
    <definedName function="false" hidden="true" name="IQ_EST_ACT_OPER_INC_REUT" vbProcedure="false">"c5346"</definedName>
    <definedName function="false" hidden="true" name="IQ_EST_ACT_OPER_INC_THOM" vbProcedure="false">"c5118"</definedName>
    <definedName function="false" hidden="true" name="IQ_EST_ACT_PRETAX_GW_INC" vbProcedure="false">"c1708"</definedName>
    <definedName function="false" hidden="true" name="IQ_EST_ACT_PRETAX_GW_INC_REUT" vbProcedure="false">"c5360"</definedName>
    <definedName function="false" hidden="true" name="IQ_EST_ACT_PRETAX_INC" vbProcedure="false">"c1701"</definedName>
    <definedName function="false" hidden="true" name="IQ_EST_ACT_PRETAX_INC_REUT" vbProcedure="false">"c5353"</definedName>
    <definedName function="false" hidden="true" name="IQ_EST_ACT_PRETAX_INC_THOM" vbProcedure="false">"c5125"</definedName>
    <definedName function="false" hidden="true" name="IQ_EST_ACT_PRETAX_REPORT_INC" vbProcedure="false">"c1715"</definedName>
    <definedName function="false" hidden="true" name="IQ_EST_ACT_PRETAX_REPORT_INC_REUT" vbProcedure="false">"c5367"</definedName>
    <definedName function="false" hidden="true" name="IQ_EST_ACT_RECURRING_PROFIT" vbProcedure="false">"c4411"</definedName>
    <definedName function="false" hidden="true" name="IQ_EST_ACT_RECURRING_PROFIT_SHARE" vbProcedure="false">"c4412"</definedName>
    <definedName function="false" hidden="true" name="IQ_EST_ACT_RETURN_ASSETS" vbProcedure="false">"c3547"</definedName>
    <definedName function="false" hidden="true" name="IQ_EST_ACT_RETURN_ASSETS_REUT" vbProcedure="false">"c3996"</definedName>
    <definedName function="false" hidden="true" name="IQ_EST_ACT_RETURN_ASSETS_THOM" vbProcedure="false">"c4040"</definedName>
    <definedName function="false" hidden="true" name="IQ_EST_ACT_RETURN_EQUITY" vbProcedure="false">"c3548"</definedName>
    <definedName function="false" hidden="true" name="IQ_EST_ACT_RETURN_EQUITY_REUT" vbProcedure="false">"c3989"</definedName>
    <definedName function="false" hidden="true" name="IQ_EST_ACT_RETURN_EQUITY_THOM" vbProcedure="false">"c5287"</definedName>
    <definedName function="false" hidden="true" name="IQ_EST_ACT_REV" vbProcedure="false">"c2113"</definedName>
    <definedName function="false" hidden="true" name="IQ_EST_ACT_REV_CIQ" vbProcedure="false">"c3666"</definedName>
    <definedName function="false" hidden="true" name="IQ_EST_ACT_REV_REUT" vbProcedure="false">"c3835"</definedName>
    <definedName function="false" hidden="true" name="IQ_EST_ACT_REV_THOM" vbProcedure="false">"c3997"</definedName>
    <definedName function="false" hidden="true" name="IQ_EST_BV_SHARE_DIFF" vbProcedure="false">"c4147"</definedName>
    <definedName function="false" hidden="true" name="IQ_EST_BV_SHARE_SURPRISE_PERCENT" vbProcedure="false">"c4148"</definedName>
    <definedName function="false" hidden="true" name="IQ_EST_CAPEX_DIFF" vbProcedure="false">"c4149"</definedName>
    <definedName function="false" hidden="true" name="IQ_EST_CAPEX_GROWTH_1YR" vbProcedure="false">"c3588"</definedName>
    <definedName function="false" hidden="true" name="IQ_EST_CAPEX_GROWTH_1YR_REUT" vbProcedure="false">"c5447"</definedName>
    <definedName function="false" hidden="true" name="IQ_EST_CAPEX_GROWTH_1YR_THOM" vbProcedure="false">"c5542"</definedName>
    <definedName function="false" hidden="true" name="IQ_EST_CAPEX_GROWTH_2YR" vbProcedure="false">"c3589"</definedName>
    <definedName function="false" hidden="true" name="IQ_EST_CAPEX_GROWTH_2YR_REUT" vbProcedure="false">"c5448"</definedName>
    <definedName function="false" hidden="true" name="IQ_EST_CAPEX_GROWTH_2YR_THOM" vbProcedure="false">"c5543"</definedName>
    <definedName function="false" hidden="true" name="IQ_EST_CAPEX_GROWTH_Q_1YR" vbProcedure="false">"c3590"</definedName>
    <definedName function="false" hidden="true" name="IQ_EST_CAPEX_GROWTH_Q_1YR_REUT" vbProcedure="false">"c5449"</definedName>
    <definedName function="false" hidden="true" name="IQ_EST_CAPEX_GROWTH_Q_1YR_THOM" vbProcedure="false">"c5544"</definedName>
    <definedName function="false" hidden="true" name="IQ_EST_CAPEX_SEQ_GROWTH_Q" vbProcedure="false">"c3591"</definedName>
    <definedName function="false" hidden="true" name="IQ_EST_CAPEX_SEQ_GROWTH_Q_REUT" vbProcedure="false">"c5450"</definedName>
    <definedName function="false" hidden="true" name="IQ_EST_CAPEX_SEQ_GROWTH_Q_THOM" vbProcedure="false">"c5545"</definedName>
    <definedName function="false" hidden="true" name="IQ_EST_CAPEX_SURPRISE_PERCENT" vbProcedure="false">"c4151"</definedName>
    <definedName function="false" hidden="true" name="IQ_EST_CASH_FLOW_DIFF" vbProcedure="false">"c4152"</definedName>
    <definedName function="false" hidden="true" name="IQ_EST_CASH_FLOW_SURPRISE_PERCENT" vbProcedure="false">"c4161"</definedName>
    <definedName function="false" hidden="true" name="IQ_EST_CASH_OPER_DIFF" vbProcedure="false">"c4162"</definedName>
    <definedName function="false" hidden="true" name="IQ_EST_CASH_OPER_SURPRISE_PERCENT" vbProcedure="false">"c4248"</definedName>
    <definedName function="false" hidden="true" name="IQ_EST_CFPS_DIFF" vbProcedure="false">"c1871"</definedName>
    <definedName function="false" hidden="true" name="IQ_EST_CFPS_DIFF_REUT" vbProcedure="false">"c3892"</definedName>
    <definedName function="false" hidden="true" name="IQ_EST_CFPS_DIFF_THOM" vbProcedure="false">"c5188"</definedName>
    <definedName function="false" hidden="true" name="IQ_EST_CFPS_GROWTH_1YR" vbProcedure="false">"c1774"</definedName>
    <definedName function="false" hidden="true" name="IQ_EST_CFPS_GROWTH_1YR_REUT" vbProcedure="false">"c3878"</definedName>
    <definedName function="false" hidden="true" name="IQ_EST_CFPS_GROWTH_1YR_THOM" vbProcedure="false">"c5174"</definedName>
    <definedName function="false" hidden="true" name="IQ_EST_CFPS_GROWTH_2YR" vbProcedure="false">"c1775"</definedName>
    <definedName function="false" hidden="true" name="IQ_EST_CFPS_GROWTH_2YR_REUT" vbProcedure="false">"c3879"</definedName>
    <definedName function="false" hidden="true" name="IQ_EST_CFPS_GROWTH_2YR_THOM" vbProcedure="false">"c5175"</definedName>
    <definedName function="false" hidden="true" name="IQ_EST_CFPS_GROWTH_Q_1YR" vbProcedure="false">"c1776"</definedName>
    <definedName function="false" hidden="true" name="IQ_EST_CFPS_GROWTH_Q_1YR_REUT" vbProcedure="false">"c3880"</definedName>
    <definedName function="false" hidden="true" name="IQ_EST_CFPS_GROWTH_Q_1YR_THOM" vbProcedure="false">"c5176"</definedName>
    <definedName function="false" hidden="true" name="IQ_EST_CFPS_SEQ_GROWTH_Q" vbProcedure="false">"c1777"</definedName>
    <definedName function="false" hidden="true" name="IQ_EST_CFPS_SEQ_GROWTH_Q_REUT" vbProcedure="false">"c3881"</definedName>
    <definedName function="false" hidden="true" name="IQ_EST_CFPS_SEQ_GROWTH_Q_THOM" vbProcedure="false">"c5177"</definedName>
    <definedName function="false" hidden="true" name="IQ_EST_CFPS_SURPRISE_PERCENT" vbProcedure="false">"c1872"</definedName>
    <definedName function="false" hidden="true" name="IQ_EST_CFPS_SURPRISE_PERCENT_REUT" vbProcedure="false">"c3893"</definedName>
    <definedName function="false" hidden="true" name="IQ_EST_CFPS_SURPRISE_PERCENT_THOM" vbProcedure="false">"c5189"</definedName>
    <definedName function="false" hidden="true" name="IQ_EST_CURRENCY" vbProcedure="false">"c2140"</definedName>
    <definedName function="false" hidden="true" name="IQ_EST_CURRENCY_CIQ" vbProcedure="false">"c4769"</definedName>
    <definedName function="false" hidden="true" name="IQ_EST_CURRENCY_REUT" vbProcedure="false">"c5437"</definedName>
    <definedName function="false" hidden="true" name="IQ_EST_CURRENCY_THOM" vbProcedure="false">"c5280"</definedName>
    <definedName function="false" hidden="true" name="IQ_EST_DATE" vbProcedure="false">"c1634"</definedName>
    <definedName function="false" hidden="true" name="IQ_EST_DATE_CIQ" vbProcedure="false">"c4770"</definedName>
    <definedName function="false" hidden="true" name="IQ_EST_DATE_REUT" vbProcedure="false">"c5438"</definedName>
    <definedName function="false" hidden="true" name="IQ_EST_DATE_THOM" vbProcedure="false">"c5281"</definedName>
    <definedName function="false" hidden="true" name="IQ_EST_DISTRIBUTABLE_CASH_DIFF" vbProcedure="false">"c4276"</definedName>
    <definedName function="false" hidden="true" name="IQ_EST_DISTRIBUTABLE_CASH_GROWTH_1YR" vbProcedure="false">"c4413"</definedName>
    <definedName function="false" hidden="true" name="IQ_EST_DISTRIBUTABLE_CASH_GROWTH_2YR" vbProcedure="false">"c4414"</definedName>
    <definedName function="false" hidden="true" name="IQ_EST_DISTRIBUTABLE_CASH_GROWTH_Q_1YR" vbProcedure="false">"c4415"</definedName>
    <definedName function="false" hidden="true" name="IQ_EST_DISTRIBUTABLE_CASH_SEQ_GROWTH_Q" vbProcedure="false">"c4416"</definedName>
    <definedName function="false" hidden="true" name="IQ_EST_DISTRIBUTABLE_CASH_SHARE_DIFF" vbProcedure="false">"c4284"</definedName>
    <definedName function="false" hidden="true" name="IQ_EST_DISTRIBUTABLE_CASH_SHARE_GROWTH_1YR" vbProcedure="false">"c4417"</definedName>
    <definedName function="false" hidden="true" name="IQ_EST_DISTRIBUTABLE_CASH_SHARE_GROWTH_2YR" vbProcedure="false">"c4418"</definedName>
    <definedName function="false" hidden="true" name="IQ_EST_DISTRIBUTABLE_CASH_SHARE_GROWTH_Q_1YR" vbProcedure="false">"c4419"</definedName>
    <definedName function="false" hidden="true" name="IQ_EST_DISTRIBUTABLE_CASH_SHARE_SEQ_GROWTH_Q" vbProcedure="false">"c4420"</definedName>
    <definedName function="false" hidden="true" name="IQ_EST_DISTRIBUTABLE_CASH_SHARE_SURPRISE_PERCENT" vbProcedure="false">"c4293"</definedName>
    <definedName function="false" hidden="true" name="IQ_EST_DISTRIBUTABLE_CASH_SURPRISE_PERCENT" vbProcedure="false">"c4295"</definedName>
    <definedName function="false" hidden="true" name="IQ_EST_DPS_DIFF" vbProcedure="false">"c1873"</definedName>
    <definedName function="false" hidden="true" name="IQ_EST_DPS_DIFF_REUT" vbProcedure="false">"c3894"</definedName>
    <definedName function="false" hidden="true" name="IQ_EST_DPS_DIFF_THOM" vbProcedure="false">"c5190"</definedName>
    <definedName function="false" hidden="true" name="IQ_EST_DPS_GROWTH_1YR" vbProcedure="false">"c1778"</definedName>
    <definedName function="false" hidden="true" name="IQ_EST_DPS_GROWTH_1YR_REUT" vbProcedure="false">"c3882"</definedName>
    <definedName function="false" hidden="true" name="IQ_EST_DPS_GROWTH_1YR_THOM" vbProcedure="false">"c5178"</definedName>
    <definedName function="false" hidden="true" name="IQ_EST_DPS_GROWTH_2YR" vbProcedure="false">"c1779"</definedName>
    <definedName function="false" hidden="true" name="IQ_EST_DPS_GROWTH_2YR_REUT" vbProcedure="false">"c3883"</definedName>
    <definedName function="false" hidden="true" name="IQ_EST_DPS_GROWTH_2YR_THOM" vbProcedure="false">"c5179"</definedName>
    <definedName function="false" hidden="true" name="IQ_EST_DPS_GROWTH_Q_1YR" vbProcedure="false">"c1780"</definedName>
    <definedName function="false" hidden="true" name="IQ_EST_DPS_GROWTH_Q_1YR_REUT" vbProcedure="false">"c3884"</definedName>
    <definedName function="false" hidden="true" name="IQ_EST_DPS_GROWTH_Q_1YR_THOM" vbProcedure="false">"c5180"</definedName>
    <definedName function="false" hidden="true" name="IQ_EST_DPS_SEQ_GROWTH_Q" vbProcedure="false">"c1781"</definedName>
    <definedName function="false" hidden="true" name="IQ_EST_DPS_SEQ_GROWTH_Q_REUT" vbProcedure="false">"c3885"</definedName>
    <definedName function="false" hidden="true" name="IQ_EST_DPS_SEQ_GROWTH_Q_THOM" vbProcedure="false">"c5181"</definedName>
    <definedName function="false" hidden="true" name="IQ_EST_DPS_SURPRISE_PERCENT" vbProcedure="false">"c1874"</definedName>
    <definedName function="false" hidden="true" name="IQ_EST_DPS_SURPRISE_PERCENT_REUT" vbProcedure="false">"c3895"</definedName>
    <definedName function="false" hidden="true" name="IQ_EST_DPS_SURPRISE_PERCENT_THOM" vbProcedure="false">"c5191"</definedName>
    <definedName function="false" hidden="true" name="IQ_EST_EBITDA_DIFF" vbProcedure="false">"c1867"</definedName>
    <definedName function="false" hidden="true" name="IQ_EST_EBITDA_DIFF_CIQ" vbProcedure="false">"c3719"</definedName>
    <definedName function="false" hidden="true" name="IQ_EST_EBITDA_DIFF_REUT" vbProcedure="false">"c3888"</definedName>
    <definedName function="false" hidden="true" name="IQ_EST_EBITDA_DIFF_THOM" vbProcedure="false">"c5184"</definedName>
    <definedName function="false" hidden="true" name="IQ_EST_EBITDA_GROWTH_1YR" vbProcedure="false">"c1766"</definedName>
    <definedName function="false" hidden="true" name="IQ_EST_EBITDA_GROWTH_1YR_CIQ" vbProcedure="false">"c3695"</definedName>
    <definedName function="false" hidden="true" name="IQ_EST_EBITDA_GROWTH_1YR_REUT" vbProcedure="false">"c3864"</definedName>
    <definedName function="false" hidden="true" name="IQ_EST_EBITDA_GROWTH_1YR_THOM" vbProcedure="false">"c5161"</definedName>
    <definedName function="false" hidden="true" name="IQ_EST_EBITDA_GROWTH_2YR" vbProcedure="false">"c1767"</definedName>
    <definedName function="false" hidden="true" name="IQ_EST_EBITDA_GROWTH_2YR_CIQ" vbProcedure="false">"c3696"</definedName>
    <definedName function="false" hidden="true" name="IQ_EST_EBITDA_GROWTH_2YR_REUT" vbProcedure="false">"c3865"</definedName>
    <definedName function="false" hidden="true" name="IQ_EST_EBITDA_GROWTH_2YR_THOM" vbProcedure="false">"c5162"</definedName>
    <definedName function="false" hidden="true" name="IQ_EST_EBITDA_GROWTH_Q_1YR" vbProcedure="false">"c1768"</definedName>
    <definedName function="false" hidden="true" name="IQ_EST_EBITDA_GROWTH_Q_1YR_CIQ" vbProcedure="false">"c3697"</definedName>
    <definedName function="false" hidden="true" name="IQ_EST_EBITDA_GROWTH_Q_1YR_REUT" vbProcedure="false">"c3866"</definedName>
    <definedName function="false" hidden="true" name="IQ_EST_EBITDA_GROWTH_Q_1YR_THOM" vbProcedure="false">"c5163"</definedName>
    <definedName function="false" hidden="true" name="IQ_EST_EBITDA_SBC_DIFF" vbProcedure="false">"c4335"</definedName>
    <definedName function="false" hidden="true" name="IQ_EST_EBITDA_SBC_SURPRISE_PERCENT" vbProcedure="false">"c4344"</definedName>
    <definedName function="false" hidden="true" name="IQ_EST_EBITDA_SEQ_GROWTH_Q" vbProcedure="false">"c1769"</definedName>
    <definedName function="false" hidden="true" name="IQ_EST_EBITDA_SEQ_GROWTH_Q_CIQ" vbProcedure="false">"c3698"</definedName>
    <definedName function="false" hidden="true" name="IQ_EST_EBITDA_SEQ_GROWTH_Q_REUT" vbProcedure="false">"c3867"</definedName>
    <definedName function="false" hidden="true" name="IQ_EST_EBITDA_SEQ_GROWTH_Q_THOM" vbProcedure="false">"c5164"</definedName>
    <definedName function="false" hidden="true" name="IQ_EST_EBITDA_SURPRISE_PERCENT" vbProcedure="false">"c1868"</definedName>
    <definedName function="false" hidden="true" name="IQ_EST_EBITDA_SURPRISE_PERCENT_CIQ" vbProcedure="false">"c3720"</definedName>
    <definedName function="false" hidden="true" name="IQ_EST_EBITDA_SURPRISE_PERCENT_REUT" vbProcedure="false">"c3889"</definedName>
    <definedName function="false" hidden="true" name="IQ_EST_EBITDA_SURPRISE_PERCENT_THOM" vbProcedure="false">"c5185"</definedName>
    <definedName function="false" hidden="true" name="IQ_EST_EBIT_DIFF" vbProcedure="false">"c1875"</definedName>
    <definedName function="false" hidden="true" name="IQ_EST_EBIT_DIFF_REUT" vbProcedure="false">"c5413"</definedName>
    <definedName function="false" hidden="true" name="IQ_EST_EBIT_DIFF_THOM" vbProcedure="false">"c5192"</definedName>
    <definedName function="false" hidden="true" name="IQ_EST_EBIT_GW_DIFF" vbProcedure="false">"c4304"</definedName>
    <definedName function="false" hidden="true" name="IQ_EST_EBIT_GW_SURPRISE_PERCENT" vbProcedure="false">"c4313"</definedName>
    <definedName function="false" hidden="true" name="IQ_EST_EBIT_SBC_DIFF" vbProcedure="false">"c4314"</definedName>
    <definedName function="false" hidden="true" name="IQ_EST_EBIT_SBC_GW_DIFF" vbProcedure="false">"c4318"</definedName>
    <definedName function="false" hidden="true" name="IQ_EST_EBIT_SBC_GW_SURPRISE_PERCENT" vbProcedure="false">"c4327"</definedName>
    <definedName function="false" hidden="true" name="IQ_EST_EBIT_SBC_SURPRISE_PERCENT" vbProcedure="false">"c4333"</definedName>
    <definedName function="false" hidden="true" name="IQ_EST_EBIT_SURPRISE_PERCENT" vbProcedure="false">"c1876"</definedName>
    <definedName function="false" hidden="true" name="IQ_EST_EBIT_SURPRISE_PERCENT_REUT" vbProcedure="false">"c5414"</definedName>
    <definedName function="false" hidden="true" name="IQ_EST_EBIT_SURPRISE_PERCENT_THOM" vbProcedure="false">"c5193"</definedName>
    <definedName function="false" hidden="true" name="IQ_EST_EBT_SBC_DIFF" vbProcedure="false">"c4348"</definedName>
    <definedName function="false" hidden="true" name="IQ_EST_EBT_SBC_GW_DIFF" vbProcedure="false">"c4352"</definedName>
    <definedName function="false" hidden="true" name="IQ_EST_EBT_SBC_GW_SURPRISE_PERCENT" vbProcedure="false">"c4361"</definedName>
    <definedName function="false" hidden="true" name="IQ_EST_EBT_SBC_SURPRISE_PERCENT" vbProcedure="false">"c4367"</definedName>
    <definedName function="false" hidden="true" name="IQ_EST_EPS_DIFF" vbProcedure="false">"c1864"</definedName>
    <definedName function="false" hidden="true" name="IQ_EST_EPS_DIFF_CIQ" vbProcedure="false">"c4999"</definedName>
    <definedName function="false" hidden="true" name="IQ_EST_EPS_DIFF_REUT" vbProcedure="false">"c5458"</definedName>
    <definedName function="false" hidden="true" name="IQ_EST_EPS_DIFF_THOM" vbProcedure="false">"c5295"</definedName>
    <definedName function="false" hidden="true" name="IQ_EST_EPS_GROWTH_1YR" vbProcedure="false">"c1636"</definedName>
    <definedName function="false" hidden="true" name="IQ_EST_EPS_GROWTH_1YR_CIQ" vbProcedure="false">"c3628"</definedName>
    <definedName function="false" hidden="true" name="IQ_EST_EPS_GROWTH_1YR_REUT" vbProcedure="false">"c3646"</definedName>
    <definedName function="false" hidden="true" name="IQ_EST_EPS_GROWTH_1YR_THOM" vbProcedure="false">"c3664"</definedName>
    <definedName function="false" hidden="true" name="IQ_EST_EPS_GROWTH_2YR" vbProcedure="false">"c1637"</definedName>
    <definedName function="false" hidden="true" name="IQ_EST_EPS_GROWTH_2YR_CIQ" vbProcedure="false">"c3689"</definedName>
    <definedName function="false" hidden="true" name="IQ_EST_EPS_GROWTH_2YR_REUT" vbProcedure="false">"c3858"</definedName>
    <definedName function="false" hidden="true" name="IQ_EST_EPS_GROWTH_2YR_THOM" vbProcedure="false">"c5154"</definedName>
    <definedName function="false" hidden="true" name="IQ_EST_EPS_GROWTH_5YR" vbProcedure="false">"c1655"</definedName>
    <definedName function="false" hidden="true" name="IQ_EST_EPS_GROWTH_5YR_BOTTOM_UP" vbProcedure="false">"c5487"</definedName>
    <definedName function="false" hidden="true" name="IQ_EST_EPS_GROWTH_5YR_BOTTOM_UP_CIQ" vbProcedure="false">"c12024"</definedName>
    <definedName function="false" hidden="true" name="IQ_EST_EPS_GROWTH_5YR_BOTTOM_UP_REUT" vbProcedure="false">"c5495"</definedName>
    <definedName function="false" hidden="true" name="IQ_EST_EPS_GROWTH_5YR_CIQ" vbProcedure="false">"c3615"</definedName>
    <definedName function="false" hidden="true" name="IQ_EST_EPS_GROWTH_5YR_HIGH" vbProcedure="false">"c1657"</definedName>
    <definedName function="false" hidden="true" name="IQ_EST_EPS_GROWTH_5YR_HIGH_CIQ" vbProcedure="false">"c4663"</definedName>
    <definedName function="false" hidden="true" name="IQ_EST_EPS_GROWTH_5YR_HIGH_REUT" vbProcedure="false">"c5322"</definedName>
    <definedName function="false" hidden="true" name="IQ_EST_EPS_GROWTH_5YR_HIGH_THOM" vbProcedure="false">"c5101"</definedName>
    <definedName function="false" hidden="true" name="IQ_EST_EPS_GROWTH_5YR_LOW" vbProcedure="false">"c1658"</definedName>
    <definedName function="false" hidden="true" name="IQ_EST_EPS_GROWTH_5YR_LOW_CIQ" vbProcedure="false">"c4664"</definedName>
    <definedName function="false" hidden="true" name="IQ_EST_EPS_GROWTH_5YR_LOW_REUT" vbProcedure="false">"c5323"</definedName>
    <definedName function="false" hidden="true" name="IQ_EST_EPS_GROWTH_5YR_LOW_THOM" vbProcedure="false">"c5102"</definedName>
    <definedName function="false" hidden="true" name="IQ_EST_EPS_GROWTH_5YR_MEDIAN" vbProcedure="false">"c1656"</definedName>
    <definedName function="false" hidden="true" name="IQ_EST_EPS_GROWTH_5YR_MEDIAN_CIQ" vbProcedure="false">"c5480"</definedName>
    <definedName function="false" hidden="true" name="IQ_EST_EPS_GROWTH_5YR_MEDIAN_REUT" vbProcedure="false">"c5321"</definedName>
    <definedName function="false" hidden="true" name="IQ_EST_EPS_GROWTH_5YR_MEDIAN_THOM" vbProcedure="false">"c5100"</definedName>
    <definedName function="false" hidden="true" name="IQ_EST_EPS_GROWTH_5YR_NUM" vbProcedure="false">"c1659"</definedName>
    <definedName function="false" hidden="true" name="IQ_EST_EPS_GROWTH_5YR_NUM_CIQ" vbProcedure="false">"c4665"</definedName>
    <definedName function="false" hidden="true" name="IQ_EST_EPS_GROWTH_5YR_NUM_REUT" vbProcedure="false">"c5324"</definedName>
    <definedName function="false" hidden="true" name="IQ_EST_EPS_GROWTH_5YR_NUM_THOM" vbProcedure="false">"c5103"</definedName>
    <definedName function="false" hidden="true" name="IQ_EST_EPS_GROWTH_5YR_REUT" vbProcedure="false">"c3633"</definedName>
    <definedName function="false" hidden="true" name="IQ_EST_EPS_GROWTH_5YR_STDDEV" vbProcedure="false">"c1660"</definedName>
    <definedName function="false" hidden="true" name="IQ_EST_EPS_GROWTH_5YR_STDDEV_CIQ" vbProcedure="false">"c4666"</definedName>
    <definedName function="false" hidden="true" name="IQ_EST_EPS_GROWTH_5YR_STDDEV_REUT" vbProcedure="false">"c5325"</definedName>
    <definedName function="false" hidden="true" name="IQ_EST_EPS_GROWTH_5YR_STDDEV_THOM" vbProcedure="false">"c5104"</definedName>
    <definedName function="false" hidden="true" name="IQ_EST_EPS_GROWTH_5YR_THOM" vbProcedure="false">"c3651"</definedName>
    <definedName function="false" hidden="true" name="IQ_EST_EPS_GROWTH_Q_1YR" vbProcedure="false">"c1641"</definedName>
    <definedName function="false" hidden="true" name="IQ_EST_EPS_GROWTH_Q_1YR_CIQ" vbProcedure="false">"c4744"</definedName>
    <definedName function="false" hidden="true" name="IQ_EST_EPS_GROWTH_Q_1YR_REUT" vbProcedure="false">"c5410"</definedName>
    <definedName function="false" hidden="true" name="IQ_EST_EPS_GROWTH_Q_1YR_THOM" vbProcedure="false">"c5155"</definedName>
    <definedName function="false" hidden="true" name="IQ_EST_EPS_GW_DIFF" vbProcedure="false">"c1891"</definedName>
    <definedName function="false" hidden="true" name="IQ_EST_EPS_GW_DIFF_CIQ" vbProcedure="false">"c4761"</definedName>
    <definedName function="false" hidden="true" name="IQ_EST_EPS_GW_DIFF_REUT" vbProcedure="false">"c5429"</definedName>
    <definedName function="false" hidden="true" name="IQ_EST_EPS_GW_DIFF_THOM" vbProcedure="false">"c5200"</definedName>
    <definedName function="false" hidden="true" name="IQ_EST_EPS_GW_SURPRISE_PERCENT" vbProcedure="false">"c1892"</definedName>
    <definedName function="false" hidden="true" name="IQ_EST_EPS_GW_SURPRISE_PERCENT_CIQ" vbProcedure="false">"c4762"</definedName>
    <definedName function="false" hidden="true" name="IQ_EST_EPS_GW_SURPRISE_PERCENT_REUT" vbProcedure="false">"c5430"</definedName>
    <definedName function="false" hidden="true" name="IQ_EST_EPS_GW_SURPRISE_PERCENT_THOM" vbProcedure="false">"c5201"</definedName>
    <definedName function="false" hidden="true" name="IQ_EST_EPS_NORM_DIFF" vbProcedure="false">"c2247"</definedName>
    <definedName function="false" hidden="true" name="IQ_EST_EPS_NORM_DIFF_CIQ" vbProcedure="false">"c4745"</definedName>
    <definedName function="false" hidden="true" name="IQ_EST_EPS_NORM_DIFF_REUT" vbProcedure="false">"c5411"</definedName>
    <definedName function="false" hidden="true" name="IQ_EST_EPS_NORM_SURPRISE_PERCENT" vbProcedure="false">"c2248"</definedName>
    <definedName function="false" hidden="true" name="IQ_EST_EPS_NORM_SURPRISE_PERCENT_CIQ" vbProcedure="false">"c4746"</definedName>
    <definedName function="false" hidden="true" name="IQ_EST_EPS_NORM_SURPRISE_PERCENT_REUT" vbProcedure="false">"c5412"</definedName>
    <definedName function="false" hidden="true" name="IQ_EST_EPS_REPORT_DIFF" vbProcedure="false">"c1893"</definedName>
    <definedName function="false" hidden="true" name="IQ_EST_EPS_REPORT_DIFF_CIQ" vbProcedure="false">"c4763"</definedName>
    <definedName function="false" hidden="true" name="IQ_EST_EPS_REPORT_DIFF_REUT" vbProcedure="false">"c5431"</definedName>
    <definedName function="false" hidden="true" name="IQ_EST_EPS_REPORT_DIFF_THOM" vbProcedure="false">"c5202"</definedName>
    <definedName function="false" hidden="true" name="IQ_EST_EPS_REPORT_SURPRISE_PERCENT" vbProcedure="false">"c1894"</definedName>
    <definedName function="false" hidden="true" name="IQ_EST_EPS_REPORT_SURPRISE_PERCENT_CIQ" vbProcedure="false">"c4764"</definedName>
    <definedName function="false" hidden="true" name="IQ_EST_EPS_REPORT_SURPRISE_PERCENT_REUT" vbProcedure="false">"c5432"</definedName>
    <definedName function="false" hidden="true" name="IQ_EST_EPS_REPORT_SURPRISE_PERCENT_THOM" vbProcedure="false">"c5203"</definedName>
    <definedName function="false" hidden="true" name="IQ_EST_EPS_SBC_DIFF" vbProcedure="false">"c4374"</definedName>
    <definedName function="false" hidden="true" name="IQ_EST_EPS_SBC_GW_DIFF" vbProcedure="false">"c4378"</definedName>
    <definedName function="false" hidden="true" name="IQ_EST_EPS_SBC_GW_SURPRISE_PERCENT" vbProcedure="false">"c4387"</definedName>
    <definedName function="false" hidden="true" name="IQ_EST_EPS_SBC_SURPRISE_PERCENT" vbProcedure="false">"c4393"</definedName>
    <definedName function="false" hidden="true" name="IQ_EST_EPS_SEQ_GROWTH_Q" vbProcedure="false">"c1764"</definedName>
    <definedName function="false" hidden="true" name="IQ_EST_EPS_SEQ_GROWTH_Q_CIQ" vbProcedure="false">"c3690"</definedName>
    <definedName function="false" hidden="true" name="IQ_EST_EPS_SEQ_GROWTH_Q_REUT" vbProcedure="false">"c3859"</definedName>
    <definedName function="false" hidden="true" name="IQ_EST_EPS_SEQ_GROWTH_Q_THOM" vbProcedure="false">"c5156"</definedName>
    <definedName function="false" hidden="true" name="IQ_EST_EPS_SURPRISE" vbProcedure="false">"c1635"</definedName>
    <definedName function="false" hidden="true" name="IQ_EST_EPS_SURPRISE_PERCENT" vbProcedure="false">"c1635"</definedName>
    <definedName function="false" hidden="true" name="IQ_EST_EPS_SURPRISE_PERCENT_CIQ" vbProcedure="false">"c5000"</definedName>
    <definedName function="false" hidden="true" name="IQ_EST_EPS_SURPRISE_PERCENT_REUT" vbProcedure="false">"c5459"</definedName>
    <definedName function="false" hidden="true" name="IQ_EST_EPS_SURPRISE_PERCENT_THOM" vbProcedure="false">"c5296"</definedName>
    <definedName function="false" hidden="true" name="IQ_EST_FAIR_VALUE_MORT_SERVICING_ASSETS_FFIEC" vbProcedure="false">"c12956"</definedName>
    <definedName function="false" hidden="true" name="IQ_EST_FFO_ADJ_DIFF" vbProcedure="false">"c4433"</definedName>
    <definedName function="false" hidden="true" name="IQ_EST_FFO_ADJ_GROWTH_1YR" vbProcedure="false">"c4421"</definedName>
    <definedName function="false" hidden="true" name="IQ_EST_FFO_ADJ_GROWTH_2YR" vbProcedure="false">"c4422"</definedName>
    <definedName function="false" hidden="true" name="IQ_EST_FFO_ADJ_GROWTH_Q_1YR" vbProcedure="false">"c4423"</definedName>
    <definedName function="false" hidden="true" name="IQ_EST_FFO_ADJ_SEQ_GROWTH_Q" vbProcedure="false">"c4424"</definedName>
    <definedName function="false" hidden="true" name="IQ_EST_FFO_ADJ_SURPRISE_PERCENT" vbProcedure="false">"c4442"</definedName>
    <definedName function="false" hidden="true" name="IQ_EST_FFO_DIFF" vbProcedure="false">"c4444"</definedName>
    <definedName function="false" hidden="true" name="IQ_EST_FFO_DIFF_REUT" vbProcedure="false">"c3890"</definedName>
    <definedName function="false" hidden="true" name="IQ_EST_FFO_DIFF_THOM" vbProcedure="false">"c5186"</definedName>
    <definedName function="false" hidden="true" name="IQ_EST_FFO_GROWTH_1YR" vbProcedure="false">"c4425"</definedName>
    <definedName function="false" hidden="true" name="IQ_EST_FFO_GROWTH_1YR_REUT" vbProcedure="false">"c3874"</definedName>
    <definedName function="false" hidden="true" name="IQ_EST_FFO_GROWTH_1YR_THOM" vbProcedure="false">"c5170"</definedName>
    <definedName function="false" hidden="true" name="IQ_EST_FFO_GROWTH_2YR" vbProcedure="false">"c4426"</definedName>
    <definedName function="false" hidden="true" name="IQ_EST_FFO_GROWTH_2YR_REUT" vbProcedure="false">"c3875"</definedName>
    <definedName function="false" hidden="true" name="IQ_EST_FFO_GROWTH_2YR_THOM" vbProcedure="false">"c5171"</definedName>
    <definedName function="false" hidden="true" name="IQ_EST_FFO_GROWTH_Q_1YR" vbProcedure="false">"c4427"</definedName>
    <definedName function="false" hidden="true" name="IQ_EST_FFO_GROWTH_Q_1YR_REUT" vbProcedure="false">"c3876"</definedName>
    <definedName function="false" hidden="true" name="IQ_EST_FFO_GROWTH_Q_1YR_THOM" vbProcedure="false">"c5172"</definedName>
    <definedName function="false" hidden="true" name="IQ_EST_FFO_SEQ_GROWTH_Q" vbProcedure="false">"c4428"</definedName>
    <definedName function="false" hidden="true" name="IQ_EST_FFO_SEQ_GROWTH_Q_REUT" vbProcedure="false">"c3877"</definedName>
    <definedName function="false" hidden="true" name="IQ_EST_FFO_SEQ_GROWTH_Q_THOM" vbProcedure="false">"c5173"</definedName>
    <definedName function="false" hidden="true" name="IQ_EST_FFO_SHARE_DIFF" vbProcedure="false">"c1869"</definedName>
    <definedName function="false" hidden="true" name="IQ_EST_FFO_SHARE_DIFF_THOM" vbProcedure="false">"c5186"</definedName>
    <definedName function="false" hidden="true" name="IQ_EST_FFO_SHARE_GROWTH_1YR" vbProcedure="false">"c1770"</definedName>
    <definedName function="false" hidden="true" name="IQ_EST_FFO_SHARE_GROWTH_2YR" vbProcedure="false">"c1771"</definedName>
    <definedName function="false" hidden="true" name="IQ_EST_FFO_SHARE_GROWTH_Q_1YR" vbProcedure="false">"c1772"</definedName>
    <definedName function="false" hidden="true" name="IQ_EST_FFO_SHARE_SEQ_GROWTH_Q" vbProcedure="false">"c1773"</definedName>
    <definedName function="false" hidden="true" name="IQ_EST_FFO_SHARE_SHARE_DIFF_REUT" vbProcedure="false">"c3890"</definedName>
    <definedName function="false" hidden="true" name="IQ_EST_FFO_SHARE_SHARE_DIFF_THOM" vbProcedure="false">"c5186"</definedName>
    <definedName function="false" hidden="true" name="IQ_EST_FFO_SHARE_SHARE_SURPRISE_PERCENT_REUT" vbProcedure="false">"c3891"</definedName>
    <definedName function="false" hidden="true" name="IQ_EST_FFO_SHARE_SHARE_SURPRISE_PERCENT_THOM" vbProcedure="false">"c5187"</definedName>
    <definedName function="false" hidden="true" name="IQ_EST_FFO_SHARE_SURPRISE_PERCENT" vbProcedure="false">"c1870"</definedName>
    <definedName function="false" hidden="true" name="IQ_EST_FFO_SHARE_SURPRISE_PERCENT_THOM" vbProcedure="false">"c5187"</definedName>
    <definedName function="false" hidden="true" name="IQ_EST_FFO_SURPRISE_PERCENT" vbProcedure="false">"c4453"</definedName>
    <definedName function="false" hidden="true" name="IQ_EST_FFO_SURPRISE_PERCENT_REUT" vbProcedure="false">"c3891"</definedName>
    <definedName function="false" hidden="true" name="IQ_EST_FFO_SURPRISE_PERCENT_THOM" vbProcedure="false">"c5187"</definedName>
    <definedName function="false" hidden="true" name="IQ_EST_FOOTNOTE" vbProcedure="false">"c4540"</definedName>
    <definedName function="false" hidden="true" name="IQ_EST_FOOTNOTE_CIQ" vbProcedure="false">"c12022"</definedName>
    <definedName function="false" hidden="true" name="IQ_EST_FOOTNOTE_REUT" vbProcedure="false">"c5478"</definedName>
    <definedName function="false" hidden="true" name="IQ_EST_FOOTNOTE_THOM" vbProcedure="false">"c5313"</definedName>
    <definedName function="false" hidden="true" name="IQ_EST_MAINT_CAPEX_DIFF" vbProcedure="false">"c4456"</definedName>
    <definedName function="false" hidden="true" name="IQ_EST_MAINT_CAPEX_GROWTH_1YR" vbProcedure="false">"c4429"</definedName>
    <definedName function="false" hidden="true" name="IQ_EST_MAINT_CAPEX_GROWTH_2YR" vbProcedure="false">"c4430"</definedName>
    <definedName function="false" hidden="true" name="IQ_EST_MAINT_CAPEX_GROWTH_Q_1YR" vbProcedure="false">"c4431"</definedName>
    <definedName function="false" hidden="true" name="IQ_EST_MAINT_CAPEX_SEQ_GROWTH_Q" vbProcedure="false">"c4432"</definedName>
    <definedName function="false" hidden="true" name="IQ_EST_MAINT_CAPEX_SURPRISE_PERCENT" vbProcedure="false">"c4465"</definedName>
    <definedName function="false" hidden="true" name="IQ_EST_NAV_DIFF" vbProcedure="false">"c1895"</definedName>
    <definedName function="false" hidden="true" name="IQ_EST_NAV_SHARE_SURPRISE_PERCENT" vbProcedure="false">"c1896"</definedName>
    <definedName function="false" hidden="true" name="IQ_EST_NAV_SURPRISE_PERCENT" vbProcedure="false">"c12040"</definedName>
    <definedName function="false" hidden="true" name="IQ_EST_NET_DEBT_DIFF" vbProcedure="false">"c4466"</definedName>
    <definedName function="false" hidden="true" name="IQ_EST_NET_DEBT_SURPRISE_PERCENT" vbProcedure="false">"c4468"</definedName>
    <definedName function="false" hidden="true" name="IQ_EST_NEXT_EARNINGS_DATE" vbProcedure="false">"c13591"</definedName>
    <definedName function="false" hidden="true" name="IQ_EST_NI_DIFF" vbProcedure="false">"c1885"</definedName>
    <definedName function="false" hidden="true" name="IQ_EST_NI_DIFF_REUT" vbProcedure="false">"c5423"</definedName>
    <definedName function="false" hidden="true" name="IQ_EST_NI_DIFF_THOM" vbProcedure="false">"c5198"</definedName>
    <definedName function="false" hidden="true" name="IQ_EST_NI_GW_DIFF" vbProcedure="false">"c1887"</definedName>
    <definedName function="false" hidden="true" name="IQ_EST_NI_GW_DIFF_REUT" vbProcedure="false">"c5425"</definedName>
    <definedName function="false" hidden="true" name="IQ_EST_NI_GW_SURPRISE_PERCENT" vbProcedure="false">"c1888"</definedName>
    <definedName function="false" hidden="true" name="IQ_EST_NI_GW_SURPRISE_PERCENT_REUT" vbProcedure="false">"c5426"</definedName>
    <definedName function="false" hidden="true" name="IQ_EST_NI_REPORT_DIFF" vbProcedure="false">"c1889"</definedName>
    <definedName function="false" hidden="true" name="IQ_EST_NI_REPORT_DIFF_REUT" vbProcedure="false">"c5427"</definedName>
    <definedName function="false" hidden="true" name="IQ_EST_NI_REPORT_SURPRISE_PERCENT" vbProcedure="false">"c1890"</definedName>
    <definedName function="false" hidden="true" name="IQ_EST_NI_REPORT_SURPRISE_PERCENT_REUT" vbProcedure="false">"c5428"</definedName>
    <definedName function="false" hidden="true" name="IQ_EST_NI_SBC_DIFF" vbProcedure="false">"c4472"</definedName>
    <definedName function="false" hidden="true" name="IQ_EST_NI_SBC_GW_DIFF" vbProcedure="false">"c4476"</definedName>
    <definedName function="false" hidden="true" name="IQ_EST_NI_SBC_GW_SURPRISE_PERCENT" vbProcedure="false">"c4485"</definedName>
    <definedName function="false" hidden="true" name="IQ_EST_NI_SBC_SURPRISE_PERCENT" vbProcedure="false">"c4491"</definedName>
    <definedName function="false" hidden="true" name="IQ_EST_NI_SURPRISE_PERCENT" vbProcedure="false">"c1886"</definedName>
    <definedName function="false" hidden="true" name="IQ_EST_NI_SURPRISE_PERCENT_REUT" vbProcedure="false">"c5424"</definedName>
    <definedName function="false" hidden="true" name="IQ_EST_NI_SURPRISE_PERCENT_THOM" vbProcedure="false">"c5199"</definedName>
    <definedName function="false" hidden="true" name="IQ_EST_NUM_BUY" vbProcedure="false">"c1759"</definedName>
    <definedName function="false" hidden="true" name="IQ_EST_NUM_HIGHEST_REC" vbProcedure="false">"c5648"</definedName>
    <definedName function="false" hidden="true" name="IQ_EST_NUM_HIGHEST_REC_CIQ" vbProcedure="false">"c3700"</definedName>
    <definedName function="false" hidden="true" name="IQ_EST_NUM_HIGHEST_REC_REUT" vbProcedure="false">"c3869"</definedName>
    <definedName function="false" hidden="true" name="IQ_EST_NUM_HIGHEST_REC_THOM" vbProcedure="false">"c5165"</definedName>
    <definedName function="false" hidden="true" name="IQ_EST_NUM_HIGH_REC" vbProcedure="false">"c5649"</definedName>
    <definedName function="false" hidden="true" name="IQ_EST_NUM_HIGH_REC_CIQ" vbProcedure="false">"c3701"</definedName>
    <definedName function="false" hidden="true" name="IQ_EST_NUM_HIGH_REC_REUT" vbProcedure="false">"c3870"</definedName>
    <definedName function="false" hidden="true" name="IQ_EST_NUM_HIGH_REC_THOM" vbProcedure="false">"c5166"</definedName>
    <definedName function="false" hidden="true" name="IQ_EST_NUM_HOLD" vbProcedure="false">"c1761"</definedName>
    <definedName function="false" hidden="true" name="IQ_EST_NUM_LOWEST_REC" vbProcedure="false">"c5652"</definedName>
    <definedName function="false" hidden="true" name="IQ_EST_NUM_LOWEST_REC_CIQ" vbProcedure="false">"c3704"</definedName>
    <definedName function="false" hidden="true" name="IQ_EST_NUM_LOWEST_REC_REUT" vbProcedure="false">"c3873"</definedName>
    <definedName function="false" hidden="true" name="IQ_EST_NUM_LOWEST_REC_THOM" vbProcedure="false">"c5169"</definedName>
    <definedName function="false" hidden="true" name="IQ_EST_NUM_LOW_REC" vbProcedure="false">"c5651"</definedName>
    <definedName function="false" hidden="true" name="IQ_EST_NUM_LOW_REC_CIQ" vbProcedure="false">"c3703"</definedName>
    <definedName function="false" hidden="true" name="IQ_EST_NUM_LOW_REC_REUT" vbProcedure="false">"c3872"</definedName>
    <definedName function="false" hidden="true" name="IQ_EST_NUM_LOW_REC_THOM" vbProcedure="false">"c5168"</definedName>
    <definedName function="false" hidden="true" name="IQ_EST_NUM_NEUTRAL_REC" vbProcedure="false">"c5650"</definedName>
    <definedName function="false" hidden="true" name="IQ_EST_NUM_NEUTRAL_REC_CIQ" vbProcedure="false">"c3702"</definedName>
    <definedName function="false" hidden="true" name="IQ_EST_NUM_NEUTRAL_REC_REUT" vbProcedure="false">"c3871"</definedName>
    <definedName function="false" hidden="true" name="IQ_EST_NUM_NEUTRAL_REC_THOM" vbProcedure="false">"c5167"</definedName>
    <definedName function="false" hidden="true" name="IQ_EST_NUM_NO_OPINION" vbProcedure="false">"c1758"</definedName>
    <definedName function="false" hidden="true" name="IQ_EST_NUM_NO_OPINION_CIQ" vbProcedure="false">"c3699"</definedName>
    <definedName function="false" hidden="true" name="IQ_EST_NUM_NO_OPINION_REUT" vbProcedure="false">"c3868"</definedName>
    <definedName function="false" hidden="true" name="IQ_EST_NUM_OUTPERFORM" vbProcedure="false">"c1760"</definedName>
    <definedName function="false" hidden="true" name="IQ_EST_NUM_SELL" vbProcedure="false">"c1763"</definedName>
    <definedName function="false" hidden="true" name="IQ_EST_NUM_UNDERPERFORM" vbProcedure="false">"c1762"</definedName>
    <definedName function="false" hidden="true" name="IQ_EST_OPER_INC_DIFF" vbProcedure="false">"c1877"</definedName>
    <definedName function="false" hidden="true" name="IQ_EST_OPER_INC_DIFF_REUT" vbProcedure="false">"c5415"</definedName>
    <definedName function="false" hidden="true" name="IQ_EST_OPER_INC_DIFF_THOM" vbProcedure="false">"c5194"</definedName>
    <definedName function="false" hidden="true" name="IQ_EST_OPER_INC_SURPRISE_PERCENT" vbProcedure="false">"c1878"</definedName>
    <definedName function="false" hidden="true" name="IQ_EST_OPER_INC_SURPRISE_PERCENT_REUT" vbProcedure="false">"c5416"</definedName>
    <definedName function="false" hidden="true" name="IQ_EST_OPER_INC_SURPRISE_PERCENT_THOM" vbProcedure="false">"c5195"</definedName>
    <definedName function="false" hidden="true" name="IQ_EST_PERIOD_ID" vbProcedure="false">"c13923"</definedName>
    <definedName function="false" hidden="true" name="IQ_EST_PRE_TAX_DIFF" vbProcedure="false">"c1879"</definedName>
    <definedName function="false" hidden="true" name="IQ_EST_PRE_TAX_DIFF_REUT" vbProcedure="false">"c5417"</definedName>
    <definedName function="false" hidden="true" name="IQ_EST_PRE_TAX_DIFF_THOM" vbProcedure="false">"c5196"</definedName>
    <definedName function="false" hidden="true" name="IQ_EST_PRE_TAX_GW_DIFF" vbProcedure="false">"c1881"</definedName>
    <definedName function="false" hidden="true" name="IQ_EST_PRE_TAX_GW_DIFF_REUT" vbProcedure="false">"c5419"</definedName>
    <definedName function="false" hidden="true" name="IQ_EST_PRE_TAX_GW_SURPRISE_PERCENT" vbProcedure="false">"c1882"</definedName>
    <definedName function="false" hidden="true" name="IQ_EST_PRE_TAX_GW_SURPRISE_PERCENT_REUT" vbProcedure="false">"c5420"</definedName>
    <definedName function="false" hidden="true" name="IQ_EST_PRE_TAX_REPORT_DIFF" vbProcedure="false">"c1883"</definedName>
    <definedName function="false" hidden="true" name="IQ_EST_PRE_TAX_REPORT_DIFF_REUT" vbProcedure="false">"c5421"</definedName>
    <definedName function="false" hidden="true" name="IQ_EST_PRE_TAX_REPORT_SURPRISE_PERCENT" vbProcedure="false">"c1884"</definedName>
    <definedName function="false" hidden="true" name="IQ_EST_PRE_TAX_REPORT_SURPRISE_PERCENT_REUT" vbProcedure="false">"c5422"</definedName>
    <definedName function="false" hidden="true" name="IQ_EST_PRE_TAX_SURPRISE_PERCENT" vbProcedure="false">"c1880"</definedName>
    <definedName function="false" hidden="true" name="IQ_EST_PRE_TAX_SURPRISE_PERCENT_REUT" vbProcedure="false">"c5418"</definedName>
    <definedName function="false" hidden="true" name="IQ_EST_PRE_TAX_SURPRISE_PERCENT_THOM" vbProcedure="false">"c5197"</definedName>
    <definedName function="false" hidden="true" name="IQ_EST_RECURRING_PROFIT_SHARE_DIFF" vbProcedure="false">"c4505"</definedName>
    <definedName function="false" hidden="true" name="IQ_EST_RECURRING_PROFIT_SHARE_SURPRISE_PERCENT" vbProcedure="false">"c4515"</definedName>
    <definedName function="false" hidden="true" name="IQ_EST_REV_DIFF" vbProcedure="false">"c1865"</definedName>
    <definedName function="false" hidden="true" name="IQ_EST_REV_DIFF_CIQ" vbProcedure="false">"c3717"</definedName>
    <definedName function="false" hidden="true" name="IQ_EST_REV_DIFF_REUT" vbProcedure="false">"c3886"</definedName>
    <definedName function="false" hidden="true" name="IQ_EST_REV_DIFF_THOM" vbProcedure="false">"c5182"</definedName>
    <definedName function="false" hidden="true" name="IQ_EST_REV_GROWTH_1YR" vbProcedure="false">"c1638"</definedName>
    <definedName function="false" hidden="true" name="IQ_EST_REV_GROWTH_1YR_CIQ" vbProcedure="false">"c3691"</definedName>
    <definedName function="false" hidden="true" name="IQ_EST_REV_GROWTH_1YR_REUT" vbProcedure="false">"c3860"</definedName>
    <definedName function="false" hidden="true" name="IQ_EST_REV_GROWTH_1YR_THOM" vbProcedure="false">"c5157"</definedName>
    <definedName function="false" hidden="true" name="IQ_EST_REV_GROWTH_2YR" vbProcedure="false">"c1639"</definedName>
    <definedName function="false" hidden="true" name="IQ_EST_REV_GROWTH_2YR_CIQ" vbProcedure="false">"c3692"</definedName>
    <definedName function="false" hidden="true" name="IQ_EST_REV_GROWTH_2YR_REUT" vbProcedure="false">"c3861"</definedName>
    <definedName function="false" hidden="true" name="IQ_EST_REV_GROWTH_2YR_THOM" vbProcedure="false">"c5158"</definedName>
    <definedName function="false" hidden="true" name="IQ_EST_REV_GROWTH_Q_1YR" vbProcedure="false">"c1640"</definedName>
    <definedName function="false" hidden="true" name="IQ_EST_REV_GROWTH_Q_1YR_CIQ" vbProcedure="false">"c3693"</definedName>
    <definedName function="false" hidden="true" name="IQ_EST_REV_GROWTH_Q_1YR_REUT" vbProcedure="false">"c3862"</definedName>
    <definedName function="false" hidden="true" name="IQ_EST_REV_GROWTH_Q_1YR_THOM" vbProcedure="false">"c5159"</definedName>
    <definedName function="false" hidden="true" name="IQ_EST_REV_SEQ_GROWTH_Q" vbProcedure="false">"c1765"</definedName>
    <definedName function="false" hidden="true" name="IQ_EST_REV_SEQ_GROWTH_Q_CIQ" vbProcedure="false">"c3694"</definedName>
    <definedName function="false" hidden="true" name="IQ_EST_REV_SEQ_GROWTH_Q_REUT" vbProcedure="false">"c3863"</definedName>
    <definedName function="false" hidden="true" name="IQ_EST_REV_SEQ_GROWTH_Q_THOM" vbProcedure="false">"c5160"</definedName>
    <definedName function="false" hidden="true" name="IQ_EST_REV_SURPRISE_PERCENT" vbProcedure="false">"c1866"</definedName>
    <definedName function="false" hidden="true" name="IQ_EST_REV_SURPRISE_PERCENT_CIQ" vbProcedure="false">"c3718"</definedName>
    <definedName function="false" hidden="true" name="IQ_EST_REV_SURPRISE_PERCENT_REUT" vbProcedure="false">"c3887"</definedName>
    <definedName function="false" hidden="true" name="IQ_EST_REV_SURPRISE_PERCENT_THOM" vbProcedure="false">"c5183"</definedName>
    <definedName function="false" hidden="true" name="IQ_EST_VENDOR" vbProcedure="false">"c5564"</definedName>
    <definedName function="false" hidden="true" name="IQ_EVAL_DATE" vbProcedure="false">"c2180"</definedName>
    <definedName function="false" hidden="true" name="IQ_EVENT_ADDRESS" vbProcedure="false">"c19167"</definedName>
    <definedName function="false" hidden="true" name="IQ_EVENT_ADVISORS" vbProcedure="false">"c19147"</definedName>
    <definedName function="false" hidden="true" name="IQ_EVENT_AGENDA" vbProcedure="false">"c19168"</definedName>
    <definedName function="false" hidden="true" name="IQ_EVENT_CALL_DESCRIPTION" vbProcedure="false">"c19154"</definedName>
    <definedName function="false" hidden="true" name="IQ_EVENT_CONTACT" vbProcedure="false">"c19160"</definedName>
    <definedName function="false" hidden="true" name="IQ_EVENT_DATE" vbProcedure="false">"c13819"</definedName>
    <definedName function="false" hidden="true" name="IQ_EVENT_EMAIL" vbProcedure="false">"c19162"</definedName>
    <definedName function="false" hidden="true" name="IQ_EVENT_ID" vbProcedure="false">"c13818"</definedName>
    <definedName function="false" hidden="true" name="IQ_EVENT_LIVE_AUDIO_DETAILS_WEBCAST_URL" vbProcedure="false">"c19153"</definedName>
    <definedName function="false" hidden="true" name="IQ_EVENT_LIVE_OTHER_PASSCODE" vbProcedure="false">"c19152"</definedName>
    <definedName function="false" hidden="true" name="IQ_EVENT_LIVE_OTHER_PHONE_NUMBER" vbProcedure="false">"c19151"</definedName>
    <definedName function="false" hidden="true" name="IQ_EVENT_LIVE_PASSCODE" vbProcedure="false">"c19150"</definedName>
    <definedName function="false" hidden="true" name="IQ_EVENT_LIVE_PHONE_NUMBER" vbProcedure="false">"c19149"</definedName>
    <definedName function="false" hidden="true" name="IQ_EVENT_MARKETINDICATOR" vbProcedure="false">"c19166"</definedName>
    <definedName function="false" hidden="true" name="IQ_EVENT_OTHER_CONTACT" vbProcedure="false">"c19163"</definedName>
    <definedName function="false" hidden="true" name="IQ_EVENT_OTHER_CONTACT_EMAIL" vbProcedure="false">"c19165"</definedName>
    <definedName function="false" hidden="true" name="IQ_EVENT_OTHER_CONTACT_PHONE" vbProcedure="false">"c19164"</definedName>
    <definedName function="false" hidden="true" name="IQ_EVENT_PHONE" vbProcedure="false">"c19161"</definedName>
    <definedName function="false" hidden="true" name="IQ_EVENT_REPLAY_AUDIO_DETAILS_WEBCAST_URL" vbProcedure="false">"c19159"</definedName>
    <definedName function="false" hidden="true" name="IQ_EVENT_REPLAY_BEGINS" vbProcedure="false">"c19157"</definedName>
    <definedName function="false" hidden="true" name="IQ_EVENT_REPLAY_ENDS" vbProcedure="false">"c19158"</definedName>
    <definedName function="false" hidden="true" name="IQ_EVENT_REPLAY_PASSCODE" vbProcedure="false">"c19156"</definedName>
    <definedName function="false" hidden="true" name="IQ_EVENT_REPLAY_PHONE_NUMBER" vbProcedure="false">"c19155"</definedName>
    <definedName function="false" hidden="true" name="IQ_EVENT_SITUATION" vbProcedure="false">"c19148"</definedName>
    <definedName function="false" hidden="true" name="IQ_EVENT_SOURCE" vbProcedure="false">"c19146"</definedName>
    <definedName function="false" hidden="true" name="IQ_EVENT_TIME" vbProcedure="false">"c13820"</definedName>
    <definedName function="false" hidden="true" name="IQ_EVENT_TYPE" vbProcedure="false">"c13821"</definedName>
    <definedName function="false" hidden="true" name="IQ_EV_OVER_EMPLOYEE" vbProcedure="false">"c1428"</definedName>
    <definedName function="false" hidden="true" name="IQ_EV_OVER_LTM_EBIT" vbProcedure="false">"c1426"</definedName>
    <definedName function="false" hidden="true" name="IQ_EV_OVER_LTM_EBITDA" vbProcedure="false">"c1427"</definedName>
    <definedName function="false" hidden="true" name="IQ_EV_OVER_LTM_REVENUE" vbProcedure="false">"c1429"</definedName>
    <definedName function="false" hidden="true" name="IQ_EV_OVER_REVENUE_EST" vbProcedure="false">"IQ_EV_OVER_REVENUE_EST"</definedName>
    <definedName function="false" hidden="true" name="IQ_EV_OVER_REVENUE_EST_1" vbProcedure="false">"IQ_EV_OVER_REVENUE_EST_1"</definedName>
    <definedName function="false" hidden="true" name="IQ_EXCHANGE" vbProcedure="false">"c405"</definedName>
    <definedName function="false" hidden="true" name="IQ_EXCISE_TAXES_EXCL_SALES" vbProcedure="false">"c5515"</definedName>
    <definedName function="false" hidden="true" name="IQ_EXCISE_TAXES_INCL_SALES" vbProcedure="false">"c5514"</definedName>
    <definedName function="false" hidden="true" name="IQ_EXERCISED" vbProcedure="false">"c406"</definedName>
    <definedName function="false" hidden="true" name="IQ_EXERCISE_PRICE" vbProcedure="false">"c1897"</definedName>
    <definedName function="false" hidden="true" name="IQ_EXPENSES_AP" vbProcedure="false">"c8875"</definedName>
    <definedName function="false" hidden="true" name="IQ_EXPENSES_AP_ABS" vbProcedure="false">"c8894"</definedName>
    <definedName function="false" hidden="true" name="IQ_EXPENSES_FIXED_ASSETS_FFIEC" vbProcedure="false">"c13024"</definedName>
    <definedName function="false" hidden="true" name="IQ_EXPENSES_NAME_AP" vbProcedure="false">"c8913"</definedName>
    <definedName function="false" hidden="true" name="IQ_EXPENSES_NAME_AP_ABS" vbProcedure="false">"c8932"</definedName>
    <definedName function="false" hidden="true" name="IQ_EXPENSE_REIMBURSEMENTS" vbProcedure="false">"c16020"</definedName>
    <definedName function="false" hidden="true" name="IQ_EXPLORATION_EXPENDITURE_ALUM" vbProcedure="false">"c9255"</definedName>
    <definedName function="false" hidden="true" name="IQ_EXPLORATION_EXPENDITURE_COAL" vbProcedure="false">"c9827"</definedName>
    <definedName function="false" hidden="true" name="IQ_EXPLORATION_EXPENDITURE_COP" vbProcedure="false">"c9202"</definedName>
    <definedName function="false" hidden="true" name="IQ_EXPLORATION_EXPENDITURE_DIAM" vbProcedure="false">"c9679"</definedName>
    <definedName function="false" hidden="true" name="IQ_EXPLORATION_EXPENDITURE_GOLD" vbProcedure="false">"c9040"</definedName>
    <definedName function="false" hidden="true" name="IQ_EXPLORATION_EXPENDITURE_IRON" vbProcedure="false">"c9414"</definedName>
    <definedName function="false" hidden="true" name="IQ_EXPLORATION_EXPENDITURE_LEAD" vbProcedure="false">"c9467"</definedName>
    <definedName function="false" hidden="true" name="IQ_EXPLORATION_EXPENDITURE_MANG" vbProcedure="false">"c9520"</definedName>
    <definedName function="false" hidden="true" name="IQ_EXPLORATION_EXPENDITURE_MOLYB" vbProcedure="false">"c9732"</definedName>
    <definedName function="false" hidden="true" name="IQ_EXPLORATION_EXPENDITURE_NICK" vbProcedure="false">"c9308"</definedName>
    <definedName function="false" hidden="true" name="IQ_EXPLORATION_EXPENDITURE_PLAT" vbProcedure="false">"c9146"</definedName>
    <definedName function="false" hidden="true" name="IQ_EXPLORATION_EXPENDITURE_SILVER" vbProcedure="false">"c9093"</definedName>
    <definedName function="false" hidden="true" name="IQ_EXPLORATION_EXPENDITURE_TITAN" vbProcedure="false">"c9573"</definedName>
    <definedName function="false" hidden="true" name="IQ_EXPLORATION_EXPENDITURE_URAN" vbProcedure="false">"c9626"</definedName>
    <definedName function="false" hidden="true" name="IQ_EXPLORATION_EXPENDITURE_ZINC" vbProcedure="false">"c9361"</definedName>
    <definedName function="false" hidden="true" name="IQ_EXPLORE_DRILL" vbProcedure="false">"c409"</definedName>
    <definedName function="false" hidden="true" name="IQ_EXPLORE_DRILL_EXP_TOTAL" vbProcedure="false">"c13850"</definedName>
    <definedName function="false" hidden="true" name="IQ_EXPORTS_APR_FC_UNUSED" vbProcedure="false">"c8401"</definedName>
    <definedName function="false" hidden="true" name="IQ_EXPORTS_APR_UNUSED" vbProcedure="false">"c7521"</definedName>
    <definedName function="false" hidden="true" name="IQ_EXPORTS_FACTOR_SERVICES" vbProcedure="false">"c6862"</definedName>
    <definedName function="false" hidden="true" name="IQ_EXPORTS_FACTOR_SERVICES_APR" vbProcedure="false">"c7522"</definedName>
    <definedName function="false" hidden="true" name="IQ_EXPORTS_FACTOR_SERVICES_APR_FC" vbProcedure="false">"c8402"</definedName>
    <definedName function="false" hidden="true" name="IQ_EXPORTS_FACTOR_SERVICES_FC" vbProcedure="false">"c7742"</definedName>
    <definedName function="false" hidden="true" name="IQ_EXPORTS_FACTOR_SERVICES_POP" vbProcedure="false">"c7082"</definedName>
    <definedName function="false" hidden="true" name="IQ_EXPORTS_FACTOR_SERVICES_POP_FC" vbProcedure="false">"c7962"</definedName>
    <definedName function="false" hidden="true" name="IQ_EXPORTS_FACTOR_SERVICES_SAAR" vbProcedure="false">"c6863"</definedName>
    <definedName function="false" hidden="true" name="IQ_EXPORTS_FACTOR_SERVICES_SAAR_APR" vbProcedure="false">"c7523"</definedName>
    <definedName function="false" hidden="true" name="IQ_EXPORTS_FACTOR_SERVICES_SAAR_APR_FC" vbProcedure="false">"c8403"</definedName>
    <definedName function="false" hidden="true" name="IQ_EXPORTS_FACTOR_SERVICES_SAAR_FC" vbProcedure="false">"c7743"</definedName>
    <definedName function="false" hidden="true" name="IQ_EXPORTS_FACTOR_SERVICES_SAAR_POP" vbProcedure="false">"c7083"</definedName>
    <definedName function="false" hidden="true" name="IQ_EXPORTS_FACTOR_SERVICES_SAAR_POP_FC" vbProcedure="false">"c7963"</definedName>
    <definedName function="false" hidden="true" name="IQ_EXPORTS_FACTOR_SERVICES_SAAR_USD_APR_FC" vbProcedure="false">"c11817"</definedName>
    <definedName function="false" hidden="true" name="IQ_EXPORTS_FACTOR_SERVICES_SAAR_USD_FC" vbProcedure="false">"c11814"</definedName>
    <definedName function="false" hidden="true" name="IQ_EXPORTS_FACTOR_SERVICES_SAAR_USD_POP_FC" vbProcedure="false">"c11815"</definedName>
    <definedName function="false" hidden="true" name="IQ_EXPORTS_FACTOR_SERVICES_SAAR_USD_YOY_FC" vbProcedure="false">"c11816"</definedName>
    <definedName function="false" hidden="true" name="IQ_EXPORTS_FACTOR_SERVICES_SAAR_YOY" vbProcedure="false">"c7303"</definedName>
    <definedName function="false" hidden="true" name="IQ_EXPORTS_FACTOR_SERVICES_SAAR_YOY_FC" vbProcedure="false">"c8183"</definedName>
    <definedName function="false" hidden="true" name="IQ_EXPORTS_FACTOR_SERVICES_USD_APR_FC" vbProcedure="false">"c11813"</definedName>
    <definedName function="false" hidden="true" name="IQ_EXPORTS_FACTOR_SERVICES_USD_FC" vbProcedure="false">"c11810"</definedName>
    <definedName function="false" hidden="true" name="IQ_EXPORTS_FACTOR_SERVICES_USD_POP_FC" vbProcedure="false">"c11811"</definedName>
    <definedName function="false" hidden="true" name="IQ_EXPORTS_FACTOR_SERVICES_USD_YOY_FC" vbProcedure="false">"c11812"</definedName>
    <definedName function="false" hidden="true" name="IQ_EXPORTS_FACTOR_SERVICES_YOY" vbProcedure="false">"c7302"</definedName>
    <definedName function="false" hidden="true" name="IQ_EXPORTS_FACTOR_SERVICES_YOY_FC" vbProcedure="false">"c8182"</definedName>
    <definedName function="false" hidden="true" name="IQ_EXPORTS_FC_UNUSED" vbProcedure="false">"c7741"</definedName>
    <definedName function="false" hidden="true" name="IQ_EXPORTS_GOODS" vbProcedure="false">"c6864"</definedName>
    <definedName function="false" hidden="true" name="IQ_EXPORTS_GOODS_APR" vbProcedure="false">"c7524"</definedName>
    <definedName function="false" hidden="true" name="IQ_EXPORTS_GOODS_APR_FC" vbProcedure="false">"c8404"</definedName>
    <definedName function="false" hidden="true" name="IQ_EXPORTS_GOODS_FC" vbProcedure="false">"c7744"</definedName>
    <definedName function="false" hidden="true" name="IQ_EXPORTS_GOODS_NONFACTOR_SERVICES" vbProcedure="false">"c6865"</definedName>
    <definedName function="false" hidden="true" name="IQ_EXPORTS_GOODS_NONFACTOR_SERVICES_APR" vbProcedure="false">"c7525"</definedName>
    <definedName function="false" hidden="true" name="IQ_EXPORTS_GOODS_NONFACTOR_SERVICES_APR_FC" vbProcedure="false">"c8405"</definedName>
    <definedName function="false" hidden="true" name="IQ_EXPORTS_GOODS_NONFACTOR_SERVICES_FC" vbProcedure="false">"c7745"</definedName>
    <definedName function="false" hidden="true" name="IQ_EXPORTS_GOODS_NONFACTOR_SERVICES_POP" vbProcedure="false">"c7085"</definedName>
    <definedName function="false" hidden="true" name="IQ_EXPORTS_GOODS_NONFACTOR_SERVICES_POP_FC" vbProcedure="false">"c7965"</definedName>
    <definedName function="false" hidden="true" name="IQ_EXPORTS_GOODS_NONFACTOR_SERVICES_YOY" vbProcedure="false">"c7305"</definedName>
    <definedName function="false" hidden="true" name="IQ_EXPORTS_GOODS_NONFACTOR_SERVICES_YOY_FC" vbProcedure="false">"c8185"</definedName>
    <definedName function="false" hidden="true" name="IQ_EXPORTS_GOODS_POP" vbProcedure="false">"c7084"</definedName>
    <definedName function="false" hidden="true" name="IQ_EXPORTS_GOODS_POP_FC" vbProcedure="false">"c7964"</definedName>
    <definedName function="false" hidden="true" name="IQ_EXPORTS_GOODS_REAL" vbProcedure="false">"c6973"</definedName>
    <definedName function="false" hidden="true" name="IQ_EXPORTS_GOODS_REAL_APR" vbProcedure="false">"c7633"</definedName>
    <definedName function="false" hidden="true" name="IQ_EXPORTS_GOODS_REAL_APR_FC" vbProcedure="false">"c8513"</definedName>
    <definedName function="false" hidden="true" name="IQ_EXPORTS_GOODS_REAL_FC" vbProcedure="false">"c7853"</definedName>
    <definedName function="false" hidden="true" name="IQ_EXPORTS_GOODS_REAL_POP" vbProcedure="false">"c7193"</definedName>
    <definedName function="false" hidden="true" name="IQ_EXPORTS_GOODS_REAL_POP_FC" vbProcedure="false">"c8073"</definedName>
    <definedName function="false" hidden="true" name="IQ_EXPORTS_GOODS_REAL_SAAR" vbProcedure="false">"c11930"</definedName>
    <definedName function="false" hidden="true" name="IQ_EXPORTS_GOODS_REAL_SAAR_APR" vbProcedure="false">"c11933"</definedName>
    <definedName function="false" hidden="true" name="IQ_EXPORTS_GOODS_REAL_SAAR_APR_FC_UNUSED" vbProcedure="false">"c8512"</definedName>
    <definedName function="false" hidden="true" name="IQ_EXPORTS_GOODS_REAL_SAAR_APR_UNUSED" vbProcedure="false">"c7632"</definedName>
    <definedName function="false" hidden="true" name="IQ_EXPORTS_GOODS_REAL_SAAR_FC_UNUSED" vbProcedure="false">"c7852"</definedName>
    <definedName function="false" hidden="true" name="IQ_EXPORTS_GOODS_REAL_SAAR_POP" vbProcedure="false">"c11931"</definedName>
    <definedName function="false" hidden="true" name="IQ_EXPORTS_GOODS_REAL_SAAR_POP_FC_UNUSED" vbProcedure="false">"c8072"</definedName>
    <definedName function="false" hidden="true" name="IQ_EXPORTS_GOODS_REAL_SAAR_POP_UNUSED" vbProcedure="false">"c7192"</definedName>
    <definedName function="false" hidden="true" name="IQ_EXPORTS_GOODS_REAL_SAAR_UNUSED" vbProcedure="false">"c6972"</definedName>
    <definedName function="false" hidden="true" name="IQ_EXPORTS_GOODS_REAL_SAAR_YOY" vbProcedure="false">"c11932"</definedName>
    <definedName function="false" hidden="true" name="IQ_EXPORTS_GOODS_REAL_SAAR_YOY_FC_UNUSED" vbProcedure="false">"c8292"</definedName>
    <definedName function="false" hidden="true" name="IQ_EXPORTS_GOODS_REAL_SAAR_YOY_UNUSED" vbProcedure="false">"c7412"</definedName>
    <definedName function="false" hidden="true" name="IQ_EXPORTS_GOODS_REAL_YOY" vbProcedure="false">"c7413"</definedName>
    <definedName function="false" hidden="true" name="IQ_EXPORTS_GOODS_REAL_YOY_FC" vbProcedure="false">"c8293"</definedName>
    <definedName function="false" hidden="true" name="IQ_EXPORTS_GOODS_SERVICES" vbProcedure="false">"c6866"</definedName>
    <definedName function="false" hidden="true" name="IQ_EXPORTS_GOODS_SERVICES_APR" vbProcedure="false">"c7526"</definedName>
    <definedName function="false" hidden="true" name="IQ_EXPORTS_GOODS_SERVICES_APR_FC" vbProcedure="false">"c8406"</definedName>
    <definedName function="false" hidden="true" name="IQ_EXPORTS_GOODS_SERVICES_FC" vbProcedure="false">"c7746"</definedName>
    <definedName function="false" hidden="true" name="IQ_EXPORTS_GOODS_SERVICES_POP" vbProcedure="false">"c7086"</definedName>
    <definedName function="false" hidden="true" name="IQ_EXPORTS_GOODS_SERVICES_POP_FC" vbProcedure="false">"c7966"</definedName>
    <definedName function="false" hidden="true" name="IQ_EXPORTS_GOODS_SERVICES_REAL" vbProcedure="false">"c6974"</definedName>
    <definedName function="false" hidden="true" name="IQ_EXPORTS_GOODS_SERVICES_REAL_APR" vbProcedure="false">"c7634"</definedName>
    <definedName function="false" hidden="true" name="IQ_EXPORTS_GOODS_SERVICES_REAL_APR_FC" vbProcedure="false">"c8514"</definedName>
    <definedName function="false" hidden="true" name="IQ_EXPORTS_GOODS_SERVICES_REAL_FC" vbProcedure="false">"c7854"</definedName>
    <definedName function="false" hidden="true" name="IQ_EXPORTS_GOODS_SERVICES_REAL_POP" vbProcedure="false">"c7194"</definedName>
    <definedName function="false" hidden="true" name="IQ_EXPORTS_GOODS_SERVICES_REAL_POP_FC" vbProcedure="false">"c8074"</definedName>
    <definedName function="false" hidden="true" name="IQ_EXPORTS_GOODS_SERVICES_REAL_SAAR" vbProcedure="false">"c6975"</definedName>
    <definedName function="false" hidden="true" name="IQ_EXPORTS_GOODS_SERVICES_REAL_SAAR_APR" vbProcedure="false">"c7635"</definedName>
    <definedName function="false" hidden="true" name="IQ_EXPORTS_GOODS_SERVICES_REAL_SAAR_APR_FC" vbProcedure="false">"c8515"</definedName>
    <definedName function="false" hidden="true" name="IQ_EXPORTS_GOODS_SERVICES_REAL_SAAR_FC" vbProcedure="false">"c7855"</definedName>
    <definedName function="false" hidden="true" name="IQ_EXPORTS_GOODS_SERVICES_REAL_SAAR_POP" vbProcedure="false">"c7195"</definedName>
    <definedName function="false" hidden="true" name="IQ_EXPORTS_GOODS_SERVICES_REAL_SAAR_POP_FC" vbProcedure="false">"c8075"</definedName>
    <definedName function="false" hidden="true" name="IQ_EXPORTS_GOODS_SERVICES_REAL_SAAR_YOY" vbProcedure="false">"c7415"</definedName>
    <definedName function="false" hidden="true" name="IQ_EXPORTS_GOODS_SERVICES_REAL_SAAR_YOY_FC" vbProcedure="false">"c8295"</definedName>
    <definedName function="false" hidden="true" name="IQ_EXPORTS_GOODS_SERVICES_REAL_USD" vbProcedure="false">"c11926"</definedName>
    <definedName function="false" hidden="true" name="IQ_EXPORTS_GOODS_SERVICES_REAL_USD_APR" vbProcedure="false">"c11929"</definedName>
    <definedName function="false" hidden="true" name="IQ_EXPORTS_GOODS_SERVICES_REAL_USD_POP" vbProcedure="false">"c11927"</definedName>
    <definedName function="false" hidden="true" name="IQ_EXPORTS_GOODS_SERVICES_REAL_USD_YOY" vbProcedure="false">"c11928"</definedName>
    <definedName function="false" hidden="true" name="IQ_EXPORTS_GOODS_SERVICES_REAL_YOY" vbProcedure="false">"c7414"</definedName>
    <definedName function="false" hidden="true" name="IQ_EXPORTS_GOODS_SERVICES_REAL_YOY_FC" vbProcedure="false">"c8294"</definedName>
    <definedName function="false" hidden="true" name="IQ_EXPORTS_GOODS_SERVICES_SAAR" vbProcedure="false">"c6867"</definedName>
    <definedName function="false" hidden="true" name="IQ_EXPORTS_GOODS_SERVICES_SAAR_APR" vbProcedure="false">"c7527"</definedName>
    <definedName function="false" hidden="true" name="IQ_EXPORTS_GOODS_SERVICES_SAAR_APR_FC" vbProcedure="false">"c8407"</definedName>
    <definedName function="false" hidden="true" name="IQ_EXPORTS_GOODS_SERVICES_SAAR_FC" vbProcedure="false">"c7747"</definedName>
    <definedName function="false" hidden="true" name="IQ_EXPORTS_GOODS_SERVICES_SAAR_POP" vbProcedure="false">"c7087"</definedName>
    <definedName function="false" hidden="true" name="IQ_EXPORTS_GOODS_SERVICES_SAAR_POP_FC" vbProcedure="false">"c7967"</definedName>
    <definedName function="false" hidden="true" name="IQ_EXPORTS_GOODS_SERVICES_SAAR_YOY" vbProcedure="false">"c7307"</definedName>
    <definedName function="false" hidden="true" name="IQ_EXPORTS_GOODS_SERVICES_SAAR_YOY_FC" vbProcedure="false">"c8187"</definedName>
    <definedName function="false" hidden="true" name="IQ_EXPORTS_GOODS_SERVICES_USD" vbProcedure="false">"c11822"</definedName>
    <definedName function="false" hidden="true" name="IQ_EXPORTS_GOODS_SERVICES_USD_APR" vbProcedure="false">"c11825"</definedName>
    <definedName function="false" hidden="true" name="IQ_EXPORTS_GOODS_SERVICES_USD_POP" vbProcedure="false">"c11823"</definedName>
    <definedName function="false" hidden="true" name="IQ_EXPORTS_GOODS_SERVICES_USD_YOY" vbProcedure="false">"c11824"</definedName>
    <definedName function="false" hidden="true" name="IQ_EXPORTS_GOODS_SERVICES_YOY" vbProcedure="false">"c7306"</definedName>
    <definedName function="false" hidden="true" name="IQ_EXPORTS_GOODS_SERVICES_YOY_FC" vbProcedure="false">"c8186"</definedName>
    <definedName function="false" hidden="true" name="IQ_EXPORTS_GOODS_USD" vbProcedure="false">"c11818"</definedName>
    <definedName function="false" hidden="true" name="IQ_EXPORTS_GOODS_USD_APR" vbProcedure="false">"c11821"</definedName>
    <definedName function="false" hidden="true" name="IQ_EXPORTS_GOODS_USD_POP" vbProcedure="false">"c11819"</definedName>
    <definedName function="false" hidden="true" name="IQ_EXPORTS_GOODS_USD_YOY" vbProcedure="false">"c11820"</definedName>
    <definedName function="false" hidden="true" name="IQ_EXPORTS_GOODS_YOY" vbProcedure="false">"c7304"</definedName>
    <definedName function="false" hidden="true" name="IQ_EXPORTS_GOODS_YOY_FC" vbProcedure="false">"c8184"</definedName>
    <definedName function="false" hidden="true" name="IQ_EXPORTS_NONFACTOR_SERVICES" vbProcedure="false">"c6868"</definedName>
    <definedName function="false" hidden="true" name="IQ_EXPORTS_NONFACTOR_SERVICES_APR" vbProcedure="false">"c7528"</definedName>
    <definedName function="false" hidden="true" name="IQ_EXPORTS_NONFACTOR_SERVICES_APR_FC" vbProcedure="false">"c8408"</definedName>
    <definedName function="false" hidden="true" name="IQ_EXPORTS_NONFACTOR_SERVICES_FC" vbProcedure="false">"c7748"</definedName>
    <definedName function="false" hidden="true" name="IQ_EXPORTS_NONFACTOR_SERVICES_POP" vbProcedure="false">"c7088"</definedName>
    <definedName function="false" hidden="true" name="IQ_EXPORTS_NONFACTOR_SERVICES_POP_FC" vbProcedure="false">"c7968"</definedName>
    <definedName function="false" hidden="true" name="IQ_EXPORTS_NONFACTOR_SERVICES_YOY" vbProcedure="false">"c7308"</definedName>
    <definedName function="false" hidden="true" name="IQ_EXPORTS_NONFACTOR_SERVICES_YOY_FC" vbProcedure="false">"c8188"</definedName>
    <definedName function="false" hidden="true" name="IQ_EXPORTS_POP_FC_UNUSED" vbProcedure="false">"c7961"</definedName>
    <definedName function="false" hidden="true" name="IQ_EXPORTS_POP_UNUSED" vbProcedure="false">"c7081"</definedName>
    <definedName function="false" hidden="true" name="IQ_EXPORTS_SERVICES_REAL" vbProcedure="false">"c6977"</definedName>
    <definedName function="false" hidden="true" name="IQ_EXPORTS_SERVICES_REAL_APR" vbProcedure="false">"c7637"</definedName>
    <definedName function="false" hidden="true" name="IQ_EXPORTS_SERVICES_REAL_APR_FC" vbProcedure="false">"c8517"</definedName>
    <definedName function="false" hidden="true" name="IQ_EXPORTS_SERVICES_REAL_FC" vbProcedure="false">"c7857"</definedName>
    <definedName function="false" hidden="true" name="IQ_EXPORTS_SERVICES_REAL_POP" vbProcedure="false">"c7197"</definedName>
    <definedName function="false" hidden="true" name="IQ_EXPORTS_SERVICES_REAL_POP_FC" vbProcedure="false">"c8077"</definedName>
    <definedName function="false" hidden="true" name="IQ_EXPORTS_SERVICES_REAL_SAAR" vbProcedure="false">"c11934"</definedName>
    <definedName function="false" hidden="true" name="IQ_EXPORTS_SERVICES_REAL_SAAR_APR" vbProcedure="false">"c11937"</definedName>
    <definedName function="false" hidden="true" name="IQ_EXPORTS_SERVICES_REAL_SAAR_APR_FC_UNUSED" vbProcedure="false">"c8516"</definedName>
    <definedName function="false" hidden="true" name="IQ_EXPORTS_SERVICES_REAL_SAAR_APR_UNUSED" vbProcedure="false">"c7636"</definedName>
    <definedName function="false" hidden="true" name="IQ_EXPORTS_SERVICES_REAL_SAAR_FC_UNUSED" vbProcedure="false">"c7856"</definedName>
    <definedName function="false" hidden="true" name="IQ_EXPORTS_SERVICES_REAL_SAAR_POP" vbProcedure="false">"c11935"</definedName>
    <definedName function="false" hidden="true" name="IQ_EXPORTS_SERVICES_REAL_SAAR_POP_FC_UNUSED" vbProcedure="false">"c8076"</definedName>
    <definedName function="false" hidden="true" name="IQ_EXPORTS_SERVICES_REAL_SAAR_POP_UNUSED" vbProcedure="false">"c7196"</definedName>
    <definedName function="false" hidden="true" name="IQ_EXPORTS_SERVICES_REAL_SAAR_UNUSED" vbProcedure="false">"c6976"</definedName>
    <definedName function="false" hidden="true" name="IQ_EXPORTS_SERVICES_REAL_SAAR_YOY" vbProcedure="false">"c11936"</definedName>
    <definedName function="false" hidden="true" name="IQ_EXPORTS_SERVICES_REAL_SAAR_YOY_FC_UNUSED" vbProcedure="false">"c8296"</definedName>
    <definedName function="false" hidden="true" name="IQ_EXPORTS_SERVICES_REAL_SAAR_YOY_UNUSED" vbProcedure="false">"c7416"</definedName>
    <definedName function="false" hidden="true" name="IQ_EXPORTS_SERVICES_REAL_YOY" vbProcedure="false">"c7417"</definedName>
    <definedName function="false" hidden="true" name="IQ_EXPORTS_SERVICES_REAL_YOY_FC" vbProcedure="false">"c8297"</definedName>
    <definedName function="false" hidden="true" name="IQ_EXPORTS_UNUSED" vbProcedure="false">"c6861"</definedName>
    <definedName function="false" hidden="true" name="IQ_EXPORTS_USD" vbProcedure="false">"c11806"</definedName>
    <definedName function="false" hidden="true" name="IQ_EXPORTS_USD_APR" vbProcedure="false">"c11809"</definedName>
    <definedName function="false" hidden="true" name="IQ_EXPORTS_USD_POP" vbProcedure="false">"c11807"</definedName>
    <definedName function="false" hidden="true" name="IQ_EXPORTS_USD_YOY" vbProcedure="false">"c11808"</definedName>
    <definedName function="false" hidden="true" name="IQ_EXPORTS_YOY_FC_UNUSED" vbProcedure="false">"c8181"</definedName>
    <definedName function="false" hidden="true" name="IQ_EXPORTS_YOY_UNUSED" vbProcedure="false">"c7301"</definedName>
    <definedName function="false" hidden="true" name="IQ_EXPORT_PRICE_INDEX" vbProcedure="false">"c6860"</definedName>
    <definedName function="false" hidden="true" name="IQ_EXPORT_PRICE_INDEX_APR" vbProcedure="false">"c7520"</definedName>
    <definedName function="false" hidden="true" name="IQ_EXPORT_PRICE_INDEX_APR_FC" vbProcedure="false">"c8400"</definedName>
    <definedName function="false" hidden="true" name="IQ_EXPORT_PRICE_INDEX_FC" vbProcedure="false">"c7740"</definedName>
    <definedName function="false" hidden="true" name="IQ_EXPORT_PRICE_INDEX_POP" vbProcedure="false">"c7080"</definedName>
    <definedName function="false" hidden="true" name="IQ_EXPORT_PRICE_INDEX_POP_FC" vbProcedure="false">"c7960"</definedName>
    <definedName function="false" hidden="true" name="IQ_EXPORT_PRICE_INDEX_YOY" vbProcedure="false">"c7300"</definedName>
    <definedName function="false" hidden="true" name="IQ_EXPORT_PRICE_INDEX_YOY_FC" vbProcedure="false">"c8180"</definedName>
    <definedName function="false" hidden="true" name="IQ_EXP_REIMBURSE_RENTAL_REVENUE" vbProcedure="false">"c16064"</definedName>
    <definedName function="false" hidden="true" name="IQ_EXP_RETURN_PENSION_DOMESTIC" vbProcedure="false">"c407"</definedName>
    <definedName function="false" hidden="true" name="IQ_EXP_RETURN_PENSION_FOREIGN" vbProcedure="false">"c408"</definedName>
    <definedName function="false" hidden="true" name="IQ_EXTRAORDINARY_GAINS_FDIC" vbProcedure="false">"c6586"</definedName>
    <definedName function="false" hidden="true" name="IQ_EXTRAORDINARY_ITEMS_FFIEC" vbProcedure="false">"c13033"</definedName>
    <definedName function="false" hidden="true" name="IQ_EXTRA_ACC_ITEMS" vbProcedure="false">"c410"</definedName>
    <definedName function="false" hidden="true" name="IQ_EXTRA_ACC_ITEMS_BNK" vbProcedure="false">"c411"</definedName>
    <definedName function="false" hidden="true" name="IQ_EXTRA_ACC_ITEMS_BR" vbProcedure="false">"c412"</definedName>
    <definedName function="false" hidden="true" name="IQ_EXTRA_ACC_ITEMS_FIN" vbProcedure="false">"c413"</definedName>
    <definedName function="false" hidden="true" name="IQ_EXTRA_ACC_ITEMS_INS" vbProcedure="false">"c414"</definedName>
    <definedName function="false" hidden="true" name="IQ_EXTRA_ACC_ITEMS_RE" vbProcedure="false">"c6216"</definedName>
    <definedName function="false" hidden="true" name="IQ_EXTRA_ACC_ITEMS_REIT" vbProcedure="false">"c415"</definedName>
    <definedName function="false" hidden="true" name="IQ_EXTRA_ACC_ITEMS_UTI" vbProcedure="false">"c416"</definedName>
    <definedName function="false" hidden="true" name="IQ_EXTRA_AVG_ASSETS_FFIEC" vbProcedure="false">"c13369"</definedName>
    <definedName function="false" hidden="true" name="IQ_EXTRA_ITEMS" vbProcedure="false">"c1459"</definedName>
    <definedName function="false" hidden="true" name="IQ_EXTRA_ITEMS_OTHER_ADJUSTMENTS_FOREIGN_FFIEC" vbProcedure="false">"c15392"</definedName>
    <definedName function="false" hidden="true" name="IQ_FAD" vbProcedure="false">"c8757"</definedName>
    <definedName function="false" hidden="true" name="IQ_FAD_PAYOUT_RATIO" vbProcedure="false">"c8872"</definedName>
    <definedName function="false" hidden="true" name="IQ_FAIR_VALUE_CHANGE_INCL_EARNINGS" vbProcedure="false">"c13849"</definedName>
    <definedName function="false" hidden="true" name="IQ_FAIR_VALUE_DEBT" vbProcedure="false">"c16007"</definedName>
    <definedName function="false" hidden="true" name="IQ_FAIR_VALUE_FDIC" vbProcedure="false">"c6427"</definedName>
    <definedName function="false" hidden="true" name="IQ_FAIR_VALUE_FIN_INSTRUMENTS_NAV" vbProcedure="false">"c16002"</definedName>
    <definedName function="false" hidden="true" name="IQ_FAIR_VALUE_FIN_INSTRUMENTS_NNAV" vbProcedure="false">"c16006"</definedName>
    <definedName function="false" hidden="true" name="IQ_FAIR_VALUE_TRADING_PROP" vbProcedure="false">"c16001"</definedName>
    <definedName function="false" hidden="true" name="IQ_FARMLAND_DOM_FFIEC" vbProcedure="false">"c15268"</definedName>
    <definedName function="false" hidden="true" name="IQ_FARMLAND_LOANS_FDIC" vbProcedure="false">"c6314"</definedName>
    <definedName function="false" hidden="true" name="IQ_FARM_LOANS_NET_FDIC" vbProcedure="false">"c6316"</definedName>
    <definedName function="false" hidden="true" name="IQ_FARM_LOANS_TOTAL_LOANS_FOREIGN_FDIC" vbProcedure="false">"c6450"</definedName>
    <definedName function="false" hidden="true" name="IQ_FARM_LOANS_TOT_LOANS_FFIEC" vbProcedure="false">"c13870"</definedName>
    <definedName function="false" hidden="true" name="IQ_FDIC" vbProcedure="false">"c417"</definedName>
    <definedName function="false" hidden="true" name="IQ_FDIC_DEPOSIT_INSURANCE_FFIEC" vbProcedure="false">"c13053"</definedName>
    <definedName function="false" hidden="true" name="IQ_FEDFUNDS_PURCHASED_RELATED" vbProcedure="false">"c19132"</definedName>
    <definedName function="false" hidden="true" name="IQ_FEDFUNDS_SOLD" vbProcedure="false">"c2256"</definedName>
    <definedName function="false" hidden="true" name="IQ_FEDFUNDS_SOLD_RELATED" vbProcedure="false">"c19130"</definedName>
    <definedName function="false" hidden="true" name="IQ_FED_BUDGET_RECEIPTS" vbProcedure="false">"c6869"</definedName>
    <definedName function="false" hidden="true" name="IQ_FED_BUDGET_RECEIPTS_APR" vbProcedure="false">"c7529"</definedName>
    <definedName function="false" hidden="true" name="IQ_FED_BUDGET_RECEIPTS_APR_FC" vbProcedure="false">"c8409"</definedName>
    <definedName function="false" hidden="true" name="IQ_FED_BUDGET_RECEIPTS_FC" vbProcedure="false">"c7749"</definedName>
    <definedName function="false" hidden="true" name="IQ_FED_BUDGET_RECEIPTS_POP" vbProcedure="false">"c7089"</definedName>
    <definedName function="false" hidden="true" name="IQ_FED_BUDGET_RECEIPTS_POP_FC" vbProcedure="false">"c7969"</definedName>
    <definedName function="false" hidden="true" name="IQ_FED_BUDGET_RECEIPTS_YOY" vbProcedure="false">"c7309"</definedName>
    <definedName function="false" hidden="true" name="IQ_FED_BUDGET_RECEIPTS_YOY_FC" vbProcedure="false">"c8189"</definedName>
    <definedName function="false" hidden="true" name="IQ_FED_FUNDS_AVAIL" vbProcedure="false">"c2523"</definedName>
    <definedName function="false" hidden="true" name="IQ_FED_FUNDS_PURCHASED_DOM_FFIEC" vbProcedure="false">"c12856"</definedName>
    <definedName function="false" hidden="true" name="IQ_FED_FUNDS_PURCHASED_FDIC" vbProcedure="false">"c6343"</definedName>
    <definedName function="false" hidden="true" name="IQ_FED_FUNDS_PURCHASED_QUARTERLY_AVG_FFIEC" vbProcedure="false">"c13090"</definedName>
    <definedName function="false" hidden="true" name="IQ_FED_FUNDS_PURCH_SEC_SOLD_FAIR_VALUE_TOT_FFIEC" vbProcedure="false">"c15406"</definedName>
    <definedName function="false" hidden="true" name="IQ_FED_FUNDS_PURCH_SEC_SOLD_LEVEL_1_FFIEC" vbProcedure="false">"c15428"</definedName>
    <definedName function="false" hidden="true" name="IQ_FED_FUNDS_PURCH_SEC_SOLD_LEVEL_2_FFIEC" vbProcedure="false">"c15441"</definedName>
    <definedName function="false" hidden="true" name="IQ_FED_FUNDS_PURCH_SEC_SOLD_LEVEL_3_FFIEC" vbProcedure="false">"c15454"</definedName>
    <definedName function="false" hidden="true" name="IQ_FED_FUNDS_SOLD_DOM_FFIEC" vbProcedure="false">"c12806"</definedName>
    <definedName function="false" hidden="true" name="IQ_FED_FUNDS_SOLD_FDIC" vbProcedure="false">"c6307"</definedName>
    <definedName function="false" hidden="true" name="IQ_FED_FUNDS_SOLD_QUARTERLY_AVG_FFIEC" vbProcedure="false">"c13080"</definedName>
    <definedName function="false" hidden="true" name="IQ_FED_FUNDS_SOLD_SEC_PURCH_FAIR_VALUE_TOT_FFIEC" vbProcedure="false">"c15402"</definedName>
    <definedName function="false" hidden="true" name="IQ_FED_FUNDS_SOLD_SEC_PURCH_LEVEL_1_FFIEC" vbProcedure="false">"c15424"</definedName>
    <definedName function="false" hidden="true" name="IQ_FED_FUNDS_SOLD_SEC_PURCH_LEVEL_2_FFIEC" vbProcedure="false">"c15437"</definedName>
    <definedName function="false" hidden="true" name="IQ_FED_FUNDS_SOLD_SEC_PURCH_LEVEL_3_FFIEC" vbProcedure="false">"c15450"</definedName>
    <definedName function="false" hidden="true" name="IQ_FED_FUND_PURCHASED_SEC_SOLD_REPURCHASE_FFIEC" vbProcedure="false">"c15489"</definedName>
    <definedName function="false" hidden="true" name="IQ_FED_FUND_SOLD_SEC_PURCHASED_RESELL_FFIEC" vbProcedure="false">"c15488"</definedName>
    <definedName function="false" hidden="true" name="IQ_FEES_COMMISSIONS_BROKERAGE_FFIEC" vbProcedure="false">"c13005"</definedName>
    <definedName function="false" hidden="true" name="IQ_FEES_OTHER_INCOME" vbProcedure="false">"c15257"</definedName>
    <definedName function="false" hidden="true" name="IQ_FFO" vbProcedure="false">"c1574"</definedName>
    <definedName function="false" hidden="true" name="IQ_FFO_ACT_OR_EST" vbProcedure="false">"c4446"</definedName>
    <definedName function="false" hidden="true" name="IQ_FFO_ADJ_ACT_OR_EST" vbProcedure="false">"c4435"</definedName>
    <definedName function="false" hidden="true" name="IQ_FFO_ADJ_ACT_OR_EST_CIQ" vbProcedure="false">"c4960"</definedName>
    <definedName function="false" hidden="true" name="IQ_FFO_ADJ_EST" vbProcedure="false">"c4434"</definedName>
    <definedName function="false" hidden="true" name="IQ_FFO_ADJ_GUIDANCE" vbProcedure="false">"c4436"</definedName>
    <definedName function="false" hidden="true" name="IQ_FFO_ADJ_GUIDANCE_CIQ" vbProcedure="false">"c4961"</definedName>
    <definedName function="false" hidden="true" name="IQ_FFO_ADJ_GUIDANCE_CIQ_COL" vbProcedure="false">"c11608"</definedName>
    <definedName function="false" hidden="true" name="IQ_FFO_ADJ_HIGH_EST" vbProcedure="false">"c4437"</definedName>
    <definedName function="false" hidden="true" name="IQ_FFO_ADJ_HIGH_GUIDANCE" vbProcedure="false">"c4202"</definedName>
    <definedName function="false" hidden="true" name="IQ_FFO_ADJ_HIGH_GUIDANCE_CIQ" vbProcedure="false">"c4614"</definedName>
    <definedName function="false" hidden="true" name="IQ_FFO_ADJ_HIGH_GUIDANCE_CIQ_COL" vbProcedure="false">"c11263"</definedName>
    <definedName function="false" hidden="true" name="IQ_FFO_ADJ_LOW_EST" vbProcedure="false">"c4438"</definedName>
    <definedName function="false" hidden="true" name="IQ_FFO_ADJ_LOW_GUIDANCE" vbProcedure="false">"c4242"</definedName>
    <definedName function="false" hidden="true" name="IQ_FFO_ADJ_LOW_GUIDANCE_CIQ" vbProcedure="false">"c4654"</definedName>
    <definedName function="false" hidden="true" name="IQ_FFO_ADJ_LOW_GUIDANCE_CIQ_COL" vbProcedure="false">"c11303"</definedName>
    <definedName function="false" hidden="true" name="IQ_FFO_ADJ_MEDIAN_EST" vbProcedure="false">"c4439"</definedName>
    <definedName function="false" hidden="true" name="IQ_FFO_ADJ_NUM_EST" vbProcedure="false">"c4440"</definedName>
    <definedName function="false" hidden="true" name="IQ_FFO_ADJ_STDDEV_EST" vbProcedure="false">"c4441"</definedName>
    <definedName function="false" hidden="true" name="IQ_FFO_DILUTED" vbProcedure="false">"c16186"</definedName>
    <definedName function="false" hidden="true" name="IQ_FFO_EST" vbProcedure="false">"c4445"</definedName>
    <definedName function="false" hidden="true" name="IQ_FFO_EST_DET_EST" vbProcedure="false">"c12059"</definedName>
    <definedName function="false" hidden="true" name="IQ_FFO_EST_DET_EST_CURRENCY" vbProcedure="false">"c12466"</definedName>
    <definedName function="false" hidden="true" name="IQ_FFO_EST_DET_EST_CURRENCY_REUT" vbProcedure="false">"c12536"</definedName>
    <definedName function="false" hidden="true" name="IQ_FFO_EST_DET_EST_CURRENCY_THOM" vbProcedure="false">"c12487"</definedName>
    <definedName function="false" hidden="true" name="IQ_FFO_EST_DET_EST_DATE" vbProcedure="false">"c12212"</definedName>
    <definedName function="false" hidden="true" name="IQ_FFO_EST_DET_EST_DATE_REUT" vbProcedure="false">"c12295"</definedName>
    <definedName function="false" hidden="true" name="IQ_FFO_EST_DET_EST_DATE_THOM" vbProcedure="false">"c12238"</definedName>
    <definedName function="false" hidden="true" name="IQ_FFO_EST_DET_EST_INCL" vbProcedure="false">"c12349"</definedName>
    <definedName function="false" hidden="true" name="IQ_FFO_EST_DET_EST_INCL_REUT" vbProcedure="false">"c12419"</definedName>
    <definedName function="false" hidden="true" name="IQ_FFO_EST_DET_EST_INCL_THOM" vbProcedure="false">"c12370"</definedName>
    <definedName function="false" hidden="true" name="IQ_FFO_EST_DET_EST_ORIGIN" vbProcedure="false">"c12722"</definedName>
    <definedName function="false" hidden="true" name="IQ_FFO_EST_DET_EST_ORIGIN_REUT" vbProcedure="false">"c12724"</definedName>
    <definedName function="false" hidden="true" name="IQ_FFO_EST_DET_EST_ORIGIN_THOM" vbProcedure="false">"c12608"</definedName>
    <definedName function="false" hidden="true" name="IQ_FFO_EST_DET_EST_REUT" vbProcedure="false">"c12153"</definedName>
    <definedName function="false" hidden="true" name="IQ_FFO_EST_DET_EST_THOM" vbProcedure="false">"c12088"</definedName>
    <definedName function="false" hidden="true" name="IQ_FFO_EST_REUT" vbProcedure="false">"c3837"</definedName>
    <definedName function="false" hidden="true" name="IQ_FFO_EST_THOM" vbProcedure="false">"c3999"</definedName>
    <definedName function="false" hidden="true" name="IQ_FFO_GUIDANCE" vbProcedure="false">"c4443"</definedName>
    <definedName function="false" hidden="true" name="IQ_FFO_GUIDANCE_CIQ" vbProcedure="false">"c4968"</definedName>
    <definedName function="false" hidden="true" name="IQ_FFO_GUIDANCE_CIQ_COL" vbProcedure="false">"c11615"</definedName>
    <definedName function="false" hidden="true" name="IQ_FFO_HIGH_EST" vbProcedure="false">"c4448"</definedName>
    <definedName function="false" hidden="true" name="IQ_FFO_HIGH_EST_REUT" vbProcedure="false">"c3839"</definedName>
    <definedName function="false" hidden="true" name="IQ_FFO_HIGH_EST_THOM" vbProcedure="false">"c4001"</definedName>
    <definedName function="false" hidden="true" name="IQ_FFO_HIGH_GUIDANCE" vbProcedure="false">"c4184"</definedName>
    <definedName function="false" hidden="true" name="IQ_FFO_HIGH_GUIDANCE_CIQ" vbProcedure="false">"c4596"</definedName>
    <definedName function="false" hidden="true" name="IQ_FFO_HIGH_GUIDANCE_CIQ_COL" vbProcedure="false">"c11245"</definedName>
    <definedName function="false" hidden="true" name="IQ_FFO_LOW_EST" vbProcedure="false">"c4449"</definedName>
    <definedName function="false" hidden="true" name="IQ_FFO_LOW_EST_REUT" vbProcedure="false">"c3840"</definedName>
    <definedName function="false" hidden="true" name="IQ_FFO_LOW_EST_THOM" vbProcedure="false">"c4002"</definedName>
    <definedName function="false" hidden="true" name="IQ_FFO_LOW_GUIDANCE" vbProcedure="false">"c4224"</definedName>
    <definedName function="false" hidden="true" name="IQ_FFO_LOW_GUIDANCE_CIQ" vbProcedure="false">"c4636"</definedName>
    <definedName function="false" hidden="true" name="IQ_FFO_LOW_GUIDANCE_CIQ_COL" vbProcedure="false">"c11285"</definedName>
    <definedName function="false" hidden="true" name="IQ_FFO_MEDIAN_EST" vbProcedure="false">"c4450"</definedName>
    <definedName function="false" hidden="true" name="IQ_FFO_MEDIAN_EST_REUT" vbProcedure="false">"c3838"</definedName>
    <definedName function="false" hidden="true" name="IQ_FFO_MEDIAN_EST_THOM" vbProcedure="false">"c4000"</definedName>
    <definedName function="false" hidden="true" name="IQ_FFO_NUM_EST" vbProcedure="false">"c4451"</definedName>
    <definedName function="false" hidden="true" name="IQ_FFO_NUM_EST_REUT" vbProcedure="false">"c3841"</definedName>
    <definedName function="false" hidden="true" name="IQ_FFO_NUM_EST_THOM" vbProcedure="false">"c4003"</definedName>
    <definedName function="false" hidden="true" name="IQ_FFO_PAYOUT_RATIO" vbProcedure="false">"c3492"</definedName>
    <definedName function="false" hidden="true" name="IQ_FFO_PER_SHARE_BASIC" vbProcedure="false">"c8867"</definedName>
    <definedName function="false" hidden="true" name="IQ_FFO_PER_SHARE_DILUTED" vbProcedure="false">"c8868"</definedName>
    <definedName function="false" hidden="true" name="IQ_FFO_SHARES_BASIC" vbProcedure="false">"c16185"</definedName>
    <definedName function="false" hidden="true" name="IQ_FFO_SHARES_DILUTED" vbProcedure="false">"c16187"</definedName>
    <definedName function="false" hidden="true" name="IQ_FFO_SHARE_ACT_OR_EST" vbProcedure="false">"c2216"</definedName>
    <definedName function="false" hidden="true" name="IQ_FFO_SHARE_ACT_OR_EST_CIQ" vbProcedure="false">"c4971"</definedName>
    <definedName function="false" hidden="true" name="IQ_FFO_SHARE_EST" vbProcedure="false">"c418"</definedName>
    <definedName function="false" hidden="true" name="IQ_FFO_SHARE_EST_DET_EST" vbProcedure="false">"c12059"</definedName>
    <definedName function="false" hidden="true" name="IQ_FFO_SHARE_EST_DET_EST_CURRENCY" vbProcedure="false">"c12466"</definedName>
    <definedName function="false" hidden="true" name="IQ_FFO_SHARE_EST_DET_EST_CURRENCY_THOM" vbProcedure="false">"c12487"</definedName>
    <definedName function="false" hidden="true" name="IQ_FFO_SHARE_EST_DET_EST_DATE" vbProcedure="false">"c12212"</definedName>
    <definedName function="false" hidden="true" name="IQ_FFO_SHARE_EST_DET_EST_DATE_THOM" vbProcedure="false">"c12238"</definedName>
    <definedName function="false" hidden="true" name="IQ_FFO_SHARE_EST_DET_EST_INCL" vbProcedure="false">"c12349"</definedName>
    <definedName function="false" hidden="true" name="IQ_FFO_SHARE_EST_DET_EST_INCL_THOM" vbProcedure="false">"c12370"</definedName>
    <definedName function="false" hidden="true" name="IQ_FFO_SHARE_EST_DET_EST_ORIGIN" vbProcedure="false">"c12722"</definedName>
    <definedName function="false" hidden="true" name="IQ_FFO_SHARE_EST_DET_EST_ORIGIN_THOM" vbProcedure="false">"c12608"</definedName>
    <definedName function="false" hidden="true" name="IQ_FFO_SHARE_EST_DET_EST_THOM" vbProcedure="false">"c12088"</definedName>
    <definedName function="false" hidden="true" name="IQ_FFO_SHARE_EST_THOM" vbProcedure="false">"c3999"</definedName>
    <definedName function="false" hidden="true" name="IQ_FFO_SHARE_GUIDANCE" vbProcedure="false">"c4447"</definedName>
    <definedName function="false" hidden="true" name="IQ_FFO_SHARE_GUIDANCE_CIQ" vbProcedure="false">"c4976"</definedName>
    <definedName function="false" hidden="true" name="IQ_FFO_SHARE_GUIDANCE_CIQ_COL" vbProcedure="false">"c11623"</definedName>
    <definedName function="false" hidden="true" name="IQ_FFO_SHARE_HIGH_EST" vbProcedure="false">"c419"</definedName>
    <definedName function="false" hidden="true" name="IQ_FFO_SHARE_HIGH_EST_THOM" vbProcedure="false">"c4001"</definedName>
    <definedName function="false" hidden="true" name="IQ_FFO_SHARE_HIGH_GUIDANCE" vbProcedure="false">"c4203"</definedName>
    <definedName function="false" hidden="true" name="IQ_FFO_SHARE_HIGH_GUIDANCE_CIQ" vbProcedure="false">"c4615"</definedName>
    <definedName function="false" hidden="true" name="IQ_FFO_SHARE_HIGH_GUIDANCE_CIQ_COL" vbProcedure="false">"c11264"</definedName>
    <definedName function="false" hidden="true" name="IQ_FFO_SHARE_LOW_EST" vbProcedure="false">"c420"</definedName>
    <definedName function="false" hidden="true" name="IQ_FFO_SHARE_LOW_EST_THOM" vbProcedure="false">"c4002"</definedName>
    <definedName function="false" hidden="true" name="IQ_FFO_SHARE_LOW_GUIDANCE" vbProcedure="false">"c4243"</definedName>
    <definedName function="false" hidden="true" name="IQ_FFO_SHARE_LOW_GUIDANCE_CIQ" vbProcedure="false">"c4655"</definedName>
    <definedName function="false" hidden="true" name="IQ_FFO_SHARE_LOW_GUIDANCE_CIQ_COL" vbProcedure="false">"c11304"</definedName>
    <definedName function="false" hidden="true" name="IQ_FFO_SHARE_MEDIAN_EST" vbProcedure="false">"c1665"</definedName>
    <definedName function="false" hidden="true" name="IQ_FFO_SHARE_MEDIAN_EST_THOM" vbProcedure="false">"c4000"</definedName>
    <definedName function="false" hidden="true" name="IQ_FFO_SHARE_NUM_EST" vbProcedure="false">"c421"</definedName>
    <definedName function="false" hidden="true" name="IQ_FFO_SHARE_NUM_EST_THOM" vbProcedure="false">"c4003"</definedName>
    <definedName function="false" hidden="true" name="IQ_FFO_SHARE_SHARE_EST_DET_EST" vbProcedure="false">"c12059"</definedName>
    <definedName function="false" hidden="true" name="IQ_FFO_SHARE_SHARE_EST_DET_EST_CURRENCY" vbProcedure="false">"c12466"</definedName>
    <definedName function="false" hidden="true" name="IQ_FFO_SHARE_SHARE_EST_DET_EST_CURRENCY_REUT" vbProcedure="false">"c12536"</definedName>
    <definedName function="false" hidden="true" name="IQ_FFO_SHARE_SHARE_EST_DET_EST_CURRENCY_THOM" vbProcedure="false">"c12487"</definedName>
    <definedName function="false" hidden="true" name="IQ_FFO_SHARE_SHARE_EST_DET_EST_DATE" vbProcedure="false">"c12212"</definedName>
    <definedName function="false" hidden="true" name="IQ_FFO_SHARE_SHARE_EST_DET_EST_DATE_REUT" vbProcedure="false">"c12295"</definedName>
    <definedName function="false" hidden="true" name="IQ_FFO_SHARE_SHARE_EST_DET_EST_DATE_THOM" vbProcedure="false">"c12238"</definedName>
    <definedName function="false" hidden="true" name="IQ_FFO_SHARE_SHARE_EST_DET_EST_INCL" vbProcedure="false">"c12349"</definedName>
    <definedName function="false" hidden="true" name="IQ_FFO_SHARE_SHARE_EST_DET_EST_INCL_REUT" vbProcedure="false">"c12419"</definedName>
    <definedName function="false" hidden="true" name="IQ_FFO_SHARE_SHARE_EST_DET_EST_INCL_THOM" vbProcedure="false">"c12370"</definedName>
    <definedName function="false" hidden="true" name="IQ_FFO_SHARE_SHARE_EST_DET_EST_ORIGIN" vbProcedure="false">"c12722"</definedName>
    <definedName function="false" hidden="true" name="IQ_FFO_SHARE_SHARE_EST_DET_EST_ORIGIN_REUT" vbProcedure="false">"c12724"</definedName>
    <definedName function="false" hidden="true" name="IQ_FFO_SHARE_SHARE_EST_DET_EST_ORIGIN_THOM" vbProcedure="false">"c12608"</definedName>
    <definedName function="false" hidden="true" name="IQ_FFO_SHARE_SHARE_EST_DET_EST_REUT" vbProcedure="false">"c12153"</definedName>
    <definedName function="false" hidden="true" name="IQ_FFO_SHARE_SHARE_EST_DET_EST_THOM" vbProcedure="false">"c12088"</definedName>
    <definedName function="false" hidden="true" name="IQ_FFO_SHARE_SHARE_EST_REUT" vbProcedure="false">"c3837"</definedName>
    <definedName function="false" hidden="true" name="IQ_FFO_SHARE_SHARE_EST_THOM" vbProcedure="false">"c3999"</definedName>
    <definedName function="false" hidden="true" name="IQ_FFO_SHARE_SHARE_HIGH_EST_REUT" vbProcedure="false">"c3839"</definedName>
    <definedName function="false" hidden="true" name="IQ_FFO_SHARE_SHARE_HIGH_EST_THOM" vbProcedure="false">"c4001"</definedName>
    <definedName function="false" hidden="true" name="IQ_FFO_SHARE_SHARE_LOW_EST_REUT" vbProcedure="false">"c3840"</definedName>
    <definedName function="false" hidden="true" name="IQ_FFO_SHARE_SHARE_LOW_EST_THOM" vbProcedure="false">"c4002"</definedName>
    <definedName function="false" hidden="true" name="IQ_FFO_SHARE_SHARE_MEDIAN_EST_REUT" vbProcedure="false">"c3838"</definedName>
    <definedName function="false" hidden="true" name="IQ_FFO_SHARE_SHARE_MEDIAN_EST_THOM" vbProcedure="false">"c4000"</definedName>
    <definedName function="false" hidden="true" name="IQ_FFO_SHARE_SHARE_NUM_EST_REUT" vbProcedure="false">"c3841"</definedName>
    <definedName function="false" hidden="true" name="IQ_FFO_SHARE_SHARE_NUM_EST_THOM" vbProcedure="false">"c4003"</definedName>
    <definedName function="false" hidden="true" name="IQ_FFO_SHARE_SHARE_STDDEV_EST_REUT" vbProcedure="false">"c3842"</definedName>
    <definedName function="false" hidden="true" name="IQ_FFO_SHARE_SHARE_STDDEV_EST_THOM" vbProcedure="false">"c4004"</definedName>
    <definedName function="false" hidden="true" name="IQ_FFO_SHARE_STDDEV_EST" vbProcedure="false">"c422"</definedName>
    <definedName function="false" hidden="true" name="IQ_FFO_SHARE_STDDEV_EST_THOM" vbProcedure="false">"c4004"</definedName>
    <definedName function="false" hidden="true" name="IQ_FFO_STDDEV_EST" vbProcedure="false">"c4452"</definedName>
    <definedName function="false" hidden="true" name="IQ_FFO_STDDEV_EST_REUT" vbProcedure="false">"c3842"</definedName>
    <definedName function="false" hidden="true" name="IQ_FFO_STDDEV_EST_THOM" vbProcedure="false">"c4004"</definedName>
    <definedName function="false" hidden="true" name="IQ_FFO_TOTAL_REVENUE" vbProcedure="false">"c16060"</definedName>
    <definedName function="false" hidden="true" name="IQ_FH" vbProcedure="false">100000</definedName>
    <definedName function="false" hidden="true" name="IQ_FHLB_ADVANCES_FDIC" vbProcedure="false">"c6366"</definedName>
    <definedName function="false" hidden="true" name="IQ_FHLB_DEBT" vbProcedure="false">"c423"</definedName>
    <definedName function="false" hidden="true" name="IQ_FHLB_DUE_CY" vbProcedure="false">"c2080"</definedName>
    <definedName function="false" hidden="true" name="IQ_FHLB_DUE_CY1" vbProcedure="false">"c2081"</definedName>
    <definedName function="false" hidden="true" name="IQ_FHLB_DUE_CY2" vbProcedure="false">"c2082"</definedName>
    <definedName function="false" hidden="true" name="IQ_FHLB_DUE_CY3" vbProcedure="false">"c2083"</definedName>
    <definedName function="false" hidden="true" name="IQ_FHLB_DUE_CY4" vbProcedure="false">"c2084"</definedName>
    <definedName function="false" hidden="true" name="IQ_FHLB_DUE_NEXT_FIVE" vbProcedure="false">"c2085"</definedName>
    <definedName function="false" hidden="true" name="IQ_FIDUCIARY_ACTIVITIES_FDIC" vbProcedure="false">"c6571"</definedName>
    <definedName function="false" hidden="true" name="IQ_FIDUCIARY_INCOME_OPERATING_INC_FFIEC" vbProcedure="false">"c13383"</definedName>
    <definedName function="false" hidden="true" name="IQ_FIFETEEN_YEAR_FIXED_AND_FLOATING_RATE_FDIC" vbProcedure="false">"c6423"</definedName>
    <definedName function="false" hidden="true" name="IQ_FIFETEEN_YEAR_MORTGAGE_PASS_THROUGHS_FDIC" vbProcedure="false">"c6415"</definedName>
    <definedName function="false" hidden="true" name="IQ_FILINGDATE_BS" vbProcedure="false">"c424"</definedName>
    <definedName function="false" hidden="true" name="IQ_FILINGDATE_CF" vbProcedure="false">"c425"</definedName>
    <definedName function="false" hidden="true" name="IQ_FILINGDATE_IS" vbProcedure="false">"c426"</definedName>
    <definedName function="false" hidden="true" name="IQ_FILING_CURRENCY" vbProcedure="false">"c2129"</definedName>
    <definedName function="false" hidden="true" name="IQ_FILING_CURRENCY_AP" vbProcedure="false">"c11747"</definedName>
    <definedName function="false" hidden="true" name="IQ_FILM_RIGHTS" vbProcedure="false">"c2254"</definedName>
    <definedName function="false" hidden="true" name="IQ_FINANCIAL_LOC_FOREIGN_GUARANTEES_FFIEC" vbProcedure="false">"c13249"</definedName>
    <definedName function="false" hidden="true" name="IQ_FINANCIAL_SERVICING_ASSETS_FAIR_VALUE_TOT_FFIEC" vbProcedure="false">"c13212"</definedName>
    <definedName function="false" hidden="true" name="IQ_FINANCIAL_SERVICING_ASSETS_LEVEL_1_FFIEC" vbProcedure="false">"c13220"</definedName>
    <definedName function="false" hidden="true" name="IQ_FINANCIAL_SERVICING_ASSETS_LEVEL_2_FFIEC" vbProcedure="false">"c13228"</definedName>
    <definedName function="false" hidden="true" name="IQ_FINANCIAL_SERVICING_ASSETS_LEVEL_3_FFIEC" vbProcedure="false">"c13236"</definedName>
    <definedName function="false" hidden="true" name="IQ_FINANCIAL_SERVICING_LIAB_FAIR_VALUE_TOT_FFIEC" vbProcedure="false">"c13215"</definedName>
    <definedName function="false" hidden="true" name="IQ_FINANCIAL_SERVICING_LIAB_LEVEL_1_FFIEC" vbProcedure="false">"c13223"</definedName>
    <definedName function="false" hidden="true" name="IQ_FINANCIAL_SERVICING_LIAB_LEVEL_2_FFIEC" vbProcedure="false">"c13231"</definedName>
    <definedName function="false" hidden="true" name="IQ_FINANCIAL_SERVICING_LIAB_LEVEL_3_FFIEC" vbProcedure="false">"c13239"</definedName>
    <definedName function="false" hidden="true" name="IQ_FINANCING_CASH" vbProcedure="false">"c1405"</definedName>
    <definedName function="false" hidden="true" name="IQ_FINANCING_CASH_SUPPL" vbProcedure="false">"c1406"</definedName>
    <definedName function="false" hidden="true" name="IQ_FINANCING_OBLIG_CURRENT" vbProcedure="false">"c11753"</definedName>
    <definedName function="false" hidden="true" name="IQ_FINANCING_OBLIG_NON_CURRENT" vbProcedure="false">"c11754"</definedName>
    <definedName function="false" hidden="true" name="IQ_FINISHED_INV" vbProcedure="false">"c438"</definedName>
    <definedName function="false" hidden="true" name="IQ_FIN_COLLECTION_ID" vbProcedure="false">"c13922"</definedName>
    <definedName function="false" hidden="true" name="IQ_FIN_DATA_SOURCE" vbProcedure="false">"c6788"</definedName>
    <definedName function="false" hidden="true" name="IQ_FIN_DIV_ASSETS_CURRENT" vbProcedure="false">"c427"</definedName>
    <definedName function="false" hidden="true" name="IQ_FIN_DIV_ASSETS_LT" vbProcedure="false">"c428"</definedName>
    <definedName function="false" hidden="true" name="IQ_FIN_DIV_CASH_EQUIV" vbProcedure="false">"c6289"</definedName>
    <definedName function="false" hidden="true" name="IQ_FIN_DIV_DEBT_CURRENT" vbProcedure="false">"c429"</definedName>
    <definedName function="false" hidden="true" name="IQ_FIN_DIV_DEBT_LT" vbProcedure="false">"c430"</definedName>
    <definedName function="false" hidden="true" name="IQ_FIN_DIV_DEBT_TOTAL" vbProcedure="false">"c5656"</definedName>
    <definedName function="false" hidden="true" name="IQ_FIN_DIV_EXP" vbProcedure="false">"c431"</definedName>
    <definedName function="false" hidden="true" name="IQ_FIN_DIV_INT_EXP" vbProcedure="false">"c432"</definedName>
    <definedName function="false" hidden="true" name="IQ_FIN_DIV_LIAB_CURRENT" vbProcedure="false">"c433"</definedName>
    <definedName function="false" hidden="true" name="IQ_FIN_DIV_LIAB_LT" vbProcedure="false">"c434"</definedName>
    <definedName function="false" hidden="true" name="IQ_FIN_DIV_LOANS_CURRENT" vbProcedure="false">"c435"</definedName>
    <definedName function="false" hidden="true" name="IQ_FIN_DIV_LOANS_LT" vbProcedure="false">"c436"</definedName>
    <definedName function="false" hidden="true" name="IQ_FIN_DIV_LT_DEBT_TOTAL" vbProcedure="false">"c5655"</definedName>
    <definedName function="false" hidden="true" name="IQ_FIN_DIV_REV" vbProcedure="false">"c437"</definedName>
    <definedName function="false" hidden="true" name="IQ_FIN_DIV_ST_DEBT_TOTAL" vbProcedure="false">"c5527"</definedName>
    <definedName function="false" hidden="true" name="IQ_FIN_DIV_ST_INVEST" vbProcedure="false">"c6288"</definedName>
    <definedName function="false" hidden="true" name="IQ_FIN_INSTANCE_ID" vbProcedure="false">"c13921"</definedName>
    <definedName function="false" hidden="true" name="IQ_FIN_PERIOD_ID" vbProcedure="false">"c13920"</definedName>
    <definedName function="false" hidden="true" name="IQ_FIRSTPRICINGDATE" vbProcedure="false">"c3050"</definedName>
    <definedName function="false" hidden="true" name="IQ_FIRST_INT_DATE" vbProcedure="false">"c2186"</definedName>
    <definedName function="false" hidden="true" name="IQ_FIRST_YEAR_LIFE" vbProcedure="false">"c439"</definedName>
    <definedName function="false" hidden="true" name="IQ_FIRST_YEAR_LIFE_PREM" vbProcedure="false">"c2787"</definedName>
    <definedName function="false" hidden="true" name="IQ_FIRST_YEAR_PREM" vbProcedure="false">"c2786"</definedName>
    <definedName function="false" hidden="true" name="IQ_FISCAL_Q" vbProcedure="false">"c440"</definedName>
    <definedName function="false" hidden="true" name="IQ_FISCAL_Q_EST" vbProcedure="false">"c6794"</definedName>
    <definedName function="false" hidden="true" name="IQ_FISCAL_Q_EST_CIQ" vbProcedure="false">"c6806"</definedName>
    <definedName function="false" hidden="true" name="IQ_FISCAL_Q_EST_REUT" vbProcedure="false">"c6798"</definedName>
    <definedName function="false" hidden="true" name="IQ_FISCAL_Q_EST_THOM" vbProcedure="false">"c6802"</definedName>
    <definedName function="false" hidden="true" name="IQ_FISCAL_Y" vbProcedure="false">"c441"</definedName>
    <definedName function="false" hidden="true" name="IQ_FISCAL_Y_EST" vbProcedure="false">"c6795"</definedName>
    <definedName function="false" hidden="true" name="IQ_FISCAL_Y_EST_CIQ" vbProcedure="false">"c6807"</definedName>
    <definedName function="false" hidden="true" name="IQ_FISCAL_Y_EST_REUT" vbProcedure="false">"c6799"</definedName>
    <definedName function="false" hidden="true" name="IQ_FISCAL_Y_EST_THOM" vbProcedure="false">"c6803"</definedName>
    <definedName function="false" hidden="true" name="IQ_FIVEPERCENT_PERCENT" vbProcedure="false">"c443"</definedName>
    <definedName function="false" hidden="true" name="IQ_FIVEPERCENT_SHARES" vbProcedure="false">"c444"</definedName>
    <definedName function="false" hidden="true" name="IQ_FIVE_PERCENT_CIQID" vbProcedure="false">"c19094"</definedName>
    <definedName function="false" hidden="true" name="IQ_FIVE_PERCENT_DERIVATIVES" vbProcedure="false">"c19096"</definedName>
    <definedName function="false" hidden="true" name="IQ_FIVE_PERCENT_NAME" vbProcedure="false">"c19093"</definedName>
    <definedName function="false" hidden="true" name="IQ_FIVE_PERCENT_OWNER" vbProcedure="false">"c442"</definedName>
    <definedName function="false" hidden="true" name="IQ_FIVE_PERCENT_PERCENT" vbProcedure="false">"c19097"</definedName>
    <definedName function="false" hidden="true" name="IQ_FIVE_PERCENT_POSITION_DATE" vbProcedure="false">"c19099"</definedName>
    <definedName function="false" hidden="true" name="IQ_FIVE_PERCENT_SHARES" vbProcedure="false">"c19095"</definedName>
    <definedName function="false" hidden="true" name="IQ_FIVE_PERCENT_VALUE" vbProcedure="false">"c19098"</definedName>
    <definedName function="false" hidden="true" name="IQ_FIVE_YEAR_FIXED_AND_FLOATING_RATE_FDIC" vbProcedure="false">"c6422"</definedName>
    <definedName function="false" hidden="true" name="IQ_FIVE_YEAR_MORTGAGE_PASS_THROUGHS_FDIC" vbProcedure="false">"c6414"</definedName>
    <definedName function="false" hidden="true" name="IQ_FIXED_ASSET_TURNS" vbProcedure="false">"c445"</definedName>
    <definedName function="false" hidden="true" name="IQ_FIXED_INCOME_LIST" vbProcedure="false">"c13504"</definedName>
    <definedName function="false" hidden="true" name="IQ_FIXED_INVEST_APR_FC_UNUSED" vbProcedure="false">"c8410"</definedName>
    <definedName function="false" hidden="true" name="IQ_FIXED_INVEST_APR_UNUSED" vbProcedure="false">"c7530"</definedName>
    <definedName function="false" hidden="true" name="IQ_FIXED_INVEST_FC_UNUSED" vbProcedure="false">"c7750"</definedName>
    <definedName function="false" hidden="true" name="IQ_FIXED_INVEST_MACH_EQUIP" vbProcedure="false">"c6871"</definedName>
    <definedName function="false" hidden="true" name="IQ_FIXED_INVEST_MACH_EQUIP_APR" vbProcedure="false">"c7531"</definedName>
    <definedName function="false" hidden="true" name="IQ_FIXED_INVEST_MACH_EQUIP_APR_FC" vbProcedure="false">"c8411"</definedName>
    <definedName function="false" hidden="true" name="IQ_FIXED_INVEST_MACH_EQUIP_FC" vbProcedure="false">"c7751"</definedName>
    <definedName function="false" hidden="true" name="IQ_FIXED_INVEST_MACH_EQUIP_POP" vbProcedure="false">"c7091"</definedName>
    <definedName function="false" hidden="true" name="IQ_FIXED_INVEST_MACH_EQUIP_POP_FC" vbProcedure="false">"c7971"</definedName>
    <definedName function="false" hidden="true" name="IQ_FIXED_INVEST_MACH_EQUIP_REAL" vbProcedure="false">"c6979"</definedName>
    <definedName function="false" hidden="true" name="IQ_FIXED_INVEST_MACH_EQUIP_REAL_APR" vbProcedure="false">"c7639"</definedName>
    <definedName function="false" hidden="true" name="IQ_FIXED_INVEST_MACH_EQUIP_REAL_APR_FC" vbProcedure="false">"c8519"</definedName>
    <definedName function="false" hidden="true" name="IQ_FIXED_INVEST_MACH_EQUIP_REAL_FC" vbProcedure="false">"c7859"</definedName>
    <definedName function="false" hidden="true" name="IQ_FIXED_INVEST_MACH_EQUIP_REAL_POP" vbProcedure="false">"c7199"</definedName>
    <definedName function="false" hidden="true" name="IQ_FIXED_INVEST_MACH_EQUIP_REAL_POP_FC" vbProcedure="false">"c8079"</definedName>
    <definedName function="false" hidden="true" name="IQ_FIXED_INVEST_MACH_EQUIP_REAL_YOY" vbProcedure="false">"c7419"</definedName>
    <definedName function="false" hidden="true" name="IQ_FIXED_INVEST_MACH_EQUIP_REAL_YOY_FC" vbProcedure="false">"c8299"</definedName>
    <definedName function="false" hidden="true" name="IQ_FIXED_INVEST_MACH_EQUIP_YOY" vbProcedure="false">"c7311"</definedName>
    <definedName function="false" hidden="true" name="IQ_FIXED_INVEST_MACH_EQUIP_YOY_FC" vbProcedure="false">"c8191"</definedName>
    <definedName function="false" hidden="true" name="IQ_FIXED_INVEST_POP_FC_UNUSED" vbProcedure="false">"c7970"</definedName>
    <definedName function="false" hidden="true" name="IQ_FIXED_INVEST_POP_UNUSED" vbProcedure="false">"c7090"</definedName>
    <definedName function="false" hidden="true" name="IQ_FIXED_INVEST_REAL_APR_FC_UNUSED" vbProcedure="false">"c8518"</definedName>
    <definedName function="false" hidden="true" name="IQ_FIXED_INVEST_REAL_APR_UNUSED" vbProcedure="false">"c7638"</definedName>
    <definedName function="false" hidden="true" name="IQ_FIXED_INVEST_REAL_FC_UNUSED" vbProcedure="false">"c7858"</definedName>
    <definedName function="false" hidden="true" name="IQ_FIXED_INVEST_REAL_POP_FC_UNUSED" vbProcedure="false">"c8078"</definedName>
    <definedName function="false" hidden="true" name="IQ_FIXED_INVEST_REAL_POP_UNUSED" vbProcedure="false">"c7198"</definedName>
    <definedName function="false" hidden="true" name="IQ_FIXED_INVEST_REAL_SAAR" vbProcedure="false">"c6980"</definedName>
    <definedName function="false" hidden="true" name="IQ_FIXED_INVEST_REAL_SAAR_APR" vbProcedure="false">"c7640"</definedName>
    <definedName function="false" hidden="true" name="IQ_FIXED_INVEST_REAL_SAAR_APR_FC" vbProcedure="false">"c8520"</definedName>
    <definedName function="false" hidden="true" name="IQ_FIXED_INVEST_REAL_SAAR_FC" vbProcedure="false">"c7860"</definedName>
    <definedName function="false" hidden="true" name="IQ_FIXED_INVEST_REAL_SAAR_POP" vbProcedure="false">"c7200"</definedName>
    <definedName function="false" hidden="true" name="IQ_FIXED_INVEST_REAL_SAAR_POP_FC" vbProcedure="false">"c8080"</definedName>
    <definedName function="false" hidden="true" name="IQ_FIXED_INVEST_REAL_SAAR_USD_APR_FC" vbProcedure="false">"c11945"</definedName>
    <definedName function="false" hidden="true" name="IQ_FIXED_INVEST_REAL_SAAR_USD_FC" vbProcedure="false">"c11942"</definedName>
    <definedName function="false" hidden="true" name="IQ_FIXED_INVEST_REAL_SAAR_USD_POP_FC" vbProcedure="false">"c11943"</definedName>
    <definedName function="false" hidden="true" name="IQ_FIXED_INVEST_REAL_SAAR_USD_YOY_FC" vbProcedure="false">"c11944"</definedName>
    <definedName function="false" hidden="true" name="IQ_FIXED_INVEST_REAL_SAAR_YOY" vbProcedure="false">"c7420"</definedName>
    <definedName function="false" hidden="true" name="IQ_FIXED_INVEST_REAL_SAAR_YOY_FC" vbProcedure="false">"c8300"</definedName>
    <definedName function="false" hidden="true" name="IQ_FIXED_INVEST_REAL_UNUSED" vbProcedure="false">"c6978"</definedName>
    <definedName function="false" hidden="true" name="IQ_FIXED_INVEST_REAL_USD_APR_FC" vbProcedure="false">"c11941"</definedName>
    <definedName function="false" hidden="true" name="IQ_FIXED_INVEST_REAL_USD_FC" vbProcedure="false">"c11938"</definedName>
    <definedName function="false" hidden="true" name="IQ_FIXED_INVEST_REAL_USD_POP_FC" vbProcedure="false">"c11939"</definedName>
    <definedName function="false" hidden="true" name="IQ_FIXED_INVEST_REAL_USD_YOY_FC" vbProcedure="false">"c11940"</definedName>
    <definedName function="false" hidden="true" name="IQ_FIXED_INVEST_REAL_YOY_FC_UNUSED" vbProcedure="false">"c8298"</definedName>
    <definedName function="false" hidden="true" name="IQ_FIXED_INVEST_REAL_YOY_UNUSED" vbProcedure="false">"c7418"</definedName>
    <definedName function="false" hidden="true" name="IQ_FIXED_INVEST_SAAR" vbProcedure="false">"c6872"</definedName>
    <definedName function="false" hidden="true" name="IQ_FIXED_INVEST_SAAR_APR" vbProcedure="false">"c7532"</definedName>
    <definedName function="false" hidden="true" name="IQ_FIXED_INVEST_SAAR_APR_FC" vbProcedure="false">"c8412"</definedName>
    <definedName function="false" hidden="true" name="IQ_FIXED_INVEST_SAAR_FC" vbProcedure="false">"c7752"</definedName>
    <definedName function="false" hidden="true" name="IQ_FIXED_INVEST_SAAR_POP" vbProcedure="false">"c7092"</definedName>
    <definedName function="false" hidden="true" name="IQ_FIXED_INVEST_SAAR_POP_FC" vbProcedure="false">"c7972"</definedName>
    <definedName function="false" hidden="true" name="IQ_FIXED_INVEST_SAAR_USD_APR_FC" vbProcedure="false">"c11833"</definedName>
    <definedName function="false" hidden="true" name="IQ_FIXED_INVEST_SAAR_USD_FC" vbProcedure="false">"c11830"</definedName>
    <definedName function="false" hidden="true" name="IQ_FIXED_INVEST_SAAR_USD_POP_FC" vbProcedure="false">"c11831"</definedName>
    <definedName function="false" hidden="true" name="IQ_FIXED_INVEST_SAAR_USD_YOY_FC" vbProcedure="false">"c11832"</definedName>
    <definedName function="false" hidden="true" name="IQ_FIXED_INVEST_SAAR_YOY" vbProcedure="false">"c7312"</definedName>
    <definedName function="false" hidden="true" name="IQ_FIXED_INVEST_SAAR_YOY_FC" vbProcedure="false">"c8192"</definedName>
    <definedName function="false" hidden="true" name="IQ_FIXED_INVEST_UNUSED" vbProcedure="false">"c6870"</definedName>
    <definedName function="false" hidden="true" name="IQ_FIXED_INVEST_USD_APR_FC" vbProcedure="false">"c11829"</definedName>
    <definedName function="false" hidden="true" name="IQ_FIXED_INVEST_USD_FC" vbProcedure="false">"c11826"</definedName>
    <definedName function="false" hidden="true" name="IQ_FIXED_INVEST_USD_POP_FC" vbProcedure="false">"c11827"</definedName>
    <definedName function="false" hidden="true" name="IQ_FIXED_INVEST_USD_YOY_FC" vbProcedure="false">"c11828"</definedName>
    <definedName function="false" hidden="true" name="IQ_FIXED_INVEST_YOY_FC_UNUSED" vbProcedure="false">"c8190"</definedName>
    <definedName function="false" hidden="true" name="IQ_FIXED_INVEST_YOY_UNUSED" vbProcedure="false">"c7310"</definedName>
    <definedName function="false" hidden="true" name="IQ_FIX_FREQUENCY" vbProcedure="false">"c8964"</definedName>
    <definedName function="false" hidden="true" name="IQ_FLOAT_PERCENT" vbProcedure="false">"c1575"</definedName>
    <definedName function="false" hidden="true" name="IQ_FNMA_FHLMC_FDIC" vbProcedure="false">"c6397"</definedName>
    <definedName function="false" hidden="true" name="IQ_FNMA_FHLMC_GNMA_FDIC" vbProcedure="false">"c6399"</definedName>
    <definedName function="false" hidden="true" name="IQ_FORECLOSED_PROPERTIES_FDIC" vbProcedure="false">"c6459"</definedName>
    <definedName function="false" hidden="true" name="IQ_FORECLOSED_PROP_GNMA_LOANS_FFIEC" vbProcedure="false">"c15272"</definedName>
    <definedName function="false" hidden="true" name="IQ_FOREIGN_BANKS_DEPOSITS_FOREIGN_FDIC" vbProcedure="false">"c6481"</definedName>
    <definedName function="false" hidden="true" name="IQ_FOREIGN_BANKS_DUE_30_89_FFIEC" vbProcedure="false">"c13269"</definedName>
    <definedName function="false" hidden="true" name="IQ_FOREIGN_BANKS_DUE_90_FFIEC" vbProcedure="false">"c13295"</definedName>
    <definedName function="false" hidden="true" name="IQ_FOREIGN_BANKS_LOAN_CHARG_OFFS_FDIC" vbProcedure="false">"c6645"</definedName>
    <definedName function="false" hidden="true" name="IQ_FOREIGN_BANKS_NET_CHARGE_OFFS_FDIC" vbProcedure="false">"c6647"</definedName>
    <definedName function="false" hidden="true" name="IQ_FOREIGN_BANKS_NONTRANSACTION_ACCOUNTS_FDIC" vbProcedure="false">"c6550"</definedName>
    <definedName function="false" hidden="true" name="IQ_FOREIGN_BANKS_NON_ACCRUAL_FFIEC" vbProcedure="false">"c13321"</definedName>
    <definedName function="false" hidden="true" name="IQ_FOREIGN_BANKS_RECOVERIES_FDIC" vbProcedure="false">"c6646"</definedName>
    <definedName function="false" hidden="true" name="IQ_FOREIGN_BANKS_TRANSACTION_ACCOUNTS_FDIC" vbProcedure="false">"c6542"</definedName>
    <definedName function="false" hidden="true" name="IQ_FOREIGN_BANK_LOANS_FDIC" vbProcedure="false">"c6437"</definedName>
    <definedName function="false" hidden="true" name="IQ_FOREIGN_BRANCHES_US_BANKS_FDIC" vbProcedure="false">"c6392"</definedName>
    <definedName function="false" hidden="true" name="IQ_FOREIGN_BRANCHES_US_BANKS_LOANS_FDIC" vbProcedure="false">"c6438"</definedName>
    <definedName function="false" hidden="true" name="IQ_FOREIGN_COUNTRIES_BANKS_TOTAL_LOANS_FOREIGN_FDIC" vbProcedure="false">"c6445"</definedName>
    <definedName function="false" hidden="true" name="IQ_FOREIGN_DEBT_SECURITIES_FDIC" vbProcedure="false">"c6303"</definedName>
    <definedName function="false" hidden="true" name="IQ_FOREIGN_DEPOSITS_ASSETS_TOT_FFIEC" vbProcedure="false">"c13445"</definedName>
    <definedName function="false" hidden="true" name="IQ_FOREIGN_DEPOSITS_NONTRANSACTION_ACCOUNTS_FDIC" vbProcedure="false">"c6549"</definedName>
    <definedName function="false" hidden="true" name="IQ_FOREIGN_DEPOSITS_TOTAL_DEPOSITS" vbProcedure="false">"c15719"</definedName>
    <definedName function="false" hidden="true" name="IQ_FOREIGN_DEPOSITS_TOT_FFIEC" vbProcedure="false">"c13486"</definedName>
    <definedName function="false" hidden="true" name="IQ_FOREIGN_DEPOSITS_TRANSACTION_ACCOUNTS_FDIC" vbProcedure="false">"c6541"</definedName>
    <definedName function="false" hidden="true" name="IQ_FOREIGN_DEP_IB" vbProcedure="false">"c446"</definedName>
    <definedName function="false" hidden="true" name="IQ_FOREIGN_DEP_NON_IB" vbProcedure="false">"c447"</definedName>
    <definedName function="false" hidden="true" name="IQ_FOREIGN_EXCHANGE" vbProcedure="false">"c1376"</definedName>
    <definedName function="false" hidden="true" name="IQ_FOREIGN_EXCHANGE_EXPOSURES_FDIC" vbProcedure="false">"c6663"</definedName>
    <definedName function="false" hidden="true" name="IQ_FOREIGN_GOVERNMENTS_CHARGE_OFFS_FDIC" vbProcedure="false">"c6600"</definedName>
    <definedName function="false" hidden="true" name="IQ_FOREIGN_GOVERNMENTS_DEPOSITS_FOREIGN_FDIC" vbProcedure="false">"c6482"</definedName>
    <definedName function="false" hidden="true" name="IQ_FOREIGN_GOVERNMENTS_NET_CHARGE_OFFS_FDIC" vbProcedure="false">"c6638"</definedName>
    <definedName function="false" hidden="true" name="IQ_FOREIGN_GOVERNMENTS_NONTRANSACTION_ACCOUNTS_FDIC" vbProcedure="false">"c6551"</definedName>
    <definedName function="false" hidden="true" name="IQ_FOREIGN_GOVERNMENTS_RECOVERIES_FDIC" vbProcedure="false">"c6619"</definedName>
    <definedName function="false" hidden="true" name="IQ_FOREIGN_GOVERNMENTS_TOTAL_DEPOSITS_FDIC" vbProcedure="false">"c6476"</definedName>
    <definedName function="false" hidden="true" name="IQ_FOREIGN_GOVERNMENTS_TRANSACTION_ACCOUNTS_FDIC" vbProcedure="false">"c6543"</definedName>
    <definedName function="false" hidden="true" name="IQ_FOREIGN_GOVERNMENT_LOANS_FDIC" vbProcedure="false">"c6430"</definedName>
    <definedName function="false" hidden="true" name="IQ_FOREIGN_GOVT_OFFICIAL_INST_FOREIGN_DEP_FFIEC" vbProcedure="false">"c15345"</definedName>
    <definedName function="false" hidden="true" name="IQ_FOREIGN_GOVT_OFFICIAL_INST_NON_TRANS_ACCTS_FFIEC" vbProcedure="false">"c15327"</definedName>
    <definedName function="false" hidden="true" name="IQ_FOREIGN_GOVT_OFFICIAL_INST_TRANS_ACCTS_FFIEC" vbProcedure="false">"c15319"</definedName>
    <definedName function="false" hidden="true" name="IQ_FOREIGN_LL_REC_FFIEC" vbProcedure="false">"c12892"</definedName>
    <definedName function="false" hidden="true" name="IQ_FOREIGN_LOANS" vbProcedure="false">"c448"</definedName>
    <definedName function="false" hidden="true" name="IQ_FOREIGN_LOANS_LEASES_FOREIGN_FFIEC" vbProcedure="false">"c13478"</definedName>
    <definedName function="false" hidden="true" name="IQ_FOREIGN_LOANS_TOTAL_LOANS" vbProcedure="false">"c15714"</definedName>
    <definedName function="false" hidden="true" name="IQ_FOUNDATION_OVER_TOTAL" vbProcedure="false">"c13769"</definedName>
    <definedName function="false" hidden="true" name="IQ_FQ" vbProcedure="false">500</definedName>
    <definedName function="false" hidden="true" name="IQ_FTOOL_CAPEX" vbProcedure="false">"c16212"</definedName>
    <definedName function="false" hidden="true" name="IQ_FTOOL_CASH" vbProcedure="false">"c16213"</definedName>
    <definedName function="false" hidden="true" name="IQ_FTOOL_CASH_INVEST" vbProcedure="false">"c16214"</definedName>
    <definedName function="false" hidden="true" name="IQ_FTOOL_EBT" vbProcedure="false">"c16215"</definedName>
    <definedName function="false" hidden="true" name="IQ_FTOOL_NI" vbProcedure="false">"c16216"</definedName>
    <definedName function="false" hidden="true" name="IQ_FTOOL_NI_CF" vbProcedure="false">"c16206"</definedName>
    <definedName function="false" hidden="true" name="IQ_FTOOL_NUMBER_SHAREHOLDERS" vbProcedure="false">"c16207"</definedName>
    <definedName function="false" hidden="true" name="IQ_FTOOL_SHARES_PER_DR" vbProcedure="false">"c16208"</definedName>
    <definedName function="false" hidden="true" name="IQ_FTOOL_TOTAL_ASSETS" vbProcedure="false">"c16209"</definedName>
    <definedName function="false" hidden="true" name="IQ_FTOOL_TOTAL_LIAB_EQUITY" vbProcedure="false">"c16210"</definedName>
    <definedName function="false" hidden="true" name="IQ_FTOOL_TOTAL_REV" vbProcedure="false">"c16211"</definedName>
    <definedName function="false" hidden="true" name="IQ_FUEL" vbProcedure="false">"c449"</definedName>
    <definedName function="false" hidden="true" name="IQ_FULLY_INSURED_BROKERED_DEPOSITS_FFIEC" vbProcedure="false">"c15305"</definedName>
    <definedName function="false" hidden="true" name="IQ_FULLY_INSURED_DEPOSITS_FDIC" vbProcedure="false">"c6487"</definedName>
    <definedName function="false" hidden="true" name="IQ_FULL_TIME" vbProcedure="false">"c450"</definedName>
    <definedName function="false" hidden="true" name="IQ_FUNDING_DEPENDENCE_FFIEC" vbProcedure="false">"c13336"</definedName>
    <definedName function="false" hidden="true" name="IQ_FUNDING_DEPENDENCE_ST_FFIEC" vbProcedure="false">"c13337"</definedName>
    <definedName function="false" hidden="true" name="IQ_FUNDS_PURCHASED_ASSETS_TOT_FFIEC" vbProcedure="false">"c13446"</definedName>
    <definedName function="false" hidden="true" name="IQ_FUND_FEE_INC_NON_INT_INC_FFIEC" vbProcedure="false">"c13493"</definedName>
    <definedName function="false" hidden="true" name="IQ_FUND_NAV" vbProcedure="false">"c15225"</definedName>
    <definedName function="false" hidden="true" name="IQ_FUND_PRIMARY_ADVISOR" vbProcedure="false">"c19091"</definedName>
    <definedName function="false" hidden="true" name="IQ_FUTURES_FORWARD_CONTRACTS_NOTIONAL_AMOUNT_FDIC" vbProcedure="false">"c6518"</definedName>
    <definedName function="false" hidden="true" name="IQ_FUTURES_FORWARD_CONTRACTS_RATE_RISK_FDIC" vbProcedure="false">"c6508"</definedName>
    <definedName function="false" hidden="true" name="IQ_FWD" vbProcedure="false">"LTM"</definedName>
    <definedName function="false" hidden="true" name="IQ_FWD1" vbProcedure="false">"LTM"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true" name="IQ_FWD_Q3" vbProcedure="false">"504"</definedName>
    <definedName function="false" hidden="true" name="IQ_FWD_Q4" vbProcedure="false">"505"</definedName>
    <definedName function="false" hidden="true" name="IQ_FWD_Q5" vbProcedure="false">"506"</definedName>
    <definedName function="false" hidden="true" name="IQ_FWD_Q6" vbProcedure="false">"507"</definedName>
    <definedName function="false" hidden="true" name="IQ_FWD_Q7" vbProcedure="false">"508"</definedName>
    <definedName function="false" hidden="true" name="IQ_FX" vbProcedure="false">"c451"</definedName>
    <definedName function="false" hidden="true" name="IQ_FX_CONTRACTS_FDIC" vbProcedure="false">"c6517"</definedName>
    <definedName function="false" hidden="true" name="IQ_FX_CONTRACTS_FFIEC" vbProcedure="false">"c13125"</definedName>
    <definedName function="false" hidden="true" name="IQ_FX_CONTRACTS_SPOT_FDIC" vbProcedure="false">"c6356"</definedName>
    <definedName function="false" hidden="true" name="IQ_FX_EXPOSURE_FFIEC" vbProcedure="false">"c13059"</definedName>
    <definedName function="false" hidden="true" name="IQ_FY" vbProcedure="false">1000</definedName>
    <definedName function="false" hidden="true" name="IQ_FY_DATE" vbProcedure="false">"IQ_FY_DATE"</definedName>
    <definedName function="false" hidden="true" name="IQ_GAAP_BS" vbProcedure="false">"c6789"</definedName>
    <definedName function="false" hidden="true" name="IQ_GAAP_CF" vbProcedure="false">"c6790"</definedName>
    <definedName function="false" hidden="true" name="IQ_GAAP_EST_CIQ" vbProcedure="false">"c13924"</definedName>
    <definedName function="false" hidden="true" name="IQ_GAAP_IS" vbProcedure="false">"c6194"</definedName>
    <definedName function="false" hidden="true" name="IQ_GAINS_AFS_AVG_ASSETS_FFIEC" vbProcedure="false">"c13364"</definedName>
    <definedName function="false" hidden="true" name="IQ_GAINS_ASSETS_TOT_FFIEC" vbProcedure="false">"c13073"</definedName>
    <definedName function="false" hidden="true" name="IQ_GAINS_AVAIL_SALE_EQUITY_SEC_T2_FFIEC" vbProcedure="false">"c13147"</definedName>
    <definedName function="false" hidden="true" name="IQ_GAINS_AVAIL_SALE_SEC_T1_FFIEC" vbProcedure="false">"c13131"</definedName>
    <definedName function="false" hidden="true" name="IQ_GAINS_CASH_FLOW_HEDGES_T1_FFIEC" vbProcedure="false">"c13133"</definedName>
    <definedName function="false" hidden="true" name="IQ_GAINS_HTM_AVG_ASSETS_FFIEC" vbProcedure="false">"c13363"</definedName>
    <definedName function="false" hidden="true" name="IQ_GAINS_INSTRUMENT_SPECIFIC_CREDIT_RISK_LIAB_FFIEC" vbProcedure="false">"c13076"</definedName>
    <definedName function="false" hidden="true" name="IQ_GAINS_INSTRUMENT_SPECIFIC_RISK_FFIEC" vbProcedure="false">"c13074"</definedName>
    <definedName function="false" hidden="true" name="IQ_GAINS_INSURANCE_ACTIVITIES_FFIEC" vbProcedure="false">"c13072"</definedName>
    <definedName function="false" hidden="true" name="IQ_GAINS_LIABILITIES_FFIEC" vbProcedure="false">"c13075"</definedName>
    <definedName function="false" hidden="true" name="IQ_GAINS_SALE_ASSETS_FDIC" vbProcedure="false">"c6675"</definedName>
    <definedName function="false" hidden="true" name="IQ_GAINS_SALE_LOANS_LEASES_FFIEC" vbProcedure="false">"c13013"</definedName>
    <definedName function="false" hidden="true" name="IQ_GAINS_SALE_OTHER_ASSETS_FFIEC" vbProcedure="false">"c13015"</definedName>
    <definedName function="false" hidden="true" name="IQ_GAINS_SALE_OTHER_RE_OWNED_FFIEC" vbProcedure="false">"c13014"</definedName>
    <definedName function="false" hidden="true" name="IQ_GAINS_SECURITIZATION_OPERATING_INC_FFIEC" vbProcedure="false">"c13391"</definedName>
    <definedName function="false" hidden="true" name="IQ_GAIN_ASSETS" vbProcedure="false">"c452"</definedName>
    <definedName function="false" hidden="true" name="IQ_GAIN_ASSETS_BNK" vbProcedure="false">"c453"</definedName>
    <definedName function="false" hidden="true" name="IQ_GAIN_ASSETS_BR" vbProcedure="false">"c454"</definedName>
    <definedName function="false" hidden="true" name="IQ_GAIN_ASSETS_CF" vbProcedure="false">"c455"</definedName>
    <definedName function="false" hidden="true" name="IQ_GAIN_ASSETS_CF_BNK" vbProcedure="false">"c456"</definedName>
    <definedName function="false" hidden="true" name="IQ_GAIN_ASSETS_CF_BR" vbProcedure="false">"c457"</definedName>
    <definedName function="false" hidden="true" name="IQ_GAIN_ASSETS_CF_FIN" vbProcedure="false">"c458"</definedName>
    <definedName function="false" hidden="true" name="IQ_GAIN_ASSETS_CF_INS" vbProcedure="false">"c459"</definedName>
    <definedName function="false" hidden="true" name="IQ_GAIN_ASSETS_CF_RE" vbProcedure="false">"c6217"</definedName>
    <definedName function="false" hidden="true" name="IQ_GAIN_ASSETS_CF_REIT" vbProcedure="false">"c460"</definedName>
    <definedName function="false" hidden="true" name="IQ_GAIN_ASSETS_CF_UTI" vbProcedure="false">"c461"</definedName>
    <definedName function="false" hidden="true" name="IQ_GAIN_ASSETS_FIN" vbProcedure="false">"c462"</definedName>
    <definedName function="false" hidden="true" name="IQ_GAIN_ASSETS_INS" vbProcedure="false">"c463"</definedName>
    <definedName function="false" hidden="true" name="IQ_GAIN_ASSETS_RE" vbProcedure="false">"c6218"</definedName>
    <definedName function="false" hidden="true" name="IQ_GAIN_ASSETS_REIT" vbProcedure="false">"c471"</definedName>
    <definedName function="false" hidden="true" name="IQ_GAIN_ASSETS_REV" vbProcedure="false">"c472"</definedName>
    <definedName function="false" hidden="true" name="IQ_GAIN_ASSETS_REV_BNK" vbProcedure="false">"c473"</definedName>
    <definedName function="false" hidden="true" name="IQ_GAIN_ASSETS_REV_BR" vbProcedure="false">"c474"</definedName>
    <definedName function="false" hidden="true" name="IQ_GAIN_ASSETS_REV_FIN" vbProcedure="false">"c475"</definedName>
    <definedName function="false" hidden="true" name="IQ_GAIN_ASSETS_REV_INS" vbProcedure="false">"c476"</definedName>
    <definedName function="false" hidden="true" name="IQ_GAIN_ASSETS_REV_RE" vbProcedure="false">"c6219"</definedName>
    <definedName function="false" hidden="true" name="IQ_GAIN_ASSETS_REV_REIT" vbProcedure="false">"c477"</definedName>
    <definedName function="false" hidden="true" name="IQ_GAIN_ASSETS_REV_UTI" vbProcedure="false">"c478"</definedName>
    <definedName function="false" hidden="true" name="IQ_GAIN_ASSETS_UTI" vbProcedure="false">"c479"</definedName>
    <definedName function="false" hidden="true" name="IQ_GAIN_CREDIT_DERIVATIVES_FFIEC" vbProcedure="false">"c13066"</definedName>
    <definedName function="false" hidden="true" name="IQ_GAIN_CREDIT_DERIVATIVES_NON_TRADING_FFIEC" vbProcedure="false">"c13067"</definedName>
    <definedName function="false" hidden="true" name="IQ_GAIN_INVEST" vbProcedure="false">"c1463"</definedName>
    <definedName function="false" hidden="true" name="IQ_GAIN_INVEST_BNK" vbProcedure="false">"c1582"</definedName>
    <definedName function="false" hidden="true" name="IQ_GAIN_INVEST_BR" vbProcedure="false">"c1464"</definedName>
    <definedName function="false" hidden="true" name="IQ_GAIN_INVEST_CF" vbProcedure="false">"c480"</definedName>
    <definedName function="false" hidden="true" name="IQ_GAIN_INVEST_CF_BNK" vbProcedure="false">"c481"</definedName>
    <definedName function="false" hidden="true" name="IQ_GAIN_INVEST_CF_BR" vbProcedure="false">"c482"</definedName>
    <definedName function="false" hidden="true" name="IQ_GAIN_INVEST_CF_FIN" vbProcedure="false">"c483"</definedName>
    <definedName function="false" hidden="true" name="IQ_GAIN_INVEST_CF_INS" vbProcedure="false">"c484"</definedName>
    <definedName function="false" hidden="true" name="IQ_GAIN_INVEST_CF_RE" vbProcedure="false">"c6220"</definedName>
    <definedName function="false" hidden="true" name="IQ_GAIN_INVEST_CF_REIT" vbProcedure="false">"c485"</definedName>
    <definedName function="false" hidden="true" name="IQ_GAIN_INVEST_CF_UTI" vbProcedure="false">"c486"</definedName>
    <definedName function="false" hidden="true" name="IQ_GAIN_INVEST_FIN" vbProcedure="false">"c1465"</definedName>
    <definedName function="false" hidden="true" name="IQ_GAIN_INVEST_INS" vbProcedure="false">"c1466"</definedName>
    <definedName function="false" hidden="true" name="IQ_GAIN_INVEST_RE" vbProcedure="false">"c6278"</definedName>
    <definedName function="false" hidden="true" name="IQ_GAIN_INVEST_REIT" vbProcedure="false">"c1467"</definedName>
    <definedName function="false" hidden="true" name="IQ_GAIN_INVEST_REV" vbProcedure="false">"c494"</definedName>
    <definedName function="false" hidden="true" name="IQ_GAIN_INVEST_REV_BNK" vbProcedure="false">"c495"</definedName>
    <definedName function="false" hidden="true" name="IQ_GAIN_INVEST_REV_BR" vbProcedure="false">"c496"</definedName>
    <definedName function="false" hidden="true" name="IQ_GAIN_INVEST_REV_FIN" vbProcedure="false">"c497"</definedName>
    <definedName function="false" hidden="true" name="IQ_GAIN_INVEST_REV_INS" vbProcedure="false">"c498"</definedName>
    <definedName function="false" hidden="true" name="IQ_GAIN_INVEST_REV_RE" vbProcedure="false">"c6221"</definedName>
    <definedName function="false" hidden="true" name="IQ_GAIN_INVEST_REV_REIT" vbProcedure="false">"c499"</definedName>
    <definedName function="false" hidden="true" name="IQ_GAIN_INVEST_REV_UTI" vbProcedure="false">"c500"</definedName>
    <definedName function="false" hidden="true" name="IQ_GAIN_INVEST_UTI" vbProcedure="false">"c1468"</definedName>
    <definedName function="false" hidden="true" name="IQ_GAIN_LOANS_REC" vbProcedure="false">"c501"</definedName>
    <definedName function="false" hidden="true" name="IQ_GAIN_LOANS_RECEIV" vbProcedure="false">"c502"</definedName>
    <definedName function="false" hidden="true" name="IQ_GAIN_LOANS_RECEIV_REV_FIN" vbProcedure="false">"c503"</definedName>
    <definedName function="false" hidden="true" name="IQ_GAIN_LOANS_REV" vbProcedure="false">"c504"</definedName>
    <definedName function="false" hidden="true" name="IQ_GAIN_LOSS_HTM_AFS_SECURITIES_FOREIGN_FFIEC" vbProcedure="false">"c15384"</definedName>
    <definedName function="false" hidden="true" name="IQ_GAIN_SALE_ASSETS" vbProcedure="false">"c1377"</definedName>
    <definedName function="false" hidden="true" name="IQ_GAIN_SALE_LOANS_FDIC" vbProcedure="false">"c6673"</definedName>
    <definedName function="false" hidden="true" name="IQ_GAIN_SALE_RE_FDIC" vbProcedure="false">"c6674"</definedName>
    <definedName function="false" hidden="true" name="IQ_GA_EXP" vbProcedure="false">"c2241"</definedName>
    <definedName function="false" hidden="true" name="IQ_GDP" vbProcedure="false">"c6874"</definedName>
    <definedName function="false" hidden="true" name="IQ_GDP_APR" vbProcedure="false">"c7534"</definedName>
    <definedName function="false" hidden="true" name="IQ_GDP_APR_FC" vbProcedure="false">"c8414"</definedName>
    <definedName function="false" hidden="true" name="IQ_GDP_FC" vbProcedure="false">"c7754"</definedName>
    <definedName function="false" hidden="true" name="IQ_GDP_POP" vbProcedure="false">"c7094"</definedName>
    <definedName function="false" hidden="true" name="IQ_GDP_POP_FC" vbProcedure="false">"c7974"</definedName>
    <definedName function="false" hidden="true" name="IQ_GDP_REAL" vbProcedure="false">"c6981"</definedName>
    <definedName function="false" hidden="true" name="IQ_GDP_REAL_APR" vbProcedure="false">"c7641"</definedName>
    <definedName function="false" hidden="true" name="IQ_GDP_REAL_APR_FC" vbProcedure="false">"c8521"</definedName>
    <definedName function="false" hidden="true" name="IQ_GDP_REAL_FC" vbProcedure="false">"c7861"</definedName>
    <definedName function="false" hidden="true" name="IQ_GDP_REAL_POP" vbProcedure="false">"c7201"</definedName>
    <definedName function="false" hidden="true" name="IQ_GDP_REAL_POP_FC" vbProcedure="false">"c8081"</definedName>
    <definedName function="false" hidden="true" name="IQ_GDP_REAL_SAAR" vbProcedure="false">"c6982"</definedName>
    <definedName function="false" hidden="true" name="IQ_GDP_REAL_SAAR_APR" vbProcedure="false">"c7642"</definedName>
    <definedName function="false" hidden="true" name="IQ_GDP_REAL_SAAR_APR_FC" vbProcedure="false">"c8522"</definedName>
    <definedName function="false" hidden="true" name="IQ_GDP_REAL_SAAR_FC" vbProcedure="false">"c7862"</definedName>
    <definedName function="false" hidden="true" name="IQ_GDP_REAL_SAAR_POP" vbProcedure="false">"c7202"</definedName>
    <definedName function="false" hidden="true" name="IQ_GDP_REAL_SAAR_POP_FC" vbProcedure="false">"c8082"</definedName>
    <definedName function="false" hidden="true" name="IQ_GDP_REAL_SAAR_YOY" vbProcedure="false">"c7422"</definedName>
    <definedName function="false" hidden="true" name="IQ_GDP_REAL_SAAR_YOY_FC" vbProcedure="false">"c8302"</definedName>
    <definedName function="false" hidden="true" name="IQ_GDP_REAL_USD" vbProcedure="false">"c11946"</definedName>
    <definedName function="false" hidden="true" name="IQ_GDP_REAL_USD_APR" vbProcedure="false">"c11949"</definedName>
    <definedName function="false" hidden="true" name="IQ_GDP_REAL_USD_POP" vbProcedure="false">"c11947"</definedName>
    <definedName function="false" hidden="true" name="IQ_GDP_REAL_USD_YOY" vbProcedure="false">"c11948"</definedName>
    <definedName function="false" hidden="true" name="IQ_GDP_REAL_YOY" vbProcedure="false">"c7421"</definedName>
    <definedName function="false" hidden="true" name="IQ_GDP_REAL_YOY_FC" vbProcedure="false">"c8301"</definedName>
    <definedName function="false" hidden="true" name="IQ_GDP_SAAR" vbProcedure="false">"c6875"</definedName>
    <definedName function="false" hidden="true" name="IQ_GDP_SAAR_APR" vbProcedure="false">"c7535"</definedName>
    <definedName function="false" hidden="true" name="IQ_GDP_SAAR_APR_FC" vbProcedure="false">"c8415"</definedName>
    <definedName function="false" hidden="true" name="IQ_GDP_SAAR_FC" vbProcedure="false">"c7755"</definedName>
    <definedName function="false" hidden="true" name="IQ_GDP_SAAR_POP" vbProcedure="false">"c7095"</definedName>
    <definedName function="false" hidden="true" name="IQ_GDP_SAAR_POP_FC" vbProcedure="false">"c7975"</definedName>
    <definedName function="false" hidden="true" name="IQ_GDP_SAAR_YOY" vbProcedure="false">"c7315"</definedName>
    <definedName function="false" hidden="true" name="IQ_GDP_SAAR_YOY_FC" vbProcedure="false">"c8195"</definedName>
    <definedName function="false" hidden="true" name="IQ_GDP_USD" vbProcedure="false">"c11834"</definedName>
    <definedName function="false" hidden="true" name="IQ_GDP_USD_APR" vbProcedure="false">"c11837"</definedName>
    <definedName function="false" hidden="true" name="IQ_GDP_USD_POP" vbProcedure="false">"c11835"</definedName>
    <definedName function="false" hidden="true" name="IQ_GDP_USD_YOY" vbProcedure="false">"c11836"</definedName>
    <definedName function="false" hidden="true" name="IQ_GDP_YOY" vbProcedure="false">"c7314"</definedName>
    <definedName function="false" hidden="true" name="IQ_GDP_YOY_FC" vbProcedure="false">"c8194"</definedName>
    <definedName function="false" hidden="true" name="IQ_GENERAL_ALLOWANCE" vbProcedure="false">"c15248"</definedName>
    <definedName function="false" hidden="true" name="IQ_GEO_SEG_ASSETS" vbProcedure="false">"c4069"</definedName>
    <definedName function="false" hidden="true" name="IQ_GEO_SEG_ASSETS_ABS" vbProcedure="false">"c4091"</definedName>
    <definedName function="false" hidden="true" name="IQ_GEO_SEG_ASSETS_TOTAL" vbProcedure="false">"c4123"</definedName>
    <definedName function="false" hidden="true" name="IQ_GEO_SEG_CAPEX" vbProcedure="false">"c4083"</definedName>
    <definedName function="false" hidden="true" name="IQ_GEO_SEG_CAPEX_ABS" vbProcedure="false">"c4105"</definedName>
    <definedName function="false" hidden="true" name="IQ_GEO_SEG_CAPEX_TOTAL" vbProcedure="false">"c4127"</definedName>
    <definedName function="false" hidden="true" name="IQ_GEO_SEG_DA" vbProcedure="false">"c4082"</definedName>
    <definedName function="false" hidden="true" name="IQ_GEO_SEG_DA_ABS" vbProcedure="false">"c4104"</definedName>
    <definedName function="false" hidden="true" name="IQ_GEO_SEG_DA_TOTAL" vbProcedure="false">"c4126"</definedName>
    <definedName function="false" hidden="true" name="IQ_GEO_SEG_EARNINGS_OP" vbProcedure="false">"c4073"</definedName>
    <definedName function="false" hidden="true" name="IQ_GEO_SEG_EARNINGS_OP_ABS" vbProcedure="false">"c4095"</definedName>
    <definedName function="false" hidden="true" name="IQ_GEO_SEG_EARNINGS_OP_TOTAL" vbProcedure="false">"c4119"</definedName>
    <definedName function="false" hidden="true" name="IQ_GEO_SEG_EBT" vbProcedure="false">"c4072"</definedName>
    <definedName function="false" hidden="true" name="IQ_GEO_SEG_EBT_ABS" vbProcedure="false">"c4094"</definedName>
    <definedName function="false" hidden="true" name="IQ_GEO_SEG_EBT_TOTAL" vbProcedure="false">"c4121"</definedName>
    <definedName function="false" hidden="true" name="IQ_GEO_SEG_GP" vbProcedure="false">"c4070"</definedName>
    <definedName function="false" hidden="true" name="IQ_GEO_SEG_GP_ABS" vbProcedure="false">"c4092"</definedName>
    <definedName function="false" hidden="true" name="IQ_GEO_SEG_GP_TOTAL" vbProcedure="false">"c4120"</definedName>
    <definedName function="false" hidden="true" name="IQ_GEO_SEG_INC_TAX" vbProcedure="false">"c4081"</definedName>
    <definedName function="false" hidden="true" name="IQ_GEO_SEG_INC_TAX_ABS" vbProcedure="false">"c4103"</definedName>
    <definedName function="false" hidden="true" name="IQ_GEO_SEG_INC_TAX_TOTAL" vbProcedure="false">"c4125"</definedName>
    <definedName function="false" hidden="true" name="IQ_GEO_SEG_INTEREST_EXP" vbProcedure="false">"c4080"</definedName>
    <definedName function="false" hidden="true" name="IQ_GEO_SEG_INTEREST_EXP_ABS" vbProcedure="false">"c4102"</definedName>
    <definedName function="false" hidden="true" name="IQ_GEO_SEG_INTEREST_EXP_TOTAL" vbProcedure="false">"c4124"</definedName>
    <definedName function="false" hidden="true" name="IQ_GEO_SEG_NAME" vbProcedure="false">"c5484"</definedName>
    <definedName function="false" hidden="true" name="IQ_GEO_SEG_NAME_ABS" vbProcedure="false">"c5485"</definedName>
    <definedName function="false" hidden="true" name="IQ_GEO_SEG_NI" vbProcedure="false">"c4071"</definedName>
    <definedName function="false" hidden="true" name="IQ_GEO_SEG_NI_ABS" vbProcedure="false">"c4093"</definedName>
    <definedName function="false" hidden="true" name="IQ_GEO_SEG_NI_TOTAL" vbProcedure="false">"c4122"</definedName>
    <definedName function="false" hidden="true" name="IQ_GEO_SEG_OPER_INC" vbProcedure="false">"c4075"</definedName>
    <definedName function="false" hidden="true" name="IQ_GEO_SEG_OPER_INC_ABS" vbProcedure="false">"c4097"</definedName>
    <definedName function="false" hidden="true" name="IQ_GEO_SEG_OPER_INC_TOTAL" vbProcedure="false">"c4118"</definedName>
    <definedName function="false" hidden="true" name="IQ_GEO_SEG_REV" vbProcedure="false">"c4074"</definedName>
    <definedName function="false" hidden="true" name="IQ_GEO_SEG_REV_ABS" vbProcedure="false">"c4096"</definedName>
    <definedName function="false" hidden="true" name="IQ_GEO_SEG_REV_TOTAL" vbProcedure="false">"c4117"</definedName>
    <definedName function="false" hidden="true" name="IQ_GICS_CODE" vbProcedure="false">"c16201"</definedName>
    <definedName function="false" hidden="true" name="IQ_GLA_PCT_LEASED_CONSOL" vbProcedure="false">"c8810"</definedName>
    <definedName function="false" hidden="true" name="IQ_GLA_PCT_LEASED_MANAGED" vbProcedure="false">"c8812"</definedName>
    <definedName function="false" hidden="true" name="IQ_GLA_PCT_LEASED_OTHER" vbProcedure="false">"c8813"</definedName>
    <definedName function="false" hidden="true" name="IQ_GLA_PCT_LEASED_TOTAL" vbProcedure="false">"c8814"</definedName>
    <definedName function="false" hidden="true" name="IQ_GLA_PCT_LEASED_UNCONSOL" vbProcedure="false">"c8811"</definedName>
    <definedName function="false" hidden="true" name="IQ_GLA_SQ_FT_CONSOL" vbProcedure="false">"c8790"</definedName>
    <definedName function="false" hidden="true" name="IQ_GLA_SQ_FT_MANAGED" vbProcedure="false">"c8792"</definedName>
    <definedName function="false" hidden="true" name="IQ_GLA_SQ_FT_OTHER" vbProcedure="false">"c8793"</definedName>
    <definedName function="false" hidden="true" name="IQ_GLA_SQ_FT_TOTAL" vbProcedure="false">"c8794"</definedName>
    <definedName function="false" hidden="true" name="IQ_GLA_SQ_FT_UNCONSOL" vbProcedure="false">"c8791"</definedName>
    <definedName function="false" hidden="true" name="IQ_GLA_SQ_METER_CONSOL" vbProcedure="false">"c8795"</definedName>
    <definedName function="false" hidden="true" name="IQ_GLA_SQ_METER_MANAGED" vbProcedure="false">"c8797"</definedName>
    <definedName function="false" hidden="true" name="IQ_GLA_SQ_METER_OTHER" vbProcedure="false">"c8798"</definedName>
    <definedName function="false" hidden="true" name="IQ_GLA_SQ_METER_TOTAL" vbProcedure="false">"c8799"</definedName>
    <definedName function="false" hidden="true" name="IQ_GLA_SQ_METER_UNCONSOL" vbProcedure="false">"c8796"</definedName>
    <definedName function="false" hidden="true" name="IQ_GNMA_FDIC" vbProcedure="false">"c6398"</definedName>
    <definedName function="false" hidden="true" name="IQ_GOODWILL_FDIC" vbProcedure="false">"c6334"</definedName>
    <definedName function="false" hidden="true" name="IQ_GOODWILL_FFIEC" vbProcedure="false">"c12836"</definedName>
    <definedName function="false" hidden="true" name="IQ_GOODWILL_IMPAIRMENT_FDIC" vbProcedure="false">"c6678"</definedName>
    <definedName function="false" hidden="true" name="IQ_GOODWILL_IMPAIRMENT_FFIEC" vbProcedure="false">"c13025"</definedName>
    <definedName function="false" hidden="true" name="IQ_GOODWILL_INTAN_FDIC" vbProcedure="false">"c6333"</definedName>
    <definedName function="false" hidden="true" name="IQ_GOODWILL_NET" vbProcedure="false">"c1380"</definedName>
    <definedName function="false" hidden="true" name="IQ_GOVT_PERSONAL_TAXES_RECEIPTS" vbProcedure="false">"c6876"</definedName>
    <definedName function="false" hidden="true" name="IQ_GOVT_PERSONAL_TAXES_RECEIPTS_APR" vbProcedure="false">"c7536"</definedName>
    <definedName function="false" hidden="true" name="IQ_GOVT_PERSONAL_TAXES_RECEIPTS_APR_FC" vbProcedure="false">"c8416"</definedName>
    <definedName function="false" hidden="true" name="IQ_GOVT_PERSONAL_TAXES_RECEIPTS_FC" vbProcedure="false">"c7756"</definedName>
    <definedName function="false" hidden="true" name="IQ_GOVT_PERSONAL_TAXES_RECEIPTS_POP" vbProcedure="false">"c7096"</definedName>
    <definedName function="false" hidden="true" name="IQ_GOVT_PERSONAL_TAXES_RECEIPTS_POP_FC" vbProcedure="false">"c7976"</definedName>
    <definedName function="false" hidden="true" name="IQ_GOVT_PERSONAL_TAXES_RECEIPTS_YOY" vbProcedure="false">"c7316"</definedName>
    <definedName function="false" hidden="true" name="IQ_GOVT_PERSONAL_TAXES_RECEIPTS_YOY_FC" vbProcedure="false">"c8196"</definedName>
    <definedName function="false" hidden="true" name="IQ_GOVT_RECEIPTS" vbProcedure="false">"c6877"</definedName>
    <definedName function="false" hidden="true" name="IQ_GOVT_RECEIPTS_APR" vbProcedure="false">"c7537"</definedName>
    <definedName function="false" hidden="true" name="IQ_GOVT_RECEIPTS_APR_FC" vbProcedure="false">"c8417"</definedName>
    <definedName function="false" hidden="true" name="IQ_GOVT_RECEIPTS_FC" vbProcedure="false">"c7757"</definedName>
    <definedName function="false" hidden="true" name="IQ_GOVT_RECEIPTS_POP" vbProcedure="false">"c7097"</definedName>
    <definedName function="false" hidden="true" name="IQ_GOVT_RECEIPTS_POP_FC" vbProcedure="false">"c7977"</definedName>
    <definedName function="false" hidden="true" name="IQ_GOVT_RECEIPTS_YOY" vbProcedure="false">"c7317"</definedName>
    <definedName function="false" hidden="true" name="IQ_GOVT_RECEIPTS_YOY_FC" vbProcedure="false">"c8197"</definedName>
    <definedName function="false" hidden="true" name="IQ_GP" vbProcedure="false">"c511"</definedName>
    <definedName function="false" hidden="true" name="IQ_GPPE" vbProcedure="false">"c518"</definedName>
    <definedName function="false" hidden="true" name="IQ_GP_10YR_ANN_CAGR" vbProcedure="false">"c6090"</definedName>
    <definedName function="false" hidden="true" name="IQ_GP_10YR_ANN_GROWTH" vbProcedure="false">"c512"</definedName>
    <definedName function="false" hidden="true" name="IQ_GP_1YR_ANN_GROWTH" vbProcedure="false">"c513"</definedName>
    <definedName function="false" hidden="true" name="IQ_GP_2YR_ANN_CAGR" vbProcedure="false">"c6091"</definedName>
    <definedName function="false" hidden="true" name="IQ_GP_2YR_ANN_GROWTH" vbProcedure="false">"c514"</definedName>
    <definedName function="false" hidden="true" name="IQ_GP_3YR_ANN_CAGR" vbProcedure="false">"c6092"</definedName>
    <definedName function="false" hidden="true" name="IQ_GP_3YR_ANN_GROWTH" vbProcedure="false">"c515"</definedName>
    <definedName function="false" hidden="true" name="IQ_GP_5YR_ANN_CAGR" vbProcedure="false">"c6093"</definedName>
    <definedName function="false" hidden="true" name="IQ_GP_5YR_ANN_GROWTH" vbProcedure="false">"c516"</definedName>
    <definedName function="false" hidden="true" name="IQ_GP_7YR_ANN_CAGR" vbProcedure="false">"c6094"</definedName>
    <definedName function="false" hidden="true" name="IQ_GP_7YR_ANN_GROWTH" vbProcedure="false">"c517"</definedName>
    <definedName function="false" hidden="true" name="IQ_GROSS_ADD_BASIC" vbProcedure="false">"c15776"</definedName>
    <definedName function="false" hidden="true" name="IQ_GROSS_ADD_BBAND" vbProcedure="false">"c15779"</definedName>
    <definedName function="false" hidden="true" name="IQ_GROSS_ADD_DIG" vbProcedure="false">"c15777"</definedName>
    <definedName function="false" hidden="true" name="IQ_GROSS_ADD_PHONE" vbProcedure="false">"c15780"</definedName>
    <definedName function="false" hidden="true" name="IQ_GROSS_ADD_POSTPAID_WIRELESS" vbProcedure="false">"c15750"</definedName>
    <definedName function="false" hidden="true" name="IQ_GROSS_ADD_PREPAID_WIRELESS" vbProcedure="false">"c15751"</definedName>
    <definedName function="false" hidden="true" name="IQ_GROSS_ADD_RESELL_WHOLESALE_WIRELESS" vbProcedure="false">"c15752"</definedName>
    <definedName function="false" hidden="true" name="IQ_GROSS_ADD_RGU" vbProcedure="false">"c15781"</definedName>
    <definedName function="false" hidden="true" name="IQ_GROSS_ADD_SATELLITE" vbProcedure="false">"c15778"</definedName>
    <definedName function="false" hidden="true" name="IQ_GROSS_ADD_TOTAL_WIRELESS" vbProcedure="false">"c15753"</definedName>
    <definedName function="false" hidden="true" name="IQ_GROSS_AH_EARNED" vbProcedure="false">"c2742"</definedName>
    <definedName function="false" hidden="true" name="IQ_GROSS_CLAIM_ADJ_EXP_RESERVE_BOP" vbProcedure="false">"c15874"</definedName>
    <definedName function="false" hidden="true" name="IQ_GROSS_CLAIM_EXP_INCUR" vbProcedure="false">"c2755"</definedName>
    <definedName function="false" hidden="true" name="IQ_GROSS_CLAIM_EXP_PAID" vbProcedure="false">"c2758"</definedName>
    <definedName function="false" hidden="true" name="IQ_GROSS_CLAIM_EXP_RES" vbProcedure="false">"c2752"</definedName>
    <definedName function="false" hidden="true" name="IQ_GROSS_DIVID" vbProcedure="false">"c1446"</definedName>
    <definedName function="false" hidden="true" name="IQ_GROSS_EARNED" vbProcedure="false">"c2732"</definedName>
    <definedName function="false" hidden="true" name="IQ_GROSS_LIFE_EARNED" vbProcedure="false">"c2737"</definedName>
    <definedName function="false" hidden="true" name="IQ_GROSS_LIFE_IN_FORCE" vbProcedure="false">"c2767"</definedName>
    <definedName function="false" hidden="true" name="IQ_GROSS_LOANS" vbProcedure="false">"c521"</definedName>
    <definedName function="false" hidden="true" name="IQ_GROSS_LOANS_10YR_ANN_CAGR" vbProcedure="false">"c6095"</definedName>
    <definedName function="false" hidden="true" name="IQ_GROSS_LOANS_10YR_ANN_GROWTH" vbProcedure="false">"c522"</definedName>
    <definedName function="false" hidden="true" name="IQ_GROSS_LOANS_1YR_ANN_GROWTH" vbProcedure="false">"c523"</definedName>
    <definedName function="false" hidden="true" name="IQ_GROSS_LOANS_2YR_ANN_CAGR" vbProcedure="false">"c6096"</definedName>
    <definedName function="false" hidden="true" name="IQ_GROSS_LOANS_2YR_ANN_GROWTH" vbProcedure="false">"c524"</definedName>
    <definedName function="false" hidden="true" name="IQ_GROSS_LOANS_3YR_ANN_CAGR" vbProcedure="false">"c6097"</definedName>
    <definedName function="false" hidden="true" name="IQ_GROSS_LOANS_3YR_ANN_GROWTH" vbProcedure="false">"c525"</definedName>
    <definedName function="false" hidden="true" name="IQ_GROSS_LOANS_5YR_ANN_CAGR" vbProcedure="false">"c6098"</definedName>
    <definedName function="false" hidden="true" name="IQ_GROSS_LOANS_5YR_ANN_GROWTH" vbProcedure="false">"c526"</definedName>
    <definedName function="false" hidden="true" name="IQ_GROSS_LOANS_7YR_ANN_CAGR" vbProcedure="false">"c6099"</definedName>
    <definedName function="false" hidden="true" name="IQ_GROSS_LOANS_7YR_ANN_GROWTH" vbProcedure="false">"c527"</definedName>
    <definedName function="false" hidden="true" name="IQ_GROSS_LOANS_TOTAL_DEPOSITS" vbProcedure="false">"c528"</definedName>
    <definedName function="false" hidden="true" name="IQ_GROSS_LOSSES" vbProcedure="false">"c15871"</definedName>
    <definedName function="false" hidden="true" name="IQ_GROSS_LOSSES_AVG_LOANS_FFIEC" vbProcedure="false">"c13475"</definedName>
    <definedName function="false" hidden="true" name="IQ_GROSS_MARGIN" vbProcedure="false">"c529"</definedName>
    <definedName function="false" hidden="true" name="IQ_GROSS_MARGIN_ACT_OR_EST" vbProcedure="false">"c5554"</definedName>
    <definedName function="false" hidden="true" name="IQ_GROSS_MARGIN_ACT_OR_EST_THOM" vbProcedure="false">"c5562"</definedName>
    <definedName function="false" hidden="true" name="IQ_GROSS_MARGIN_DET_EST_DATE_THOM" vbProcedure="false">"c12239"</definedName>
    <definedName function="false" hidden="true" name="IQ_GROSS_MARGIN_DET_EST_INCL_THOM" vbProcedure="false">"c12371"</definedName>
    <definedName function="false" hidden="true" name="IQ_GROSS_MARGIN_DET_EST_ORIGIN_THOM" vbProcedure="false">"c12609"</definedName>
    <definedName function="false" hidden="true" name="IQ_GROSS_MARGIN_DET_EST_THOM" vbProcedure="false">"c12089"</definedName>
    <definedName function="false" hidden="true" name="IQ_GROSS_MARGIN_EST" vbProcedure="false">"c5547"</definedName>
    <definedName function="false" hidden="true" name="IQ_GROSS_MARGIN_EST_THOM" vbProcedure="false">"c5555"</definedName>
    <definedName function="false" hidden="true" name="IQ_GROSS_MARGIN_HIGH_EST" vbProcedure="false">"c5549"</definedName>
    <definedName function="false" hidden="true" name="IQ_GROSS_MARGIN_HIGH_EST_THOM" vbProcedure="false">"c5557"</definedName>
    <definedName function="false" hidden="true" name="IQ_GROSS_MARGIN_LOW_EST" vbProcedure="false">"c5550"</definedName>
    <definedName function="false" hidden="true" name="IQ_GROSS_MARGIN_LOW_EST_THOM" vbProcedure="false">"c5558"</definedName>
    <definedName function="false" hidden="true" name="IQ_GROSS_MARGIN_MEDIAN_EST" vbProcedure="false">"c5548"</definedName>
    <definedName function="false" hidden="true" name="IQ_GROSS_MARGIN_MEDIAN_EST_THOM" vbProcedure="false">"c5556"</definedName>
    <definedName function="false" hidden="true" name="IQ_GROSS_MARGIN_NUM_EST" vbProcedure="false">"c5551"</definedName>
    <definedName function="false" hidden="true" name="IQ_GROSS_MARGIN_NUM_EST_THOM" vbProcedure="false">"c5559"</definedName>
    <definedName function="false" hidden="true" name="IQ_GROSS_MARGIN_STDDEV_EST" vbProcedure="false">"c5552"</definedName>
    <definedName function="false" hidden="true" name="IQ_GROSS_MARGIN_STDDEV_EST_THOM" vbProcedure="false">"c5560"</definedName>
    <definedName function="false" hidden="true" name="IQ_GROSS_PC_EARNED" vbProcedure="false">"c2747"</definedName>
    <definedName function="false" hidden="true" name="IQ_GROSS_PREMIUMS_WRITTEN_AVG_ASSETS" vbProcedure="false">"c15893"</definedName>
    <definedName function="false" hidden="true" name="IQ_GROSS_PREMIUMS_WRITTEN_AVG_EQUITY" vbProcedure="false">"c15892"</definedName>
    <definedName function="false" hidden="true" name="IQ_GROSS_PREMIUMS_WRITTEN_AVG_STATUTORY_SURPLUS" vbProcedure="false">"c15894"</definedName>
    <definedName function="false" hidden="true" name="IQ_GROSS_PROFIT" vbProcedure="false">"c1378"</definedName>
    <definedName function="false" hidden="true" name="IQ_GROSS_SPRD" vbProcedure="false">"c2155"</definedName>
    <definedName function="false" hidden="true" name="IQ_GROSS_WRITTEN" vbProcedure="false">"c2726"</definedName>
    <definedName function="false" hidden="true" name="IQ_GROUP_EMBEDDED_VALUE_ASSET_MANAGEMENT" vbProcedure="false">"c9955"</definedName>
    <definedName function="false" hidden="true" name="IQ_GROUP_EMBEDDED_VALUE_HEALTH" vbProcedure="false">"c9954"</definedName>
    <definedName function="false" hidden="true" name="IQ_GROUP_EMBEDDED_VALUE_LIFE" vbProcedure="false">"c9953"</definedName>
    <definedName function="false" hidden="true" name="IQ_GROUP_EMBEDDED_VALUE_LIFE_OTHER" vbProcedure="false">"c9956"</definedName>
    <definedName function="false" hidden="true" name="IQ_GVKEY" vbProcedure="false">"c15590"</definedName>
    <definedName function="false" hidden="true" name="IQ_GVKEY_OTHER" vbProcedure="false">"c15633"</definedName>
    <definedName function="false" hidden="true" name="IQ_GW" vbProcedure="false">"c530"</definedName>
    <definedName function="false" hidden="true" name="IQ_GW_AMORT_BR" vbProcedure="false">"c532"</definedName>
    <definedName function="false" hidden="true" name="IQ_GW_AMORT_FIN" vbProcedure="false">"c540"</definedName>
    <definedName function="false" hidden="true" name="IQ_GW_AMORT_INS" vbProcedure="false">"c541"</definedName>
    <definedName function="false" hidden="true" name="IQ_GW_AMORT_REIT" vbProcedure="false">"c542"</definedName>
    <definedName function="false" hidden="true" name="IQ_GW_AMORT_UTI" vbProcedure="false">"c543"</definedName>
    <definedName function="false" hidden="true" name="IQ_GW_INTAN" vbProcedure="false">"c19145"</definedName>
    <definedName function="false" hidden="true" name="IQ_GW_INTAN_AMORT" vbProcedure="false">"c1469"</definedName>
    <definedName function="false" hidden="true" name="IQ_GW_INTAN_AMORT_BNK" vbProcedure="false">"c544"</definedName>
    <definedName function="false" hidden="true" name="IQ_GW_INTAN_AMORT_BR" vbProcedure="false">"c1470"</definedName>
    <definedName function="false" hidden="true" name="IQ_GW_INTAN_AMORT_CF" vbProcedure="false">"c1471"</definedName>
    <definedName function="false" hidden="true" name="IQ_GW_INTAN_AMORT_CF_BNK" vbProcedure="false">"c1472"</definedName>
    <definedName function="false" hidden="true" name="IQ_GW_INTAN_AMORT_CF_BR" vbProcedure="false">"c1473"</definedName>
    <definedName function="false" hidden="true" name="IQ_GW_INTAN_AMORT_CF_FIN" vbProcedure="false">"c1474"</definedName>
    <definedName function="false" hidden="true" name="IQ_GW_INTAN_AMORT_CF_INS" vbProcedure="false">"c1475"</definedName>
    <definedName function="false" hidden="true" name="IQ_GW_INTAN_AMORT_CF_RE" vbProcedure="false">"c6279"</definedName>
    <definedName function="false" hidden="true" name="IQ_GW_INTAN_AMORT_CF_REIT" vbProcedure="false">"c1476"</definedName>
    <definedName function="false" hidden="true" name="IQ_GW_INTAN_AMORT_CF_UTI" vbProcedure="false">"c1477"</definedName>
    <definedName function="false" hidden="true" name="IQ_GW_INTAN_AMORT_FIN" vbProcedure="false">"c1478"</definedName>
    <definedName function="false" hidden="true" name="IQ_GW_INTAN_AMORT_INS" vbProcedure="false">"c1479"</definedName>
    <definedName function="false" hidden="true" name="IQ_GW_INTAN_AMORT_RE" vbProcedure="false">"c6280"</definedName>
    <definedName function="false" hidden="true" name="IQ_GW_INTAN_AMORT_REIT" vbProcedure="false">"c1480"</definedName>
    <definedName function="false" hidden="true" name="IQ_GW_INTAN_AMORT_UTI" vbProcedure="false">"c1481"</definedName>
    <definedName function="false" hidden="true" name="IQ_HC_ADJUSTED_DISCHARGES" vbProcedure="false">"c9977"</definedName>
    <definedName function="false" hidden="true" name="IQ_HC_ADMISSIONS" vbProcedure="false">"c5953"</definedName>
    <definedName function="false" hidden="true" name="IQ_HC_ADMISSIONS_GROWTH" vbProcedure="false">"c5997"</definedName>
    <definedName function="false" hidden="true" name="IQ_HC_ADMISSIONS_MANAGED_CARE" vbProcedure="false">"c5956"</definedName>
    <definedName function="false" hidden="true" name="IQ_HC_ADMISSIONS_MEDICAID" vbProcedure="false">"c5955"</definedName>
    <definedName function="false" hidden="true" name="IQ_HC_ADMISSIONS_MEDICARE" vbProcedure="false">"c5954"</definedName>
    <definedName function="false" hidden="true" name="IQ_HC_ADMISSIONS_OTHER" vbProcedure="false">"c5957"</definedName>
    <definedName function="false" hidden="true" name="IQ_HC_ADMISSIONS_SF" vbProcedure="false">"c6006"</definedName>
    <definedName function="false" hidden="true" name="IQ_HC_ALFS" vbProcedure="false">"c5952"</definedName>
    <definedName function="false" hidden="true" name="IQ_HC_ASO_COVERED_LIVES" vbProcedure="false">"c9982"</definedName>
    <definedName function="false" hidden="true" name="IQ_HC_ASO_MEMBERSHIP" vbProcedure="false">"c9985"</definedName>
    <definedName function="false" hidden="true" name="IQ_HC_AVG_BEDS_SVC" vbProcedure="false">"c5951"</definedName>
    <definedName function="false" hidden="true" name="IQ_HC_AVG_DAILY_CENSUS" vbProcedure="false">"c5965"</definedName>
    <definedName function="false" hidden="true" name="IQ_HC_AVG_LICENSED_BEDS" vbProcedure="false">"c5949"</definedName>
    <definedName function="false" hidden="true" name="IQ_HC_AVG_LICENSED_BEDS_SF" vbProcedure="false">"c6004"</definedName>
    <definedName function="false" hidden="true" name="IQ_HC_AVG_STAY" vbProcedure="false">"c5966"</definedName>
    <definedName function="false" hidden="true" name="IQ_HC_AVG_STAY_SF" vbProcedure="false">"c6016"</definedName>
    <definedName function="false" hidden="true" name="IQ_HC_BEDS_SVC" vbProcedure="false">"c5950"</definedName>
    <definedName function="false" hidden="true" name="IQ_HC_CASES" vbProcedure="false">"c9978"</definedName>
    <definedName function="false" hidden="true" name="IQ_HC_CLAIMS_RESERVES" vbProcedure="false">"c9989"</definedName>
    <definedName function="false" hidden="true" name="IQ_HC_DAYS_REV_OUT" vbProcedure="false">"c5993"</definedName>
    <definedName function="false" hidden="true" name="IQ_HC_DISCHARGES" vbProcedure="false">"c9976"</definedName>
    <definedName function="false" hidden="true" name="IQ_HC_EQUIVALENT_ADMISSIONS" vbProcedure="false">"c5958"</definedName>
    <definedName function="false" hidden="true" name="IQ_HC_EQUIVALENT_ADMISSIONS_SF" vbProcedure="false">"c6007"</definedName>
    <definedName function="false" hidden="true" name="IQ_HC_EQUIVALENT_PATIENT_DAYS" vbProcedure="false">"c9980"</definedName>
    <definedName function="false" hidden="true" name="IQ_HC_EQUIV_ADMISSIONS_GROWTH" vbProcedure="false">"c5998"</definedName>
    <definedName function="false" hidden="true" name="IQ_HC_ER_VISITS" vbProcedure="false">"c5964"</definedName>
    <definedName function="false" hidden="true" name="IQ_HC_ER_VISITS_SF" vbProcedure="false">"c6017"</definedName>
    <definedName function="false" hidden="true" name="IQ_HC_GROSS_INPATIENT_REV" vbProcedure="false">"c5987"</definedName>
    <definedName function="false" hidden="true" name="IQ_HC_GROSS_OUTPATIENT_REV" vbProcedure="false">"c5988"</definedName>
    <definedName function="false" hidden="true" name="IQ_HC_GROSS_PATIENT_REV" vbProcedure="false">"c5989"</definedName>
    <definedName function="false" hidden="true" name="IQ_HC_HOSP_FACILITIES_CONSOL" vbProcedure="false">"c5945"</definedName>
    <definedName function="false" hidden="true" name="IQ_HC_HOSP_FACILITIES_CONSOL_SF" vbProcedure="false">"c6000"</definedName>
    <definedName function="false" hidden="true" name="IQ_HC_HOSP_FACILITIES_NON_CONSOL" vbProcedure="false">"c5946"</definedName>
    <definedName function="false" hidden="true" name="IQ_HC_HOSP_FACILITIES_NON_CONSOL_SF" vbProcedure="false">"c6001"</definedName>
    <definedName function="false" hidden="true" name="IQ_HC_HOSP_FACILITIES_TOTAL" vbProcedure="false">"c5947"</definedName>
    <definedName function="false" hidden="true" name="IQ_HC_HOSP_FACILITIES_TOTAL_SF" vbProcedure="false">"c6002"</definedName>
    <definedName function="false" hidden="true" name="IQ_HC_INPATIENT_PROCEDURES" vbProcedure="false">"c5961"</definedName>
    <definedName function="false" hidden="true" name="IQ_HC_INPATIENT_PROCEDURES_SF" vbProcedure="false">"c6011"</definedName>
    <definedName function="false" hidden="true" name="IQ_HC_INPATIENT_REV_PER_ADMISSION" vbProcedure="false">"c5994"</definedName>
    <definedName function="false" hidden="true" name="IQ_HC_INTPATIENT_SVCS_PCT_REV" vbProcedure="false">"c5975"</definedName>
    <definedName function="false" hidden="true" name="IQ_HC_INTPATIENT_SVCS_PCT_REV_SF" vbProcedure="false">"c6015"</definedName>
    <definedName function="false" hidden="true" name="IQ_HC_LICENSED_BEDS" vbProcedure="false">"c5948"</definedName>
    <definedName function="false" hidden="true" name="IQ_HC_LICENSED_BEDS_SF" vbProcedure="false">"c6003"</definedName>
    <definedName function="false" hidden="true" name="IQ_HC_MANAGED_CARE_PCT_ADMISSIONS" vbProcedure="false">"c5982"</definedName>
    <definedName function="false" hidden="true" name="IQ_HC_MANAGED_CARE_PCT_REV" vbProcedure="false">"c5978"</definedName>
    <definedName function="false" hidden="true" name="IQ_HC_MEDICAID_PCT_ADMISSIONS" vbProcedure="false">"c5981"</definedName>
    <definedName function="false" hidden="true" name="IQ_HC_MEDICAID_PCT_REV" vbProcedure="false">"c5977"</definedName>
    <definedName function="false" hidden="true" name="IQ_HC_MEDICAL_EXPENSE_RATIO" vbProcedure="false">"c9987"</definedName>
    <definedName function="false" hidden="true" name="IQ_HC_MEDICARE_PCT_ADMISSIONS" vbProcedure="false">"c5980"</definedName>
    <definedName function="false" hidden="true" name="IQ_HC_MEDICARE_PCT_REV" vbProcedure="false">"c5976"</definedName>
    <definedName function="false" hidden="true" name="IQ_HC_NET_INPATIENT_REV" vbProcedure="false">"c5984"</definedName>
    <definedName function="false" hidden="true" name="IQ_HC_NET_OUTPATIENT_REV" vbProcedure="false">"c5985"</definedName>
    <definedName function="false" hidden="true" name="IQ_HC_NET_PATIENT_REV" vbProcedure="false">"c5986"</definedName>
    <definedName function="false" hidden="true" name="IQ_HC_NET_PATIENT_REV_SF" vbProcedure="false">"c6005"</definedName>
    <definedName function="false" hidden="true" name="IQ_HC_OCC_RATE" vbProcedure="false">"c5967"</definedName>
    <definedName function="false" hidden="true" name="IQ_HC_OCC_RATE_LICENSED_BEDS" vbProcedure="false">"c5968"</definedName>
    <definedName function="false" hidden="true" name="IQ_HC_OCC_RATE_SF" vbProcedure="false">"c6009"</definedName>
    <definedName function="false" hidden="true" name="IQ_HC_OPEX_SUPPLIES" vbProcedure="false">"c5990"</definedName>
    <definedName function="false" hidden="true" name="IQ_HC_OTHER_OPEX_PCT_REV" vbProcedure="false">"c5973"</definedName>
    <definedName function="false" hidden="true" name="IQ_HC_OUTPATIENT_PROCEDURES" vbProcedure="false">"c5962"</definedName>
    <definedName function="false" hidden="true" name="IQ_HC_OUTPATIENT_PROCEDURES_SF" vbProcedure="false">"c6012"</definedName>
    <definedName function="false" hidden="true" name="IQ_HC_OUTPATIENT_REV_PER_ADMISSION" vbProcedure="false">"c5995"</definedName>
    <definedName function="false" hidden="true" name="IQ_HC_OUTPATIENT_SVCS_PCT_REV" vbProcedure="false">"c5974"</definedName>
    <definedName function="false" hidden="true" name="IQ_HC_OUTPATIENT_SVCS_PCT_REV_SF" vbProcedure="false">"c6014"</definedName>
    <definedName function="false" hidden="true" name="IQ_HC_PATIENT_DAYS" vbProcedure="false">"c5960"</definedName>
    <definedName function="false" hidden="true" name="IQ_HC_PATIENT_DAYS_SF" vbProcedure="false">"c6010"</definedName>
    <definedName function="false" hidden="true" name="IQ_HC_PROF_GEN_LIAB_CLAIM_PAID" vbProcedure="false">"c5991"</definedName>
    <definedName function="false" hidden="true" name="IQ_HC_PROF_GEN_LIAB_EXP_BENEFIT" vbProcedure="false">"c5992"</definedName>
    <definedName function="false" hidden="true" name="IQ_HC_PROVISION_DOUBTFUL_PCT_REV" vbProcedure="false">"c5972"</definedName>
    <definedName function="false" hidden="true" name="IQ_HC_REV_GROWTH" vbProcedure="false">"c5996"</definedName>
    <definedName function="false" hidden="true" name="IQ_HC_REV_PER_CASE" vbProcedure="false">"c9979"</definedName>
    <definedName function="false" hidden="true" name="IQ_HC_REV_PER_DISCHARGE" vbProcedure="false">"c9990"</definedName>
    <definedName function="false" hidden="true" name="IQ_HC_REV_PER_EQUIV_ADMISSION" vbProcedure="false">"c5959"</definedName>
    <definedName function="false" hidden="true" name="IQ_HC_REV_PER_EQUIV_ADMISSIONS_GROWTH" vbProcedure="false">"c5999"</definedName>
    <definedName function="false" hidden="true" name="IQ_HC_REV_PER_EQUIV_ADMISSION_SF" vbProcedure="false">"c6008"</definedName>
    <definedName function="false" hidden="true" name="IQ_HC_REV_PER_PATIENT_DAY" vbProcedure="false">"c5969"</definedName>
    <definedName function="false" hidden="true" name="IQ_HC_REV_PER_PATIENT_DAY_SF" vbProcedure="false">"c6018"</definedName>
    <definedName function="false" hidden="true" name="IQ_HC_RISK_COVERED_LIVES" vbProcedure="false">"c9981"</definedName>
    <definedName function="false" hidden="true" name="IQ_HC_RISK_MEMBERSHIP" vbProcedure="false">"c9984"</definedName>
    <definedName function="false" hidden="true" name="IQ_HC_SALARIES_PCT_REV" vbProcedure="false">"c5970"</definedName>
    <definedName function="false" hidden="true" name="IQ_HC_SGA_MARGIN" vbProcedure="false">"c9988"</definedName>
    <definedName function="false" hidden="true" name="IQ_HC_SUPPLIES_PCT_REV" vbProcedure="false">"c5971"</definedName>
    <definedName function="false" hidden="true" name="IQ_HC_TOTAL_COVERED_LIVES" vbProcedure="false">"c9983"</definedName>
    <definedName function="false" hidden="true" name="IQ_HC_TOTAL_MEMBERSHIP" vbProcedure="false">"c9986"</definedName>
    <definedName function="false" hidden="true" name="IQ_HC_TOTAL_PROCEDURES" vbProcedure="false">"c5963"</definedName>
    <definedName function="false" hidden="true" name="IQ_HC_TOTAL_PROCEDURES_SF" vbProcedure="false">"c6013"</definedName>
    <definedName function="false" hidden="true" name="IQ_HC_UNINSURED_PCT_ADMISSIONS" vbProcedure="false">"c5983"</definedName>
    <definedName function="false" hidden="true" name="IQ_HC_UNINSURED_PCT_REV" vbProcedure="false">"c5979"</definedName>
    <definedName function="false" hidden="true" name="IQ_HEDGEFUND_OVER_TOTAL" vbProcedure="false">"c13771"</definedName>
    <definedName function="false" hidden="true" name="IQ_HELD_MATURITY_FDIC" vbProcedure="false">"c6408"</definedName>
    <definedName function="false" hidden="true" name="IQ_HG_ACQUIRED_FRANCHISE_HOTEL_PROPERTIES" vbProcedure="false">"c8584"</definedName>
    <definedName function="false" hidden="true" name="IQ_HG_ACQUIRED_FRANCHISE_ROOMS" vbProcedure="false">"c8614"</definedName>
    <definedName function="false" hidden="true" name="IQ_HG_ACQUIRED_HOTEL_PROPERTIES" vbProcedure="false">"c8572"</definedName>
    <definedName function="false" hidden="true" name="IQ_HG_ACQUIRED_MANAGED_HOTEL_PROPERTIES" vbProcedure="false">"c8590"</definedName>
    <definedName function="false" hidden="true" name="IQ_HG_ACQUIRED_MANAGED_ROOMS" vbProcedure="false">"c8620"</definedName>
    <definedName function="false" hidden="true" name="IQ_HG_ACQUIRED_OTHER_HOTEL_PROPERTIES" vbProcedure="false">"c8596"</definedName>
    <definedName function="false" hidden="true" name="IQ_HG_ACQUIRED_OTHER_ROOMS" vbProcedure="false">"c8626"</definedName>
    <definedName function="false" hidden="true" name="IQ_HG_ACQUIRED_OWNED_HOTEL_PROPERTIES" vbProcedure="false">"c8578"</definedName>
    <definedName function="false" hidden="true" name="IQ_HG_ACQUIRED_OWNED_ROOMS" vbProcedure="false">"c8608"</definedName>
    <definedName function="false" hidden="true" name="IQ_HG_ACQUIRED_ROOMS" vbProcedure="false">"c8602"</definedName>
    <definedName function="false" hidden="true" name="IQ_HG_ADR_CHANGE_FRANCHISE" vbProcedure="false">"c8684"</definedName>
    <definedName function="false" hidden="true" name="IQ_HG_ADR_CHANGE_MANAGED" vbProcedure="false">"c8685"</definedName>
    <definedName function="false" hidden="true" name="IQ_HG_ADR_CHANGE_OTHER" vbProcedure="false">"c8686"</definedName>
    <definedName function="false" hidden="true" name="IQ_HG_ADR_CHANGE_OWNED" vbProcedure="false">"c8683"</definedName>
    <definedName function="false" hidden="true" name="IQ_HG_ADR_CHANGE_OWNED_COMP" vbProcedure="false">"c8709"</definedName>
    <definedName function="false" hidden="true" name="IQ_HG_ADR_CHANGE_TOTAL" vbProcedure="false">"c8687"</definedName>
    <definedName function="false" hidden="true" name="IQ_HG_ADR_CHANGE_TOTAL_COMP" vbProcedure="false">"c8710"</definedName>
    <definedName function="false" hidden="true" name="IQ_HG_ADR_FRANCHISE" vbProcedure="false">"c8664"</definedName>
    <definedName function="false" hidden="true" name="IQ_HG_ADR_MANAGED" vbProcedure="false">"c8665"</definedName>
    <definedName function="false" hidden="true" name="IQ_HG_ADR_OTHER" vbProcedure="false">"c8666"</definedName>
    <definedName function="false" hidden="true" name="IQ_HG_ADR_OWNED" vbProcedure="false">"c8663"</definedName>
    <definedName function="false" hidden="true" name="IQ_HG_ADR_OWNED_COMP" vbProcedure="false">"c8701"</definedName>
    <definedName function="false" hidden="true" name="IQ_HG_ADR_TOTAL" vbProcedure="false">"c8667"</definedName>
    <definedName function="false" hidden="true" name="IQ_HG_ADR_TOTAL_COMP" vbProcedure="false">"c8702"</definedName>
    <definedName function="false" hidden="true" name="IQ_HG_CASINOS_JV" vbProcedure="false">"c8631"</definedName>
    <definedName function="false" hidden="true" name="IQ_HG_CASINOS_MANAGED" vbProcedure="false">"c8632"</definedName>
    <definedName function="false" hidden="true" name="IQ_HG_CASINOS_OWNED" vbProcedure="false">"c8630"</definedName>
    <definedName function="false" hidden="true" name="IQ_HG_CASINOS_TOTAL" vbProcedure="false">"c8633"</definedName>
    <definedName function="false" hidden="true" name="IQ_HG_CASINO_EXP_DIRECT_OPERATING_EXP" vbProcedure="false">"c15981"</definedName>
    <definedName function="false" hidden="true" name="IQ_HG_CASINO_GROSS_PROFIT" vbProcedure="false">"c15974"</definedName>
    <definedName function="false" hidden="true" name="IQ_HG_CASINO_MARGIN" vbProcedure="false">"c15976"</definedName>
    <definedName function="false" hidden="true" name="IQ_HG_CASINO_OPERATING_MARGIN" vbProcedure="false">"c15977"</definedName>
    <definedName function="false" hidden="true" name="IQ_HG_CLOSED_FRANCHISE_HOTEL_PROPERTIES" vbProcedure="false">"c8586"</definedName>
    <definedName function="false" hidden="true" name="IQ_HG_CLOSED_FRANCHISE_ROOMS" vbProcedure="false">"c8616"</definedName>
    <definedName function="false" hidden="true" name="IQ_HG_CLOSED_HOTEL_PROPERTIES" vbProcedure="false">"c8574"</definedName>
    <definedName function="false" hidden="true" name="IQ_HG_CLOSED_MANAGED_HOTEL_PROPERTIES" vbProcedure="false">"c8592"</definedName>
    <definedName function="false" hidden="true" name="IQ_HG_CLOSED_MANAGED_ROOMS" vbProcedure="false">"c8622"</definedName>
    <definedName function="false" hidden="true" name="IQ_HG_CLOSED_OTHER_HOTEL_PROPERTIES" vbProcedure="false">"c8598"</definedName>
    <definedName function="false" hidden="true" name="IQ_HG_CLOSED_OTHER_ROOMS" vbProcedure="false">"c8628"</definedName>
    <definedName function="false" hidden="true" name="IQ_HG_CLOSED_OWNED_HOTEL_PROPERTIES" vbProcedure="false">"c8580"</definedName>
    <definedName function="false" hidden="true" name="IQ_HG_CLOSED_OWNED_ROOMS" vbProcedure="false">"c8610"</definedName>
    <definedName function="false" hidden="true" name="IQ_HG_CLOSED_ROOMS" vbProcedure="false">"c8604"</definedName>
    <definedName function="false" hidden="true" name="IQ_HG_CONFERENCE_SPACE" vbProcedure="false">"c15971"</definedName>
    <definedName function="false" hidden="true" name="IQ_HG_EXP_CASINO" vbProcedure="false">"c8733"</definedName>
    <definedName function="false" hidden="true" name="IQ_HG_EXP_DEVELOPMENT" vbProcedure="false">"c8738"</definedName>
    <definedName function="false" hidden="true" name="IQ_HG_EXP_DIRECT_CASINO_GAMING" vbProcedure="false">"c15994"</definedName>
    <definedName function="false" hidden="true" name="IQ_HG_EXP_ENTERTAINMENT" vbProcedure="false">"c8736"</definedName>
    <definedName function="false" hidden="true" name="IQ_HG_EXP_FOOD_BEV" vbProcedure="false">"c8734"</definedName>
    <definedName function="false" hidden="true" name="IQ_HG_EXP_FRANCHISE_MANAGEMENT" vbProcedure="false">"c8744"</definedName>
    <definedName function="false" hidden="true" name="IQ_HG_EXP_OTHER_DIRECT_HOTEL_MOTEL" vbProcedure="false">"c15995"</definedName>
    <definedName function="false" hidden="true" name="IQ_HG_EXP_OTHER_MNGD_FRANCHISE_PROP" vbProcedure="false">"c8742"</definedName>
    <definedName function="false" hidden="true" name="IQ_HG_EXP_OWNED_LEASED_CONSOL_JV" vbProcedure="false">"c8740"</definedName>
    <definedName function="false" hidden="true" name="IQ_HG_EXP_REIMBURSEMENTS" vbProcedure="false">"c8743"</definedName>
    <definedName function="false" hidden="true" name="IQ_HG_EXP_RETAIL" vbProcedure="false">"c8737"</definedName>
    <definedName function="false" hidden="true" name="IQ_HG_EXP_ROOMS" vbProcedure="false">"c8735"</definedName>
    <definedName function="false" hidden="true" name="IQ_HG_EXP_THEATRE_CONCESSION" vbProcedure="false">"c8739"</definedName>
    <definedName function="false" hidden="true" name="IQ_HG_EXP_VACA_OWNERSHIP_RES" vbProcedure="false">"c8741"</definedName>
    <definedName function="false" hidden="true" name="IQ_HG_FOOD_BEV_EXP_DIRECT_OPERATING_EXP" vbProcedure="false">"c15980"</definedName>
    <definedName function="false" hidden="true" name="IQ_HG_FOOD_BEV_REV_TOTAL_REV" vbProcedure="false">"c15983"</definedName>
    <definedName function="false" hidden="true" name="IQ_HG_FOOD_PROM_COSTS" vbProcedure="false">"c8746"</definedName>
    <definedName function="false" hidden="true" name="IQ_HG_FRANCHISE_HOTEL_PROPERTIES_BEG" vbProcedure="false">"c8582"</definedName>
    <definedName function="false" hidden="true" name="IQ_HG_FRANCHISE_ROOMS_BEG" vbProcedure="false">"c8612"</definedName>
    <definedName function="false" hidden="true" name="IQ_HG_GAMING_SPACE_JV" vbProcedure="false">"c8635"</definedName>
    <definedName function="false" hidden="true" name="IQ_HG_GAMING_SPACE_MANAGED" vbProcedure="false">"c8636"</definedName>
    <definedName function="false" hidden="true" name="IQ_HG_GAMING_SPACE_OWNED" vbProcedure="false">"c8634"</definedName>
    <definedName function="false" hidden="true" name="IQ_HG_GAMING_SPACE_TOTAL" vbProcedure="false">"c8637"</definedName>
    <definedName function="false" hidden="true" name="IQ_HG_HOTEL_PROPERTIES_BEG" vbProcedure="false">"c8570"</definedName>
    <definedName function="false" hidden="true" name="IQ_HG_LAND_AVAIL_JV" vbProcedure="false">"c8647"</definedName>
    <definedName function="false" hidden="true" name="IQ_HG_LAND_AVAIL_MANAGED" vbProcedure="false">"c8648"</definedName>
    <definedName function="false" hidden="true" name="IQ_HG_LAND_AVAIL_OWNED" vbProcedure="false">"c8646"</definedName>
    <definedName function="false" hidden="true" name="IQ_HG_LAND_AVAIL_TOTAL" vbProcedure="false">"c8649"</definedName>
    <definedName function="false" hidden="true" name="IQ_HG_LAND_JV" vbProcedure="false">"c8651"</definedName>
    <definedName function="false" hidden="true" name="IQ_HG_LAND_MANAGED" vbProcedure="false">"c8652"</definedName>
    <definedName function="false" hidden="true" name="IQ_HG_LAND_OWNED" vbProcedure="false">"c8650"</definedName>
    <definedName function="false" hidden="true" name="IQ_HG_LAND_TOTAL" vbProcedure="false">"c8653"</definedName>
    <definedName function="false" hidden="true" name="IQ_HG_MANAGED_HOTEL_PROPERTIES_BEG" vbProcedure="false">"c8588"</definedName>
    <definedName function="false" hidden="true" name="IQ_HG_MANAGED_ROOMS_BEG" vbProcedure="false">"c8618"</definedName>
    <definedName function="false" hidden="true" name="IQ_HG_NUMBER_SUITES" vbProcedure="false">"c15970"</definedName>
    <definedName function="false" hidden="true" name="IQ_HG_NUMBER_TABLES_AVG" vbProcedure="false">"c15973"</definedName>
    <definedName function="false" hidden="true" name="IQ_HG_OCCUPANCY_CHANGE_FRANCHISE" vbProcedure="false">"c8675"</definedName>
    <definedName function="false" hidden="true" name="IQ_HG_OCCUPANCY_CHANGE_MANAGED" vbProcedure="false">"c8677"</definedName>
    <definedName function="false" hidden="true" name="IQ_HG_OCCUPANCY_CHANGE_OTHER" vbProcedure="false">"c8679"</definedName>
    <definedName function="false" hidden="true" name="IQ_HG_OCCUPANCY_CHANGE_OWNED" vbProcedure="false">"c8673"</definedName>
    <definedName function="false" hidden="true" name="IQ_HG_OCCUPANCY_CHANGE_OWNED_COMP" vbProcedure="false">"c8705"</definedName>
    <definedName function="false" hidden="true" name="IQ_HG_OCCUPANCY_CHANGE_TOTAL" vbProcedure="false">"c8681"</definedName>
    <definedName function="false" hidden="true" name="IQ_HG_OCCUPANCY_CHANGE_TOTAL_COMP" vbProcedure="false">"c8707"</definedName>
    <definedName function="false" hidden="true" name="IQ_HG_OCCUPANCY_FRANCHISE" vbProcedure="false">"c8659"</definedName>
    <definedName function="false" hidden="true" name="IQ_HG_OCCUPANCY_INCDEC_FRANCHISE" vbProcedure="false">"c8676"</definedName>
    <definedName function="false" hidden="true" name="IQ_HG_OCCUPANCY_INCDEC_MANAGED" vbProcedure="false">"c8678"</definedName>
    <definedName function="false" hidden="true" name="IQ_HG_OCCUPANCY_INCDEC_OTHER" vbProcedure="false">"c8680"</definedName>
    <definedName function="false" hidden="true" name="IQ_HG_OCCUPANCY_INCDEC_OWNED" vbProcedure="false">"c8674"</definedName>
    <definedName function="false" hidden="true" name="IQ_HG_OCCUPANCY_INCDEC_OWNED_COMP" vbProcedure="false">"c8706"</definedName>
    <definedName function="false" hidden="true" name="IQ_HG_OCCUPANCY_INCDEC_TOTAL" vbProcedure="false">"c8682"</definedName>
    <definedName function="false" hidden="true" name="IQ_HG_OCCUPANCY_INCDEC_TOTAL_COMP" vbProcedure="false">"c8708"</definedName>
    <definedName function="false" hidden="true" name="IQ_HG_OCCUPANCY_MANAGED" vbProcedure="false">"c8660"</definedName>
    <definedName function="false" hidden="true" name="IQ_HG_OCCUPANCY_OTHER" vbProcedure="false">"c8661"</definedName>
    <definedName function="false" hidden="true" name="IQ_HG_OCCUPANCY_OWNED" vbProcedure="false">"c8658"</definedName>
    <definedName function="false" hidden="true" name="IQ_HG_OCCUPANCY_OWNED_COMP" vbProcedure="false">"c8699"</definedName>
    <definedName function="false" hidden="true" name="IQ_HG_OCCUPANCY_TOTAL" vbProcedure="false">"c8662"</definedName>
    <definedName function="false" hidden="true" name="IQ_HG_OCCUPANCY_TOTAL_COMP" vbProcedure="false">"c8700"</definedName>
    <definedName function="false" hidden="true" name="IQ_HG_OPENED_FRANCHISE_HOTEL_PROPERTIES" vbProcedure="false">"c8583"</definedName>
    <definedName function="false" hidden="true" name="IQ_HG_OPENED_FRANCHISE_ROOMS" vbProcedure="false">"c8613"</definedName>
    <definedName function="false" hidden="true" name="IQ_HG_OPENED_HOTEL_PROPERTIES" vbProcedure="false">"c8571"</definedName>
    <definedName function="false" hidden="true" name="IQ_HG_OPENED_MANAGED_HOTEL_PROPERTIES" vbProcedure="false">"c8589"</definedName>
    <definedName function="false" hidden="true" name="IQ_HG_OPENED_MANAGED_ROOMS" vbProcedure="false">"c8619"</definedName>
    <definedName function="false" hidden="true" name="IQ_HG_OPENED_OTHER_HOTEL_PROPERTIES" vbProcedure="false">"c8595"</definedName>
    <definedName function="false" hidden="true" name="IQ_HG_OPENED_OTHER_ROOMS" vbProcedure="false">"c8625"</definedName>
    <definedName function="false" hidden="true" name="IQ_HG_OPENED_OWNED_HOTEL_PROPERTIES" vbProcedure="false">"c8577"</definedName>
    <definedName function="false" hidden="true" name="IQ_HG_OPENED_OWNED_ROOMS" vbProcedure="false">"c8607"</definedName>
    <definedName function="false" hidden="true" name="IQ_HG_OPENED_ROOMS" vbProcedure="false">"c8601"</definedName>
    <definedName function="false" hidden="true" name="IQ_HG_OTHER_HOTEL_PROPERTIES_BEG" vbProcedure="false">"c8594"</definedName>
    <definedName function="false" hidden="true" name="IQ_HG_OTHER_PROM_COSTS" vbProcedure="false">"c8747"</definedName>
    <definedName function="false" hidden="true" name="IQ_HG_OTHER_ROOMS_BEG" vbProcedure="false">"c8624"</definedName>
    <definedName function="false" hidden="true" name="IQ_HG_OWNED_HOTEL_PROPERTIES_BEG" vbProcedure="false">"c8576"</definedName>
    <definedName function="false" hidden="true" name="IQ_HG_OWNED_ROOMS_BEG" vbProcedure="false">"c8606"</definedName>
    <definedName function="false" hidden="true" name="IQ_HG_PARKING_SPACES_JV" vbProcedure="false">"c8655"</definedName>
    <definedName function="false" hidden="true" name="IQ_HG_PARKING_SPACES_MANAGED" vbProcedure="false">"c8656"</definedName>
    <definedName function="false" hidden="true" name="IQ_HG_PARKING_SPACES_OWNED" vbProcedure="false">"c8654"</definedName>
    <definedName function="false" hidden="true" name="IQ_HG_PARKING_SPACES_TOTAL" vbProcedure="false">"c8657"</definedName>
    <definedName function="false" hidden="true" name="IQ_HG_PROMO_ALLOW_GROSS_OPERATING_REV" vbProcedure="false">"c15979"</definedName>
    <definedName function="false" hidden="true" name="IQ_HG_REVENUES_CHANGE_OWNED_COMP" vbProcedure="false">"c8697"</definedName>
    <definedName function="false" hidden="true" name="IQ_HG_REVENUES_CHANGE_TOTAL_COMP" vbProcedure="false">"c8698"</definedName>
    <definedName function="false" hidden="true" name="IQ_HG_REVPAR_CHANGE_MANAGED" vbProcedure="false">"c8690"</definedName>
    <definedName function="false" hidden="true" name="IQ_HG_REVPAR_CHANGE_OTHER" vbProcedure="false">"c8691"</definedName>
    <definedName function="false" hidden="true" name="IQ_HG_REVPAR_CHANGE_OWNED" vbProcedure="false">"c8688"</definedName>
    <definedName function="false" hidden="true" name="IQ_HG_REVPAR_CHANGE_OWNED_COMP" vbProcedure="false">"c8711"</definedName>
    <definedName function="false" hidden="true" name="IQ_HG_REVPAR_CHANGE_TOTAL" vbProcedure="false">"c8692"</definedName>
    <definedName function="false" hidden="true" name="IQ_HG_REVPAR_CHANGE_TOTAL_COMP" vbProcedure="false">"c8712"</definedName>
    <definedName function="false" hidden="true" name="IQ_HG_REVPAR_CHNAGE_FRANCHISE" vbProcedure="false">"c8689"</definedName>
    <definedName function="false" hidden="true" name="IQ_HG_REVPAR_FRANCHISE" vbProcedure="false">"c8669"</definedName>
    <definedName function="false" hidden="true" name="IQ_HG_REVPAR_MANAGED" vbProcedure="false">"c8670"</definedName>
    <definedName function="false" hidden="true" name="IQ_HG_REVPAR_OTHER" vbProcedure="false">"c8671"</definedName>
    <definedName function="false" hidden="true" name="IQ_HG_REVPAR_OWNED" vbProcedure="false">"c8668"</definedName>
    <definedName function="false" hidden="true" name="IQ_HG_REVPAR_OWNED_COMP" vbProcedure="false">"c8703"</definedName>
    <definedName function="false" hidden="true" name="IQ_HG_REVPAR_TOTAL" vbProcedure="false">"c8672"</definedName>
    <definedName function="false" hidden="true" name="IQ_HG_REVPAR_TOTAL_COMP" vbProcedure="false">"c8704"</definedName>
    <definedName function="false" hidden="true" name="IQ_HG_REV_BASE_MANAGEMENT_FEES" vbProcedure="false">"c8726"</definedName>
    <definedName function="false" hidden="true" name="IQ_HG_REV_CASINO" vbProcedure="false">"c8713"</definedName>
    <definedName function="false" hidden="true" name="IQ_HG_REV_COST_REIMBURSEMENT" vbProcedure="false">"c8728"</definedName>
    <definedName function="false" hidden="true" name="IQ_HG_REV_ENTERTAINMENT" vbProcedure="false">"c8716"</definedName>
    <definedName function="false" hidden="true" name="IQ_HG_REV_FOOD_BEV" vbProcedure="false">"c8714"</definedName>
    <definedName function="false" hidden="true" name="IQ_HG_REV_FRANCHISE" vbProcedure="false">"c8725"</definedName>
    <definedName function="false" hidden="true" name="IQ_HG_REV_GROSS_OPERATING" vbProcedure="false">"c15993"</definedName>
    <definedName function="false" hidden="true" name="IQ_HG_REV_INCENTIVE_MANAGEMENT_FEES" vbProcedure="false">"c8727"</definedName>
    <definedName function="false" hidden="true" name="IQ_HG_REV_MANAGEMENT_FEES" vbProcedure="false">"c8718"</definedName>
    <definedName function="false" hidden="true" name="IQ_HG_REV_OTHER_CASINO" vbProcedure="false">"c15992"</definedName>
    <definedName function="false" hidden="true" name="IQ_HG_REV_OTHER_MNGD_FRANCHISE_PROP" vbProcedure="false">"c8730"</definedName>
    <definedName function="false" hidden="true" name="IQ_HG_REV_OTHER_OP_SEGMENT" vbProcedure="false">"c8721"</definedName>
    <definedName function="false" hidden="true" name="IQ_HG_REV_OTHER_OWNERSHIP_MIX" vbProcedure="false">"c8731"</definedName>
    <definedName function="false" hidden="true" name="IQ_HG_REV_OWNED_LEASED_CONSOL_JV_HOTELS" vbProcedure="false">"c8724"</definedName>
    <definedName function="false" hidden="true" name="IQ_HG_REV_PROMOTIONAL_ALLOWANCE" vbProcedure="false">"c8722"</definedName>
    <definedName function="false" hidden="true" name="IQ_HG_REV_RACING" vbProcedure="false">"c8719"</definedName>
    <definedName function="false" hidden="true" name="IQ_HG_REV_RETAIL" vbProcedure="false">"c8717"</definedName>
    <definedName function="false" hidden="true" name="IQ_HG_REV_ROOMS" vbProcedure="false">"c8715"</definedName>
    <definedName function="false" hidden="true" name="IQ_HG_REV_SLOT_MACHINE" vbProcedure="false">"c15990"</definedName>
    <definedName function="false" hidden="true" name="IQ_HG_REV_TABLE" vbProcedure="false">"c15991"</definedName>
    <definedName function="false" hidden="true" name="IQ_HG_REV_THEATRE_CONCESSION" vbProcedure="false">"c8720"</definedName>
    <definedName function="false" hidden="true" name="IQ_HG_REV_TOTAL_OP_SEGMENT" vbProcedure="false">"c8723"</definedName>
    <definedName function="false" hidden="true" name="IQ_HG_REV_TOTAL_OWNERSHIP_MIX" vbProcedure="false">"c8732"</definedName>
    <definedName function="false" hidden="true" name="IQ_HG_REV_VACA_OWNERSHIP_RES_SALES_SVCS" vbProcedure="false">"c8729"</definedName>
    <definedName function="false" hidden="true" name="IQ_HG_ROOMS_BEG" vbProcedure="false">"c8600"</definedName>
    <definedName function="false" hidden="true" name="IQ_HG_ROOM_EXP_DIRECT_OPERATING_EXP" vbProcedure="false">"c15982"</definedName>
    <definedName function="false" hidden="true" name="IQ_HG_ROOM_GROSS_PROFIT" vbProcedure="false">"c15975"</definedName>
    <definedName function="false" hidden="true" name="IQ_HG_ROOM_MARGIN" vbProcedure="false">"c15978"</definedName>
    <definedName function="false" hidden="true" name="IQ_HG_ROOM_PROM_COSTS" vbProcedure="false">"c8745"</definedName>
    <definedName function="false" hidden="true" name="IQ_HG_ROOM_REV_TOTAL_REV" vbProcedure="false">"c15984"</definedName>
    <definedName function="false" hidden="true" name="IQ_HG_SAME_PROPERTIES_CASINO_REV_CHANGE" vbProcedure="false">"c15987"</definedName>
    <definedName function="false" hidden="true" name="IQ_HG_SAME_PROPERTIES_FOOD_BEV_REV_CHANGE" vbProcedure="false">"c15989"</definedName>
    <definedName function="false" hidden="true" name="IQ_HG_SAME_PROPERTIES_ROOM_REV_CHANGE" vbProcedure="false">"c15988"</definedName>
    <definedName function="false" hidden="true" name="IQ_HG_SAME_PROPERTIES_SLOT_MACHINE_REV_CHANGE" vbProcedure="false">"c15985"</definedName>
    <definedName function="false" hidden="true" name="IQ_HG_SAME_PROPERTIES_TABLE_REV_CHANGE" vbProcedure="false">"c15986"</definedName>
    <definedName function="false" hidden="true" name="IQ_HG_SLOT_MACHINES_AVG" vbProcedure="false">"c15972"</definedName>
    <definedName function="false" hidden="true" name="IQ_HG_SLOT_MACHINES_JV" vbProcedure="false">"c8639"</definedName>
    <definedName function="false" hidden="true" name="IQ_HG_SLOT_MACHINES_MANAGED" vbProcedure="false">"c8640"</definedName>
    <definedName function="false" hidden="true" name="IQ_HG_SLOT_MACHINES_OWNED" vbProcedure="false">"c8638"</definedName>
    <definedName function="false" hidden="true" name="IQ_HG_SLOT_MACHINES_TOTAL" vbProcedure="false">"c8641"</definedName>
    <definedName function="false" hidden="true" name="IQ_HG_SOLD_FRANCHISE_HOTEL_PROPERTIES" vbProcedure="false">"c8585"</definedName>
    <definedName function="false" hidden="true" name="IQ_HG_SOLD_FRANCHISE_ROOMS" vbProcedure="false">"c8615"</definedName>
    <definedName function="false" hidden="true" name="IQ_HG_SOLD_HOTEL_PROPERTIES" vbProcedure="false">"c8573"</definedName>
    <definedName function="false" hidden="true" name="IQ_HG_SOLD_MANAGED_HOTEL_PROPERTIES" vbProcedure="false">"c8591"</definedName>
    <definedName function="false" hidden="true" name="IQ_HG_SOLD_MANAGED_ROOMS" vbProcedure="false">"c8621"</definedName>
    <definedName function="false" hidden="true" name="IQ_HG_SOLD_OTHER_HOTEL_PROPERTIES" vbProcedure="false">"c8597"</definedName>
    <definedName function="false" hidden="true" name="IQ_HG_SOLD_OTHER_ROOMS" vbProcedure="false">"c8627"</definedName>
    <definedName function="false" hidden="true" name="IQ_HG_SOLD_OWNED_HOTEL_PROPERTIES" vbProcedure="false">"c8579"</definedName>
    <definedName function="false" hidden="true" name="IQ_HG_SOLD_OWNED_ROOMS" vbProcedure="false">"c8609"</definedName>
    <definedName function="false" hidden="true" name="IQ_HG_SOLD_ROOMS" vbProcedure="false">"c8603"</definedName>
    <definedName function="false" hidden="true" name="IQ_HG_TABLES_JV" vbProcedure="false">"c8643"</definedName>
    <definedName function="false" hidden="true" name="IQ_HG_TABLES_MANAGED" vbProcedure="false">"c8644"</definedName>
    <definedName function="false" hidden="true" name="IQ_HG_TABLES_OWNED" vbProcedure="false">"c8642"</definedName>
    <definedName function="false" hidden="true" name="IQ_HG_TABLES_TOTAL" vbProcedure="false">"c8645"</definedName>
    <definedName function="false" hidden="true" name="IQ_HG_TABLE_GAMES_JV" vbProcedure="false">"c8643"</definedName>
    <definedName function="false" hidden="true" name="IQ_HG_TABLE_GAMES_MANAGED" vbProcedure="false">"c8644"</definedName>
    <definedName function="false" hidden="true" name="IQ_HG_TABLE_GAMES_OWNED" vbProcedure="false">"c8642"</definedName>
    <definedName function="false" hidden="true" name="IQ_HG_TABLE_GAMES_TOTAL" vbProcedure="false">"c8645"</definedName>
    <definedName function="false" hidden="true" name="IQ_HG_TOTAL_FRANCHISE_HOTEL_PROPERTIES" vbProcedure="false">"c8587"</definedName>
    <definedName function="false" hidden="true" name="IQ_HG_TOTAL_FRANCHISE_ROOMS" vbProcedure="false">"c8617"</definedName>
    <definedName function="false" hidden="true" name="IQ_HG_TOTAL_HOTEL_PROPERTIES" vbProcedure="false">"c8575"</definedName>
    <definedName function="false" hidden="true" name="IQ_HG_TOTAL_MANAGED_HOTEL_PROPERTIES" vbProcedure="false">"c8593"</definedName>
    <definedName function="false" hidden="true" name="IQ_HG_TOTAL_MANAGED_ROOMS" vbProcedure="false">"c8623"</definedName>
    <definedName function="false" hidden="true" name="IQ_HG_TOTAL_OTHER_HOTEL_PROPERTIES" vbProcedure="false">"c8599"</definedName>
    <definedName function="false" hidden="true" name="IQ_HG_TOTAL_OTHER_ROOMS" vbProcedure="false">"c8629"</definedName>
    <definedName function="false" hidden="true" name="IQ_HG_TOTAL_OWNED_HOTEL_PROPERTIES" vbProcedure="false">"c8581"</definedName>
    <definedName function="false" hidden="true" name="IQ_HG_TOTAL_OWNED_PROPERTIES_COMP" vbProcedure="false">"c8693"</definedName>
    <definedName function="false" hidden="true" name="IQ_HG_TOTAL_OWNED_ROOMS" vbProcedure="false">"c8611"</definedName>
    <definedName function="false" hidden="true" name="IQ_HG_TOTAL_OWNED_ROOMS_COMP" vbProcedure="false">"c8695"</definedName>
    <definedName function="false" hidden="true" name="IQ_HG_TOTAL_PROM_COSTS" vbProcedure="false">"c8748"</definedName>
    <definedName function="false" hidden="true" name="IQ_HG_TOTAL_PROPERTIES_COMP" vbProcedure="false">"c8694"</definedName>
    <definedName function="false" hidden="true" name="IQ_HG_TOTAL_ROOMS" vbProcedure="false">"c8605"</definedName>
    <definedName function="false" hidden="true" name="IQ_HG_TOTAL_ROOMS_COMP" vbProcedure="false">"c8696"</definedName>
    <definedName function="false" hidden="true" name="IQ_HIGHPRICE" vbProcedure="false">"c545"</definedName>
    <definedName function="false" hidden="true" name="IQ_HIGH_LOW_CLOSEPRICE_DATE" vbProcedure="false">"c1204"</definedName>
    <definedName function="false" hidden="true" name="IQ_HIGH_SULFURE_RESERVES_TO_TOTAL_RESERVES_COAL" vbProcedure="false">"c15963"</definedName>
    <definedName function="false" hidden="true" name="IQ_HIGH_SULFUR_CONTENT_RESERVES_COAL" vbProcedure="false">"c15928"</definedName>
    <definedName function="false" hidden="true" name="IQ_HIGH_TARGET_PRICE" vbProcedure="false">"c1651"</definedName>
    <definedName function="false" hidden="true" name="IQ_HIGH_TARGET_PRICE_CIQ" vbProcedure="false">"c4659"</definedName>
    <definedName function="false" hidden="true" name="IQ_HIGH_TARGET_PRICE_REUT" vbProcedure="false">"c5317"</definedName>
    <definedName function="false" hidden="true" name="IQ_HIGH_TARGET_PRICE_THOM" vbProcedure="false">"c5096"</definedName>
    <definedName function="false" hidden="true" name="IQ_HOLDER_CIQID" vbProcedure="false">"c13787"</definedName>
    <definedName function="false" hidden="true" name="IQ_HOLDER_CIQID_SECURITY" vbProcedure="false">"c13794"</definedName>
    <definedName function="false" hidden="true" name="IQ_HOLDER_DERIVATIVES" vbProcedure="false">"c13789"</definedName>
    <definedName function="false" hidden="true" name="IQ_HOLDER_DERIVATIVES_SECURITY" vbProcedure="false">"c13796"</definedName>
    <definedName function="false" hidden="true" name="IQ_HOLDER_FUND_CIQID" vbProcedure="false">"c19084"</definedName>
    <definedName function="false" hidden="true" name="IQ_HOLDER_FUND_DERIVATIVES" vbProcedure="false">"c19115"</definedName>
    <definedName function="false" hidden="true" name="IQ_HOLDER_FUND_NAME" vbProcedure="false">"c19083"</definedName>
    <definedName function="false" hidden="true" name="IQ_HOLDER_FUND_NUMBER" vbProcedure="false">"c19090"</definedName>
    <definedName function="false" hidden="true" name="IQ_HOLDER_FUND_PERCENT" vbProcedure="false">"c19085"</definedName>
    <definedName function="false" hidden="true" name="IQ_HOLDER_FUND_POSITION_DATE" vbProcedure="false">"c19088"</definedName>
    <definedName function="false" hidden="true" name="IQ_HOLDER_FUND_PRIMARY_ADVISOR" vbProcedure="false">"c19089"</definedName>
    <definedName function="false" hidden="true" name="IQ_HOLDER_FUND_SHARES" vbProcedure="false">"c19086"</definedName>
    <definedName function="false" hidden="true" name="IQ_HOLDER_FUND_VALUE" vbProcedure="false">"c19087"</definedName>
    <definedName function="false" hidden="true" name="IQ_HOLDER_NAME" vbProcedure="false">"c13786"</definedName>
    <definedName function="false" hidden="true" name="IQ_HOLDER_NAME_SECURITY" vbProcedure="false">"c13793"</definedName>
    <definedName function="false" hidden="true" name="IQ_HOLDER_PERCENT" vbProcedure="false">"c13790"</definedName>
    <definedName function="false" hidden="true" name="IQ_HOLDER_PERCENT_SECURITY" vbProcedure="false">"c13831"</definedName>
    <definedName function="false" hidden="true" name="IQ_HOLDER_POSITION_DATE" vbProcedure="false">"c13792"</definedName>
    <definedName function="false" hidden="true" name="IQ_HOLDER_POSITION_DATE_SECURITY" vbProcedure="false">"c13798"</definedName>
    <definedName function="false" hidden="true" name="IQ_HOLDER_SHARES" vbProcedure="false">"c13788"</definedName>
    <definedName function="false" hidden="true" name="IQ_HOLDER_SHARES_SECURITY" vbProcedure="false">"c13795"</definedName>
    <definedName function="false" hidden="true" name="IQ_HOLDER_VALUE" vbProcedure="false">"c13791"</definedName>
    <definedName function="false" hidden="true" name="IQ_HOLDER_VALUE_SECURITY" vbProcedure="false">"c13797"</definedName>
    <definedName function="false" hidden="true" name="IQ_HOLDING_CIQID" vbProcedure="false">"c13802"</definedName>
    <definedName function="false" hidden="true" name="IQ_HOLDING_NAME" vbProcedure="false">"c13799"</definedName>
    <definedName function="false" hidden="true" name="IQ_HOLDING_PERCENT" vbProcedure="false">"c13805"</definedName>
    <definedName function="false" hidden="true" name="IQ_HOLDING_PERCENT_PORTFOLIO" vbProcedure="false">"c13806"</definedName>
    <definedName function="false" hidden="true" name="IQ_HOLDING_POSITION_DATE" vbProcedure="false">"c13808"</definedName>
    <definedName function="false" hidden="true" name="IQ_HOLDING_SECURITY_TYPE" vbProcedure="false">"c13803"</definedName>
    <definedName function="false" hidden="true" name="IQ_HOLDING_SHARES" vbProcedure="false">"c13804"</definedName>
    <definedName function="false" hidden="true" name="IQ_HOLDING_TICKER" vbProcedure="false">"c13800"</definedName>
    <definedName function="false" hidden="true" name="IQ_HOLDING_TRADING_ITEM_CIQID" vbProcedure="false">"c13801"</definedName>
    <definedName function="false" hidden="true" name="IQ_HOLDING_VALUE" vbProcedure="false">"c13807"</definedName>
    <definedName function="false" hidden="true" name="IQ_HOMEBUILDING_COGS_SALES" vbProcedure="false">"c15813"</definedName>
    <definedName function="false" hidden="true" name="IQ_HOMEBUILDING_INV_TURN" vbProcedure="false">"c15819"</definedName>
    <definedName function="false" hidden="true" name="IQ_HOMEBUILDING_TURN" vbProcedure="false">"c15820"</definedName>
    <definedName function="false" hidden="true" name="IQ_HOMEOWNERS_WRITTEN" vbProcedure="false">"c546"</definedName>
    <definedName function="false" hidden="true" name="IQ_HOME_AVG_LOAN_SIZE" vbProcedure="false">"c5911"</definedName>
    <definedName function="false" hidden="true" name="IQ_HOME_BACKLOG" vbProcedure="false">"c5844"</definedName>
    <definedName function="false" hidden="true" name="IQ_HOME_BACKLOG_AVG_JV" vbProcedure="false">"c5848"</definedName>
    <definedName function="false" hidden="true" name="IQ_HOME_BACKLOG_AVG_JV_GROWTH" vbProcedure="false">"c5928"</definedName>
    <definedName function="false" hidden="true" name="IQ_HOME_BACKLOG_AVG_JV_INC" vbProcedure="false">"c5851"</definedName>
    <definedName function="false" hidden="true" name="IQ_HOME_BACKLOG_AVG_JV_INC_GROWTH" vbProcedure="false">"c5931"</definedName>
    <definedName function="false" hidden="true" name="IQ_HOME_BACKLOG_AVG_PRICE" vbProcedure="false">"c5845"</definedName>
    <definedName function="false" hidden="true" name="IQ_HOME_BACKLOG_AVG_PRICE_GROWTH" vbProcedure="false">"c5925"</definedName>
    <definedName function="false" hidden="true" name="IQ_HOME_BACKLOG_GROWTH" vbProcedure="false">"c5924"</definedName>
    <definedName function="false" hidden="true" name="IQ_HOME_BACKLOG_JV" vbProcedure="false">"c5847"</definedName>
    <definedName function="false" hidden="true" name="IQ_HOME_BACKLOG_JV_GROWTH" vbProcedure="false">"c5927"</definedName>
    <definedName function="false" hidden="true" name="IQ_HOME_BACKLOG_JV_INC" vbProcedure="false">"c5850"</definedName>
    <definedName function="false" hidden="true" name="IQ_HOME_BACKLOG_JV_INC_GROWTH" vbProcedure="false">"c5930"</definedName>
    <definedName function="false" hidden="true" name="IQ_HOME_BACKLOG_VALUE" vbProcedure="false">"c5846"</definedName>
    <definedName function="false" hidden="true" name="IQ_HOME_BACKLOG_VALUE_GROWTH" vbProcedure="false">"c5926"</definedName>
    <definedName function="false" hidden="true" name="IQ_HOME_BACKLOG_VALUE_JV" vbProcedure="false">"c5849"</definedName>
    <definedName function="false" hidden="true" name="IQ_HOME_BACKLOG_VALUE_JV_GROWTH" vbProcedure="false">"c5929"</definedName>
    <definedName function="false" hidden="true" name="IQ_HOME_BACKLOG_VALUE_JV_INC" vbProcedure="false">"c5852"</definedName>
    <definedName function="false" hidden="true" name="IQ_HOME_BACKLOG_VALUE_JV_INC_GROWTH" vbProcedure="false">"c5932"</definedName>
    <definedName function="false" hidden="true" name="IQ_HOME_CANCELLATION_RATE" vbProcedure="false">"c16192"</definedName>
    <definedName function="false" hidden="true" name="IQ_HOME_CANCELLATION_RATE_INCL_JV" vbProcedure="false">"c16194"</definedName>
    <definedName function="false" hidden="true" name="IQ_HOME_CANCELLATION_RATE_JV" vbProcedure="false">"c16193"</definedName>
    <definedName function="false" hidden="true" name="IQ_HOME_COMMUNITIES_ACTIVE" vbProcedure="false">"c5862"</definedName>
    <definedName function="false" hidden="true" name="IQ_HOME_COMMUNITIES_ACTIVE_GROWTH" vbProcedure="false">"c5942"</definedName>
    <definedName function="false" hidden="true" name="IQ_HOME_COMMUNITIES_ACTIVE_JV" vbProcedure="false">"c5863"</definedName>
    <definedName function="false" hidden="true" name="IQ_HOME_COMMUNITIES_ACTIVE_JV_GROWTH" vbProcedure="false">"c5943"</definedName>
    <definedName function="false" hidden="true" name="IQ_HOME_COMMUNITIES_ACTIVE_JV_INC" vbProcedure="false">"c5864"</definedName>
    <definedName function="false" hidden="true" name="IQ_HOME_COMMUNITIES_ACTIVE_JV_INC_GROWTH" vbProcedure="false">"c5944"</definedName>
    <definedName function="false" hidden="true" name="IQ_HOME_COST_CONSTRUCTION_SVCS" vbProcedure="false">"c5882"</definedName>
    <definedName function="false" hidden="true" name="IQ_HOME_COST_ELIMINATIONS_OTHER" vbProcedure="false">"c5883"</definedName>
    <definedName function="false" hidden="true" name="IQ_HOME_COST_FINANCIAL_SVCS" vbProcedure="false">"c5881"</definedName>
    <definedName function="false" hidden="true" name="IQ_HOME_COST_HOUSING" vbProcedure="false">"c5877"</definedName>
    <definedName function="false" hidden="true" name="IQ_HOME_COST_LAND_LOT" vbProcedure="false">"c5878"</definedName>
    <definedName function="false" hidden="true" name="IQ_HOME_COST_OTHER_HOMEBUILDING" vbProcedure="false">"c5879"</definedName>
    <definedName function="false" hidden="true" name="IQ_HOME_COST_TOTAL" vbProcedure="false">"c5884"</definedName>
    <definedName function="false" hidden="true" name="IQ_HOME_COST_TOTAL_HOMEBUILDING" vbProcedure="false">"c5880"</definedName>
    <definedName function="false" hidden="true" name="IQ_HOME_DELIVERED" vbProcedure="false">"c5835"</definedName>
    <definedName function="false" hidden="true" name="IQ_HOME_DELIVERED_AVG_PRICE" vbProcedure="false">"c5836"</definedName>
    <definedName function="false" hidden="true" name="IQ_HOME_DELIVERED_AVG_PRICE_GROWTH" vbProcedure="false">"c5916"</definedName>
    <definedName function="false" hidden="true" name="IQ_HOME_DELIVERED_AVG_PRICE_JV" vbProcedure="false">"c5839"</definedName>
    <definedName function="false" hidden="true" name="IQ_HOME_DELIVERED_AVG_PRICE_JV_GROWTH" vbProcedure="false">"c5919"</definedName>
    <definedName function="false" hidden="true" name="IQ_HOME_DELIVERED_AVG_PRICE_JV_INC" vbProcedure="false">"c5842"</definedName>
    <definedName function="false" hidden="true" name="IQ_HOME_DELIVERED_AVG_PRICE_JV_INC_GROWTH" vbProcedure="false">"c5922"</definedName>
    <definedName function="false" hidden="true" name="IQ_HOME_DELIVERED_GROWTH" vbProcedure="false">"c5915"</definedName>
    <definedName function="false" hidden="true" name="IQ_HOME_DELIVERED_JV" vbProcedure="false">"c5838"</definedName>
    <definedName function="false" hidden="true" name="IQ_HOME_DELIVERED_JV_GROWTH" vbProcedure="false">"c5918"</definedName>
    <definedName function="false" hidden="true" name="IQ_HOME_DELIVERED_JV_INC" vbProcedure="false">"c5841"</definedName>
    <definedName function="false" hidden="true" name="IQ_HOME_DELIVERED_JV_INC_GROWTH" vbProcedure="false">"c5921"</definedName>
    <definedName function="false" hidden="true" name="IQ_HOME_DELIVERED_VALUE" vbProcedure="false">"c5837"</definedName>
    <definedName function="false" hidden="true" name="IQ_HOME_DELIVERED_VALUE_GROWTH" vbProcedure="false">"c5917"</definedName>
    <definedName function="false" hidden="true" name="IQ_HOME_DELIVERED_VALUE_JV" vbProcedure="false">"c5840"</definedName>
    <definedName function="false" hidden="true" name="IQ_HOME_DELIVERED_VALUE_JV_GROWTH" vbProcedure="false">"c5920"</definedName>
    <definedName function="false" hidden="true" name="IQ_HOME_DELIVERED_VALUE_JV_INC" vbProcedure="false">"c5843"</definedName>
    <definedName function="false" hidden="true" name="IQ_HOME_DELIVERED_VALUE_JV_INC_GROWTH" vbProcedure="false">"c5923"</definedName>
    <definedName function="false" hidden="true" name="IQ_HOME_EQUITY_LOANS_TOT_LOANS_FFIEC" vbProcedure="false">"c13867"</definedName>
    <definedName function="false" hidden="true" name="IQ_HOME_EQUITY_LOC_NET_CHARGE_OFFS_FDIC" vbProcedure="false">"c6644"</definedName>
    <definedName function="false" hidden="true" name="IQ_HOME_EQUITY_LOC_TOTAL_CHARGE_OFFS_FDIC" vbProcedure="false">"c6606"</definedName>
    <definedName function="false" hidden="true" name="IQ_HOME_EQUITY_LOC_TOTAL_RECOVERIES_FDIC" vbProcedure="false">"c6625"</definedName>
    <definedName function="false" hidden="true" name="IQ_HOME_FINISHED_HOMES_CIP" vbProcedure="false">"c5865"</definedName>
    <definedName function="false" hidden="true" name="IQ_HOME_FIRSTLIEN_MORT_ORIGINATED" vbProcedure="false">"c5905"</definedName>
    <definedName function="false" hidden="true" name="IQ_HOME_FIRSTLIEN_MORT_ORIGINATED_VOL" vbProcedure="false">"c5908"</definedName>
    <definedName function="false" hidden="true" name="IQ_HOME_HUC" vbProcedure="false">"c5822"</definedName>
    <definedName function="false" hidden="true" name="IQ_HOME_HUC_JV" vbProcedure="false">"c5823"</definedName>
    <definedName function="false" hidden="true" name="IQ_HOME_HUC_JV_INC" vbProcedure="false">"c5824"</definedName>
    <definedName function="false" hidden="true" name="IQ_HOME_INV_NOT_OWNED" vbProcedure="false">"c5868"</definedName>
    <definedName function="false" hidden="true" name="IQ_HOME_LAND_DEVELOPMENT" vbProcedure="false">"c5866"</definedName>
    <definedName function="false" hidden="true" name="IQ_HOME_LAND_FUTURE_DEVELOPMENT" vbProcedure="false">"c5867"</definedName>
    <definedName function="false" hidden="true" name="IQ_HOME_LOANS_SOLD_COUNT" vbProcedure="false">"c5912"</definedName>
    <definedName function="false" hidden="true" name="IQ_HOME_LOANS_SOLD_VALUE" vbProcedure="false">"c5913"</definedName>
    <definedName function="false" hidden="true" name="IQ_HOME_LOAN_APPLICATIONS" vbProcedure="false">"c5910"</definedName>
    <definedName function="false" hidden="true" name="IQ_HOME_LOTS_CONTROLLED" vbProcedure="false">"c5831"</definedName>
    <definedName function="false" hidden="true" name="IQ_HOME_LOTS_FINISHED" vbProcedure="false">"c5827"</definedName>
    <definedName function="false" hidden="true" name="IQ_HOME_LOTS_HELD_SALE" vbProcedure="false">"c5830"</definedName>
    <definedName function="false" hidden="true" name="IQ_HOME_LOTS_JV" vbProcedure="false">"c5833"</definedName>
    <definedName function="false" hidden="true" name="IQ_HOME_LOTS_JV_INC" vbProcedure="false">"c5834"</definedName>
    <definedName function="false" hidden="true" name="IQ_HOME_LOTS_OTHER" vbProcedure="false">"c5832"</definedName>
    <definedName function="false" hidden="true" name="IQ_HOME_LOTS_OWNED" vbProcedure="false">"c5828"</definedName>
    <definedName function="false" hidden="true" name="IQ_HOME_LOTS_UNDER_DEVELOPMENT" vbProcedure="false">"c5826"</definedName>
    <definedName function="false" hidden="true" name="IQ_HOME_LOTS_UNDER_OPTION" vbProcedure="false">"c5829"</definedName>
    <definedName function="false" hidden="true" name="IQ_HOME_LOTS_UNDEVELOPED" vbProcedure="false">"c5825"</definedName>
    <definedName function="false" hidden="true" name="IQ_HOME_MORT_CAPTURE_RATE" vbProcedure="false">"c5906"</definedName>
    <definedName function="false" hidden="true" name="IQ_HOME_MORT_ORIGINATED" vbProcedure="false">"c5907"</definedName>
    <definedName function="false" hidden="true" name="IQ_HOME_OBLIGATIONS_INV_NOT_OWNED" vbProcedure="false">"c5914"</definedName>
    <definedName function="false" hidden="true" name="IQ_HOME_ORDERS" vbProcedure="false">"c5853"</definedName>
    <definedName function="false" hidden="true" name="IQ_HOME_ORDERS_AVG_PRICE" vbProcedure="false">"c5854"</definedName>
    <definedName function="false" hidden="true" name="IQ_HOME_ORDERS_AVG_PRICE_GROWTH" vbProcedure="false">"c5934"</definedName>
    <definedName function="false" hidden="true" name="IQ_HOME_ORDERS_AVG_PRICE_JV" vbProcedure="false">"c5857"</definedName>
    <definedName function="false" hidden="true" name="IQ_HOME_ORDERS_AVG_PRICE_JV_GROWTH" vbProcedure="false">"c5937"</definedName>
    <definedName function="false" hidden="true" name="IQ_HOME_ORDERS_AVG_PRICE_JV_INC" vbProcedure="false">"c5860"</definedName>
    <definedName function="false" hidden="true" name="IQ_HOME_ORDERS_AVG_PRICE_JV_INC_GROWTH" vbProcedure="false">"c5940"</definedName>
    <definedName function="false" hidden="true" name="IQ_HOME_ORDERS_GROWTH" vbProcedure="false">"c5933"</definedName>
    <definedName function="false" hidden="true" name="IQ_HOME_ORDERS_JV" vbProcedure="false">"c5856"</definedName>
    <definedName function="false" hidden="true" name="IQ_HOME_ORDERS_JV_GROWTH" vbProcedure="false">"c5936"</definedName>
    <definedName function="false" hidden="true" name="IQ_HOME_ORDERS_JV_INC" vbProcedure="false">"c5859"</definedName>
    <definedName function="false" hidden="true" name="IQ_HOME_ORDERS_JV_INC_GROWTH" vbProcedure="false">"c5939"</definedName>
    <definedName function="false" hidden="true" name="IQ_HOME_ORDERS_VALUE" vbProcedure="false">"c5855"</definedName>
    <definedName function="false" hidden="true" name="IQ_HOME_ORDERS_VALUE_GROWTH" vbProcedure="false">"c5935"</definedName>
    <definedName function="false" hidden="true" name="IQ_HOME_ORDERS_VALUE_JV" vbProcedure="false">"c5858"</definedName>
    <definedName function="false" hidden="true" name="IQ_HOME_ORDERS_VALUE_JV_GROWTH" vbProcedure="false">"c5938"</definedName>
    <definedName function="false" hidden="true" name="IQ_HOME_ORDERS_VALUE_JV_INC" vbProcedure="false">"c5861"</definedName>
    <definedName function="false" hidden="true" name="IQ_HOME_ORDERS_VALUE_JV_INC_GROWTH" vbProcedure="false">"c5941"</definedName>
    <definedName function="false" hidden="true" name="IQ_HOME_ORIGINATION_TOTAL" vbProcedure="false">"c5909"</definedName>
    <definedName function="false" hidden="true" name="IQ_HOME_PRETAX_INC_CONSTRUCTION_SVCS" vbProcedure="false">"c5890"</definedName>
    <definedName function="false" hidden="true" name="IQ_HOME_PRETAX_INC_ELIMINATIONS_OTHER" vbProcedure="false">"c5891"</definedName>
    <definedName function="false" hidden="true" name="IQ_HOME_PRETAX_INC_FINANCIAL_SVCS" vbProcedure="false">"c5889"</definedName>
    <definedName function="false" hidden="true" name="IQ_HOME_PRETAX_INC_HOUSING" vbProcedure="false">"c5885"</definedName>
    <definedName function="false" hidden="true" name="IQ_HOME_PRETAX_INC_LAND_LOT" vbProcedure="false">"c5886"</definedName>
    <definedName function="false" hidden="true" name="IQ_HOME_PRETAX_INC_OTHER_HOMEBUILDING" vbProcedure="false">"c5887"</definedName>
    <definedName function="false" hidden="true" name="IQ_HOME_PRETAX_INC_TOTAL" vbProcedure="false">"c5892"</definedName>
    <definedName function="false" hidden="true" name="IQ_HOME_PRETAX_INC_TOTAL_HOMEBUILDING" vbProcedure="false">"c5888"</definedName>
    <definedName function="false" hidden="true" name="IQ_HOME_PURCH_OBLIGATION_1YR" vbProcedure="false">"c5898"</definedName>
    <definedName function="false" hidden="true" name="IQ_HOME_PURCH_OBLIGATION_2YR" vbProcedure="false">"c5899"</definedName>
    <definedName function="false" hidden="true" name="IQ_HOME_PURCH_OBLIGATION_3YR" vbProcedure="false">"c5900"</definedName>
    <definedName function="false" hidden="true" name="IQ_HOME_PURCH_OBLIGATION_4YR" vbProcedure="false">"c5901"</definedName>
    <definedName function="false" hidden="true" name="IQ_HOME_PURCH_OBLIGATION_5YR" vbProcedure="false">"c5902"</definedName>
    <definedName function="false" hidden="true" name="IQ_HOME_PURCH_OBLIGATION_AFTER5" vbProcedure="false">"c5903"</definedName>
    <definedName function="false" hidden="true" name="IQ_HOME_PURCH_OBLIGATION_TOTAL" vbProcedure="false">"c5904"</definedName>
    <definedName function="false" hidden="true" name="IQ_HOME_REV_CONSTRUCTION_SERVICES" vbProcedure="false">"c5874"</definedName>
    <definedName function="false" hidden="true" name="IQ_HOME_REV_ELIMINATIONS_OTHER" vbProcedure="false">"c5875"</definedName>
    <definedName function="false" hidden="true" name="IQ_HOME_REV_FINANCIAL_SERVICES" vbProcedure="false">"c5873"</definedName>
    <definedName function="false" hidden="true" name="IQ_HOME_REV_HOUSING" vbProcedure="false">"c5872"</definedName>
    <definedName function="false" hidden="true" name="IQ_HOME_REV_LAND_LOT" vbProcedure="false">"c5870"</definedName>
    <definedName function="false" hidden="true" name="IQ_HOME_REV_OTHER_HOMEBUILDING" vbProcedure="false">"c5871"</definedName>
    <definedName function="false" hidden="true" name="IQ_HOME_REV_TOTAL" vbProcedure="false">"c5876"</definedName>
    <definedName function="false" hidden="true" name="IQ_HOME_SALES_NEW" vbProcedure="false">"c6924"</definedName>
    <definedName function="false" hidden="true" name="IQ_HOME_SALES_NEW_APR" vbProcedure="false">"c7584"</definedName>
    <definedName function="false" hidden="true" name="IQ_HOME_SALES_NEW_APR_FC" vbProcedure="false">"c8464"</definedName>
    <definedName function="false" hidden="true" name="IQ_HOME_SALES_NEW_FC" vbProcedure="false">"c7804"</definedName>
    <definedName function="false" hidden="true" name="IQ_HOME_SALES_NEW_POP" vbProcedure="false">"c7144"</definedName>
    <definedName function="false" hidden="true" name="IQ_HOME_SALES_NEW_POP_FC" vbProcedure="false">"c8024"</definedName>
    <definedName function="false" hidden="true" name="IQ_HOME_SALES_NEW_YOY" vbProcedure="false">"c7364"</definedName>
    <definedName function="false" hidden="true" name="IQ_HOME_SALES_NEW_YOY_FC" vbProcedure="false">"c8244"</definedName>
    <definedName function="false" hidden="true" name="IQ_HOME_TOTAL_INV" vbProcedure="false">"c5869"</definedName>
    <definedName function="false" hidden="true" name="IQ_HOME_WARRANTY_RES_BEG" vbProcedure="false">"c5893"</definedName>
    <definedName function="false" hidden="true" name="IQ_HOME_WARRANTY_RES_END" vbProcedure="false">"c5897"</definedName>
    <definedName function="false" hidden="true" name="IQ_HOME_WARRANTY_RES_ISS" vbProcedure="false">"c5894"</definedName>
    <definedName function="false" hidden="true" name="IQ_HOME_WARRANTY_RES_OTHER" vbProcedure="false">"c5896"</definedName>
    <definedName function="false" hidden="true" name="IQ_HOME_WARRANTY_RES_PAY" vbProcedure="false">"c5895"</definedName>
    <definedName function="false" hidden="true" name="IQ_HOTEL_OPERATING_EXPENSE" vbProcedure="false">"c16042"</definedName>
    <definedName function="false" hidden="true" name="IQ_HOTEL_OPERATING_REVENUE" vbProcedure="false">"c16026"</definedName>
    <definedName function="false" hidden="true" name="IQ_HOURLY_COMP" vbProcedure="false">"c6879"</definedName>
    <definedName function="false" hidden="true" name="IQ_HOURLY_COMP_APR" vbProcedure="false">"c7539"</definedName>
    <definedName function="false" hidden="true" name="IQ_HOURLY_COMP_APR_FC" vbProcedure="false">"c8419"</definedName>
    <definedName function="false" hidden="true" name="IQ_HOURLY_COMP_FC" vbProcedure="false">"c7759"</definedName>
    <definedName function="false" hidden="true" name="IQ_HOURLY_COMP_POP" vbProcedure="false">"c7099"</definedName>
    <definedName function="false" hidden="true" name="IQ_HOURLY_COMP_POP_FC" vbProcedure="false">"c7979"</definedName>
    <definedName function="false" hidden="true" name="IQ_HOURLY_COMP_YOY" vbProcedure="false">"c7319"</definedName>
    <definedName function="false" hidden="true" name="IQ_HOURLY_COMP_YOY_FC" vbProcedure="false">"c8199"</definedName>
    <definedName function="false" hidden="true" name="IQ_HOUSING_COMPLETIONS" vbProcedure="false">"c6881"</definedName>
    <definedName function="false" hidden="true" name="IQ_HOUSING_COMPLETIONS_APR" vbProcedure="false">"c7541"</definedName>
    <definedName function="false" hidden="true" name="IQ_HOUSING_COMPLETIONS_APR_FC" vbProcedure="false">"c8421"</definedName>
    <definedName function="false" hidden="true" name="IQ_HOUSING_COMPLETIONS_FC" vbProcedure="false">"c7761"</definedName>
    <definedName function="false" hidden="true" name="IQ_HOUSING_COMPLETIONS_POP" vbProcedure="false">"c7101"</definedName>
    <definedName function="false" hidden="true" name="IQ_HOUSING_COMPLETIONS_POP_FC" vbProcedure="false">"c7981"</definedName>
    <definedName function="false" hidden="true" name="IQ_HOUSING_COMPLETIONS_SINGLE_FAM_APR_FC_UNUSED" vbProcedure="false">"c8422"</definedName>
    <definedName function="false" hidden="true" name="IQ_HOUSING_COMPLETIONS_SINGLE_FAM_APR_UNUSED" vbProcedure="false">"c7542"</definedName>
    <definedName function="false" hidden="true" name="IQ_HOUSING_COMPLETIONS_SINGLE_FAM_FC_UNUSED" vbProcedure="false">"c7762"</definedName>
    <definedName function="false" hidden="true" name="IQ_HOUSING_COMPLETIONS_SINGLE_FAM_POP_FC_UNUSED" vbProcedure="false">"c7982"</definedName>
    <definedName function="false" hidden="true" name="IQ_HOUSING_COMPLETIONS_SINGLE_FAM_POP_UNUSED" vbProcedure="false">"c7102"</definedName>
    <definedName function="false" hidden="true" name="IQ_HOUSING_COMPLETIONS_SINGLE_FAM_UNUSED" vbProcedure="false">"c6882"</definedName>
    <definedName function="false" hidden="true" name="IQ_HOUSING_COMPLETIONS_SINGLE_FAM_YOY_FC_UNUSED" vbProcedure="false">"c8202"</definedName>
    <definedName function="false" hidden="true" name="IQ_HOUSING_COMPLETIONS_SINGLE_FAM_YOY_UNUSED" vbProcedure="false">"c7322"</definedName>
    <definedName function="false" hidden="true" name="IQ_HOUSING_COMPLETIONS_YOY" vbProcedure="false">"c7321"</definedName>
    <definedName function="false" hidden="true" name="IQ_HOUSING_COMPLETIONS_YOY_FC" vbProcedure="false">"c8201"</definedName>
    <definedName function="false" hidden="true" name="IQ_HOUSING_PERMITS" vbProcedure="false">"c6883"</definedName>
    <definedName function="false" hidden="true" name="IQ_HOUSING_PERMITS_APR" vbProcedure="false">"c7543"</definedName>
    <definedName function="false" hidden="true" name="IQ_HOUSING_PERMITS_APR_FC" vbProcedure="false">"c8423"</definedName>
    <definedName function="false" hidden="true" name="IQ_HOUSING_PERMITS_FC" vbProcedure="false">"c7763"</definedName>
    <definedName function="false" hidden="true" name="IQ_HOUSING_PERMITS_POP" vbProcedure="false">"c7103"</definedName>
    <definedName function="false" hidden="true" name="IQ_HOUSING_PERMITS_POP_FC" vbProcedure="false">"c7983"</definedName>
    <definedName function="false" hidden="true" name="IQ_HOUSING_PERMITS_YOY" vbProcedure="false">"c7323"</definedName>
    <definedName function="false" hidden="true" name="IQ_HOUSING_PERMITS_YOY_FC" vbProcedure="false">"c8203"</definedName>
    <definedName function="false" hidden="true" name="IQ_HOUSING_STARTS" vbProcedure="false">"c6884"</definedName>
    <definedName function="false" hidden="true" name="IQ_HOUSING_STARTS_APR" vbProcedure="false">"c7544"</definedName>
    <definedName function="false" hidden="true" name="IQ_HOUSING_STARTS_APR_FC" vbProcedure="false">"c8424"</definedName>
    <definedName function="false" hidden="true" name="IQ_HOUSING_STARTS_FC" vbProcedure="false">"c7764"</definedName>
    <definedName function="false" hidden="true" name="IQ_HOUSING_STARTS_POP" vbProcedure="false">"c7104"</definedName>
    <definedName function="false" hidden="true" name="IQ_HOUSING_STARTS_POP_FC" vbProcedure="false">"c7984"</definedName>
    <definedName function="false" hidden="true" name="IQ_HOUSING_STARTS_SAAR" vbProcedure="false">"c6885"</definedName>
    <definedName function="false" hidden="true" name="IQ_HOUSING_STARTS_SAAR_APR" vbProcedure="false">"c7545"</definedName>
    <definedName function="false" hidden="true" name="IQ_HOUSING_STARTS_SAAR_APR_FC" vbProcedure="false">"c8425"</definedName>
    <definedName function="false" hidden="true" name="IQ_HOUSING_STARTS_SAAR_FC" vbProcedure="false">"c7765"</definedName>
    <definedName function="false" hidden="true" name="IQ_HOUSING_STARTS_SAAR_POP" vbProcedure="false">"c7105"</definedName>
    <definedName function="false" hidden="true" name="IQ_HOUSING_STARTS_SAAR_POP_FC" vbProcedure="false">"c7985"</definedName>
    <definedName function="false" hidden="true" name="IQ_HOUSING_STARTS_SAAR_YOY" vbProcedure="false">"c7325"</definedName>
    <definedName function="false" hidden="true" name="IQ_HOUSING_STARTS_SAAR_YOY_FC" vbProcedure="false">"c8205"</definedName>
    <definedName function="false" hidden="true" name="IQ_HOUSING_STARTS_YOY" vbProcedure="false">"c7324"</definedName>
    <definedName function="false" hidden="true" name="IQ_HOUSING_STARTS_YOY_FC" vbProcedure="false">"c8204"</definedName>
    <definedName function="false" hidden="true" name="IQ_HRS_WORKED_FULL_PT" vbProcedure="false">"c6880"</definedName>
    <definedName function="false" hidden="true" name="IQ_HRS_WORKED_FULL_PT_APR" vbProcedure="false">"c7540"</definedName>
    <definedName function="false" hidden="true" name="IQ_HRS_WORKED_FULL_PT_APR_FC" vbProcedure="false">"c8420"</definedName>
    <definedName function="false" hidden="true" name="IQ_HRS_WORKED_FULL_PT_FC" vbProcedure="false">"c7760"</definedName>
    <definedName function="false" hidden="true" name="IQ_HRS_WORKED_FULL_PT_POP" vbProcedure="false">"c7100"</definedName>
    <definedName function="false" hidden="true" name="IQ_HRS_WORKED_FULL_PT_POP_FC" vbProcedure="false">"c7980"</definedName>
    <definedName function="false" hidden="true" name="IQ_HRS_WORKED_FULL_PT_YOY" vbProcedure="false">"c7320"</definedName>
    <definedName function="false" hidden="true" name="IQ_HRS_WORKED_FULL_PT_YOY_FC" vbProcedure="false">"c8200"</definedName>
    <definedName function="false" hidden="true" name="IQ_HTM_INVEST_SECURITIES_FFIEC" vbProcedure="false">"c13455"</definedName>
    <definedName function="false" hidden="true" name="IQ_HTM_SECURITIES_TIER_1_FFIEC" vbProcedure="false">"c13342"</definedName>
    <definedName function="false" hidden="true" name="IQ_HYBRID_CAPITAL" vbProcedure="false">"c15245"</definedName>
    <definedName function="false" hidden="true" name="IQ_HYBRID_STRUCTURED_PRODUCTS_AVAIL_SALE_FFIEC" vbProcedure="false">"c15265"</definedName>
    <definedName function="false" hidden="true" name="IQ_HYBRID_STRUCTURED_PRODUCTS_FFIEC" vbProcedure="false">"c15262"</definedName>
    <definedName function="false" hidden="true" name="IQ_IBF_COMM_INDUST_LOANS_FFIEC" vbProcedure="false">"c15298"</definedName>
    <definedName function="false" hidden="true" name="IQ_IBF_DEPOSIT_LIABILITIES_DUE_TO_BANKS_FFIEC" vbProcedure="false">"c15300"</definedName>
    <definedName function="false" hidden="true" name="IQ_IB_ADVISORY_UNDERWRITING_FEES_FOREIGN_FFIEC" vbProcedure="false">"c15378"</definedName>
    <definedName function="false" hidden="true" name="IQ_IMPACT_UNRECOG_TAX_BENEFIT_EFFECTIVE_TAX" vbProcedure="false">"c15748"</definedName>
    <definedName function="false" hidden="true" name="IQ_IMPAIRED_LOANS" vbProcedure="false">"c15250"</definedName>
    <definedName function="false" hidden="true" name="IQ_IMPAIRMENT_GW" vbProcedure="false">"c548"</definedName>
    <definedName function="false" hidden="true" name="IQ_IMPAIRMENT_GW_SUPPLE" vbProcedure="false">"c13811"</definedName>
    <definedName function="false" hidden="true" name="IQ_IMPAIR_OIL" vbProcedure="false">"c547"</definedName>
    <definedName function="false" hidden="true" name="IQ_IMPORTS_GOODS" vbProcedure="false">"c6887"</definedName>
    <definedName function="false" hidden="true" name="IQ_IMPORTS_GOODS_APR" vbProcedure="false">"c7547"</definedName>
    <definedName function="false" hidden="true" name="IQ_IMPORTS_GOODS_APR_FC" vbProcedure="false">"c8427"</definedName>
    <definedName function="false" hidden="true" name="IQ_IMPORTS_GOODS_FC" vbProcedure="false">"c7767"</definedName>
    <definedName function="false" hidden="true" name="IQ_IMPORTS_GOODS_NONFACTOR_SERVICES" vbProcedure="false">"c6888"</definedName>
    <definedName function="false" hidden="true" name="IQ_IMPORTS_GOODS_NONFACTOR_SERVICES_APR" vbProcedure="false">"c7548"</definedName>
    <definedName function="false" hidden="true" name="IQ_IMPORTS_GOODS_NONFACTOR_SERVICES_APR_FC" vbProcedure="false">"c8428"</definedName>
    <definedName function="false" hidden="true" name="IQ_IMPORTS_GOODS_NONFACTOR_SERVICES_FC" vbProcedure="false">"c7768"</definedName>
    <definedName function="false" hidden="true" name="IQ_IMPORTS_GOODS_NONFACTOR_SERVICES_POP" vbProcedure="false">"c7108"</definedName>
    <definedName function="false" hidden="true" name="IQ_IMPORTS_GOODS_NONFACTOR_SERVICES_POP_FC" vbProcedure="false">"c7988"</definedName>
    <definedName function="false" hidden="true" name="IQ_IMPORTS_GOODS_NONFACTOR_SERVICES_YOY" vbProcedure="false">"c7328"</definedName>
    <definedName function="false" hidden="true" name="IQ_IMPORTS_GOODS_NONFACTOR_SERVICES_YOY_FC" vbProcedure="false">"c8208"</definedName>
    <definedName function="false" hidden="true" name="IQ_IMPORTS_GOODS_POP" vbProcedure="false">"c7107"</definedName>
    <definedName function="false" hidden="true" name="IQ_IMPORTS_GOODS_POP_FC" vbProcedure="false">"c7987"</definedName>
    <definedName function="false" hidden="true" name="IQ_IMPORTS_GOODS_REAL" vbProcedure="false">"c11950"</definedName>
    <definedName function="false" hidden="true" name="IQ_IMPORTS_GOODS_REAL_APR" vbProcedure="false">"c11953"</definedName>
    <definedName function="false" hidden="true" name="IQ_IMPORTS_GOODS_REAL_POP" vbProcedure="false">"c11951"</definedName>
    <definedName function="false" hidden="true" name="IQ_IMPORTS_GOODS_REAL_SAAR_APR_FC_UNUSED" vbProcedure="false">"c8523"</definedName>
    <definedName function="false" hidden="true" name="IQ_IMPORTS_GOODS_REAL_SAAR_APR_UNUSED" vbProcedure="false">"c7643"</definedName>
    <definedName function="false" hidden="true" name="IQ_IMPORTS_GOODS_REAL_SAAR_FC_UNUSED" vbProcedure="false">"c7863"</definedName>
    <definedName function="false" hidden="true" name="IQ_IMPORTS_GOODS_REAL_SAAR_POP_FC_UNUSED" vbProcedure="false">"c8083"</definedName>
    <definedName function="false" hidden="true" name="IQ_IMPORTS_GOODS_REAL_SAAR_POP_UNUSED" vbProcedure="false">"c7203"</definedName>
    <definedName function="false" hidden="true" name="IQ_IMPORTS_GOODS_REAL_SAAR_UNUSED" vbProcedure="false">"c6983"</definedName>
    <definedName function="false" hidden="true" name="IQ_IMPORTS_GOODS_REAL_SAAR_YOY_FC_UNUSED" vbProcedure="false">"c8303"</definedName>
    <definedName function="false" hidden="true" name="IQ_IMPORTS_GOODS_REAL_SAAR_YOY_UNUSED" vbProcedure="false">"c7423"</definedName>
    <definedName function="false" hidden="true" name="IQ_IMPORTS_GOODS_REAL_YOY" vbProcedure="false">"c11952"</definedName>
    <definedName function="false" hidden="true" name="IQ_IMPORTS_GOODS_SAAR" vbProcedure="false">"c6891"</definedName>
    <definedName function="false" hidden="true" name="IQ_IMPORTS_GOODS_SAAR_APR" vbProcedure="false">"c7551"</definedName>
    <definedName function="false" hidden="true" name="IQ_IMPORTS_GOODS_SAAR_APR_FC" vbProcedure="false">"c8431"</definedName>
    <definedName function="false" hidden="true" name="IQ_IMPORTS_GOODS_SAAR_FC" vbProcedure="false">"c7771"</definedName>
    <definedName function="false" hidden="true" name="IQ_IMPORTS_GOODS_SAAR_POP" vbProcedure="false">"c7111"</definedName>
    <definedName function="false" hidden="true" name="IQ_IMPORTS_GOODS_SAAR_POP_FC" vbProcedure="false">"c7991"</definedName>
    <definedName function="false" hidden="true" name="IQ_IMPORTS_GOODS_SAAR_USD_APR_FC" vbProcedure="false">"c11849"</definedName>
    <definedName function="false" hidden="true" name="IQ_IMPORTS_GOODS_SAAR_USD_FC" vbProcedure="false">"c11846"</definedName>
    <definedName function="false" hidden="true" name="IQ_IMPORTS_GOODS_SAAR_USD_POP_FC" vbProcedure="false">"c11847"</definedName>
    <definedName function="false" hidden="true" name="IQ_IMPORTS_GOODS_SAAR_USD_YOY_FC" vbProcedure="false">"c11848"</definedName>
    <definedName function="false" hidden="true" name="IQ_IMPORTS_GOODS_SAAR_YOY" vbProcedure="false">"c7331"</definedName>
    <definedName function="false" hidden="true" name="IQ_IMPORTS_GOODS_SAAR_YOY_FC" vbProcedure="false">"c8211"</definedName>
    <definedName function="false" hidden="true" name="IQ_IMPORTS_GOODS_SERVICES_APR_FC_UNUSED" vbProcedure="false">"c8429"</definedName>
    <definedName function="false" hidden="true" name="IQ_IMPORTS_GOODS_SERVICES_APR_UNUSED" vbProcedure="false">"c7549"</definedName>
    <definedName function="false" hidden="true" name="IQ_IMPORTS_GOODS_SERVICES_FC_UNUSED" vbProcedure="false">"c7769"</definedName>
    <definedName function="false" hidden="true" name="IQ_IMPORTS_GOODS_SERVICES_POP_FC_UNUSED" vbProcedure="false">"c7989"</definedName>
    <definedName function="false" hidden="true" name="IQ_IMPORTS_GOODS_SERVICES_POP_UNUSED" vbProcedure="false">"c7109"</definedName>
    <definedName function="false" hidden="true" name="IQ_IMPORTS_GOODS_SERVICES_REAL" vbProcedure="false">"c6985"</definedName>
    <definedName function="false" hidden="true" name="IQ_IMPORTS_GOODS_SERVICES_REAL_APR" vbProcedure="false">"c7645"</definedName>
    <definedName function="false" hidden="true" name="IQ_IMPORTS_GOODS_SERVICES_REAL_APR_FC" vbProcedure="false">"c8525"</definedName>
    <definedName function="false" hidden="true" name="IQ_IMPORTS_GOODS_SERVICES_REAL_FC" vbProcedure="false">"c7865"</definedName>
    <definedName function="false" hidden="true" name="IQ_IMPORTS_GOODS_SERVICES_REAL_POP" vbProcedure="false">"c7205"</definedName>
    <definedName function="false" hidden="true" name="IQ_IMPORTS_GOODS_SERVICES_REAL_POP_FC" vbProcedure="false">"c8085"</definedName>
    <definedName function="false" hidden="true" name="IQ_IMPORTS_GOODS_SERVICES_REAL_SAAR" vbProcedure="false">"c11958"</definedName>
    <definedName function="false" hidden="true" name="IQ_IMPORTS_GOODS_SERVICES_REAL_SAAR_APR" vbProcedure="false">"c11961"</definedName>
    <definedName function="false" hidden="true" name="IQ_IMPORTS_GOODS_SERVICES_REAL_SAAR_APR_FC_UNUSED" vbProcedure="false">"c8524"</definedName>
    <definedName function="false" hidden="true" name="IQ_IMPORTS_GOODS_SERVICES_REAL_SAAR_APR_UNUSED" vbProcedure="false">"c7644"</definedName>
    <definedName function="false" hidden="true" name="IQ_IMPORTS_GOODS_SERVICES_REAL_SAAR_FC_UNUSED" vbProcedure="false">"c7864"</definedName>
    <definedName function="false" hidden="true" name="IQ_IMPORTS_GOODS_SERVICES_REAL_SAAR_POP" vbProcedure="false">"c11959"</definedName>
    <definedName function="false" hidden="true" name="IQ_IMPORTS_GOODS_SERVICES_REAL_SAAR_POP_FC_UNUSED" vbProcedure="false">"c8084"</definedName>
    <definedName function="false" hidden="true" name="IQ_IMPORTS_GOODS_SERVICES_REAL_SAAR_POP_UNUSED" vbProcedure="false">"c7204"</definedName>
    <definedName function="false" hidden="true" name="IQ_IMPORTS_GOODS_SERVICES_REAL_SAAR_UNUSED" vbProcedure="false">"c6984"</definedName>
    <definedName function="false" hidden="true" name="IQ_IMPORTS_GOODS_SERVICES_REAL_SAAR_USD" vbProcedure="false">"c11962"</definedName>
    <definedName function="false" hidden="true" name="IQ_IMPORTS_GOODS_SERVICES_REAL_SAAR_USD_APR" vbProcedure="false">"c11965"</definedName>
    <definedName function="false" hidden="true" name="IQ_IMPORTS_GOODS_SERVICES_REAL_SAAR_USD_APR_FC" vbProcedure="false">"c11969"</definedName>
    <definedName function="false" hidden="true" name="IQ_IMPORTS_GOODS_SERVICES_REAL_SAAR_USD_FC" vbProcedure="false">"c11966"</definedName>
    <definedName function="false" hidden="true" name="IQ_IMPORTS_GOODS_SERVICES_REAL_SAAR_USD_POP" vbProcedure="false">"c11963"</definedName>
    <definedName function="false" hidden="true" name="IQ_IMPORTS_GOODS_SERVICES_REAL_SAAR_USD_POP_FC" vbProcedure="false">"c11967"</definedName>
    <definedName function="false" hidden="true" name="IQ_IMPORTS_GOODS_SERVICES_REAL_SAAR_USD_YOY" vbProcedure="false">"c11964"</definedName>
    <definedName function="false" hidden="true" name="IQ_IMPORTS_GOODS_SERVICES_REAL_SAAR_USD_YOY_FC" vbProcedure="false">"c11968"</definedName>
    <definedName function="false" hidden="true" name="IQ_IMPORTS_GOODS_SERVICES_REAL_SAAR_YOY" vbProcedure="false">"c11960"</definedName>
    <definedName function="false" hidden="true" name="IQ_IMPORTS_GOODS_SERVICES_REAL_SAAR_YOY_FC_UNUSED" vbProcedure="false">"c8304"</definedName>
    <definedName function="false" hidden="true" name="IQ_IMPORTS_GOODS_SERVICES_REAL_SAAR_YOY_UNUSED" vbProcedure="false">"c7424"</definedName>
    <definedName function="false" hidden="true" name="IQ_IMPORTS_GOODS_SERVICES_REAL_USD" vbProcedure="false">"c11954"</definedName>
    <definedName function="false" hidden="true" name="IQ_IMPORTS_GOODS_SERVICES_REAL_USD_APR" vbProcedure="false">"c11957"</definedName>
    <definedName function="false" hidden="true" name="IQ_IMPORTS_GOODS_SERVICES_REAL_USD_POP" vbProcedure="false">"c11955"</definedName>
    <definedName function="false" hidden="true" name="IQ_IMPORTS_GOODS_SERVICES_REAL_USD_YOY" vbProcedure="false">"c11956"</definedName>
    <definedName function="false" hidden="true" name="IQ_IMPORTS_GOODS_SERVICES_REAL_YOY" vbProcedure="false">"c7425"</definedName>
    <definedName function="false" hidden="true" name="IQ_IMPORTS_GOODS_SERVICES_REAL_YOY_FC" vbProcedure="false">"c8305"</definedName>
    <definedName function="false" hidden="true" name="IQ_IMPORTS_GOODS_SERVICES_SAAR" vbProcedure="false">"c6890"</definedName>
    <definedName function="false" hidden="true" name="IQ_IMPORTS_GOODS_SERVICES_SAAR_APR" vbProcedure="false">"c7550"</definedName>
    <definedName function="false" hidden="true" name="IQ_IMPORTS_GOODS_SERVICES_SAAR_APR_FC" vbProcedure="false">"c8430"</definedName>
    <definedName function="false" hidden="true" name="IQ_IMPORTS_GOODS_SERVICES_SAAR_FC" vbProcedure="false">"c7770"</definedName>
    <definedName function="false" hidden="true" name="IQ_IMPORTS_GOODS_SERVICES_SAAR_POP" vbProcedure="false">"c7110"</definedName>
    <definedName function="false" hidden="true" name="IQ_IMPORTS_GOODS_SERVICES_SAAR_POP_FC" vbProcedure="false">"c7990"</definedName>
    <definedName function="false" hidden="true" name="IQ_IMPORTS_GOODS_SERVICES_SAAR_YOY" vbProcedure="false">"c7330"</definedName>
    <definedName function="false" hidden="true" name="IQ_IMPORTS_GOODS_SERVICES_SAAR_YOY_FC" vbProcedure="false">"c8210"</definedName>
    <definedName function="false" hidden="true" name="IQ_IMPORTS_GOODS_SERVICES_UNUSED" vbProcedure="false">"c6889"</definedName>
    <definedName function="false" hidden="true" name="IQ_IMPORTS_GOODS_SERVICES_USD" vbProcedure="false">"c11842"</definedName>
    <definedName function="false" hidden="true" name="IQ_IMPORTS_GOODS_SERVICES_USD_APR" vbProcedure="false">"c11845"</definedName>
    <definedName function="false" hidden="true" name="IQ_IMPORTS_GOODS_SERVICES_USD_POP" vbProcedure="false">"c11843"</definedName>
    <definedName function="false" hidden="true" name="IQ_IMPORTS_GOODS_SERVICES_USD_YOY" vbProcedure="false">"c11844"</definedName>
    <definedName function="false" hidden="true" name="IQ_IMPORTS_GOODS_SERVICES_YOY_FC_UNUSED" vbProcedure="false">"c8209"</definedName>
    <definedName function="false" hidden="true" name="IQ_IMPORTS_GOODS_SERVICES_YOY_UNUSED" vbProcedure="false">"c7329"</definedName>
    <definedName function="false" hidden="true" name="IQ_IMPORTS_GOODS_USD_APR_FC" vbProcedure="false">"c11841"</definedName>
    <definedName function="false" hidden="true" name="IQ_IMPORTS_GOODS_USD_FC" vbProcedure="false">"c11838"</definedName>
    <definedName function="false" hidden="true" name="IQ_IMPORTS_GOODS_USD_POP_FC" vbProcedure="false">"c11839"</definedName>
    <definedName function="false" hidden="true" name="IQ_IMPORTS_GOODS_USD_YOY_FC" vbProcedure="false">"c11840"</definedName>
    <definedName function="false" hidden="true" name="IQ_IMPORTS_GOODS_YOY" vbProcedure="false">"c7327"</definedName>
    <definedName function="false" hidden="true" name="IQ_IMPORTS_GOODS_YOY_FC" vbProcedure="false">"c8207"</definedName>
    <definedName function="false" hidden="true" name="IQ_IMPORTS_NONFACTOR_SERVICES" vbProcedure="false">"c6892"</definedName>
    <definedName function="false" hidden="true" name="IQ_IMPORTS_NONFACTOR_SERVICES_APR" vbProcedure="false">"c7552"</definedName>
    <definedName function="false" hidden="true" name="IQ_IMPORTS_NONFACTOR_SERVICES_APR_FC" vbProcedure="false">"c8432"</definedName>
    <definedName function="false" hidden="true" name="IQ_IMPORTS_NONFACTOR_SERVICES_FC" vbProcedure="false">"c7772"</definedName>
    <definedName function="false" hidden="true" name="IQ_IMPORTS_NONFACTOR_SERVICES_POP" vbProcedure="false">"c7112"</definedName>
    <definedName function="false" hidden="true" name="IQ_IMPORTS_NONFACTOR_SERVICES_POP_FC" vbProcedure="false">"c7992"</definedName>
    <definedName function="false" hidden="true" name="IQ_IMPORTS_NONFACTOR_SERVICES_SAAR" vbProcedure="false">"c6893"</definedName>
    <definedName function="false" hidden="true" name="IQ_IMPORTS_NONFACTOR_SERVICES_SAAR_APR" vbProcedure="false">"c7553"</definedName>
    <definedName function="false" hidden="true" name="IQ_IMPORTS_NONFACTOR_SERVICES_SAAR_APR_FC" vbProcedure="false">"c8433"</definedName>
    <definedName function="false" hidden="true" name="IQ_IMPORTS_NONFACTOR_SERVICES_SAAR_FC" vbProcedure="false">"c7773"</definedName>
    <definedName function="false" hidden="true" name="IQ_IMPORTS_NONFACTOR_SERVICES_SAAR_POP" vbProcedure="false">"c7113"</definedName>
    <definedName function="false" hidden="true" name="IQ_IMPORTS_NONFACTOR_SERVICES_SAAR_POP_FC" vbProcedure="false">"c7993"</definedName>
    <definedName function="false" hidden="true" name="IQ_IMPORTS_NONFACTOR_SERVICES_SAAR_USD_APR_FC" vbProcedure="false">"c11857"</definedName>
    <definedName function="false" hidden="true" name="IQ_IMPORTS_NONFACTOR_SERVICES_SAAR_USD_FC" vbProcedure="false">"c11854"</definedName>
    <definedName function="false" hidden="true" name="IQ_IMPORTS_NONFACTOR_SERVICES_SAAR_USD_POP_FC" vbProcedure="false">"c11855"</definedName>
    <definedName function="false" hidden="true" name="IQ_IMPORTS_NONFACTOR_SERVICES_SAAR_USD_YOY_FC" vbProcedure="false">"c11856"</definedName>
    <definedName function="false" hidden="true" name="IQ_IMPORTS_NONFACTOR_SERVICES_SAAR_YOY" vbProcedure="false">"c7333"</definedName>
    <definedName function="false" hidden="true" name="IQ_IMPORTS_NONFACTOR_SERVICES_SAAR_YOY_FC" vbProcedure="false">"c8213"</definedName>
    <definedName function="false" hidden="true" name="IQ_IMPORTS_NONFACTOR_SERVICES_USD_APR_FC" vbProcedure="false">"c11853"</definedName>
    <definedName function="false" hidden="true" name="IQ_IMPORTS_NONFACTOR_SERVICES_USD_FC" vbProcedure="false">"c11850"</definedName>
    <definedName function="false" hidden="true" name="IQ_IMPORTS_NONFACTOR_SERVICES_USD_POP_FC" vbProcedure="false">"c11851"</definedName>
    <definedName function="false" hidden="true" name="IQ_IMPORTS_NONFACTOR_SERVICES_USD_YOY_FC" vbProcedure="false">"c11852"</definedName>
    <definedName function="false" hidden="true" name="IQ_IMPORTS_NONFACTOR_SERVICES_YOY" vbProcedure="false">"c7332"</definedName>
    <definedName function="false" hidden="true" name="IQ_IMPORTS_NONFACTOR_SERVICES_YOY_FC" vbProcedure="false">"c8212"</definedName>
    <definedName function="false" hidden="true" name="IQ_IMPORTS_SERVICES" vbProcedure="false">"c11858"</definedName>
    <definedName function="false" hidden="true" name="IQ_IMPORTS_SERVICES_APR" vbProcedure="false">"c11861"</definedName>
    <definedName function="false" hidden="true" name="IQ_IMPORTS_SERVICES_POP" vbProcedure="false">"c11859"</definedName>
    <definedName function="false" hidden="true" name="IQ_IMPORTS_SERVICES_REAL" vbProcedure="false">"c6986"</definedName>
    <definedName function="false" hidden="true" name="IQ_IMPORTS_SERVICES_REAL_APR" vbProcedure="false">"c7646"</definedName>
    <definedName function="false" hidden="true" name="IQ_IMPORTS_SERVICES_REAL_APR_FC" vbProcedure="false">"c8526"</definedName>
    <definedName function="false" hidden="true" name="IQ_IMPORTS_SERVICES_REAL_FC" vbProcedure="false">"c7866"</definedName>
    <definedName function="false" hidden="true" name="IQ_IMPORTS_SERVICES_REAL_POP" vbProcedure="false">"c7206"</definedName>
    <definedName function="false" hidden="true" name="IQ_IMPORTS_SERVICES_REAL_POP_FC" vbProcedure="false">"c8086"</definedName>
    <definedName function="false" hidden="true" name="IQ_IMPORTS_SERVICES_REAL_YOY" vbProcedure="false">"c7426"</definedName>
    <definedName function="false" hidden="true" name="IQ_IMPORTS_SERVICES_REAL_YOY_FC" vbProcedure="false">"c8306"</definedName>
    <definedName function="false" hidden="true" name="IQ_IMPORTS_SERVICES_YOY" vbProcedure="false">"c11860"</definedName>
    <definedName function="false" hidden="true" name="IQ_IMPORT_PRICE_INDEX" vbProcedure="false">"c6886"</definedName>
    <definedName function="false" hidden="true" name="IQ_IMPORT_PRICE_INDEX_APR" vbProcedure="false">"c7546"</definedName>
    <definedName function="false" hidden="true" name="IQ_IMPORT_PRICE_INDEX_APR_FC" vbProcedure="false">"c8426"</definedName>
    <definedName function="false" hidden="true" name="IQ_IMPORT_PRICE_INDEX_FC" vbProcedure="false">"c7766"</definedName>
    <definedName function="false" hidden="true" name="IQ_IMPORT_PRICE_INDEX_POP" vbProcedure="false">"c7106"</definedName>
    <definedName function="false" hidden="true" name="IQ_IMPORT_PRICE_INDEX_POP_FC" vbProcedure="false">"c7986"</definedName>
    <definedName function="false" hidden="true" name="IQ_IMPORT_PRICE_INDEX_YOY" vbProcedure="false">"c7326"</definedName>
    <definedName function="false" hidden="true" name="IQ_IMPORT_PRICE_INDEX_YOY_FC" vbProcedure="false">"c8206"</definedName>
    <definedName function="false" hidden="true" name="IQ_IMPUT_OPER_LEASE_DEPR" vbProcedure="false">"c2987"</definedName>
    <definedName function="false" hidden="true" name="IQ_IMPUT_OPER_LEASE_INT_EXP" vbProcedure="false">"c2986"</definedName>
    <definedName function="false" hidden="true" name="IQ_IM_AVG_REV_PER_CLICK" vbProcedure="false">"c9991"</definedName>
    <definedName function="false" hidden="true" name="IQ_IM_NUMBER_PAGE_VIEWS" vbProcedure="false">"c9993"</definedName>
    <definedName function="false" hidden="true" name="IQ_IM_NUMBER_PAID_CLICKS" vbProcedure="false">"c9995"</definedName>
    <definedName function="false" hidden="true" name="IQ_IM_NUMBER_PAID_CLICKS_GROWTH" vbProcedure="false">"c9996"</definedName>
    <definedName function="false" hidden="true" name="IQ_IM_PAGE_VIEWS_GROWTH" vbProcedure="false">"c9994"</definedName>
    <definedName function="false" hidden="true" name="IQ_IM_REV_PER_PAGE_VIEW_GROWTH" vbProcedure="false">"c9992"</definedName>
    <definedName function="false" hidden="true" name="IQ_IM_TRAFFIC_ACQUISITION_CHANGE" vbProcedure="false">"c9998"</definedName>
    <definedName function="false" hidden="true" name="IQ_IM_TRAFFIC_ACQUISITION_COSTS" vbProcedure="false">"c9997"</definedName>
    <definedName function="false" hidden="true" name="IQ_IM_TRAFFIC_ACQUISITION_COST_TO_AD_REV_RATIO" vbProcedure="false">"c10000"</definedName>
    <definedName function="false" hidden="true" name="IQ_IM_TRAFFIC_ACQUISITION_COST_TO_TOTAL_REV_RATIO" vbProcedure="false">"c9999"</definedName>
    <definedName function="false" hidden="true" name="IQ_INCIDENTAL_CHANGES_BUSINESS_COMBINATIONS_FDIC" vbProcedure="false">"c6502"</definedName>
    <definedName function="false" hidden="true" name="IQ_INCOME_BEFORE_EXTRA_FDIC" vbProcedure="false">"c6585"</definedName>
    <definedName function="false" hidden="true" name="IQ_INCOME_CHECKS_FFIEC" vbProcedure="false">"c13040"</definedName>
    <definedName function="false" hidden="true" name="IQ_INCOME_EARNED_FDIC" vbProcedure="false">"c6359"</definedName>
    <definedName function="false" hidden="true" name="IQ_INCOME_FIDUCIARY_ACTIVITIES_FFIEC" vbProcedure="false">"c13002"</definedName>
    <definedName function="false" hidden="true" name="IQ_INCOME_LEASE_FINANCING_REC_FFIEC" vbProcedure="false">"c12980"</definedName>
    <definedName function="false" hidden="true" name="IQ_INCOME_LOANS_LEASES_TAX_EXEMPT_FFIEC" vbProcedure="false">"c13038"</definedName>
    <definedName function="false" hidden="true" name="IQ_INCOME_OTHER_INSURANCE_ACTIVITIES_FFIEC" vbProcedure="false">"c13009"</definedName>
    <definedName function="false" hidden="true" name="IQ_INCOME_SALE_MUTUAL_FUNDS_DOM_FFIEC" vbProcedure="false">"c13069"</definedName>
    <definedName function="false" hidden="true" name="IQ_INCOME_SECURITIES_TAX_EXEMPT_FFIEC" vbProcedure="false">"c13039"</definedName>
    <definedName function="false" hidden="true" name="IQ_INCOME_TAXES_FDIC" vbProcedure="false">"c6582"</definedName>
    <definedName function="false" hidden="true" name="IQ_INCOME_TAXES_FFIEC" vbProcedure="false">"c13030"</definedName>
    <definedName function="false" hidden="true" name="IQ_INCOME_TAX_FOREIGN_FFIEC" vbProcedure="false">"c15391"</definedName>
    <definedName function="false" hidden="true" name="IQ_INCREASE_INT_INCOME_FFIEC" vbProcedure="false">"c13063"</definedName>
    <definedName function="false" hidden="true" name="IQ_INC_AFTER_TAX" vbProcedure="false">"c1598"</definedName>
    <definedName function="false" hidden="true" name="IQ_INC_AVAIL_EXCL" vbProcedure="false">"c1395"</definedName>
    <definedName function="false" hidden="true" name="IQ_INC_AVAIL_INCL" vbProcedure="false">"c1396"</definedName>
    <definedName function="false" hidden="true" name="IQ_INC_BEFORE_TAX" vbProcedure="false">"c1375"</definedName>
    <definedName function="false" hidden="true" name="IQ_INC_DOM_LOANS_FFIEC" vbProcedure="false">"c12975"</definedName>
    <definedName function="false" hidden="true" name="IQ_INC_EQUITY" vbProcedure="false">"c549"</definedName>
    <definedName function="false" hidden="true" name="IQ_INC_EQUITY_BR" vbProcedure="false">"c550"</definedName>
    <definedName function="false" hidden="true" name="IQ_INC_EQUITY_CF" vbProcedure="false">"c551"</definedName>
    <definedName function="false" hidden="true" name="IQ_INC_EQUITY_FIN" vbProcedure="false">"c552"</definedName>
    <definedName function="false" hidden="true" name="IQ_INC_EQUITY_INS" vbProcedure="false">"c553"</definedName>
    <definedName function="false" hidden="true" name="IQ_INC_EQUITY_RE" vbProcedure="false">"c6222"</definedName>
    <definedName function="false" hidden="true" name="IQ_INC_EQUITY_REC_BNK" vbProcedure="false">"c554"</definedName>
    <definedName function="false" hidden="true" name="IQ_INC_EQUITY_REIT" vbProcedure="false">"c555"</definedName>
    <definedName function="false" hidden="true" name="IQ_INC_EQUITY_REV_BNK" vbProcedure="false">"c556"</definedName>
    <definedName function="false" hidden="true" name="IQ_INC_EQUITY_UTI" vbProcedure="false">"c557"</definedName>
    <definedName function="false" hidden="true" name="IQ_INC_REAL_ESTATE_REC" vbProcedure="false">"c558"</definedName>
    <definedName function="false" hidden="true" name="IQ_INC_REAL_ESTATE_REV" vbProcedure="false">"c559"</definedName>
    <definedName function="false" hidden="true" name="IQ_INC_TAX" vbProcedure="false">"c560"</definedName>
    <definedName function="false" hidden="true" name="IQ_INC_TAX_EXCL" vbProcedure="false">"c1599"</definedName>
    <definedName function="false" hidden="true" name="IQ_INC_TAX_PAY_CURRENT" vbProcedure="false">"c561"</definedName>
    <definedName function="false" hidden="true" name="IQ_INC_TRADE_ACT" vbProcedure="false">"c562"</definedName>
    <definedName function="false" hidden="true" name="IQ_INDEX_CURRENCY" vbProcedure="false">"c15224"</definedName>
    <definedName function="false" hidden="true" name="IQ_INDEX_LEADING_IND" vbProcedure="false">"c6894"</definedName>
    <definedName function="false" hidden="true" name="IQ_INDEX_LEADING_IND_APR" vbProcedure="false">"c7554"</definedName>
    <definedName function="false" hidden="true" name="IQ_INDEX_LEADING_IND_APR_FC" vbProcedure="false">"c8434"</definedName>
    <definedName function="false" hidden="true" name="IQ_INDEX_LEADING_IND_FC" vbProcedure="false">"c7774"</definedName>
    <definedName function="false" hidden="true" name="IQ_INDEX_LEADING_IND_POP" vbProcedure="false">"c7114"</definedName>
    <definedName function="false" hidden="true" name="IQ_INDEX_LEADING_IND_POP_FC" vbProcedure="false">"c7994"</definedName>
    <definedName function="false" hidden="true" name="IQ_INDEX_LEADING_IND_YOY" vbProcedure="false">"c7334"</definedName>
    <definedName function="false" hidden="true" name="IQ_INDEX_LEADING_IND_YOY_FC" vbProcedure="false">"c8214"</definedName>
    <definedName function="false" hidden="true" name="IQ_INDEX_TYPE" vbProcedure="false">"c15223"</definedName>
    <definedName function="false" hidden="true" name="IQ_INDICATED_ATTRIB_ORE_RESOURCES_ALUM" vbProcedure="false">"c9238"</definedName>
    <definedName function="false" hidden="true" name="IQ_INDICATED_ATTRIB_ORE_RESOURCES_COP" vbProcedure="false">"c9182"</definedName>
    <definedName function="false" hidden="true" name="IQ_INDICATED_ATTRIB_ORE_RESOURCES_DIAM" vbProcedure="false">"c9662"</definedName>
    <definedName function="false" hidden="true" name="IQ_INDICATED_ATTRIB_ORE_RESOURCES_GOLD" vbProcedure="false">"c9023"</definedName>
    <definedName function="false" hidden="true" name="IQ_INDICATED_ATTRIB_ORE_RESOURCES_IRON" vbProcedure="false">"c9397"</definedName>
    <definedName function="false" hidden="true" name="IQ_INDICATED_ATTRIB_ORE_RESOURCES_LEAD" vbProcedure="false">"c9450"</definedName>
    <definedName function="false" hidden="true" name="IQ_INDICATED_ATTRIB_ORE_RESOURCES_MANG" vbProcedure="false">"c9503"</definedName>
    <definedName function="false" hidden="true" name="IQ_INDICATED_ATTRIB_ORE_RESOURCES_MOLYB" vbProcedure="false">"c9715"</definedName>
    <definedName function="false" hidden="true" name="IQ_INDICATED_ATTRIB_ORE_RESOURCES_NICK" vbProcedure="false">"c9291"</definedName>
    <definedName function="false" hidden="true" name="IQ_INDICATED_ATTRIB_ORE_RESOURCES_PLAT" vbProcedure="false">"c9129"</definedName>
    <definedName function="false" hidden="true" name="IQ_INDICATED_ATTRIB_ORE_RESOURCES_SILVER" vbProcedure="false">"c9076"</definedName>
    <definedName function="false" hidden="true" name="IQ_INDICATED_ATTRIB_ORE_RESOURCES_TITAN" vbProcedure="false">"c9556"</definedName>
    <definedName function="false" hidden="true" name="IQ_INDICATED_ATTRIB_ORE_RESOURCES_URAN" vbProcedure="false">"c9609"</definedName>
    <definedName function="false" hidden="true" name="IQ_INDICATED_ATTRIB_ORE_RESOURCES_ZINC" vbProcedure="false">"c9344"</definedName>
    <definedName function="false" hidden="true" name="IQ_INDICATED_ORE_RESOURCES_ALUM" vbProcedure="false">"c9224"</definedName>
    <definedName function="false" hidden="true" name="IQ_INDICATED_ORE_RESOURCES_COP" vbProcedure="false">"c9168"</definedName>
    <definedName function="false" hidden="true" name="IQ_INDICATED_ORE_RESOURCES_DIAM" vbProcedure="false">"c9648"</definedName>
    <definedName function="false" hidden="true" name="IQ_INDICATED_ORE_RESOURCES_GOLD" vbProcedure="false">"c9009"</definedName>
    <definedName function="false" hidden="true" name="IQ_INDICATED_ORE_RESOURCES_IRON" vbProcedure="false">"c9383"</definedName>
    <definedName function="false" hidden="true" name="IQ_INDICATED_ORE_RESOURCES_LEAD" vbProcedure="false">"c9436"</definedName>
    <definedName function="false" hidden="true" name="IQ_INDICATED_ORE_RESOURCES_MANG" vbProcedure="false">"c9489"</definedName>
    <definedName function="false" hidden="true" name="IQ_INDICATED_ORE_RESOURCES_MOLYB" vbProcedure="false">"c9701"</definedName>
    <definedName function="false" hidden="true" name="IQ_INDICATED_ORE_RESOURCES_NICK" vbProcedure="false">"c9277"</definedName>
    <definedName function="false" hidden="true" name="IQ_INDICATED_ORE_RESOURCES_PLAT" vbProcedure="false">"c9115"</definedName>
    <definedName function="false" hidden="true" name="IQ_INDICATED_ORE_RESOURCES_SILVER" vbProcedure="false">"c9062"</definedName>
    <definedName function="false" hidden="true" name="IQ_INDICATED_ORE_RESOURCES_TITAN" vbProcedure="false">"c9542"</definedName>
    <definedName function="false" hidden="true" name="IQ_INDICATED_ORE_RESOURCES_URAN" vbProcedure="false">"c9595"</definedName>
    <definedName function="false" hidden="true" name="IQ_INDICATED_ORE_RESOURCES_ZINC" vbProcedure="false">"c9330"</definedName>
    <definedName function="false" hidden="true" name="IQ_INDICATED_RECOV_ATTRIB_RESOURCES_ALUM" vbProcedure="false">"c9243"</definedName>
    <definedName function="false" hidden="true" name="IQ_INDICATED_RECOV_ATTRIB_RESOURCES_COAL" vbProcedure="false">"c9817"</definedName>
    <definedName function="false" hidden="true" name="IQ_INDICATED_RECOV_ATTRIB_RESOURCES_COP" vbProcedure="false">"c9187"</definedName>
    <definedName function="false" hidden="true" name="IQ_INDICATED_RECOV_ATTRIB_RESOURCES_DIAM" vbProcedure="false">"c9667"</definedName>
    <definedName function="false" hidden="true" name="IQ_INDICATED_RECOV_ATTRIB_RESOURCES_GOLD" vbProcedure="false">"c9028"</definedName>
    <definedName function="false" hidden="true" name="IQ_INDICATED_RECOV_ATTRIB_RESOURCES_IRON" vbProcedure="false">"c9402"</definedName>
    <definedName function="false" hidden="true" name="IQ_INDICATED_RECOV_ATTRIB_RESOURCES_LEAD" vbProcedure="false">"c9455"</definedName>
    <definedName function="false" hidden="true" name="IQ_INDICATED_RECOV_ATTRIB_RESOURCES_MANG" vbProcedure="false">"c9508"</definedName>
    <definedName function="false" hidden="true" name="IQ_INDICATED_RECOV_ATTRIB_RESOURCES_MET_COAL" vbProcedure="false">"c9757"</definedName>
    <definedName function="false" hidden="true" name="IQ_INDICATED_RECOV_ATTRIB_RESOURCES_MOLYB" vbProcedure="false">"c9720"</definedName>
    <definedName function="false" hidden="true" name="IQ_INDICATED_RECOV_ATTRIB_RESOURCES_NICK" vbProcedure="false">"c9296"</definedName>
    <definedName function="false" hidden="true" name="IQ_INDICATED_RECOV_ATTRIB_RESOURCES_PLAT" vbProcedure="false">"c9134"</definedName>
    <definedName function="false" hidden="true" name="IQ_INDICATED_RECOV_ATTRIB_RESOURCES_SILVER" vbProcedure="false">"c9081"</definedName>
    <definedName function="false" hidden="true" name="IQ_INDICATED_RECOV_ATTRIB_RESOURCES_STEAM" vbProcedure="false">"c9787"</definedName>
    <definedName function="false" hidden="true" name="IQ_INDICATED_RECOV_ATTRIB_RESOURCES_TITAN" vbProcedure="false">"c9561"</definedName>
    <definedName function="false" hidden="true" name="IQ_INDICATED_RECOV_ATTRIB_RESOURCES_URAN" vbProcedure="false">"c9614"</definedName>
    <definedName function="false" hidden="true" name="IQ_INDICATED_RECOV_ATTRIB_RESOURCES_ZINC" vbProcedure="false">"c9349"</definedName>
    <definedName function="false" hidden="true" name="IQ_INDICATED_RECOV_RESOURCES_ALUM" vbProcedure="false">"c9233"</definedName>
    <definedName function="false" hidden="true" name="IQ_INDICATED_RECOV_RESOURCES_COAL" vbProcedure="false">"c9812"</definedName>
    <definedName function="false" hidden="true" name="IQ_INDICATED_RECOV_RESOURCES_COP" vbProcedure="false">"c9177"</definedName>
    <definedName function="false" hidden="true" name="IQ_INDICATED_RECOV_RESOURCES_DIAM" vbProcedure="false">"c9657"</definedName>
    <definedName function="false" hidden="true" name="IQ_INDICATED_RECOV_RESOURCES_GOLD" vbProcedure="false">"c9018"</definedName>
    <definedName function="false" hidden="true" name="IQ_INDICATED_RECOV_RESOURCES_IRON" vbProcedure="false">"c9392"</definedName>
    <definedName function="false" hidden="true" name="IQ_INDICATED_RECOV_RESOURCES_LEAD" vbProcedure="false">"c9445"</definedName>
    <definedName function="false" hidden="true" name="IQ_INDICATED_RECOV_RESOURCES_MANG" vbProcedure="false">"c9498"</definedName>
    <definedName function="false" hidden="true" name="IQ_INDICATED_RECOV_RESOURCES_MET_COAL" vbProcedure="false">"c9752"</definedName>
    <definedName function="false" hidden="true" name="IQ_INDICATED_RECOV_RESOURCES_MOLYB" vbProcedure="false">"c9710"</definedName>
    <definedName function="false" hidden="true" name="IQ_INDICATED_RECOV_RESOURCES_NICK" vbProcedure="false">"c9286"</definedName>
    <definedName function="false" hidden="true" name="IQ_INDICATED_RECOV_RESOURCES_PLAT" vbProcedure="false">"c9124"</definedName>
    <definedName function="false" hidden="true" name="IQ_INDICATED_RECOV_RESOURCES_SILVER" vbProcedure="false">"c9071"</definedName>
    <definedName function="false" hidden="true" name="IQ_INDICATED_RECOV_RESOURCES_STEAM" vbProcedure="false">"c9782"</definedName>
    <definedName function="false" hidden="true" name="IQ_INDICATED_RECOV_RESOURCES_TITAN" vbProcedure="false">"c9551"</definedName>
    <definedName function="false" hidden="true" name="IQ_INDICATED_RECOV_RESOURCES_URAN" vbProcedure="false">"c9604"</definedName>
    <definedName function="false" hidden="true" name="IQ_INDICATED_RECOV_RESOURCES_ZINC" vbProcedure="false">"c9339"</definedName>
    <definedName function="false" hidden="true" name="IQ_INDICATED_RESOURCES_CALORIFIC_VALUE_COAL" vbProcedure="false">"c9807"</definedName>
    <definedName function="false" hidden="true" name="IQ_INDICATED_RESOURCES_CALORIFIC_VALUE_MET_COAL" vbProcedure="false">"c9747"</definedName>
    <definedName function="false" hidden="true" name="IQ_INDICATED_RESOURCES_CALORIFIC_VALUE_STEAM" vbProcedure="false">"c9777"</definedName>
    <definedName function="false" hidden="true" name="IQ_INDICATED_RESOURCES_GRADE_ALUM" vbProcedure="false">"c9225"</definedName>
    <definedName function="false" hidden="true" name="IQ_INDICATED_RESOURCES_GRADE_COP" vbProcedure="false">"c9169"</definedName>
    <definedName function="false" hidden="true" name="IQ_INDICATED_RESOURCES_GRADE_DIAM" vbProcedure="false">"c9649"</definedName>
    <definedName function="false" hidden="true" name="IQ_INDICATED_RESOURCES_GRADE_GOLD" vbProcedure="false">"c9010"</definedName>
    <definedName function="false" hidden="true" name="IQ_INDICATED_RESOURCES_GRADE_IRON" vbProcedure="false">"c9384"</definedName>
    <definedName function="false" hidden="true" name="IQ_INDICATED_RESOURCES_GRADE_LEAD" vbProcedure="false">"c9437"</definedName>
    <definedName function="false" hidden="true" name="IQ_INDICATED_RESOURCES_GRADE_MANG" vbProcedure="false">"c9490"</definedName>
    <definedName function="false" hidden="true" name="IQ_INDICATED_RESOURCES_GRADE_MOLYB" vbProcedure="false">"c9702"</definedName>
    <definedName function="false" hidden="true" name="IQ_INDICATED_RESOURCES_GRADE_NICK" vbProcedure="false">"c9278"</definedName>
    <definedName function="false" hidden="true" name="IQ_INDICATED_RESOURCES_GRADE_PLAT" vbProcedure="false">"c9116"</definedName>
    <definedName function="false" hidden="true" name="IQ_INDICATED_RESOURCES_GRADE_SILVER" vbProcedure="false">"c9063"</definedName>
    <definedName function="false" hidden="true" name="IQ_INDICATED_RESOURCES_GRADE_TITAN" vbProcedure="false">"c9543"</definedName>
    <definedName function="false" hidden="true" name="IQ_INDICATED_RESOURCES_GRADE_URAN" vbProcedure="false">"c9596"</definedName>
    <definedName function="false" hidden="true" name="IQ_INDICATED_RESOURCES_GRADE_ZINC" vbProcedure="false">"c9331"</definedName>
    <definedName function="false" hidden="true" name="IQ_INDIVIDUAL" vbProcedure="false">"c15182"</definedName>
    <definedName function="false" hidden="true" name="IQ_INDIVIDUALS_CHARGE_OFFS_FDIC" vbProcedure="false">"c6599"</definedName>
    <definedName function="false" hidden="true" name="IQ_INDIVIDUALS_GROSS_LOANS_FFIEC" vbProcedure="false">"c13411"</definedName>
    <definedName function="false" hidden="true" name="IQ_INDIVIDUALS_LOANS_FDIC" vbProcedure="false">"c6318"</definedName>
    <definedName function="false" hidden="true" name="IQ_INDIVIDUALS_NET_CHARGE_OFFS_FDIC" vbProcedure="false">"c6637"</definedName>
    <definedName function="false" hidden="true" name="IQ_INDIVIDUALS_OTHER_LOANS_FDIC" vbProcedure="false">"c6321"</definedName>
    <definedName function="false" hidden="true" name="IQ_INDIVIDUALS_PARTNERSHIPS_CORP_DEPOSITS_FOREIGN_FDIC" vbProcedure="false">"c6479"</definedName>
    <definedName function="false" hidden="true" name="IQ_INDIVIDUALS_PARTNERSHIPS_CORP_NONTRANSACTION_ACCOUNTS_FDIC" vbProcedure="false">"c6545"</definedName>
    <definedName function="false" hidden="true" name="IQ_INDIVIDUALS_PARTNERSHIPS_CORP_TOTAL_DEPOSITS_FDIC" vbProcedure="false">"c6471"</definedName>
    <definedName function="false" hidden="true" name="IQ_INDIVIDUALS_PARTNERSHIPS_CORP_TRANSACTION_ACCOUNTS_FDIC" vbProcedure="false">"c6537"</definedName>
    <definedName function="false" hidden="true" name="IQ_INDIVIDUALS_RECOVERIES_FDIC" vbProcedure="false">"c6618"</definedName>
    <definedName function="false" hidden="true" name="IQ_INDIVIDUALS_RISK_BASED_FFIEC" vbProcedure="false">"c13432"</definedName>
    <definedName function="false" hidden="true" name="IQ_INDIVIDUAL_ACTIVE_BOARD_MEMBERSHIPS" vbProcedure="false">"c15201"</definedName>
    <definedName function="false" hidden="true" name="IQ_INDIVIDUAL_ACTIVE_PRO_AFFILIATIONS" vbProcedure="false">"c15199"</definedName>
    <definedName function="false" hidden="true" name="IQ_INDIVIDUAL_AGE" vbProcedure="false">"c15191"</definedName>
    <definedName function="false" hidden="true" name="IQ_INDIVIDUAL_ALL_OTHER_COMP" vbProcedure="false">"c19040"</definedName>
    <definedName function="false" hidden="true" name="IQ_INDIVIDUAL_ANNUAL_CASH_COMP" vbProcedure="false">"c19041"</definedName>
    <definedName function="false" hidden="true" name="IQ_INDIVIDUAL_ASSISTANT_EMAIL" vbProcedure="false">"c15206"</definedName>
    <definedName function="false" hidden="true" name="IQ_INDIVIDUAL_ASSISTANT_FAX" vbProcedure="false">"c15208"</definedName>
    <definedName function="false" hidden="true" name="IQ_INDIVIDUAL_ASSISTANT_NAME" vbProcedure="false">"c15205"</definedName>
    <definedName function="false" hidden="true" name="IQ_INDIVIDUAL_ASSISTANT_PHONE" vbProcedure="false">"c15207"</definedName>
    <definedName function="false" hidden="true" name="IQ_INDIVIDUAL_AS_REPORTED_COMP" vbProcedure="false">"c19045"</definedName>
    <definedName function="false" hidden="true" name="IQ_INDIVIDUAL_AS_REPORTED_DIRECTOR_COMP" vbProcedure="false">"c19057"</definedName>
    <definedName function="false" hidden="true" name="IQ_INDIVIDUAL_BACKGROUND" vbProcedure="false">"c15184"</definedName>
    <definedName function="false" hidden="true" name="IQ_INDIVIDUAL_BONUS" vbProcedure="false">"c19036"</definedName>
    <definedName function="false" hidden="true" name="IQ_INDIVIDUAL_CALCULATED_COMP" vbProcedure="false">"c19043"</definedName>
    <definedName function="false" hidden="true" name="IQ_INDIVIDUAL_CHANGE_PENSION" vbProcedure="false">"c19058"</definedName>
    <definedName function="false" hidden="true" name="IQ_INDIVIDUAL_DIRECTOR_BONUS" vbProcedure="false">"c19052"</definedName>
    <definedName function="false" hidden="true" name="IQ_INDIVIDUAL_DIRECTOR_CHANGE_PENSION" vbProcedure="false">"c19053"</definedName>
    <definedName function="false" hidden="true" name="IQ_INDIVIDUAL_DIRECTOR_FEE" vbProcedure="false">"c19049"</definedName>
    <definedName function="false" hidden="true" name="IQ_INDIVIDUAL_DIRECTOR_NON_EQUITY_COMP" vbProcedure="false">"c19054"</definedName>
    <definedName function="false" hidden="true" name="IQ_INDIVIDUAL_DIRECTOR_OPTION_AWARDS" vbProcedure="false">"c19050"</definedName>
    <definedName function="false" hidden="true" name="IQ_INDIVIDUAL_DIRECTOR_OTHER" vbProcedure="false">"c19051"</definedName>
    <definedName function="false" hidden="true" name="IQ_INDIVIDUAL_DIRECTOR_STOCK_AWARDS" vbProcedure="false">"c19055"</definedName>
    <definedName function="false" hidden="true" name="IQ_INDIVIDUAL_DIRECTOR_STOCK_GRANTS" vbProcedure="false">"c19082"</definedName>
    <definedName function="false" hidden="true" name="IQ_INDIVIDUAL_DIRECTOR_STOCK_OPTIONS" vbProcedure="false">"c19056"</definedName>
    <definedName function="false" hidden="true" name="IQ_INDIVIDUAL_DIRECT_FAX" vbProcedure="false">"c15189"</definedName>
    <definedName function="false" hidden="true" name="IQ_INDIVIDUAL_DIRECT_PHONE" vbProcedure="false">"c15188"</definedName>
    <definedName function="false" hidden="true" name="IQ_INDIVIDUAL_EDUCATION" vbProcedure="false">"c15203"</definedName>
    <definedName function="false" hidden="true" name="IQ_INDIVIDUAL_EMAIL" vbProcedure="false">"c15193"</definedName>
    <definedName function="false" hidden="true" name="IQ_INDIVIDUAL_EQUITY_INCENTIVE" vbProcedure="false">"c19078"</definedName>
    <definedName function="false" hidden="true" name="IQ_INDIVIDUAL_EST_PAYMENTS_CHANGE_CONTROL" vbProcedure="false">"c19047"</definedName>
    <definedName function="false" hidden="true" name="IQ_INDIVIDUAL_EST_PAYMENTS_TERMINATION" vbProcedure="false">"c19059"</definedName>
    <definedName function="false" hidden="true" name="IQ_INDIVIDUAL_EXERCISABLE_OPTIONS" vbProcedure="false">"c19062"</definedName>
    <definedName function="false" hidden="true" name="IQ_INDIVIDUAL_EXERCISABLE_VALUES" vbProcedure="false">"c19063"</definedName>
    <definedName function="false" hidden="true" name="IQ_INDIVIDUAL_EXERCISED_OPTIONS" vbProcedure="false">"c19060"</definedName>
    <definedName function="false" hidden="true" name="IQ_INDIVIDUAL_EXERCISED_VALUES" vbProcedure="false">"c19061"</definedName>
    <definedName function="false" hidden="true" name="IQ_INDIVIDUAL_FAMILY_LOAN_DOM_QUARTERLY_AVG_FFIEC" vbProcedure="false">"c15479"</definedName>
    <definedName function="false" hidden="true" name="IQ_INDIVIDUAL_HOME_ADDRESS" vbProcedure="false">"c15194"</definedName>
    <definedName function="false" hidden="true" name="IQ_INDIVIDUAL_HOME_FAX" vbProcedure="false">"c15196"</definedName>
    <definedName function="false" hidden="true" name="IQ_INDIVIDUAL_HOME_PHONE" vbProcedure="false">"c15195"</definedName>
    <definedName function="false" hidden="true" name="IQ_INDIVIDUAL_LT_INCENTIVE" vbProcedure="false">"c19039"</definedName>
    <definedName function="false" hidden="true" name="IQ_INDIVIDUAL_MAIN_FAX" vbProcedure="false">"c15187"</definedName>
    <definedName function="false" hidden="true" name="IQ_INDIVIDUAL_MAIN_PHONE" vbProcedure="false">"c15186"</definedName>
    <definedName function="false" hidden="true" name="IQ_INDIVIDUAL_MARKET_VALUE_SHARES_NOT_VESTED" vbProcedure="false">"c19077"</definedName>
    <definedName function="false" hidden="true" name="IQ_INDIVIDUAL_MOBILE" vbProcedure="false">"c15198"</definedName>
    <definedName function="false" hidden="true" name="IQ_INDIVIDUAL_NICKNAME" vbProcedure="false">"c15192"</definedName>
    <definedName function="false" hidden="true" name="IQ_INDIVIDUAL_NON_EQUITY_INCENTIVE" vbProcedure="false">"c19048"</definedName>
    <definedName function="false" hidden="true" name="IQ_INDIVIDUAL_NOTES" vbProcedure="false">"c15204"</definedName>
    <definedName function="false" hidden="true" name="IQ_INDIVIDUAL_NUM_SHARED_NOT_VESTED" vbProcedure="false">"c19076"</definedName>
    <definedName function="false" hidden="true" name="IQ_INDIVIDUAL_NUM_SHARES_ACQUIRED" vbProcedure="false">"c19074"</definedName>
    <definedName function="false" hidden="true" name="IQ_INDIVIDUAL_OFFICE_ADDRESS" vbProcedure="false">"c15185"</definedName>
    <definedName function="false" hidden="true" name="IQ_INDIVIDUAL_OPTION_AWARDS" vbProcedure="false">"c19044"</definedName>
    <definedName function="false" hidden="true" name="IQ_INDIVIDUAL_OPTION_MARKET_PRICE" vbProcedure="false">"c19073"</definedName>
    <definedName function="false" hidden="true" name="IQ_INDIVIDUAL_OPTION_PRICE" vbProcedure="false">"c19072"</definedName>
    <definedName function="false" hidden="true" name="IQ_INDIVIDUAL_OTHER_ANNUAL_COMP" vbProcedure="false">"c19037"</definedName>
    <definedName function="false" hidden="true" name="IQ_INDIVIDUAL_OTHER_COMP" vbProcedure="false">"c19046"</definedName>
    <definedName function="false" hidden="true" name="IQ_INDIVIDUAL_OTHER_PHONE" vbProcedure="false">"c15197"</definedName>
    <definedName function="false" hidden="true" name="IQ_INDIVIDUAL_PARTNER_CORPS_FOREIGN_DEP_FFIEC" vbProcedure="false">"c15342"</definedName>
    <definedName function="false" hidden="true" name="IQ_INDIVIDUAL_PARTNER_CORP_NON_TRANS_ACCTS_FFIEC" vbProcedure="false">"c15322"</definedName>
    <definedName function="false" hidden="true" name="IQ_INDIVIDUAL_PARTNER_CORP_TRANS_ACCTS_FFIEC" vbProcedure="false">"c15314"</definedName>
    <definedName function="false" hidden="true" name="IQ_INDIVIDUAL_PRIOR_BOARD_MEMBERSHIPS" vbProcedure="false">"c15202"</definedName>
    <definedName function="false" hidden="true" name="IQ_INDIVIDUAL_PRIOR_PRO_AFFILIATIONS" vbProcedure="false">"c15200"</definedName>
    <definedName function="false" hidden="true" name="IQ_INDIVIDUAL_RESTRICTED_STOCK_COMP" vbProcedure="false">"c19038"</definedName>
    <definedName function="false" hidden="true" name="IQ_INDIVIDUAL_SALARY" vbProcedure="false">"c19035"</definedName>
    <definedName function="false" hidden="true" name="IQ_INDIVIDUAL_SPECIALTY" vbProcedure="false">"c15190"</definedName>
    <definedName function="false" hidden="true" name="IQ_INDIVIDUAL_ST_COMP" vbProcedure="false">"c19042"</definedName>
    <definedName function="false" hidden="true" name="IQ_INDIVIDUAL_TITLE" vbProcedure="false">"c15183"</definedName>
    <definedName function="false" hidden="true" name="IQ_INDIVIDUAL_TOTAL_NUM_STOCK_AWARDS" vbProcedure="false">"c19081"</definedName>
    <definedName function="false" hidden="true" name="IQ_INDIVIDUAL_TOTAL_OPTIONS" vbProcedure="false">"c19070"</definedName>
    <definedName function="false" hidden="true" name="IQ_INDIVIDUAL_TOTAL_STOCK_VALUE" vbProcedure="false">"c19080"</definedName>
    <definedName function="false" hidden="true" name="IQ_INDIVIDUAL_TOTAL_VALUE_OPTIONS" vbProcedure="false">"c19071"</definedName>
    <definedName function="false" hidden="true" name="IQ_INDIVIDUAL_UNCLASSIFIED_OPTIONS" vbProcedure="false">"c19066"</definedName>
    <definedName function="false" hidden="true" name="IQ_INDIVIDUAL_UNCLASSIFIED_OPTIONS_VALUE" vbProcedure="false">"c19067"</definedName>
    <definedName function="false" hidden="true" name="IQ_INDIVIDUAL_UNEARNED_STOCK_VALUE" vbProcedure="false">"c19079"</definedName>
    <definedName function="false" hidden="true" name="IQ_INDIVIDUAL_UNEXERCISABLE_OPTIONS" vbProcedure="false">"c19064"</definedName>
    <definedName function="false" hidden="true" name="IQ_INDIVIDUAL_UNEXERCISABLE_VALUES" vbProcedure="false">"c19065"</definedName>
    <definedName function="false" hidden="true" name="IQ_INDIVIDUAL_UNEXERCISED_UNEARNED_OPTIONS" vbProcedure="false">"c19068"</definedName>
    <definedName function="false" hidden="true" name="IQ_INDIVIDUAL_UNEXERCISED_UNEARNED_OPTIONS_VALUE" vbProcedure="false">"c19069"</definedName>
    <definedName function="false" hidden="true" name="IQ_INDIVIDUAL_VALUE_VESTING" vbProcedure="false">"c19075"</definedName>
    <definedName function="false" hidden="true" name="IQ_INDUSTRIAL_PROD" vbProcedure="false">"c6895"</definedName>
    <definedName function="false" hidden="true" name="IQ_INDUSTRIAL_PROD_APR" vbProcedure="false">"c7555"</definedName>
    <definedName function="false" hidden="true" name="IQ_INDUSTRIAL_PROD_APR_FC" vbProcedure="false">"c8435"</definedName>
    <definedName function="false" hidden="true" name="IQ_INDUSTRIAL_PROD_FC" vbProcedure="false">"c7775"</definedName>
    <definedName function="false" hidden="true" name="IQ_INDUSTRIAL_PROD_POP" vbProcedure="false">"c7115"</definedName>
    <definedName function="false" hidden="true" name="IQ_INDUSTRIAL_PROD_POP_FC" vbProcedure="false">"c7995"</definedName>
    <definedName function="false" hidden="true" name="IQ_INDUSTRIAL_PROD_YOY" vbProcedure="false">"c7335"</definedName>
    <definedName function="false" hidden="true" name="IQ_INDUSTRIAL_PROD_YOY_FC" vbProcedure="false">"c8215"</definedName>
    <definedName function="false" hidden="true" name="IQ_INDUSTRY" vbProcedure="false">"c3601"</definedName>
    <definedName function="false" hidden="true" name="IQ_INDUSTRY_GROUP" vbProcedure="false">"c3602"</definedName>
    <definedName function="false" hidden="true" name="IQ_INDUSTRY_SECTOR" vbProcedure="false">"c3603"</definedName>
    <definedName function="false" hidden="true" name="IQ_INFERRED_ATTRIB_ORE_RESOURCES_ALUM" vbProcedure="false">"c9240"</definedName>
    <definedName function="false" hidden="true" name="IQ_INFERRED_ATTRIB_ORE_RESOURCES_COP" vbProcedure="false">"c9184"</definedName>
    <definedName function="false" hidden="true" name="IQ_INFERRED_ATTRIB_ORE_RESOURCES_DIAM" vbProcedure="false">"c9664"</definedName>
    <definedName function="false" hidden="true" name="IQ_INFERRED_ATTRIB_ORE_RESOURCES_GOLD" vbProcedure="false">"c9025"</definedName>
    <definedName function="false" hidden="true" name="IQ_INFERRED_ATTRIB_ORE_RESOURCES_IRON" vbProcedure="false">"c9399"</definedName>
    <definedName function="false" hidden="true" name="IQ_INFERRED_ATTRIB_ORE_RESOURCES_LEAD" vbProcedure="false">"c9452"</definedName>
    <definedName function="false" hidden="true" name="IQ_INFERRED_ATTRIB_ORE_RESOURCES_MANG" vbProcedure="false">"c9505"</definedName>
    <definedName function="false" hidden="true" name="IQ_INFERRED_ATTRIB_ORE_RESOURCES_MOLYB" vbProcedure="false">"c9717"</definedName>
    <definedName function="false" hidden="true" name="IQ_INFERRED_ATTRIB_ORE_RESOURCES_NICK" vbProcedure="false">"c9293"</definedName>
    <definedName function="false" hidden="true" name="IQ_INFERRED_ATTRIB_ORE_RESOURCES_PLAT" vbProcedure="false">"c9131"</definedName>
    <definedName function="false" hidden="true" name="IQ_INFERRED_ATTRIB_ORE_RESOURCES_SILVER" vbProcedure="false">"c9078"</definedName>
    <definedName function="false" hidden="true" name="IQ_INFERRED_ATTRIB_ORE_RESOURCES_TITAN" vbProcedure="false">"c9558"</definedName>
    <definedName function="false" hidden="true" name="IQ_INFERRED_ATTRIB_ORE_RESOURCES_URAN" vbProcedure="false">"c9611"</definedName>
    <definedName function="false" hidden="true" name="IQ_INFERRED_ATTRIB_ORE_RESOURCES_ZINC" vbProcedure="false">"c9346"</definedName>
    <definedName function="false" hidden="true" name="IQ_INFERRED_ORE_RESOURCES_ALUM" vbProcedure="false">"c9228"</definedName>
    <definedName function="false" hidden="true" name="IQ_INFERRED_ORE_RESOURCES_COP" vbProcedure="false">"c9172"</definedName>
    <definedName function="false" hidden="true" name="IQ_INFERRED_ORE_RESOURCES_DIAM" vbProcedure="false">"c9652"</definedName>
    <definedName function="false" hidden="true" name="IQ_INFERRED_ORE_RESOURCES_GOLD" vbProcedure="false">"c9013"</definedName>
    <definedName function="false" hidden="true" name="IQ_INFERRED_ORE_RESOURCES_IRON" vbProcedure="false">"c9387"</definedName>
    <definedName function="false" hidden="true" name="IQ_INFERRED_ORE_RESOURCES_LEAD" vbProcedure="false">"c9440"</definedName>
    <definedName function="false" hidden="true" name="IQ_INFERRED_ORE_RESOURCES_MANG" vbProcedure="false">"c9493"</definedName>
    <definedName function="false" hidden="true" name="IQ_INFERRED_ORE_RESOURCES_MOLYB" vbProcedure="false">"c9705"</definedName>
    <definedName function="false" hidden="true" name="IQ_INFERRED_ORE_RESOURCES_NICK" vbProcedure="false">"c9281"</definedName>
    <definedName function="false" hidden="true" name="IQ_INFERRED_ORE_RESOURCES_PLAT" vbProcedure="false">"c9119"</definedName>
    <definedName function="false" hidden="true" name="IQ_INFERRED_ORE_RESOURCES_SILVER" vbProcedure="false">"c9066"</definedName>
    <definedName function="false" hidden="true" name="IQ_INFERRED_ORE_RESOURCES_TITAN" vbProcedure="false">"c9546"</definedName>
    <definedName function="false" hidden="true" name="IQ_INFERRED_ORE_RESOURCES_URAN" vbProcedure="false">"c9599"</definedName>
    <definedName function="false" hidden="true" name="IQ_INFERRED_ORE_RESOURCES_ZINC" vbProcedure="false">"c9334"</definedName>
    <definedName function="false" hidden="true" name="IQ_INFERRED_RECOV_ATTRIB_RESOURCES_ALUM" vbProcedure="false">"c9245"</definedName>
    <definedName function="false" hidden="true" name="IQ_INFERRED_RECOV_ATTRIB_RESOURCES_COAL" vbProcedure="false">"c9819"</definedName>
    <definedName function="false" hidden="true" name="IQ_INFERRED_RECOV_ATTRIB_RESOURCES_COP" vbProcedure="false">"c9189"</definedName>
    <definedName function="false" hidden="true" name="IQ_INFERRED_RECOV_ATTRIB_RESOURCES_DIAM" vbProcedure="false">"c9669"</definedName>
    <definedName function="false" hidden="true" name="IQ_INFERRED_RECOV_ATTRIB_RESOURCES_GOLD" vbProcedure="false">"c9030"</definedName>
    <definedName function="false" hidden="true" name="IQ_INFERRED_RECOV_ATTRIB_RESOURCES_IRON" vbProcedure="false">"c9404"</definedName>
    <definedName function="false" hidden="true" name="IQ_INFERRED_RECOV_ATTRIB_RESOURCES_LEAD" vbProcedure="false">"c9457"</definedName>
    <definedName function="false" hidden="true" name="IQ_INFERRED_RECOV_ATTRIB_RESOURCES_MANG" vbProcedure="false">"c9510"</definedName>
    <definedName function="false" hidden="true" name="IQ_INFERRED_RECOV_ATTRIB_RESOURCES_MET_COAL" vbProcedure="false">"c9759"</definedName>
    <definedName function="false" hidden="true" name="IQ_INFERRED_RECOV_ATTRIB_RESOURCES_MOLYB" vbProcedure="false">"c9722"</definedName>
    <definedName function="false" hidden="true" name="IQ_INFERRED_RECOV_ATTRIB_RESOURCES_NICK" vbProcedure="false">"c9298"</definedName>
    <definedName function="false" hidden="true" name="IQ_INFERRED_RECOV_ATTRIB_RESOURCES_PLAT" vbProcedure="false">"c9136"</definedName>
    <definedName function="false" hidden="true" name="IQ_INFERRED_RECOV_ATTRIB_RESOURCES_SILVER" vbProcedure="false">"c9083"</definedName>
    <definedName function="false" hidden="true" name="IQ_INFERRED_RECOV_ATTRIB_RESOURCES_STEAM" vbProcedure="false">"c9789"</definedName>
    <definedName function="false" hidden="true" name="IQ_INFERRED_RECOV_ATTRIB_RESOURCES_TITAN" vbProcedure="false">"c9563"</definedName>
    <definedName function="false" hidden="true" name="IQ_INFERRED_RECOV_ATTRIB_RESOURCES_URAN" vbProcedure="false">"c9616"</definedName>
    <definedName function="false" hidden="true" name="IQ_INFERRED_RECOV_ATTRIB_RESOURCES_ZINC" vbProcedure="false">"c9351"</definedName>
    <definedName function="false" hidden="true" name="IQ_INFERRED_RECOV_RESOURCES_ALUM" vbProcedure="false">"c9235"</definedName>
    <definedName function="false" hidden="true" name="IQ_INFERRED_RECOV_RESOURCES_COAL" vbProcedure="false">"c9814"</definedName>
    <definedName function="false" hidden="true" name="IQ_INFERRED_RECOV_RESOURCES_COP" vbProcedure="false">"c9179"</definedName>
    <definedName function="false" hidden="true" name="IQ_INFERRED_RECOV_RESOURCES_DIAM" vbProcedure="false">"c9659"</definedName>
    <definedName function="false" hidden="true" name="IQ_INFERRED_RECOV_RESOURCES_GOLD" vbProcedure="false">"c9020"</definedName>
    <definedName function="false" hidden="true" name="IQ_INFERRED_RECOV_RESOURCES_IRON" vbProcedure="false">"c9394"</definedName>
    <definedName function="false" hidden="true" name="IQ_INFERRED_RECOV_RESOURCES_LEAD" vbProcedure="false">"c9447"</definedName>
    <definedName function="false" hidden="true" name="IQ_INFERRED_RECOV_RESOURCES_MANG" vbProcedure="false">"c9500"</definedName>
    <definedName function="false" hidden="true" name="IQ_INFERRED_RECOV_RESOURCES_MET_COAL" vbProcedure="false">"c9754"</definedName>
    <definedName function="false" hidden="true" name="IQ_INFERRED_RECOV_RESOURCES_MOLYB" vbProcedure="false">"c9712"</definedName>
    <definedName function="false" hidden="true" name="IQ_INFERRED_RECOV_RESOURCES_NICK" vbProcedure="false">"c9288"</definedName>
    <definedName function="false" hidden="true" name="IQ_INFERRED_RECOV_RESOURCES_PLAT" vbProcedure="false">"c9126"</definedName>
    <definedName function="false" hidden="true" name="IQ_INFERRED_RECOV_RESOURCES_SILVER" vbProcedure="false">"c9073"</definedName>
    <definedName function="false" hidden="true" name="IQ_INFERRED_RECOV_RESOURCES_STEAM" vbProcedure="false">"c9784"</definedName>
    <definedName function="false" hidden="true" name="IQ_INFERRED_RECOV_RESOURCES_TITAN" vbProcedure="false">"c9553"</definedName>
    <definedName function="false" hidden="true" name="IQ_INFERRED_RECOV_RESOURCES_URAN" vbProcedure="false">"c9606"</definedName>
    <definedName function="false" hidden="true" name="IQ_INFERRED_RECOV_RESOURCES_ZINC" vbProcedure="false">"c9341"</definedName>
    <definedName function="false" hidden="true" name="IQ_INFERRED_RESOURCES_CALORIFIC_VALUE_COAL" vbProcedure="false">"c9809"</definedName>
    <definedName function="false" hidden="true" name="IQ_INFERRED_RESOURCES_CALORIFIC_VALUE_MET_COAL" vbProcedure="false">"c9749"</definedName>
    <definedName function="false" hidden="true" name="IQ_INFERRED_RESOURCES_CALORIFIC_VALUE_STEAM" vbProcedure="false">"c9779"</definedName>
    <definedName function="false" hidden="true" name="IQ_INFERRED_RESOURCES_GRADE_ALUM" vbProcedure="false">"c9229"</definedName>
    <definedName function="false" hidden="true" name="IQ_INFERRED_RESOURCES_GRADE_COP" vbProcedure="false">"c9173"</definedName>
    <definedName function="false" hidden="true" name="IQ_INFERRED_RESOURCES_GRADE_DIAM" vbProcedure="false">"c9653"</definedName>
    <definedName function="false" hidden="true" name="IQ_INFERRED_RESOURCES_GRADE_GOLD" vbProcedure="false">"c9014"</definedName>
    <definedName function="false" hidden="true" name="IQ_INFERRED_RESOURCES_GRADE_IRON" vbProcedure="false">"c9388"</definedName>
    <definedName function="false" hidden="true" name="IQ_INFERRED_RESOURCES_GRADE_LEAD" vbProcedure="false">"c9441"</definedName>
    <definedName function="false" hidden="true" name="IQ_INFERRED_RESOURCES_GRADE_MANG" vbProcedure="false">"c9494"</definedName>
    <definedName function="false" hidden="true" name="IQ_INFERRED_RESOURCES_GRADE_MOLYB" vbProcedure="false">"c9706"</definedName>
    <definedName function="false" hidden="true" name="IQ_INFERRED_RESOURCES_GRADE_NICK" vbProcedure="false">"c9282"</definedName>
    <definedName function="false" hidden="true" name="IQ_INFERRED_RESOURCES_GRADE_PLAT" vbProcedure="false">"c9120"</definedName>
    <definedName function="false" hidden="true" name="IQ_INFERRED_RESOURCES_GRADE_SILVER" vbProcedure="false">"c9067"</definedName>
    <definedName function="false" hidden="true" name="IQ_INFERRED_RESOURCES_GRADE_TITAN" vbProcedure="false">"c9547"</definedName>
    <definedName function="false" hidden="true" name="IQ_INFERRED_RESOURCES_GRADE_URAN" vbProcedure="false">"c9600"</definedName>
    <definedName function="false" hidden="true" name="IQ_INFERRED_RESOURCES_GRADE_ZINC" vbProcedure="false">"c9335"</definedName>
    <definedName function="false" hidden="true" name="IQ_INFLATION_RATE" vbProcedure="false">"c6899"</definedName>
    <definedName function="false" hidden="true" name="IQ_INFLATION_RATE_CORE" vbProcedure="false">"c11783"</definedName>
    <definedName function="false" hidden="true" name="IQ_INFLATION_RATE_CORE_POP" vbProcedure="false">"c11784"</definedName>
    <definedName function="false" hidden="true" name="IQ_INFLATION_RATE_CORE_YOY" vbProcedure="false">"c11785"</definedName>
    <definedName function="false" hidden="true" name="IQ_INFLATION_RATE_FC" vbProcedure="false">"c7779"</definedName>
    <definedName function="false" hidden="true" name="IQ_INFLATION_RATE_POP" vbProcedure="false">"c7119"</definedName>
    <definedName function="false" hidden="true" name="IQ_INFLATION_RATE_POP_FC" vbProcedure="false">"c7999"</definedName>
    <definedName function="false" hidden="true" name="IQ_INFLATION_RATE_YOY" vbProcedure="false">"c7339"</definedName>
    <definedName function="false" hidden="true" name="IQ_INFLATION_RATE_YOY_FC" vbProcedure="false">"c8219"</definedName>
    <definedName function="false" hidden="true" name="IQ_INITIAL_CLAIMS" vbProcedure="false">"c6900"</definedName>
    <definedName function="false" hidden="true" name="IQ_INITIAL_CLAIMS_APR" vbProcedure="false">"c7560"</definedName>
    <definedName function="false" hidden="true" name="IQ_INITIAL_CLAIMS_APR_FC" vbProcedure="false">"c8440"</definedName>
    <definedName function="false" hidden="true" name="IQ_INITIAL_CLAIMS_FC" vbProcedure="false">"c7780"</definedName>
    <definedName function="false" hidden="true" name="IQ_INITIAL_CLAIMS_POP" vbProcedure="false">"c7120"</definedName>
    <definedName function="false" hidden="true" name="IQ_INITIAL_CLAIMS_POP_FC" vbProcedure="false">"c8000"</definedName>
    <definedName function="false" hidden="true" name="IQ_INITIAL_TRANSACTION" vbProcedure="false">"c18885"</definedName>
    <definedName function="false" hidden="true" name="IQ_INSIDER_3MTH_BOUGHT_PCT" vbProcedure="false">"c1534"</definedName>
    <definedName function="false" hidden="true" name="IQ_INSIDER_3MTH_NET_PCT" vbProcedure="false">"c1535"</definedName>
    <definedName function="false" hidden="true" name="IQ_INSIDER_3MTH_SOLD_PCT" vbProcedure="false">"c1533"</definedName>
    <definedName function="false" hidden="true" name="IQ_INSIDER_6MTH_BOUGHT_PCT" vbProcedure="false">"c1537"</definedName>
    <definedName function="false" hidden="true" name="IQ_INSIDER_6MTH_NET_PCT" vbProcedure="false">"c1538"</definedName>
    <definedName function="false" hidden="true" name="IQ_INSIDER_6MTH_SOLD_PCT" vbProcedure="false">"c1536"</definedName>
    <definedName function="false" hidden="true" name="IQ_INSIDER_CIQID" vbProcedure="false">"c19101"</definedName>
    <definedName function="false" hidden="true" name="IQ_INSIDER_DERIVATIVES" vbProcedure="false">"c19102"</definedName>
    <definedName function="false" hidden="true" name="IQ_INSIDER_LOANS_FDIC" vbProcedure="false">"c6365"</definedName>
    <definedName function="false" hidden="true" name="IQ_INSIDER_NAME" vbProcedure="false">"c19100"</definedName>
    <definedName function="false" hidden="true" name="IQ_INSIDER_OVER_TOTAL" vbProcedure="false">"c1581"</definedName>
    <definedName function="false" hidden="true" name="IQ_INSIDER_OWNER" vbProcedure="false">"c577"</definedName>
    <definedName function="false" hidden="true" name="IQ_INSIDER_PERCENT" vbProcedure="false">"c578"</definedName>
    <definedName function="false" hidden="true" name="IQ_INSIDER_POSITION_DATE" vbProcedure="false">"c19104"</definedName>
    <definedName function="false" hidden="true" name="IQ_INSIDER_SHARES" vbProcedure="false">"c579"</definedName>
    <definedName function="false" hidden="true" name="IQ_INSIDER_VALUE" vbProcedure="false">"c19103"</definedName>
    <definedName function="false" hidden="true" name="IQ_INSTITUTIONAL_CIQID" vbProcedure="false">"c19106"</definedName>
    <definedName function="false" hidden="true" name="IQ_INSTITUTIONAL_DERIVATIVES" vbProcedure="false">"c19107"</definedName>
    <definedName function="false" hidden="true" name="IQ_INSTITUTIONAL_NAME" vbProcedure="false">"c19105"</definedName>
    <definedName function="false" hidden="true" name="IQ_INSTITUTIONAL_OVER_TOTAL" vbProcedure="false">"c1580"</definedName>
    <definedName function="false" hidden="true" name="IQ_INSTITUTIONAL_OWNER" vbProcedure="false">"c580"</definedName>
    <definedName function="false" hidden="true" name="IQ_INSTITUTIONAL_PERCENT" vbProcedure="false">"c581"</definedName>
    <definedName function="false" hidden="true" name="IQ_INSTITUTIONAL_POSITION_DATE" vbProcedure="false">"c19109"</definedName>
    <definedName function="false" hidden="true" name="IQ_INSTITUTIONAL_SHARES" vbProcedure="false">"c582"</definedName>
    <definedName function="false" hidden="true" name="IQ_INSTITUTIONAL_VALUE" vbProcedure="false">"c19108"</definedName>
    <definedName function="false" hidden="true" name="IQ_INSTITUTIONS_EARNINGS_GAINS_FDIC" vbProcedure="false">"c6723"</definedName>
    <definedName function="false" hidden="true" name="IQ_INST_DEPOSITS" vbProcedure="false">"c89"</definedName>
    <definedName function="false" hidden="true" name="IQ_INSURANCE_COMMISSION_FEES_FDIC" vbProcedure="false">"c6670"</definedName>
    <definedName function="false" hidden="true" name="IQ_INSURANCE_REINSURANCE_UNDERWRITING_INCOME_FFIEC" vbProcedure="false">"c13008"</definedName>
    <definedName function="false" hidden="true" name="IQ_INSURANCE_REV_OPERATING_INC_FFIEC" vbProcedure="false">"c13387"</definedName>
    <definedName function="false" hidden="true" name="IQ_INSURANCE_UNDERWRITING_INCOME_FDIC" vbProcedure="false">"c6671"</definedName>
    <definedName function="false" hidden="true" name="IQ_INSUR_RECEIV" vbProcedure="false">"c1600"</definedName>
    <definedName function="false" hidden="true" name="IQ_INS_ANNUITY_LIAB" vbProcedure="false">"c563"</definedName>
    <definedName function="false" hidden="true" name="IQ_INS_ANNUITY_REV" vbProcedure="false">"c2788"</definedName>
    <definedName function="false" hidden="true" name="IQ_INS_DIV_EXP" vbProcedure="false">"c564"</definedName>
    <definedName function="false" hidden="true" name="IQ_INS_DIV_REV" vbProcedure="false">"c565"</definedName>
    <definedName function="false" hidden="true" name="IQ_INS_IN_FORCE" vbProcedure="false">"c566"</definedName>
    <definedName function="false" hidden="true" name="IQ_INS_LIAB" vbProcedure="false">"c567"</definedName>
    <definedName function="false" hidden="true" name="IQ_INS_POLICY_EXP" vbProcedure="false">"c568"</definedName>
    <definedName function="false" hidden="true" name="IQ_INS_REV" vbProcedure="false">"c569"</definedName>
    <definedName function="false" hidden="true" name="IQ_INS_SETTLE" vbProcedure="false">"c570"</definedName>
    <definedName function="false" hidden="true" name="IQ_INS_SETTLE_BNK" vbProcedure="false">"c571"</definedName>
    <definedName function="false" hidden="true" name="IQ_INS_SETTLE_BR" vbProcedure="false">"c572"</definedName>
    <definedName function="false" hidden="true" name="IQ_INS_SETTLE_FIN" vbProcedure="false">"c573"</definedName>
    <definedName function="false" hidden="true" name="IQ_INS_SETTLE_INS" vbProcedure="false">"c574"</definedName>
    <definedName function="false" hidden="true" name="IQ_INS_SETTLE_RE" vbProcedure="false">"c6223"</definedName>
    <definedName function="false" hidden="true" name="IQ_INS_SETTLE_REIT" vbProcedure="false">"c575"</definedName>
    <definedName function="false" hidden="true" name="IQ_INS_SETTLE_SUPPLE" vbProcedure="false">"c13814"</definedName>
    <definedName function="false" hidden="true" name="IQ_INS_SETTLE_UTI" vbProcedure="false">"c576"</definedName>
    <definedName function="false" hidden="true" name="IQ_INTANGIBLES_NET" vbProcedure="false">"c1407"</definedName>
    <definedName function="false" hidden="true" name="IQ_INTERBANK_RATIO" vbProcedure="false">"c19134"</definedName>
    <definedName function="false" hidden="true" name="IQ_INTEREST_ACCRUED_ON_DEPOSITS_DOM_FFIEC" vbProcedure="false">"c15277"</definedName>
    <definedName function="false" hidden="true" name="IQ_INTEREST_BEARING_BALANCES_FDIC" vbProcedure="false">"c6371"</definedName>
    <definedName function="false" hidden="true" name="IQ_INTEREST_BEARING_BALANCES_QUARTERLY_AVG_FFIEC" vbProcedure="false">"c15467"</definedName>
    <definedName function="false" hidden="true" name="IQ_INTEREST_BEARING_CASH_FFIEC" vbProcedure="false">"c15259"</definedName>
    <definedName function="false" hidden="true" name="IQ_INTEREST_BEARING_CASH_FOREIGN_FFIEC" vbProcedure="false">"c12776"</definedName>
    <definedName function="false" hidden="true" name="IQ_INTEREST_BEARING_CASH_US_FFIEC" vbProcedure="false">"c12775"</definedName>
    <definedName function="false" hidden="true" name="IQ_INTEREST_BEARING_DEPOSITS_DOMESTIC_FDIC" vbProcedure="false">"c6478"</definedName>
    <definedName function="false" hidden="true" name="IQ_INTEREST_BEARING_DEPOSITS_FDIC" vbProcedure="false">"c6373"</definedName>
    <definedName function="false" hidden="true" name="IQ_INTEREST_BEARING_DEPOSITS_FOREIGN_FDIC" vbProcedure="false">"c6485"</definedName>
    <definedName function="false" hidden="true" name="IQ_INTEREST_BEARING_TRANS_DOM_QUARTERLY_AVG_FFIEC" vbProcedure="false">"c15484"</definedName>
    <definedName function="false" hidden="true" name="IQ_INTEREST_CASH_DEPOSITS" vbProcedure="false">"c2255"</definedName>
    <definedName function="false" hidden="true" name="IQ_INTEREST_EXP" vbProcedure="false">"c618"</definedName>
    <definedName function="false" hidden="true" name="IQ_INTEREST_EXP_NET" vbProcedure="false">"c1450"</definedName>
    <definedName function="false" hidden="true" name="IQ_INTEREST_EXP_NON" vbProcedure="false">"c1383"</definedName>
    <definedName function="false" hidden="true" name="IQ_INTEREST_EXP_SUPPL" vbProcedure="false">"c1460"</definedName>
    <definedName function="false" hidden="true" name="IQ_INTEREST_INC" vbProcedure="false">"c1393"</definedName>
    <definedName function="false" hidden="true" name="IQ_INTEREST_INC_10K" vbProcedure="false">"IQ_INTEREST_INC_10K"</definedName>
    <definedName function="false" hidden="true" name="IQ_INTEREST_INC_10Q" vbProcedure="false">"IQ_INTEREST_INC_10Q"</definedName>
    <definedName function="false" hidden="true" name="IQ_INTEREST_INC_10Q1" vbProcedure="false">"IQ_INTEREST_INC_10Q1"</definedName>
    <definedName function="false" hidden="true" name="IQ_INTEREST_INC_NON" vbProcedure="false">"c1384"</definedName>
    <definedName function="false" hidden="true" name="IQ_INTEREST_INVEST_INC" vbProcedure="false">"c619"</definedName>
    <definedName function="false" hidden="true" name="IQ_INTEREST_PENALTIES_RECOG_BS_AFTER_TAX" vbProcedure="false">"c15745"</definedName>
    <definedName function="false" hidden="true" name="IQ_INTEREST_PENALTIES_RECOG_BS_PRE_TAX" vbProcedure="false">"c15744"</definedName>
    <definedName function="false" hidden="true" name="IQ_INTEREST_PENALTIES_RECOG_IS_AFTER_TAX" vbProcedure="false">"c15743"</definedName>
    <definedName function="false" hidden="true" name="IQ_INTEREST_PENALTIES_RECOG_IS_PRE_TAX" vbProcedure="false">"c15742"</definedName>
    <definedName function="false" hidden="true" name="IQ_INTEREST_RATE_CONTRACTS_FDIC" vbProcedure="false">"c6512"</definedName>
    <definedName function="false" hidden="true" name="IQ_INTEREST_RATE_EXPOSURES_FDIC" vbProcedure="false">"c6662"</definedName>
    <definedName function="false" hidden="true" name="IQ_INTERNAL_ALLOCATIONS_INC_EXP_FOREIGN_FFIEC" vbProcedure="false">"c15394"</definedName>
    <definedName function="false" hidden="true" name="IQ_INT_BEARING_DEPOSITS" vbProcedure="false">"c1166"</definedName>
    <definedName function="false" hidden="true" name="IQ_INT_BEARING_FUNDS_AVG_ASSETS_FFIEC" vbProcedure="false">"c13355"</definedName>
    <definedName function="false" hidden="true" name="IQ_INT_BEARING_LIABILITIES_REPRICE_ASSETS_TOT_FFIEC" vbProcedure="false">"c13452"</definedName>
    <definedName function="false" hidden="true" name="IQ_INT_BORROW" vbProcedure="false">"c583"</definedName>
    <definedName function="false" hidden="true" name="IQ_INT_DEMAND_NOTES_FDIC" vbProcedure="false">"c6567"</definedName>
    <definedName function="false" hidden="true" name="IQ_INT_DEPOSITS" vbProcedure="false">"c584"</definedName>
    <definedName function="false" hidden="true" name="IQ_INT_DEPOSITS_DOM_FFIEC" vbProcedure="false">"c12852"</definedName>
    <definedName function="false" hidden="true" name="IQ_INT_DEPOSITS_DOM_QUARTERLY_AVG_FFIEC" vbProcedure="false">"c13088"</definedName>
    <definedName function="false" hidden="true" name="IQ_INT_DEPOSITS_FOREIGN_FFIEC" vbProcedure="false">"c12855"</definedName>
    <definedName function="false" hidden="true" name="IQ_INT_DEPOSITS_FOREIGN_QUARTERLY_AVG_FFIEC" vbProcedure="false">"c13089"</definedName>
    <definedName function="false" hidden="true" name="IQ_INT_DIV_INC" vbProcedure="false">"c585"</definedName>
    <definedName function="false" hidden="true" name="IQ_INT_DIV_INC_MBS_FFIEC" vbProcedure="false">"c12984"</definedName>
    <definedName function="false" hidden="true" name="IQ_INT_DIV_INC_SECURITIES_FFIEC" vbProcedure="false">"c12982"</definedName>
    <definedName function="false" hidden="true" name="IQ_INT_DIV_INC_SECURITIES_OTHER_FFIEC" vbProcedure="false">"c12985"</definedName>
    <definedName function="false" hidden="true" name="IQ_INT_DIV_INC_TREASURY_SECURITIES_FFIEC" vbProcedure="false">"c12983"</definedName>
    <definedName function="false" hidden="true" name="IQ_INT_DOMESTIC_DEPOSITS_FDIC" vbProcedure="false">"c6564"</definedName>
    <definedName function="false" hidden="true" name="IQ_INT_EXPENSE_AVG_ASSET" vbProcedure="false">"c15705"</definedName>
    <definedName function="false" hidden="true" name="IQ_INT_EXP_AVG_ASSETS_FFIEC" vbProcedure="false">"c13357"</definedName>
    <definedName function="false" hidden="true" name="IQ_INT_EXP_BR" vbProcedure="false">"c586"</definedName>
    <definedName function="false" hidden="true" name="IQ_INT_EXP_COVERAGE" vbProcedure="false">"c587"</definedName>
    <definedName function="false" hidden="true" name="IQ_INT_EXP_EARNING_ASSETS_FFIEC" vbProcedure="false">"c13376"</definedName>
    <definedName function="false" hidden="true" name="IQ_INT_EXP_FED_FUNDS_PURCHASED_FFIEC" vbProcedure="false">"c12996"</definedName>
    <definedName function="false" hidden="true" name="IQ_INT_EXP_FIN" vbProcedure="false">"c588"</definedName>
    <definedName function="false" hidden="true" name="IQ_INT_EXP_INCL_CAP" vbProcedure="false">"c2988"</definedName>
    <definedName function="false" hidden="true" name="IQ_INT_EXP_INS" vbProcedure="false">"c589"</definedName>
    <definedName function="false" hidden="true" name="IQ_INT_EXP_LTD" vbProcedure="false">"c2086"</definedName>
    <definedName function="false" hidden="true" name="IQ_INT_EXP_RE" vbProcedure="false">"c6224"</definedName>
    <definedName function="false" hidden="true" name="IQ_INT_EXP_REIT" vbProcedure="false">"c590"</definedName>
    <definedName function="false" hidden="true" name="IQ_INT_EXP_TOTAL" vbProcedure="false">"c591"</definedName>
    <definedName function="false" hidden="true" name="IQ_INT_EXP_TOTAL_BNK_SUBTOTAL_AP" vbProcedure="false">"c8977"</definedName>
    <definedName function="false" hidden="true" name="IQ_INT_EXP_TOTAL_FDIC" vbProcedure="false">"c6569"</definedName>
    <definedName function="false" hidden="true" name="IQ_INT_EXP_UTI" vbProcedure="false">"c592"</definedName>
    <definedName function="false" hidden="true" name="IQ_INT_FED_FUNDS_FDIC" vbProcedure="false">"c6566"</definedName>
    <definedName function="false" hidden="true" name="IQ_INT_FEE_INCOME_FFIEC" vbProcedure="false">"c12974"</definedName>
    <definedName function="false" hidden="true" name="IQ_INT_FEE_INC_ACCEPTANCE_OTHER_BANKS_DOM_FFIEC" vbProcedure="false">"c15357"</definedName>
    <definedName function="false" hidden="true" name="IQ_INT_FEE_INC_AGRICULTURE_LOANS_FARMERS_DOM_FFIEC" vbProcedure="false">"c15355"</definedName>
    <definedName function="false" hidden="true" name="IQ_INT_FEE_INC_COMM_IND_LOANS_DOM_FFIEC" vbProcedure="false">"c15356"</definedName>
    <definedName function="false" hidden="true" name="IQ_INT_FEE_INC_CREDIT_CARDS_DOM_FFIEC" vbProcedure="false">"c15358"</definedName>
    <definedName function="false" hidden="true" name="IQ_INT_FEE_INC_DEPOSITORY_LOANS_DOM_FFIEC" vbProcedure="false">"c15354"</definedName>
    <definedName function="false" hidden="true" name="IQ_INT_FEE_INC_FOREIGN_GOVT_LOANS_DOM_FFIEC" vbProcedure="false">"c15360"</definedName>
    <definedName function="false" hidden="true" name="IQ_INT_FEE_INC_INDIVIDUAL_LOANS_DOM_FFIEC" vbProcedure="false">"c15359"</definedName>
    <definedName function="false" hidden="true" name="IQ_INT_FEE_INC_LOANS_1_4_DOM_FFIEC" vbProcedure="false">"c12976"</definedName>
    <definedName function="false" hidden="true" name="IQ_INT_FEE_INC_LOANS_DOM_FFIEC" vbProcedure="false">"c13335"</definedName>
    <definedName function="false" hidden="true" name="IQ_INT_FEE_INC_LOANS_FOREIGN_FFIEC" vbProcedure="false">"c12979"</definedName>
    <definedName function="false" hidden="true" name="IQ_INT_FEE_INC_LOANS_OTHER_DOM_FFIEC" vbProcedure="false">"c12978"</definedName>
    <definedName function="false" hidden="true" name="IQ_INT_FEE_INC_RE_LOANS_DOM_FFIEC" vbProcedure="false">"c15353"</definedName>
    <definedName function="false" hidden="true" name="IQ_INT_FEE_INC_SECURED_RE_DOM_FFIEC" vbProcedure="false">"c12977"</definedName>
    <definedName function="false" hidden="true" name="IQ_INT_FEE_INC_TAXABLE_OBLIGATIONS_DOM_FFIEC" vbProcedure="false">"c15361"</definedName>
    <definedName function="false" hidden="true" name="IQ_INT_FEE_INC_TAX_EXEMPT_OBLIGATIONS_DOM_FFIEC" vbProcedure="false">"c15362"</definedName>
    <definedName function="false" hidden="true" name="IQ_INT_FOREIGN_DEPOSITS_FDIC" vbProcedure="false">"c6565"</definedName>
    <definedName function="false" hidden="true" name="IQ_INT_INCOME_AVG_ASSET" vbProcedure="false">"c15704"</definedName>
    <definedName function="false" hidden="true" name="IQ_INT_INCOME_FTE_AVG_ASSETS_FFIEC" vbProcedure="false">"c13856"</definedName>
    <definedName function="false" hidden="true" name="IQ_INT_INCOME_FTE_AVG_EARNING_ASSETS_FFIEC" vbProcedure="false">"c13857"</definedName>
    <definedName function="false" hidden="true" name="IQ_INT_INCOME_FTE_FFIEC" vbProcedure="false">"c13852"</definedName>
    <definedName function="false" hidden="true" name="IQ_INT_INC_AVG_ASSETS_FFIEC" vbProcedure="false">"c13356"</definedName>
    <definedName function="false" hidden="true" name="IQ_INT_INC_BR" vbProcedure="false">"c593"</definedName>
    <definedName function="false" hidden="true" name="IQ_INT_INC_DEPOSITORY_INST_FDIC" vbProcedure="false">"c6558"</definedName>
    <definedName function="false" hidden="true" name="IQ_INT_INC_DOM_LOANS_FDIC" vbProcedure="false">"c6555"</definedName>
    <definedName function="false" hidden="true" name="IQ_INT_INC_DUE_DEPOSITORY_INSTITUTIONS_FFIEC" vbProcedure="false">"c12981"</definedName>
    <definedName function="false" hidden="true" name="IQ_INT_INC_EARNING_ASSETS_FFIEC" vbProcedure="false">"c13375"</definedName>
    <definedName function="false" hidden="true" name="IQ_INT_INC_FED_FUNDS_FDIC" vbProcedure="false">"c6561"</definedName>
    <definedName function="false" hidden="true" name="IQ_INT_INC_FED_FUNDS_SOLD_FFIEC" vbProcedure="false">"c12987"</definedName>
    <definedName function="false" hidden="true" name="IQ_INT_INC_FIN" vbProcedure="false">"c594"</definedName>
    <definedName function="false" hidden="true" name="IQ_INT_INC_FOREIGN_LOANS_FDIC" vbProcedure="false">"c6556"</definedName>
    <definedName function="false" hidden="true" name="IQ_INT_INC_INVEST" vbProcedure="false">"c595"</definedName>
    <definedName function="false" hidden="true" name="IQ_INT_INC_LEASE_RECEIVABLES_FDIC" vbProcedure="false">"c6557"</definedName>
    <definedName function="false" hidden="true" name="IQ_INT_INC_LOANS" vbProcedure="false">"c596"</definedName>
    <definedName function="false" hidden="true" name="IQ_INT_INC_OTHER_FDIC" vbProcedure="false">"c6562"</definedName>
    <definedName function="false" hidden="true" name="IQ_INT_INC_RE" vbProcedure="false">"c6225"</definedName>
    <definedName function="false" hidden="true" name="IQ_INT_INC_REIT" vbProcedure="false">"c597"</definedName>
    <definedName function="false" hidden="true" name="IQ_INT_INC_SECURITIES_FDIC" vbProcedure="false">"c6559"</definedName>
    <definedName function="false" hidden="true" name="IQ_INT_INC_TE_AVG_ASSETS_FFIEC" vbProcedure="false">"c13358"</definedName>
    <definedName function="false" hidden="true" name="IQ_INT_INC_TE_EARNING_ASSETS_FFIEC" vbProcedure="false">"c13377"</definedName>
    <definedName function="false" hidden="true" name="IQ_INT_INC_TOTAL" vbProcedure="false">"c598"</definedName>
    <definedName function="false" hidden="true" name="IQ_INT_INC_TOTAL_BNK_SUBTOTAL_AP" vbProcedure="false">"c8976"</definedName>
    <definedName function="false" hidden="true" name="IQ_INT_INC_TOTAL_FDIC" vbProcedure="false">"c6563"</definedName>
    <definedName function="false" hidden="true" name="IQ_INT_INC_TRADING_ACCOUNTS_FDIC" vbProcedure="false">"c6560"</definedName>
    <definedName function="false" hidden="true" name="IQ_INT_INC_TRADING_ASSETS_FFIEC" vbProcedure="false">"c12986"</definedName>
    <definedName function="false" hidden="true" name="IQ_INT_INC_UTI" vbProcedure="false">"c599"</definedName>
    <definedName function="false" hidden="true" name="IQ_INT_INV_INC" vbProcedure="false">"c600"</definedName>
    <definedName function="false" hidden="true" name="IQ_INT_INV_INC_RE" vbProcedure="false">"c6226"</definedName>
    <definedName function="false" hidden="true" name="IQ_INT_INV_INC_REIT" vbProcedure="false">"c601"</definedName>
    <definedName function="false" hidden="true" name="IQ_INT_INV_INC_UTI" vbProcedure="false">"c602"</definedName>
    <definedName function="false" hidden="true" name="IQ_INT_ON_BORROWING_COVERAGE" vbProcedure="false">"c603"</definedName>
    <definedName function="false" hidden="true" name="IQ_INT_ON_DEPOSITS_DOM_FFIEC" vbProcedure="false">"c12991"</definedName>
    <definedName function="false" hidden="true" name="IQ_INT_ON_DEPOSITS_FFIEC" vbProcedure="false">"c12990"</definedName>
    <definedName function="false" hidden="true" name="IQ_INT_ON_DEPOSITS_FOREIGN_FFIEC" vbProcedure="false">"c12995"</definedName>
    <definedName function="false" hidden="true" name="IQ_INT_RATE_EXPOSURE_FFIEC" vbProcedure="false">"c13058"</definedName>
    <definedName function="false" hidden="true" name="IQ_INT_RATE_SPREAD" vbProcedure="false">"c604"</definedName>
    <definedName function="false" hidden="true" name="IQ_INT_SAVINGS_DEPOSITS_MMDA_DOM_FFIEC" vbProcedure="false">"c15364"</definedName>
    <definedName function="false" hidden="true" name="IQ_INT_SUB_NOTES_FDIC" vbProcedure="false">"c6568"</definedName>
    <definedName function="false" hidden="true" name="IQ_INT_SUB_NOTES_FFIEC" vbProcedure="false">"c12998"</definedName>
    <definedName function="false" hidden="true" name="IQ_INT_TIME_DEPOSITS_LESS_THAN_100K_DOM_FFIEC" vbProcedure="false">"c12993"</definedName>
    <definedName function="false" hidden="true" name="IQ_INT_TIME_DEPOSITS_MORE_THAN_100K_DOM_FFIEC" vbProcedure="false">"c12992"</definedName>
    <definedName function="false" hidden="true" name="IQ_INT_TRADING_LIABILITIES_FFIEC" vbProcedure="false">"c12997"</definedName>
    <definedName function="false" hidden="true" name="IQ_INT_TRANSACTION_ACCOUNTS_DOM_FFIEC" vbProcedure="false">"c15363"</definedName>
    <definedName function="false" hidden="true" name="IQ_INVENTORIES" vbProcedure="false">"c6901"</definedName>
    <definedName function="false" hidden="true" name="IQ_INVENTORIES_APR" vbProcedure="false">"c7561"</definedName>
    <definedName function="false" hidden="true" name="IQ_INVENTORIES_APR_FC" vbProcedure="false">"c8441"</definedName>
    <definedName function="false" hidden="true" name="IQ_INVENTORIES_FC" vbProcedure="false">"c7781"</definedName>
    <definedName function="false" hidden="true" name="IQ_INVENTORIES_POP" vbProcedure="false">"c7121"</definedName>
    <definedName function="false" hidden="true" name="IQ_INVENTORIES_POP_FC" vbProcedure="false">"c8001"</definedName>
    <definedName function="false" hidden="true" name="IQ_INVENTORIES_YOY" vbProcedure="false">"c7341"</definedName>
    <definedName function="false" hidden="true" name="IQ_INVENTORIES_YOY_FC" vbProcedure="false">"c8221"</definedName>
    <definedName function="false" hidden="true" name="IQ_INVENTORY" vbProcedure="false">"c622"</definedName>
    <definedName function="false" hidden="true" name="IQ_INVENTORY_TURNS" vbProcedure="false">"c623"</definedName>
    <definedName function="false" hidden="true" name="IQ_INVENTORY_UTI" vbProcedure="false">"c624"</definedName>
    <definedName function="false" hidden="true" name="IQ_INVESTMENTS_ALL" vbProcedure="false">"c18891"</definedName>
    <definedName function="false" hidden="true" name="IQ_INVESTMENTS_ALL_COVER" vbProcedure="false">"c19112"</definedName>
    <definedName function="false" hidden="true" name="IQ_INVESTMENTS_ALL_ID" vbProcedure="false">"c18892"</definedName>
    <definedName function="false" hidden="true" name="IQ_INVESTMENTS_ALL_REL" vbProcedure="false">"c18894"</definedName>
    <definedName function="false" hidden="true" name="IQ_INVESTMENTS_ALL_STAKE" vbProcedure="false">"c18893"</definedName>
    <definedName function="false" hidden="true" name="IQ_INVESTMENTS_CURR" vbProcedure="false">"c18881"</definedName>
    <definedName function="false" hidden="true" name="IQ_INVESTMENTS_CURR_COVER" vbProcedure="false">"c19110"</definedName>
    <definedName function="false" hidden="true" name="IQ_INVESTMENTS_CURR_ID" vbProcedure="false">"c18882"</definedName>
    <definedName function="false" hidden="true" name="IQ_INVESTMENTS_CURR_REL" vbProcedure="false">"c18884"</definedName>
    <definedName function="false" hidden="true" name="IQ_INVESTMENTS_CURR_STAKE" vbProcedure="false">"c18883"</definedName>
    <definedName function="false" hidden="true" name="IQ_INVESTMENTS_LP" vbProcedure="false">"c18912"</definedName>
    <definedName function="false" hidden="true" name="IQ_INVESTMENTS_LP_ID" vbProcedure="false">"c18913"</definedName>
    <definedName function="false" hidden="true" name="IQ_INVESTMENTS_LP_REL" vbProcedure="false">"c18914"</definedName>
    <definedName function="false" hidden="true" name="IQ_INVESTMENTS_PENDING" vbProcedure="false">"c18887"</definedName>
    <definedName function="false" hidden="true" name="IQ_INVESTMENTS_PENDING_COVER" vbProcedure="false">"c19111"</definedName>
    <definedName function="false" hidden="true" name="IQ_INVESTMENTS_PENDING_ID" vbProcedure="false">"c18888"</definedName>
    <definedName function="false" hidden="true" name="IQ_INVESTMENTS_PENDING_REL" vbProcedure="false">"c18890"</definedName>
    <definedName function="false" hidden="true" name="IQ_INVESTMENTS_PENDING_STAKE" vbProcedure="false">"c18889"</definedName>
    <definedName function="false" hidden="true" name="IQ_INVESTMENTS_PRIOR" vbProcedure="false">"c18895"</definedName>
    <definedName function="false" hidden="true" name="IQ_INVESTMENTS_PRIOR_ID" vbProcedure="false">"c18896"</definedName>
    <definedName function="false" hidden="true" name="IQ_INVESTMENT_BANKING_BROKERAGE_FEES_FFIEC" vbProcedure="false">"c13627"</definedName>
    <definedName function="false" hidden="true" name="IQ_INVESTMENT_BANKING_FEES_COMMISSIONS_FFIEC" vbProcedure="false">"c13006"</definedName>
    <definedName function="false" hidden="true" name="IQ_INVESTMENT_BANKING_OTHER_FEES_FDIC" vbProcedure="false">"c6666"</definedName>
    <definedName function="false" hidden="true" name="IQ_INVESTMENT_PARTNERSHIP" vbProcedure="false">"c16072"</definedName>
    <definedName function="false" hidden="true" name="IQ_INVEST_CRITERIA_EBITDA_MAX" vbProcedure="false">"c18907"</definedName>
    <definedName function="false" hidden="true" name="IQ_INVEST_CRITERIA_EBITDA_MIN" vbProcedure="false">"c18906"</definedName>
    <definedName function="false" hidden="true" name="IQ_INVEST_CRITERIA_EQUITY_MAX" vbProcedure="false">"c18901"</definedName>
    <definedName function="false" hidden="true" name="IQ_INVEST_CRITERIA_EQUITY_MIN" vbProcedure="false">"c18900"</definedName>
    <definedName function="false" hidden="true" name="IQ_INVEST_CRITERIA_EV_MAX" vbProcedure="false">"c18903"</definedName>
    <definedName function="false" hidden="true" name="IQ_INVEST_CRITERIA_EV_MIN" vbProcedure="false">"c18902"</definedName>
    <definedName function="false" hidden="true" name="IQ_INVEST_CRITERIA_GEOGRAPHY" vbProcedure="false">"c18898"</definedName>
    <definedName function="false" hidden="true" name="IQ_INVEST_CRITERIA_INDUSTRY" vbProcedure="false">"c18897"</definedName>
    <definedName function="false" hidden="true" name="IQ_INVEST_CRITERIA_STAGES" vbProcedure="false">"c18899"</definedName>
    <definedName function="false" hidden="true" name="IQ_INVEST_CRITERIA_TOT_REV_MAX" vbProcedure="false">"c18905"</definedName>
    <definedName function="false" hidden="true" name="IQ_INVEST_CRITERIA_TOT_REV_MIN" vbProcedure="false">"c18904"</definedName>
    <definedName function="false" hidden="true" name="IQ_INVEST_DEBT" vbProcedure="false">"c625"</definedName>
    <definedName function="false" hidden="true" name="IQ_INVEST_EQUITY_PREF" vbProcedure="false">"c626"</definedName>
    <definedName function="false" hidden="true" name="IQ_INVEST_FHLB" vbProcedure="false">"c627"</definedName>
    <definedName function="false" hidden="true" name="IQ_INVEST_GOV_SECURITY" vbProcedure="false">"c5510"</definedName>
    <definedName function="false" hidden="true" name="IQ_INVEST_LOANS_CF" vbProcedure="false">"c628"</definedName>
    <definedName function="false" hidden="true" name="IQ_INVEST_LOANS_CF_BNK" vbProcedure="false">"c629"</definedName>
    <definedName function="false" hidden="true" name="IQ_INVEST_LOANS_CF_BR" vbProcedure="false">"c630"</definedName>
    <definedName function="false" hidden="true" name="IQ_INVEST_LOANS_CF_FIN" vbProcedure="false">"c631"</definedName>
    <definedName function="false" hidden="true" name="IQ_INVEST_LOANS_CF_INS" vbProcedure="false">"c632"</definedName>
    <definedName function="false" hidden="true" name="IQ_INVEST_LOANS_CF_RE" vbProcedure="false">"c6227"</definedName>
    <definedName function="false" hidden="true" name="IQ_INVEST_LOANS_CF_REIT" vbProcedure="false">"c633"</definedName>
    <definedName function="false" hidden="true" name="IQ_INVEST_LOANS_CF_UTI" vbProcedure="false">"c634"</definedName>
    <definedName function="false" hidden="true" name="IQ_INVEST_MUNI_SECURITY" vbProcedure="false">"c5512"</definedName>
    <definedName function="false" hidden="true" name="IQ_INVEST_REAL_ESTATE" vbProcedure="false">"c635"</definedName>
    <definedName function="false" hidden="true" name="IQ_INVEST_SECURITIES_ASSETS_TOT_FFIEC" vbProcedure="false">"c13440"</definedName>
    <definedName function="false" hidden="true" name="IQ_INVEST_SECURITY" vbProcedure="false">"c636"</definedName>
    <definedName function="false" hidden="true" name="IQ_INVEST_SECURITY_CF" vbProcedure="false">"c637"</definedName>
    <definedName function="false" hidden="true" name="IQ_INVEST_SECURITY_CF_BNK" vbProcedure="false">"c638"</definedName>
    <definedName function="false" hidden="true" name="IQ_INVEST_SECURITY_CF_BR" vbProcedure="false">"c639"</definedName>
    <definedName function="false" hidden="true" name="IQ_INVEST_SECURITY_CF_FIN" vbProcedure="false">"c640"</definedName>
    <definedName function="false" hidden="true" name="IQ_INVEST_SECURITY_CF_INS" vbProcedure="false">"c641"</definedName>
    <definedName function="false" hidden="true" name="IQ_INVEST_SECURITY_CF_RE" vbProcedure="false">"c6228"</definedName>
    <definedName function="false" hidden="true" name="IQ_INVEST_SECURITY_CF_REIT" vbProcedure="false">"c642"</definedName>
    <definedName function="false" hidden="true" name="IQ_INVEST_SECURITY_CF_UTI" vbProcedure="false">"c643"</definedName>
    <definedName function="false" hidden="true" name="IQ_INVEST_SECURITY_SUPPL" vbProcedure="false">"c5511"</definedName>
    <definedName function="false" hidden="true" name="IQ_INVEST_UNCONSOLIDATED_SUBS_FFIEC" vbProcedure="false">"c12834"</definedName>
    <definedName function="false" hidden="true" name="IQ_INV_10YR_ANN_CAGR" vbProcedure="false">"c6164"</definedName>
    <definedName function="false" hidden="true" name="IQ_INV_10YR_ANN_GROWTH" vbProcedure="false">"c1930"</definedName>
    <definedName function="false" hidden="true" name="IQ_INV_1YR_ANN_GROWTH" vbProcedure="false">"c1925"</definedName>
    <definedName function="false" hidden="true" name="IQ_INV_2YR_ANN_CAGR" vbProcedure="false">"c6160"</definedName>
    <definedName function="false" hidden="true" name="IQ_INV_2YR_ANN_GROWTH" vbProcedure="false">"c1926"</definedName>
    <definedName function="false" hidden="true" name="IQ_INV_3YR_ANN_CAGR" vbProcedure="false">"c6161"</definedName>
    <definedName function="false" hidden="true" name="IQ_INV_3YR_ANN_GROWTH" vbProcedure="false">"c1927"</definedName>
    <definedName function="false" hidden="true" name="IQ_INV_5YR_ANN_CAGR" vbProcedure="false">"c6162"</definedName>
    <definedName function="false" hidden="true" name="IQ_INV_5YR_ANN_GROWTH" vbProcedure="false">"c1928"</definedName>
    <definedName function="false" hidden="true" name="IQ_INV_7YR_ANN_CAGR" vbProcedure="false">"c6163"</definedName>
    <definedName function="false" hidden="true" name="IQ_INV_7YR_ANN_GROWTH" vbProcedure="false">"c1929"</definedName>
    <definedName function="false" hidden="true" name="IQ_INV_BANKING_FEE" vbProcedure="false">"c620"</definedName>
    <definedName function="false" hidden="true" name="IQ_INV_METHOD" vbProcedure="false">"c621"</definedName>
    <definedName function="false" hidden="true" name="IQ_INV_REL_ID" vbProcedure="false">"c15220"</definedName>
    <definedName function="false" hidden="true" name="IQ_INV_REL_NAME" vbProcedure="false">"c15219"</definedName>
    <definedName function="false" hidden="true" name="IQ_IPRD" vbProcedure="false">"c644"</definedName>
    <definedName function="false" hidden="true" name="IQ_IPRD_SUPPLE" vbProcedure="false">"c13813"</definedName>
    <definedName function="false" hidden="true" name="IQ_IRA_KEOGH_ACCOUNTS_FDIC" vbProcedure="false">"c6496"</definedName>
    <definedName function="false" hidden="true" name="IQ_ISIN" vbProcedure="false">"c12041"</definedName>
    <definedName function="false" hidden="true" name="IQ_ISM_INDEX" vbProcedure="false">"c6902"</definedName>
    <definedName function="false" hidden="true" name="IQ_ISM_INDEX_APR" vbProcedure="false">"c7562"</definedName>
    <definedName function="false" hidden="true" name="IQ_ISM_INDEX_APR_FC" vbProcedure="false">"c8442"</definedName>
    <definedName function="false" hidden="true" name="IQ_ISM_INDEX_FC" vbProcedure="false">"c7782"</definedName>
    <definedName function="false" hidden="true" name="IQ_ISM_INDEX_POP" vbProcedure="false">"c7122"</definedName>
    <definedName function="false" hidden="true" name="IQ_ISM_INDEX_POP_FC" vbProcedure="false">"c8002"</definedName>
    <definedName function="false" hidden="true" name="IQ_ISM_INDEX_YOY" vbProcedure="false">"c7342"</definedName>
    <definedName function="false" hidden="true" name="IQ_ISM_INDEX_YOY_FC" vbProcedure="false">"c8222"</definedName>
    <definedName function="false" hidden="true" name="IQ_ISM_SERVICES_APR_FC_UNUSED" vbProcedure="false">"c8443"</definedName>
    <definedName function="false" hidden="true" name="IQ_ISM_SERVICES_APR_UNUSED" vbProcedure="false">"c7563"</definedName>
    <definedName function="false" hidden="true" name="IQ_ISM_SERVICES_FC_UNUSED" vbProcedure="false">"c7783"</definedName>
    <definedName function="false" hidden="true" name="IQ_ISM_SERVICES_INDEX" vbProcedure="false">"c11862"</definedName>
    <definedName function="false" hidden="true" name="IQ_ISM_SERVICES_INDEX_APR" vbProcedure="false">"c11865"</definedName>
    <definedName function="false" hidden="true" name="IQ_ISM_SERVICES_INDEX_POP" vbProcedure="false">"c11863"</definedName>
    <definedName function="false" hidden="true" name="IQ_ISM_SERVICES_INDEX_YOY" vbProcedure="false">"c11864"</definedName>
    <definedName function="false" hidden="true" name="IQ_ISM_SERVICES_POP_FC_UNUSED" vbProcedure="false">"c8003"</definedName>
    <definedName function="false" hidden="true" name="IQ_ISM_SERVICES_POP_UNUSED" vbProcedure="false">"c7123"</definedName>
    <definedName function="false" hidden="true" name="IQ_ISM_SERVICES_UNUSED" vbProcedure="false">"c6903"</definedName>
    <definedName function="false" hidden="true" name="IQ_ISM_SERVICES_YOY_FC_UNUSED" vbProcedure="false">"c8223"</definedName>
    <definedName function="false" hidden="true" name="IQ_ISM_SERVICES_YOY_UNUSED" vbProcedure="false">"c7343"</definedName>
    <definedName function="false" hidden="true" name="IQ_ISSUED_GUARANTEED_US_FDIC" vbProcedure="false">"c6404"</definedName>
    <definedName function="false" hidden="true" name="IQ_ISSUER" vbProcedure="false">"c2143"</definedName>
    <definedName function="false" hidden="true" name="IQ_ISSUER_CIQID" vbProcedure="false">"c2258"</definedName>
    <definedName function="false" hidden="true" name="IQ_ISSUER_PARENT" vbProcedure="false">"c2144"</definedName>
    <definedName function="false" hidden="true" name="IQ_ISSUER_PARENT_CIQID" vbProcedure="false">"c2260"</definedName>
    <definedName function="false" hidden="true" name="IQ_ISSUER_PARENT_TICKER" vbProcedure="false">"c2259"</definedName>
    <definedName function="false" hidden="true" name="IQ_ISSUER_TICKER" vbProcedure="false">"c2252"</definedName>
    <definedName function="false" hidden="true" name="IQ_ISSUE_CURRENCY" vbProcedure="false">"c2156"</definedName>
    <definedName function="false" hidden="true" name="IQ_ISSUE_NAME" vbProcedure="false">"c2142"</definedName>
    <definedName function="false" hidden="true" name="IQ_ISS_DEBT_NET" vbProcedure="false">"c1391"</definedName>
    <definedName function="false" hidden="true" name="IQ_ISS_STOCK_NET" vbProcedure="false">"c1601"</definedName>
    <definedName function="false" hidden="true" name="IQ_JR_SUB_DEBT" vbProcedure="false">"c2534"</definedName>
    <definedName function="false" hidden="true" name="IQ_JR_SUB_DEBT_EBITDA" vbProcedure="false">"c2560"</definedName>
    <definedName function="false" hidden="true" name="IQ_JR_SUB_DEBT_EBITDA_CAPEX" vbProcedure="false">"c2561"</definedName>
    <definedName function="false" hidden="true" name="IQ_JR_SUB_DEBT_PCT" vbProcedure="false">"c2535"</definedName>
    <definedName function="false" hidden="true" name="IQ_KEY_DEV_COMPANY_ID" vbProcedure="false">"c13830"</definedName>
    <definedName function="false" hidden="true" name="IQ_KEY_DEV_COMPANY_NAME" vbProcedure="false">"c13829"</definedName>
    <definedName function="false" hidden="true" name="IQ_KEY_DEV_DATE" vbProcedure="false">"c13763"</definedName>
    <definedName function="false" hidden="true" name="IQ_KEY_DEV_HEADLINE" vbProcedure="false">"c13761"</definedName>
    <definedName function="false" hidden="true" name="IQ_KEY_DEV_ID" vbProcedure="false">"c13760"</definedName>
    <definedName function="false" hidden="true" name="IQ_KEY_DEV_ID_INCL_SUBS" vbProcedure="false">"c13832"</definedName>
    <definedName function="false" hidden="true" name="IQ_KEY_DEV_SITUATION" vbProcedure="false">"c13762"</definedName>
    <definedName function="false" hidden="true" name="IQ_KEY_DEV_SOURCE" vbProcedure="false">"c13765"</definedName>
    <definedName function="false" hidden="true" name="IQ_KEY_DEV_TIME" vbProcedure="false">"c13833"</definedName>
    <definedName function="false" hidden="true" name="IQ_KEY_DEV_TRANSACTION_ID" vbProcedure="false">"c13766"</definedName>
    <definedName function="false" hidden="true" name="IQ_KEY_DEV_TYPE" vbProcedure="false">"c13764"</definedName>
    <definedName function="false" hidden="true" name="IQ_LAND" vbProcedure="false">"c645"</definedName>
    <definedName function="false" hidden="true" name="IQ_LANDS_MINERAL_RIGHTS_GROSS_COAL" vbProcedure="false">"c15938"</definedName>
    <definedName function="false" hidden="true" name="IQ_LANDS_MINERAL_RIGHTS_NET_COAL" vbProcedure="false">"c15939"</definedName>
    <definedName function="false" hidden="true" name="IQ_LAND_MINERAL_RIGHTS_TO_PPE_GROSS_COAL" vbProcedure="false">"c15949"</definedName>
    <definedName function="false" hidden="true" name="IQ_LAND_MINERAL_RIGHTS_TO_PPE_NET_COAL" vbProcedure="false">"c15950"</definedName>
    <definedName function="false" hidden="true" name="IQ_LAPSE_STATUTE_LIMITATIONS" vbProcedure="false">"c15738"</definedName>
    <definedName function="false" hidden="true" name="IQ_LARGE_CAP_LABOR_COST_INDEX" vbProcedure="false">"c6904"</definedName>
    <definedName function="false" hidden="true" name="IQ_LARGE_CAP_LABOR_COST_INDEX_APR" vbProcedure="false">"c7564"</definedName>
    <definedName function="false" hidden="true" name="IQ_LARGE_CAP_LABOR_COST_INDEX_APR_FC" vbProcedure="false">"c8444"</definedName>
    <definedName function="false" hidden="true" name="IQ_LARGE_CAP_LABOR_COST_INDEX_FC" vbProcedure="false">"c7784"</definedName>
    <definedName function="false" hidden="true" name="IQ_LARGE_CAP_LABOR_COST_INDEX_POP" vbProcedure="false">"c7124"</definedName>
    <definedName function="false" hidden="true" name="IQ_LARGE_CAP_LABOR_COST_INDEX_POP_FC" vbProcedure="false">"c8004"</definedName>
    <definedName function="false" hidden="true" name="IQ_LARGE_CAP_LABOR_COST_INDEX_YOY" vbProcedure="false">"c7344"</definedName>
    <definedName function="false" hidden="true" name="IQ_LARGE_CAP_LABOR_COST_INDEX_YOY_FC" vbProcedure="false">"c8224"</definedName>
    <definedName function="false" hidden="true" name="IQ_LASTPRICINGDATE" vbProcedure="false">"c3051"</definedName>
    <definedName function="false" hidden="true" name="IQ_LASTSALEPRICE" vbProcedure="false">"c646"</definedName>
    <definedName function="false" hidden="true" name="IQ_LASTSALEPRICE_DATE" vbProcedure="false">"c2109"</definedName>
    <definedName function="false" hidden="true" name="IQ_LAST_EBITDA_MARGIN" vbProcedure="false">"IQ_LAST_EBITDA_MARGIN"</definedName>
    <definedName function="false" hidden="true" name="IQ_LAST_EBIT_MARGIN" vbProcedure="false">"IQ_LAST_EBIT_MARGIN"</definedName>
    <definedName function="false" hidden="true" name="IQ_LAST_GROSS_MARGIN" vbProcedure="false">"IQ_LAST_GROSS_MARGIN"</definedName>
    <definedName function="false" hidden="true" name="IQ_LAST_NET_INC_MARGIN" vbProcedure="false">"IQ_LAST_NET_INC_MARGIN"</definedName>
    <definedName function="false" hidden="true" name="IQ_LAST_PMT_DATE" vbProcedure="false">"c2188"</definedName>
    <definedName function="false" hidden="true" name="IQ_LAST_SPLIT_DATE" vbProcedure="false">"c2095"</definedName>
    <definedName function="false" hidden="true" name="IQ_LAST_SPLIT_FACTOR" vbProcedure="false">"c2093"</definedName>
    <definedName function="false" hidden="true" name="IQ_LATEST" vbProcedure="false">"1"</definedName>
    <definedName function="false" hidden="true" name="IQ_LATESTK" vbProcedure="false">1000</definedName>
    <definedName function="false" hidden="true" name="IQ_LATESTKFR" vbProcedure="false">"100"</definedName>
    <definedName function="false" hidden="true" name="IQ_LATESTQ" vbProcedure="false">500</definedName>
    <definedName function="false" hidden="true" name="IQ_LATESTQFR" vbProcedure="false">"50"</definedName>
    <definedName function="false" hidden="true" name="IQ_LATEST_MONTHLY_FACTOR" vbProcedure="false">"c8971"</definedName>
    <definedName function="false" hidden="true" name="IQ_LATEST_MONTHLY_FACTOR_DATE" vbProcedure="false">"c8972"</definedName>
    <definedName function="false" hidden="true" name="IQ_LATEST_TRANSACTION" vbProcedure="false">"c18886"</definedName>
    <definedName function="false" hidden="true" name="IQ_LEAD_UNDERWRITER" vbProcedure="false">"c8957"</definedName>
    <definedName function="false" hidden="true" name="IQ_LEASED_RESERVES_COAL" vbProcedure="false">"c15918"</definedName>
    <definedName function="false" hidden="true" name="IQ_LEASED_RESERVES_TO_TOTAL_RESERVES_COAL" vbProcedure="false">"c15958"</definedName>
    <definedName function="false" hidden="true" name="IQ_LEASES_INDIVIDUALS_CHARGE_OFFS_FFIEC" vbProcedure="false">"c13184"</definedName>
    <definedName function="false" hidden="true" name="IQ_LEASES_INDIVIDUALS_RECOV_FFIEC" vbProcedure="false">"c13206"</definedName>
    <definedName function="false" hidden="true" name="IQ_LEASES_PERSONAL_EXP_DUE_30_89_FFIEC" vbProcedure="false">"c13277"</definedName>
    <definedName function="false" hidden="true" name="IQ_LEASES_PERSONAL_EXP_DUE_90_FFIEC" vbProcedure="false">"c13303"</definedName>
    <definedName function="false" hidden="true" name="IQ_LEASES_PERSONAL_EXP_NON_ACCRUAL_FFIEC" vbProcedure="false">"c13329"</definedName>
    <definedName function="false" hidden="true" name="IQ_LEASE_EXPENSE" vbProcedure="false">"c16039"</definedName>
    <definedName function="false" hidden="true" name="IQ_LEASE_FINANCE" vbProcedure="false">"c5654"</definedName>
    <definedName function="false" hidden="true" name="IQ_LEASE_FINANCING_RECEIVABLES_CHARGE_OFFS_FDIC" vbProcedure="false">"c6602"</definedName>
    <definedName function="false" hidden="true" name="IQ_LEASE_FINANCING_RECEIVABLES_DOM_FFIEC" vbProcedure="false">"c12915"</definedName>
    <definedName function="false" hidden="true" name="IQ_LEASE_FINANCING_RECEIVABLES_FDIC" vbProcedure="false">"c6433"</definedName>
    <definedName function="false" hidden="true" name="IQ_LEASE_FINANCING_RECEIVABLES_NET_CHARGE_OFFS_FDIC" vbProcedure="false">"c6640"</definedName>
    <definedName function="false" hidden="true" name="IQ_LEASE_FINANCING_RECEIVABLES_QUARTERLY_AVG_FFIEC" vbProcedure="false">"c15483"</definedName>
    <definedName function="false" hidden="true" name="IQ_LEASE_FINANCING_RECEIVABLES_RECOVERIES_FDIC" vbProcedure="false">"c6621"</definedName>
    <definedName function="false" hidden="true" name="IQ_LEASE_FINANCING_RECEIVABLES_TOTAL_LOANS_FOREIGN_FDIC" vbProcedure="false">"c6449"</definedName>
    <definedName function="false" hidden="true" name="IQ_LEASE_FINANCING_REC_DUE_30_89_FFIEC" vbProcedure="false">"c13276"</definedName>
    <definedName function="false" hidden="true" name="IQ_LEASE_FINANCING_REC_DUE_90_FFIEC" vbProcedure="false">"c13302"</definedName>
    <definedName function="false" hidden="true" name="IQ_LEASE_FINANCING_REC_NON_ACCRUAL_FFIEC" vbProcedure="false">"c13328"</definedName>
    <definedName function="false" hidden="true" name="IQ_LEASE_FIN_RECEIVABLES_NON_US_CHARGE_OFFS_FFIEC" vbProcedure="false">"c13631"</definedName>
    <definedName function="false" hidden="true" name="IQ_LEASE_FIN_RECEIVABLES_NON_US_RECOV_FFIEC" vbProcedure="false">"c13635"</definedName>
    <definedName function="false" hidden="true" name="IQ_LEASE_FIN_RECEIVABLES_US_CHARGE_OFFS_FFIEC" vbProcedure="false">"c13630"</definedName>
    <definedName function="false" hidden="true" name="IQ_LEASE_FIN_RECEIVABLES_US_RECOV_FFIEC" vbProcedure="false">"c13634"</definedName>
    <definedName function="false" hidden="true" name="IQ_LEASE_PMT_REC_AFTER_FIVE" vbProcedure="false">"c16099"</definedName>
    <definedName function="false" hidden="true" name="IQ_LEASE_PMT_REC_CY" vbProcedure="false">"c16093"</definedName>
    <definedName function="false" hidden="true" name="IQ_LEASE_PMT_REC_CY1" vbProcedure="false">"c16094"</definedName>
    <definedName function="false" hidden="true" name="IQ_LEASE_PMT_REC_CY2" vbProcedure="false">"c16095"</definedName>
    <definedName function="false" hidden="true" name="IQ_LEASE_PMT_REC_CY3" vbProcedure="false">"c16096"</definedName>
    <definedName function="false" hidden="true" name="IQ_LEASE_PMT_REC_CY4" vbProcedure="false">"c16097"</definedName>
    <definedName function="false" hidden="true" name="IQ_LEASE_PMT_REC_NEXT_FIVE" vbProcedure="false">"c16098"</definedName>
    <definedName function="false" hidden="true" name="IQ_LEASE_PMT_REC_TOTAL" vbProcedure="false">"c16100"</definedName>
    <definedName function="false" hidden="true" name="IQ_LEASE_RECEIVABLES_FOREIGN_FFIEC" vbProcedure="false">"c13483"</definedName>
    <definedName function="false" hidden="true" name="IQ_LEASE_REVENUE" vbProcedure="false">"c16023"</definedName>
    <definedName function="false" hidden="true" name="IQ_LEASE_TERMINATION_FEES" vbProcedure="false">"c16182"</definedName>
    <definedName function="false" hidden="true" name="IQ_LEGAL_FEES_FFIEC" vbProcedure="false">"c13052"</definedName>
    <definedName function="false" hidden="true" name="IQ_LEGAL_SETTLE" vbProcedure="false">"c647"</definedName>
    <definedName function="false" hidden="true" name="IQ_LEGAL_SETTLE_BNK" vbProcedure="false">"c648"</definedName>
    <definedName function="false" hidden="true" name="IQ_LEGAL_SETTLE_BR" vbProcedure="false">"c649"</definedName>
    <definedName function="false" hidden="true" name="IQ_LEGAL_SETTLE_FIN" vbProcedure="false">"c650"</definedName>
    <definedName function="false" hidden="true" name="IQ_LEGAL_SETTLE_INS" vbProcedure="false">"c651"</definedName>
    <definedName function="false" hidden="true" name="IQ_LEGAL_SETTLE_RE" vbProcedure="false">"c6229"</definedName>
    <definedName function="false" hidden="true" name="IQ_LEGAL_SETTLE_REIT" vbProcedure="false">"c652"</definedName>
    <definedName function="false" hidden="true" name="IQ_LEGAL_SETTLE_SUPPLE" vbProcedure="false">"c13815"</definedName>
    <definedName function="false" hidden="true" name="IQ_LEGAL_SETTLE_UTI" vbProcedure="false">"c653"</definedName>
    <definedName function="false" hidden="true" name="IQ_LEVERAGE_RATIO" vbProcedure="false">"c654"</definedName>
    <definedName function="false" hidden="true" name="IQ_LEVERED_FCF" vbProcedure="false">"c1907"</definedName>
    <definedName function="false" hidden="true" name="IQ_LFCF_10YR_ANN_CAGR" vbProcedure="false">"c6174"</definedName>
    <definedName function="false" hidden="true" name="IQ_LFCF_10YR_ANN_GROWTH" vbProcedure="false">"c1942"</definedName>
    <definedName function="false" hidden="true" name="IQ_LFCF_1YR_ANN_GROWTH" vbProcedure="false">"c1937"</definedName>
    <definedName function="false" hidden="true" name="IQ_LFCF_2YR_ANN_CAGR" vbProcedure="false">"c6170"</definedName>
    <definedName function="false" hidden="true" name="IQ_LFCF_2YR_ANN_GROWTH" vbProcedure="false">"c1938"</definedName>
    <definedName function="false" hidden="true" name="IQ_LFCF_3YR_ANN_CAGR" vbProcedure="false">"c6171"</definedName>
    <definedName function="false" hidden="true" name="IQ_LFCF_3YR_ANN_GROWTH" vbProcedure="false">"c1939"</definedName>
    <definedName function="false" hidden="true" name="IQ_LFCF_5YR_ANN_CAGR" vbProcedure="false">"c6172"</definedName>
    <definedName function="false" hidden="true" name="IQ_LFCF_5YR_ANN_GROWTH" vbProcedure="false">"c1940"</definedName>
    <definedName function="false" hidden="true" name="IQ_LFCF_7YR_ANN_CAGR" vbProcedure="false">"c6173"</definedName>
    <definedName function="false" hidden="true" name="IQ_LFCF_7YR_ANN_GROWTH" vbProcedure="false">"c1941"</definedName>
    <definedName function="false" hidden="true" name="IQ_LFCF_MARGIN" vbProcedure="false">"c1961"</definedName>
    <definedName function="false" hidden="true" name="IQ_LH_STATUTORY_SURPLUS" vbProcedure="false">"c2771"</definedName>
    <definedName function="false" hidden="true" name="IQ_LIABILITIES_FAIR_VALUE" vbProcedure="false">"c13848"</definedName>
    <definedName function="false" hidden="true" name="IQ_LIABILITIES_LEVEL_1" vbProcedure="false">"c13844"</definedName>
    <definedName function="false" hidden="true" name="IQ_LIABILITIES_LEVEL_2" vbProcedure="false">"c13845"</definedName>
    <definedName function="false" hidden="true" name="IQ_LIABILITIES_LEVEL_3" vbProcedure="false">"c13846"</definedName>
    <definedName function="false" hidden="true" name="IQ_LIABILITIES_NETTING_OTHER_ADJUSTMENTS" vbProcedure="false">"c13847"</definedName>
    <definedName function="false" hidden="true" name="IQ_LIABILITY_ACCEPTANCES_OUT_FFIEC" vbProcedure="false">"c12866"</definedName>
    <definedName function="false" hidden="true" name="IQ_LIABILITY_SHORT_POSITIONS_DOM_FFIEC" vbProcedure="false">"c12941"</definedName>
    <definedName function="false" hidden="true" name="IQ_LIAB_AP" vbProcedure="false">"c8886"</definedName>
    <definedName function="false" hidden="true" name="IQ_LIAB_AP_ABS" vbProcedure="false">"c8905"</definedName>
    <definedName function="false" hidden="true" name="IQ_LIAB_NAME_AP" vbProcedure="false">"c8924"</definedName>
    <definedName function="false" hidden="true" name="IQ_LIAB_NAME_AP_ABS" vbProcedure="false">"c8943"</definedName>
    <definedName function="false" hidden="true" name="IQ_LICENSED_POPS" vbProcedure="false">"c2123"</definedName>
    <definedName function="false" hidden="true" name="IQ_LICENSED_WIRELESS_POPS" vbProcedure="false">"c2123"</definedName>
    <definedName function="false" hidden="true" name="IQ_LIFE_EARNED" vbProcedure="false">"c2739"</definedName>
    <definedName function="false" hidden="true" name="IQ_LIFE_INSURANCE_ASSETS_FDIC" vbProcedure="false">"c6372"</definedName>
    <definedName function="false" hidden="true" name="IQ_LIFE_INSURANCE_ASSETS_FFIEC" vbProcedure="false">"c12847"</definedName>
    <definedName function="false" hidden="true" name="IQ_LIFOR" vbProcedure="false">"c655"</definedName>
    <definedName function="false" hidden="true" name="IQ_LIMITED_PARTNERS" vbProcedure="false">"c18915"</definedName>
    <definedName function="false" hidden="true" name="IQ_LIMITED_PARTNERS_ID" vbProcedure="false">"c18916"</definedName>
    <definedName function="false" hidden="true" name="IQ_LIMITED_PARTNERS_REL" vbProcedure="false">"c19114"</definedName>
    <definedName function="false" hidden="true" name="IQ_LINE_EXTENSIONS_CABLE_INVEST" vbProcedure="false">"c15803"</definedName>
    <definedName function="false" hidden="true" name="IQ_LIQUIDATION_VALUE_PREFERRED_CONVERT" vbProcedure="false">"c13835"</definedName>
    <definedName function="false" hidden="true" name="IQ_LIQUIDATION_VALUE_PREFERRED_NON_REDEEM" vbProcedure="false">"c13836"</definedName>
    <definedName function="false" hidden="true" name="IQ_LIQUIDATION_VALUE_PREFERRED_REDEEM" vbProcedure="false">"c13837"</definedName>
    <definedName function="false" hidden="true" name="IQ_LIQUID_ASSETS_ASSETS_TOT_FFIEC" vbProcedure="false">"c13439"</definedName>
    <definedName function="false" hidden="true" name="IQ_LIQUID_ASSETS_NONCORE_FUNDING_FFIEC" vbProcedure="false">"c13339"</definedName>
    <definedName function="false" hidden="true" name="IQ_LL" vbProcedure="false">"c656"</definedName>
    <definedName function="false" hidden="true" name="IQ_LOANS_AGRICULTURAL_PROD_LL_REC_FFIEC" vbProcedure="false">"c12886"</definedName>
    <definedName function="false" hidden="true" name="IQ_LOANS_AND_LEASES_HELD_FDIC" vbProcedure="false">"c6367"</definedName>
    <definedName function="false" hidden="true" name="IQ_LOANS_CF" vbProcedure="false">"c659"</definedName>
    <definedName function="false" hidden="true" name="IQ_LOANS_CF_BNK" vbProcedure="false">"c660"</definedName>
    <definedName function="false" hidden="true" name="IQ_LOANS_CF_BR" vbProcedure="false">"c661"</definedName>
    <definedName function="false" hidden="true" name="IQ_LOANS_CF_FIN" vbProcedure="false">"c662"</definedName>
    <definedName function="false" hidden="true" name="IQ_LOANS_CF_INS" vbProcedure="false">"c663"</definedName>
    <definedName function="false" hidden="true" name="IQ_LOANS_CF_RE" vbProcedure="false">"c6230"</definedName>
    <definedName function="false" hidden="true" name="IQ_LOANS_CF_REIT" vbProcedure="false">"c664"</definedName>
    <definedName function="false" hidden="true" name="IQ_LOANS_CF_UTI" vbProcedure="false">"c665"</definedName>
    <definedName function="false" hidden="true" name="IQ_LOANS_DEPOSITORY_INSTITUTIONS_FDIC" vbProcedure="false">"c6382"</definedName>
    <definedName function="false" hidden="true" name="IQ_LOANS_DEPOSITORY_INST_US_LL_REC_FFIEC" vbProcedure="false">"c12884"</definedName>
    <definedName function="false" hidden="true" name="IQ_LOANS_DOM_QUARTERLY_AVG_FFIEC" vbProcedure="false">"c13084"</definedName>
    <definedName function="false" hidden="true" name="IQ_LOANS_FARMERS_CHARGE_OFFS_FFIEC" vbProcedure="false">"c13177"</definedName>
    <definedName function="false" hidden="true" name="IQ_LOANS_FARMERS_RECOV_FFIEC" vbProcedure="false">"c13199"</definedName>
    <definedName function="false" hidden="true" name="IQ_LOANS_FINANCE_AGRICULTURAL_DUE_30_89_FFIEC" vbProcedure="false">"c13270"</definedName>
    <definedName function="false" hidden="true" name="IQ_LOANS_FINANCE_AGRICULTURAL_DUE_90_FFIEC" vbProcedure="false">"c13296"</definedName>
    <definedName function="false" hidden="true" name="IQ_LOANS_FINANCE_AGRICULTURAL_NON_ACCRUAL_FFIEC" vbProcedure="false">"c13322"</definedName>
    <definedName function="false" hidden="true" name="IQ_LOANS_FINANCE_AGRICULTURAL_PROD_LL_REC_DOM_FFIEC" vbProcedure="false">"c12909"</definedName>
    <definedName function="false" hidden="true" name="IQ_LOANS_FOREIGN_GOV_CHARGE_OFFS_FFIEC" vbProcedure="false">"c13182"</definedName>
    <definedName function="false" hidden="true" name="IQ_LOANS_FOREIGN_GOV_DUE_30_89_FFIEC" vbProcedure="false">"c13274"</definedName>
    <definedName function="false" hidden="true" name="IQ_LOANS_FOREIGN_GOV_DUE_90_FFIEC" vbProcedure="false">"c13300"</definedName>
    <definedName function="false" hidden="true" name="IQ_LOANS_FOREIGN_GOV_LL_REC_DOM_FFIEC" vbProcedure="false">"c12912"</definedName>
    <definedName function="false" hidden="true" name="IQ_LOANS_FOREIGN_GOV_NON_ACCRUAL_FFIEC" vbProcedure="false">"c13326"</definedName>
    <definedName function="false" hidden="true" name="IQ_LOANS_FOREIGN_GOV_RECOV_FFIEC" vbProcedure="false">"c13204"</definedName>
    <definedName function="false" hidden="true" name="IQ_LOANS_FOREIGN_INST_CHARGE_OFFS_FFIEC" vbProcedure="false">"c13176"</definedName>
    <definedName function="false" hidden="true" name="IQ_LOANS_FOREIGN_INST_RECOV_FFIEC" vbProcedure="false">"c13198"</definedName>
    <definedName function="false" hidden="true" name="IQ_LOANS_FOREIGN_LL_REC_FFIEC" vbProcedure="false">"c12885"</definedName>
    <definedName function="false" hidden="true" name="IQ_LOANS_FOR_SALE" vbProcedure="false">"c666"</definedName>
    <definedName function="false" hidden="true" name="IQ_LOANS_GOV_GUARANTEED_DUE_30_89_FFIEC" vbProcedure="false">"c13281"</definedName>
    <definedName function="false" hidden="true" name="IQ_LOANS_GOV_GUARANTEED_DUE_90_FFIEC" vbProcedure="false">"c13307"</definedName>
    <definedName function="false" hidden="true" name="IQ_LOANS_GOV_GUARANTEED_EXCL_GNMA_DUE_30_89_FFIEC" vbProcedure="false">"c13282"</definedName>
    <definedName function="false" hidden="true" name="IQ_LOANS_GOV_GUARANTEED_EXCL_GNMA_DUE_90_FFIEC" vbProcedure="false">"c13308"</definedName>
    <definedName function="false" hidden="true" name="IQ_LOANS_GOV_GUARANTEED_EXCL_GNMA_NON_ACCRUAL_FFIEC" vbProcedure="false">"c13333"</definedName>
    <definedName function="false" hidden="true" name="IQ_LOANS_GOV_GUARANTEED_NON_ACCRUAL_FFIEC" vbProcedure="false">"c13332"</definedName>
    <definedName function="false" hidden="true" name="IQ_LOANS_HELD_FOREIGN_FDIC" vbProcedure="false">"c6315"</definedName>
    <definedName function="false" hidden="true" name="IQ_LOANS_INDIVIDUALS_FOREIGN_FFIEC" vbProcedure="false">"c13480"</definedName>
    <definedName function="false" hidden="true" name="IQ_LOANS_LEASES_ASSETS_TOT_FFIEC" vbProcedure="false">"c13437"</definedName>
    <definedName function="false" hidden="true" name="IQ_LOANS_LEASES_FAIR_VALUE_TOT_FFIEC" vbProcedure="false">"c13209"</definedName>
    <definedName function="false" hidden="true" name="IQ_LOANS_LEASES_FOREIGN_FDIC" vbProcedure="false">"c6383"</definedName>
    <definedName function="false" hidden="true" name="IQ_LOANS_LEASES_GROSS_FDIC" vbProcedure="false">"c6323"</definedName>
    <definedName function="false" hidden="true" name="IQ_LOANS_LEASES_GROSS_FOREIGN_FDIC" vbProcedure="false">"c6384"</definedName>
    <definedName function="false" hidden="true" name="IQ_LOANS_LEASES_HELD_SALE_FFIEC" vbProcedure="false">"c12808"</definedName>
    <definedName function="false" hidden="true" name="IQ_LOANS_LEASES_HFI_FAIR_VALUE_TOT_FFIEC" vbProcedure="false">"c15401"</definedName>
    <definedName function="false" hidden="true" name="IQ_LOANS_LEASES_HFI_LEVEL_1_FFIEC" vbProcedure="false">"c15423"</definedName>
    <definedName function="false" hidden="true" name="IQ_LOANS_LEASES_HFI_LEVEL_2_FFIEC" vbProcedure="false">"c15436"</definedName>
    <definedName function="false" hidden="true" name="IQ_LOANS_LEASES_HFI_LEVEL_3_FFIEC" vbProcedure="false">"c15449"</definedName>
    <definedName function="false" hidden="true" name="IQ_LOANS_LEASES_HFS_FAIR_VALUE_TOT_FFIEC" vbProcedure="false">"c15400"</definedName>
    <definedName function="false" hidden="true" name="IQ_LOANS_LEASES_HFS_LEVEL_1_FFIEC" vbProcedure="false">"c15422"</definedName>
    <definedName function="false" hidden="true" name="IQ_LOANS_LEASES_HFS_LEVEL_2_FFIEC" vbProcedure="false">"c15435"</definedName>
    <definedName function="false" hidden="true" name="IQ_LOANS_LEASES_HFS_LEVEL_3_FFIEC" vbProcedure="false">"c15448"</definedName>
    <definedName function="false" hidden="true" name="IQ_LOANS_LEASES_LEVEL_1_FFIEC" vbProcedure="false">"c13217"</definedName>
    <definedName function="false" hidden="true" name="IQ_LOANS_LEASES_LEVEL_2_FFIEC" vbProcedure="false">"c13225"</definedName>
    <definedName function="false" hidden="true" name="IQ_LOANS_LEASES_LEVEL_3_FFIEC" vbProcedure="false">"c13233"</definedName>
    <definedName function="false" hidden="true" name="IQ_LOANS_LEASES_NET_FDIC" vbProcedure="false">"c6327"</definedName>
    <definedName function="false" hidden="true" name="IQ_LOANS_LEASES_NET_UNEARNED_FDIC" vbProcedure="false">"c6325"</definedName>
    <definedName function="false" hidden="true" name="IQ_LOANS_LEASES_NET_UNEARNED_INCOME_FFIEC" vbProcedure="false">"c12809"</definedName>
    <definedName function="false" hidden="true" name="IQ_LOANS_LEASES_NET_UNEARNED_INC_ALLOWANCE_FFIEC" vbProcedure="false">"c12811"</definedName>
    <definedName function="false" hidden="true" name="IQ_LOANS_LEASES_QUARTERLY_AVG_FFIEC" vbProcedure="false">"c13081"</definedName>
    <definedName function="false" hidden="true" name="IQ_LOANS_LOC_ASSETS_TOT_FFIEC" vbProcedure="false">"c13441"</definedName>
    <definedName function="false" hidden="true" name="IQ_LOANS_NOT_SECURED_RE_FDIC" vbProcedure="false">"c6381"</definedName>
    <definedName function="false" hidden="true" name="IQ_LOANS_PAST_DUE" vbProcedure="false">"c667"</definedName>
    <definedName function="false" hidden="true" name="IQ_LOANS_PURCHASING_CARRYING_SECURITIES_LL_REC_DOM_FFIEC" vbProcedure="false">"c12913"</definedName>
    <definedName function="false" hidden="true" name="IQ_LOANS_RECEIV_CURRENT" vbProcedure="false">"c668"</definedName>
    <definedName function="false" hidden="true" name="IQ_LOANS_RECEIV_LT" vbProcedure="false">"c669"</definedName>
    <definedName function="false" hidden="true" name="IQ_LOANS_RECEIV_LT_UTI" vbProcedure="false">"c670"</definedName>
    <definedName function="false" hidden="true" name="IQ_LOANS_SECURED_1_4_DOM_QUARTERLY_AVG_FFIEC" vbProcedure="false">"c13082"</definedName>
    <definedName function="false" hidden="true" name="IQ_LOANS_SECURED_BY_RE_CHARGE_OFFS_FDIC" vbProcedure="false">"c6588"</definedName>
    <definedName function="false" hidden="true" name="IQ_LOANS_SECURED_BY_RE_RECOVERIES_FDIC" vbProcedure="false">"c6607"</definedName>
    <definedName function="false" hidden="true" name="IQ_LOANS_SECURED_CONSTRUCTION_TRADING_DOM_FFIEC" vbProcedure="false">"c12925"</definedName>
    <definedName function="false" hidden="true" name="IQ_LOANS_SECURED_FARMLAND_TRADING_DOM_FFIEC" vbProcedure="false">"c12926"</definedName>
    <definedName function="false" hidden="true" name="IQ_LOANS_SECURED_NON_US_FDIC" vbProcedure="false">"c6380"</definedName>
    <definedName function="false" hidden="true" name="IQ_LOANS_SECURED_RE_DOM_QUARTERLY_AVG_FFIEC" vbProcedure="false">"c13083"</definedName>
    <definedName function="false" hidden="true" name="IQ_LOANS_SECURED_RE_FFIEC" vbProcedure="false">"c12820"</definedName>
    <definedName function="false" hidden="true" name="IQ_LOANS_SECURED_RE_LL_REC_FFIEC" vbProcedure="false">"c12883"</definedName>
    <definedName function="false" hidden="true" name="IQ_LOANS_SECURED_RE_NET_CHARGE_OFFS_FDIC" vbProcedure="false">"c6626"</definedName>
    <definedName function="false" hidden="true" name="IQ_LOANS_SEC_RE_FOREIGN_CHARGE_OFFS_FFIEC" vbProcedure="false">"c13174"</definedName>
    <definedName function="false" hidden="true" name="IQ_LOANS_SEC_RE_FOREIGN_RECOV_FFIEC" vbProcedure="false">"c13196"</definedName>
    <definedName function="false" hidden="true" name="IQ_LOANS_TO_DEPOSITORY_INSTITUTIONS_FOREIGN_FDIC" vbProcedure="false">"c6453"</definedName>
    <definedName function="false" hidden="true" name="IQ_LOANS_TO_FOREIGN_GOVERNMENTS_FDIC" vbProcedure="false">"c6448"</definedName>
    <definedName function="false" hidden="true" name="IQ_LOANS_TO_INDIVIDUALS_FOREIGN_FDIC" vbProcedure="false">"c6452"</definedName>
    <definedName function="false" hidden="true" name="IQ_LOANS_US_INST_CHARGE_OFFS_FFIEC" vbProcedure="false">"c13175"</definedName>
    <definedName function="false" hidden="true" name="IQ_LOANS_US_INST_RECOV_FFIEC" vbProcedure="false">"c13197"</definedName>
    <definedName function="false" hidden="true" name="IQ_LOAN_ALLOWANCE_GROSS_LOSSES_FFIEC" vbProcedure="false">"c13352"</definedName>
    <definedName function="false" hidden="true" name="IQ_LOAN_ALLOWANCE_NET_LOANS_FFIEC" vbProcedure="false">"c13472"</definedName>
    <definedName function="false" hidden="true" name="IQ_LOAN_ALLOWANCE_NONACCRUAL_ASSETS_FFIEC" vbProcedure="false">"c13473"</definedName>
    <definedName function="false" hidden="true" name="IQ_LOAN_ALLOWANCE_PAST_DUE_NONACCRUAL_FFIEC" vbProcedure="false">"c13474"</definedName>
    <definedName function="false" hidden="true" name="IQ_LOAN_ALLOW_GROSS_LOANS_FFIEC" vbProcedure="false">"c13415"</definedName>
    <definedName function="false" hidden="true" name="IQ_LOAN_COMMITMENTS_FAIR_VALUE_TOT_FFIEC" vbProcedure="false">"c13216"</definedName>
    <definedName function="false" hidden="true" name="IQ_LOAN_COMMITMENTS_LEVEL_1_FFIEC" vbProcedure="false">"c13224"</definedName>
    <definedName function="false" hidden="true" name="IQ_LOAN_COMMITMENTS_LEVEL_2_FFIEC" vbProcedure="false">"c13232"</definedName>
    <definedName function="false" hidden="true" name="IQ_LOAN_COMMITMENTS_LEVEL_3_FFIEC" vbProcedure="false">"c13240"</definedName>
    <definedName function="false" hidden="true" name="IQ_LOAN_COMMITMENTS_REVOLVING_FDIC" vbProcedure="false">"c6524"</definedName>
    <definedName function="false" hidden="true" name="IQ_LOAN_LEASE_RECEIV" vbProcedure="false">"c657"</definedName>
    <definedName function="false" hidden="true" name="IQ_LOAN_LOSS" vbProcedure="false">"c1386"</definedName>
    <definedName function="false" hidden="true" name="IQ_LOAN_LOSSES_AVERAGE_LOANS_FFIEC" vbProcedure="false">"c13350"</definedName>
    <definedName function="false" hidden="true" name="IQ_LOAN_LOSSES_FDIC" vbProcedure="false">"c6580"</definedName>
    <definedName function="false" hidden="true" name="IQ_LOAN_LOSS_ALLOWANCE_NONCURRENT_LOANS_FDIC" vbProcedure="false">"c6740"</definedName>
    <definedName function="false" hidden="true" name="IQ_LOAN_LOSS_ALLOWANCE_NON_PERF_ASSETS_FFIEC" vbProcedure="false">"c13912"</definedName>
    <definedName function="false" hidden="true" name="IQ_LOAN_LOSS_ALLOW_FDIC" vbProcedure="false">"c6326"</definedName>
    <definedName function="false" hidden="true" name="IQ_LOAN_LOSS_PROVISION_FOREIGN_FFIEC" vbProcedure="false">"c15382"</definedName>
    <definedName function="false" hidden="true" name="IQ_LOAN_SERVICE_REV" vbProcedure="false">"c658"</definedName>
    <definedName function="false" hidden="true" name="IQ_LONG_TERM_ASSETS_FDIC" vbProcedure="false">"c6361"</definedName>
    <definedName function="false" hidden="true" name="IQ_LONG_TERM_DEBT" vbProcedure="false">"c1387"</definedName>
    <definedName function="false" hidden="true" name="IQ_LONG_TERM_DEBT_OVER_TOTAL_CAP" vbProcedure="false">"c1388"</definedName>
    <definedName function="false" hidden="true" name="IQ_LONG_TERM_GROWTH" vbProcedure="false">"c671"</definedName>
    <definedName function="false" hidden="true" name="IQ_LONG_TERM_INV" vbProcedure="false">"c1389"</definedName>
    <definedName function="false" hidden="true" name="IQ_LOSS_ALLOWANCE_LOANS_FDIC" vbProcedure="false">"c6739"</definedName>
    <definedName function="false" hidden="true" name="IQ_LOSS_AVAIL_SALE_EQUITY_SEC_T1_FFIEC" vbProcedure="false">"c13132"</definedName>
    <definedName function="false" hidden="true" name="IQ_LOSS_LOSS_EXP" vbProcedure="false">"c672"</definedName>
    <definedName function="false" hidden="true" name="IQ_LOSS_TO_NET_EARNED" vbProcedure="false">"c2751"</definedName>
    <definedName function="false" hidden="true" name="IQ_LOWPRICE" vbProcedure="false">"c673"</definedName>
    <definedName function="false" hidden="true" name="IQ_LOW_SULFURE_RESERVES_TO_TOTAL_RESERVES_COAL" vbProcedure="false">"c15961"</definedName>
    <definedName function="false" hidden="true" name="IQ_LOW_SULFUR_CONTENT_RESERVES_COAL" vbProcedure="false">"c15924"</definedName>
    <definedName function="false" hidden="true" name="IQ_LOW_TARGET_PRICE" vbProcedure="false">"c1652"</definedName>
    <definedName function="false" hidden="true" name="IQ_LOW_TARGET_PRICE_CIQ" vbProcedure="false">"c4660"</definedName>
    <definedName function="false" hidden="true" name="IQ_LOW_TARGET_PRICE_REUT" vbProcedure="false">"c5318"</definedName>
    <definedName function="false" hidden="true" name="IQ_LOW_TARGET_PRICE_THOM" vbProcedure="false">"c5097"</definedName>
    <definedName function="false" hidden="true" name="IQ_LTD_DUE_AFTER_FIVE" vbProcedure="false">"c704"</definedName>
    <definedName function="false" hidden="true" name="IQ_LTD_DUE_CY" vbProcedure="false">"c705"</definedName>
    <definedName function="false" hidden="true" name="IQ_LTD_DUE_CY1" vbProcedure="false">"c706"</definedName>
    <definedName function="false" hidden="true" name="IQ_LTD_DUE_CY2" vbProcedure="false">"c707"</definedName>
    <definedName function="false" hidden="true" name="IQ_LTD_DUE_CY3" vbProcedure="false">"c708"</definedName>
    <definedName function="false" hidden="true" name="IQ_LTD_DUE_CY4" vbProcedure="false">"c709"</definedName>
    <definedName function="false" hidden="true" name="IQ_LTD_DUE_NEXT_FIVE" vbProcedure="false">"c710"</definedName>
    <definedName function="false" hidden="true" name="IQ_LTM" vbProcedure="false">2000</definedName>
    <definedName function="false" hidden="true" name="IQ_LTMMONTH" vbProcedure="false">120000</definedName>
    <definedName function="false" hidden="true" name="IQ_LTM_DATE" vbProcedure="false">"IQ_LTM_DATE"</definedName>
    <definedName function="false" hidden="true" name="IQ_LTM_REVENUE_OVER_EMPLOYEES" vbProcedure="false">"c1437"</definedName>
    <definedName function="false" hidden="true" name="IQ_LT_ASSETS_AP" vbProcedure="false">"c8882"</definedName>
    <definedName function="false" hidden="true" name="IQ_LT_ASSETS_AP_ABS" vbProcedure="false">"c8901"</definedName>
    <definedName function="false" hidden="true" name="IQ_LT_ASSETS_NAME_AP" vbProcedure="false">"c8920"</definedName>
    <definedName function="false" hidden="true" name="IQ_LT_ASSETS_NAME_AP_ABS" vbProcedure="false">"c8939"</definedName>
    <definedName function="false" hidden="true" name="IQ_LT_DEBT" vbProcedure="false">"c674"</definedName>
    <definedName function="false" hidden="true" name="IQ_LT_DEBT_BNK" vbProcedure="false">"c675"</definedName>
    <definedName function="false" hidden="true" name="IQ_LT_DEBT_BR" vbProcedure="false">"c676"</definedName>
    <definedName function="false" hidden="true" name="IQ_LT_DEBT_CAPITAL" vbProcedure="false">"c677"</definedName>
    <definedName function="false" hidden="true" name="IQ_LT_DEBT_CAPITAL_LEASES" vbProcedure="false">"c2542"</definedName>
    <definedName function="false" hidden="true" name="IQ_LT_DEBT_CAPITAL_LEASES_PCT" vbProcedure="false">"c2543"</definedName>
    <definedName function="false" hidden="true" name="IQ_LT_DEBT_EQUITY" vbProcedure="false">"c678"</definedName>
    <definedName function="false" hidden="true" name="IQ_LT_DEBT_FIN" vbProcedure="false">"c679"</definedName>
    <definedName function="false" hidden="true" name="IQ_LT_DEBT_INS" vbProcedure="false">"c680"</definedName>
    <definedName function="false" hidden="true" name="IQ_LT_DEBT_ISSUED" vbProcedure="false">"c681"</definedName>
    <definedName function="false" hidden="true" name="IQ_LT_DEBT_ISSUED_BNK" vbProcedure="false">"c682"</definedName>
    <definedName function="false" hidden="true" name="IQ_LT_DEBT_ISSUED_BR" vbProcedure="false">"c683"</definedName>
    <definedName function="false" hidden="true" name="IQ_LT_DEBT_ISSUED_FIN" vbProcedure="false">"c684"</definedName>
    <definedName function="false" hidden="true" name="IQ_LT_DEBT_ISSUED_INS" vbProcedure="false">"c685"</definedName>
    <definedName function="false" hidden="true" name="IQ_LT_DEBT_ISSUED_RE" vbProcedure="false">"c6231"</definedName>
    <definedName function="false" hidden="true" name="IQ_LT_DEBT_ISSUED_REIT" vbProcedure="false">"c686"</definedName>
    <definedName function="false" hidden="true" name="IQ_LT_DEBT_ISSUED_UTI" vbProcedure="false">"c687"</definedName>
    <definedName function="false" hidden="true" name="IQ_LT_DEBT_MATURING_1YR_INT_SENSITIVITY_FFIEC" vbProcedure="false">"c13097"</definedName>
    <definedName function="false" hidden="true" name="IQ_LT_DEBT_RE" vbProcedure="false">"c6232"</definedName>
    <definedName function="false" hidden="true" name="IQ_LT_DEBT_REIT" vbProcedure="false">"c688"</definedName>
    <definedName function="false" hidden="true" name="IQ_LT_DEBT_REPAID" vbProcedure="false">"c689"</definedName>
    <definedName function="false" hidden="true" name="IQ_LT_DEBT_REPAID_BNK" vbProcedure="false">"c690"</definedName>
    <definedName function="false" hidden="true" name="IQ_LT_DEBT_REPAID_BR" vbProcedure="false">"c691"</definedName>
    <definedName function="false" hidden="true" name="IQ_LT_DEBT_REPAID_FIN" vbProcedure="false">"c692"</definedName>
    <definedName function="false" hidden="true" name="IQ_LT_DEBT_REPAID_INS" vbProcedure="false">"c693"</definedName>
    <definedName function="false" hidden="true" name="IQ_LT_DEBT_REPAID_RE" vbProcedure="false">"c6233"</definedName>
    <definedName function="false" hidden="true" name="IQ_LT_DEBT_REPAID_REIT" vbProcedure="false">"c694"</definedName>
    <definedName function="false" hidden="true" name="IQ_LT_DEBT_REPAID_UTI" vbProcedure="false">"c695"</definedName>
    <definedName function="false" hidden="true" name="IQ_LT_DEBT_REPRICE_ASSETS_TOT_FFIEC" vbProcedure="false">"c13453"</definedName>
    <definedName function="false" hidden="true" name="IQ_LT_DEBT_REPRICING_WITHIN_1_YR_INT_SENSITIVITY_FFIEC" vbProcedure="false">"c13095"</definedName>
    <definedName function="false" hidden="true" name="IQ_LT_DEBT_UTI" vbProcedure="false">"c696"</definedName>
    <definedName function="false" hidden="true" name="IQ_LT_GROWTH_DET_EST" vbProcedure="false">"c12060"</definedName>
    <definedName function="false" hidden="true" name="IQ_LT_GROWTH_DET_EST_DATE" vbProcedure="false">"c12213"</definedName>
    <definedName function="false" hidden="true" name="IQ_LT_GROWTH_DET_EST_DATE_REUT" vbProcedure="false">"c12296"</definedName>
    <definedName function="false" hidden="true" name="IQ_LT_GROWTH_DET_EST_DATE_THOM" vbProcedure="false">"c12240"</definedName>
    <definedName function="false" hidden="true" name="IQ_LT_GROWTH_DET_EST_INCL" vbProcedure="false">"c12350"</definedName>
    <definedName function="false" hidden="true" name="IQ_LT_GROWTH_DET_EST_INCL_REUT" vbProcedure="false">"c12420"</definedName>
    <definedName function="false" hidden="true" name="IQ_LT_GROWTH_DET_EST_INCL_THOM" vbProcedure="false">"c12372"</definedName>
    <definedName function="false" hidden="true" name="IQ_LT_GROWTH_DET_EST_ORIGIN" vbProcedure="false">"c12725"</definedName>
    <definedName function="false" hidden="true" name="IQ_LT_GROWTH_DET_EST_ORIGIN_REUT" vbProcedure="false">"c12728"</definedName>
    <definedName function="false" hidden="true" name="IQ_LT_GROWTH_DET_EST_ORIGIN_THOM" vbProcedure="false">"c12610"</definedName>
    <definedName function="false" hidden="true" name="IQ_LT_GROWTH_DET_EST_REUT" vbProcedure="false">"c12154"</definedName>
    <definedName function="false" hidden="true" name="IQ_LT_GROWTH_DET_EST_THOM" vbProcedure="false">"c12090"</definedName>
    <definedName function="false" hidden="true" name="IQ_LT_INVEST" vbProcedure="false">"c697"</definedName>
    <definedName function="false" hidden="true" name="IQ_LT_INVEST_BR" vbProcedure="false">"c698"</definedName>
    <definedName function="false" hidden="true" name="IQ_LT_INVEST_FIN" vbProcedure="false">"c699"</definedName>
    <definedName function="false" hidden="true" name="IQ_LT_INVEST_RE" vbProcedure="false">"c6234"</definedName>
    <definedName function="false" hidden="true" name="IQ_LT_INVEST_REIT" vbProcedure="false">"c700"</definedName>
    <definedName function="false" hidden="true" name="IQ_LT_INVEST_UTI" vbProcedure="false">"c701"</definedName>
    <definedName function="false" hidden="true" name="IQ_LT_LIAB_AP" vbProcedure="false">"c8885"</definedName>
    <definedName function="false" hidden="true" name="IQ_LT_LIAB_AP_ABS" vbProcedure="false">"c8904"</definedName>
    <definedName function="false" hidden="true" name="IQ_LT_LIAB_NAME_AP" vbProcedure="false">"c8923"</definedName>
    <definedName function="false" hidden="true" name="IQ_LT_LIAB_NAME_AP_ABS" vbProcedure="false">"c8942"</definedName>
    <definedName function="false" hidden="true" name="IQ_LT_NOTE_RECEIV" vbProcedure="false">"c1602"</definedName>
    <definedName function="false" hidden="true" name="IQ_M1" vbProcedure="false">"c6906"</definedName>
    <definedName function="false" hidden="true" name="IQ_M1_APR" vbProcedure="false">"c7566"</definedName>
    <definedName function="false" hidden="true" name="IQ_M1_APR_FC" vbProcedure="false">"c8446"</definedName>
    <definedName function="false" hidden="true" name="IQ_M1_FC" vbProcedure="false">"c7786"</definedName>
    <definedName function="false" hidden="true" name="IQ_M1_POP" vbProcedure="false">"c7126"</definedName>
    <definedName function="false" hidden="true" name="IQ_M1_POP_FC" vbProcedure="false">"c8006"</definedName>
    <definedName function="false" hidden="true" name="IQ_M1_YOY" vbProcedure="false">"c7346"</definedName>
    <definedName function="false" hidden="true" name="IQ_M1_YOY_FC" vbProcedure="false">"c8226"</definedName>
    <definedName function="false" hidden="true" name="IQ_M2" vbProcedure="false">"c6907"</definedName>
    <definedName function="false" hidden="true" name="IQ_M2_APR" vbProcedure="false">"c7567"</definedName>
    <definedName function="false" hidden="true" name="IQ_M2_APR_FC" vbProcedure="false">"c8447"</definedName>
    <definedName function="false" hidden="true" name="IQ_M2_FC" vbProcedure="false">"c7787"</definedName>
    <definedName function="false" hidden="true" name="IQ_M2_POP" vbProcedure="false">"c7127"</definedName>
    <definedName function="false" hidden="true" name="IQ_M2_POP_FC" vbProcedure="false">"c8007"</definedName>
    <definedName function="false" hidden="true" name="IQ_M2_YOY" vbProcedure="false">"c7347"</definedName>
    <definedName function="false" hidden="true" name="IQ_M2_YOY_FC" vbProcedure="false">"c8227"</definedName>
    <definedName function="false" hidden="true" name="IQ_M3" vbProcedure="false">"c6908"</definedName>
    <definedName function="false" hidden="true" name="IQ_M3_APR" vbProcedure="false">"c7568"</definedName>
    <definedName function="false" hidden="true" name="IQ_M3_APR_FC" vbProcedure="false">"c8448"</definedName>
    <definedName function="false" hidden="true" name="IQ_M3_FC" vbProcedure="false">"c7788"</definedName>
    <definedName function="false" hidden="true" name="IQ_M3_POP" vbProcedure="false">"c7128"</definedName>
    <definedName function="false" hidden="true" name="IQ_M3_POP_FC" vbProcedure="false">"c8008"</definedName>
    <definedName function="false" hidden="true" name="IQ_M3_YOY" vbProcedure="false">"c7348"</definedName>
    <definedName function="false" hidden="true" name="IQ_M3_YOY_FC" vbProcedure="false">"c8228"</definedName>
    <definedName function="false" hidden="true" name="IQ_MACHINERY" vbProcedure="false">"c711"</definedName>
    <definedName function="false" hidden="true" name="IQ_MAINT_CAPEX" vbProcedure="false">"c2947"</definedName>
    <definedName function="false" hidden="true" name="IQ_MAINT_CAPEX_ACT_OR_EST" vbProcedure="false">"c4458"</definedName>
    <definedName function="false" hidden="true" name="IQ_MAINT_CAPEX_ACT_OR_EST_CIQ" vbProcedure="false">"c4987"</definedName>
    <definedName function="false" hidden="true" name="IQ_MAINT_CAPEX_EST" vbProcedure="false">"c4457"</definedName>
    <definedName function="false" hidden="true" name="IQ_MAINT_CAPEX_GUIDANCE" vbProcedure="false">"c4459"</definedName>
    <definedName function="false" hidden="true" name="IQ_MAINT_CAPEX_GUIDANCE_CIQ" vbProcedure="false">"c4988"</definedName>
    <definedName function="false" hidden="true" name="IQ_MAINT_CAPEX_GUIDANCE_CIQ_COL" vbProcedure="false">"c11635"</definedName>
    <definedName function="false" hidden="true" name="IQ_MAINT_CAPEX_HIGH_EST" vbProcedure="false">"c4460"</definedName>
    <definedName function="false" hidden="true" name="IQ_MAINT_CAPEX_HIGH_GUIDANCE" vbProcedure="false">"c4197"</definedName>
    <definedName function="false" hidden="true" name="IQ_MAINT_CAPEX_HIGH_GUIDANCE_CIQ" vbProcedure="false">"c4609"</definedName>
    <definedName function="false" hidden="true" name="IQ_MAINT_CAPEX_HIGH_GUIDANCE_CIQ_COL" vbProcedure="false">"c11258"</definedName>
    <definedName function="false" hidden="true" name="IQ_MAINT_CAPEX_LOW_EST" vbProcedure="false">"c4461"</definedName>
    <definedName function="false" hidden="true" name="IQ_MAINT_CAPEX_LOW_GUIDANCE" vbProcedure="false">"c4237"</definedName>
    <definedName function="false" hidden="true" name="IQ_MAINT_CAPEX_LOW_GUIDANCE_CIQ" vbProcedure="false">"c4649"</definedName>
    <definedName function="false" hidden="true" name="IQ_MAINT_CAPEX_LOW_GUIDANCE_CIQ_COL" vbProcedure="false">"c11298"</definedName>
    <definedName function="false" hidden="true" name="IQ_MAINT_CAPEX_MEDIAN_EST" vbProcedure="false">"c4462"</definedName>
    <definedName function="false" hidden="true" name="IQ_MAINT_CAPEX_NUM_EST" vbProcedure="false">"c4463"</definedName>
    <definedName function="false" hidden="true" name="IQ_MAINT_CAPEX_STDDEV_EST" vbProcedure="false">"c4464"</definedName>
    <definedName function="false" hidden="true" name="IQ_MAINT_REPAIR" vbProcedure="false">"c2087"</definedName>
    <definedName function="false" hidden="true" name="IQ_MAKE_WHOLE_END_DATE" vbProcedure="false">"c2493"</definedName>
    <definedName function="false" hidden="true" name="IQ_MAKE_WHOLE_SPREAD" vbProcedure="false">"c2494"</definedName>
    <definedName function="false" hidden="true" name="IQ_MAKE_WHOLE_START_DATE" vbProcedure="false">"c2492"</definedName>
    <definedName function="false" hidden="true" name="IQ_MANAGED_PROP" vbProcedure="false">"c8763"</definedName>
    <definedName function="false" hidden="true" name="IQ_MANAGED_SQ_FT" vbProcedure="false">"c8779"</definedName>
    <definedName function="false" hidden="true" name="IQ_MANAGED_UNITS" vbProcedure="false">"c8771"</definedName>
    <definedName function="false" hidden="true" name="IQ_MAN_INVENTORIES" vbProcedure="false">"c6913"</definedName>
    <definedName function="false" hidden="true" name="IQ_MAN_INVENTORIES_APR" vbProcedure="false">"c7573"</definedName>
    <definedName function="false" hidden="true" name="IQ_MAN_INVENTORIES_APR_FC" vbProcedure="false">"c8453"</definedName>
    <definedName function="false" hidden="true" name="IQ_MAN_INVENTORIES_FC" vbProcedure="false">"c7793"</definedName>
    <definedName function="false" hidden="true" name="IQ_MAN_INVENTORIES_POP" vbProcedure="false">"c7133"</definedName>
    <definedName function="false" hidden="true" name="IQ_MAN_INVENTORIES_POP_FC" vbProcedure="false">"c8013"</definedName>
    <definedName function="false" hidden="true" name="IQ_MAN_INVENTORIES_YOY" vbProcedure="false">"c7353"</definedName>
    <definedName function="false" hidden="true" name="IQ_MAN_INVENTORIES_YOY_FC" vbProcedure="false">"c8233"</definedName>
    <definedName function="false" hidden="true" name="IQ_MAN_IS_RATIO" vbProcedure="false">"c6912"</definedName>
    <definedName function="false" hidden="true" name="IQ_MAN_IS_RATIO_APR" vbProcedure="false">"c7572"</definedName>
    <definedName function="false" hidden="true" name="IQ_MAN_IS_RATIO_APR_FC" vbProcedure="false">"c8452"</definedName>
    <definedName function="false" hidden="true" name="IQ_MAN_IS_RATIO_FC" vbProcedure="false">"c7792"</definedName>
    <definedName function="false" hidden="true" name="IQ_MAN_IS_RATIO_POP" vbProcedure="false">"c7132"</definedName>
    <definedName function="false" hidden="true" name="IQ_MAN_IS_RATIO_POP_FC" vbProcedure="false">"c8012"</definedName>
    <definedName function="false" hidden="true" name="IQ_MAN_IS_RATIO_YOY" vbProcedure="false">"c7352"</definedName>
    <definedName function="false" hidden="true" name="IQ_MAN_IS_RATIO_YOY_FC" vbProcedure="false">"c8232"</definedName>
    <definedName function="false" hidden="true" name="IQ_MAN_ORDERS" vbProcedure="false">"c6914"</definedName>
    <definedName function="false" hidden="true" name="IQ_MAN_ORDERS_APR" vbProcedure="false">"c7574"</definedName>
    <definedName function="false" hidden="true" name="IQ_MAN_ORDERS_APR_FC" vbProcedure="false">"c8454"</definedName>
    <definedName function="false" hidden="true" name="IQ_MAN_ORDERS_FC" vbProcedure="false">"c7794"</definedName>
    <definedName function="false" hidden="true" name="IQ_MAN_ORDERS_POP" vbProcedure="false">"c7134"</definedName>
    <definedName function="false" hidden="true" name="IQ_MAN_ORDERS_POP_FC" vbProcedure="false">"c8014"</definedName>
    <definedName function="false" hidden="true" name="IQ_MAN_ORDERS_YOY" vbProcedure="false">"c7354"</definedName>
    <definedName function="false" hidden="true" name="IQ_MAN_ORDERS_YOY_FC" vbProcedure="false">"c8234"</definedName>
    <definedName function="false" hidden="true" name="IQ_MAN_OUTPUT_HR" vbProcedure="false">"c6915"</definedName>
    <definedName function="false" hidden="true" name="IQ_MAN_OUTPUT_HR_APR" vbProcedure="false">"c7575"</definedName>
    <definedName function="false" hidden="true" name="IQ_MAN_OUTPUT_HR_APR_FC" vbProcedure="false">"c8455"</definedName>
    <definedName function="false" hidden="true" name="IQ_MAN_OUTPUT_HR_FC" vbProcedure="false">"c7795"</definedName>
    <definedName function="false" hidden="true" name="IQ_MAN_OUTPUT_HR_POP" vbProcedure="false">"c7135"</definedName>
    <definedName function="false" hidden="true" name="IQ_MAN_OUTPUT_HR_POP_FC" vbProcedure="false">"c8015"</definedName>
    <definedName function="false" hidden="true" name="IQ_MAN_OUTPUT_HR_YOY" vbProcedure="false">"c7355"</definedName>
    <definedName function="false" hidden="true" name="IQ_MAN_OUTPUT_HR_YOY_FC" vbProcedure="false">"c8235"</definedName>
    <definedName function="false" hidden="true" name="IQ_MAN_PAYROLLS" vbProcedure="false">"c6916"</definedName>
    <definedName function="false" hidden="true" name="IQ_MAN_PAYROLLS_APR" vbProcedure="false">"c7576"</definedName>
    <definedName function="false" hidden="true" name="IQ_MAN_PAYROLLS_APR_FC" vbProcedure="false">"c8456"</definedName>
    <definedName function="false" hidden="true" name="IQ_MAN_PAYROLLS_FC" vbProcedure="false">"c7796"</definedName>
    <definedName function="false" hidden="true" name="IQ_MAN_PAYROLLS_POP" vbProcedure="false">"c7136"</definedName>
    <definedName function="false" hidden="true" name="IQ_MAN_PAYROLLS_POP_FC" vbProcedure="false">"c8016"</definedName>
    <definedName function="false" hidden="true" name="IQ_MAN_PAYROLLS_YOY" vbProcedure="false">"c7356"</definedName>
    <definedName function="false" hidden="true" name="IQ_MAN_PAYROLLS_YOY_FC" vbProcedure="false">"c8236"</definedName>
    <definedName function="false" hidden="true" name="IQ_MAN_SHIPMENTS" vbProcedure="false">"c6917"</definedName>
    <definedName function="false" hidden="true" name="IQ_MAN_SHIPMENTS_APR" vbProcedure="false">"c7577"</definedName>
    <definedName function="false" hidden="true" name="IQ_MAN_SHIPMENTS_APR_FC" vbProcedure="false">"c8457"</definedName>
    <definedName function="false" hidden="true" name="IQ_MAN_SHIPMENTS_FC" vbProcedure="false">"c7797"</definedName>
    <definedName function="false" hidden="true" name="IQ_MAN_SHIPMENTS_POP" vbProcedure="false">"c7137"</definedName>
    <definedName function="false" hidden="true" name="IQ_MAN_SHIPMENTS_POP_FC" vbProcedure="false">"c8017"</definedName>
    <definedName function="false" hidden="true" name="IQ_MAN_SHIPMENTS_YOY" vbProcedure="false">"c7357"</definedName>
    <definedName function="false" hidden="true" name="IQ_MAN_SHIPMENTS_YOY_FC" vbProcedure="false">"c8237"</definedName>
    <definedName function="false" hidden="true" name="IQ_MAN_TOTAL_HR" vbProcedure="false">"c6918"</definedName>
    <definedName function="false" hidden="true" name="IQ_MAN_TOTAL_HR_APR" vbProcedure="false">"c7578"</definedName>
    <definedName function="false" hidden="true" name="IQ_MAN_TOTAL_HR_APR_FC" vbProcedure="false">"c8458"</definedName>
    <definedName function="false" hidden="true" name="IQ_MAN_TOTAL_HR_FC" vbProcedure="false">"c7798"</definedName>
    <definedName function="false" hidden="true" name="IQ_MAN_TOTAL_HR_POP" vbProcedure="false">"c7138"</definedName>
    <definedName function="false" hidden="true" name="IQ_MAN_TOTAL_HR_POP_FC" vbProcedure="false">"c8018"</definedName>
    <definedName function="false" hidden="true" name="IQ_MAN_TOTAL_HR_YOY" vbProcedure="false">"c7358"</definedName>
    <definedName function="false" hidden="true" name="IQ_MAN_TOTAL_HR_YOY_FC" vbProcedure="false">"c8238"</definedName>
    <definedName function="false" hidden="true" name="IQ_MAN_TRADE_INVENTORIES" vbProcedure="false">"c6910"</definedName>
    <definedName function="false" hidden="true" name="IQ_MAN_TRADE_INVENTORIES_APR" vbProcedure="false">"c7570"</definedName>
    <definedName function="false" hidden="true" name="IQ_MAN_TRADE_INVENTORIES_APR_FC" vbProcedure="false">"c8450"</definedName>
    <definedName function="false" hidden="true" name="IQ_MAN_TRADE_INVENTORIES_FC" vbProcedure="false">"c7790"</definedName>
    <definedName function="false" hidden="true" name="IQ_MAN_TRADE_INVENTORIES_POP" vbProcedure="false">"c7130"</definedName>
    <definedName function="false" hidden="true" name="IQ_MAN_TRADE_INVENTORIES_POP_FC" vbProcedure="false">"c8010"</definedName>
    <definedName function="false" hidden="true" name="IQ_MAN_TRADE_INVENTORIES_YOY" vbProcedure="false">"c7350"</definedName>
    <definedName function="false" hidden="true" name="IQ_MAN_TRADE_INVENTORIES_YOY_FC" vbProcedure="false">"c8230"</definedName>
    <definedName function="false" hidden="true" name="IQ_MAN_TRADE_IS_RATIO" vbProcedure="false">"c6909"</definedName>
    <definedName function="false" hidden="true" name="IQ_MAN_TRADE_IS_RATIO_FC" vbProcedure="false">"c7789"</definedName>
    <definedName function="false" hidden="true" name="IQ_MAN_TRADE_IS_RATIO_POP" vbProcedure="false">"c7129"</definedName>
    <definedName function="false" hidden="true" name="IQ_MAN_TRADE_IS_RATIO_POP_FC" vbProcedure="false">"c8009"</definedName>
    <definedName function="false" hidden="true" name="IQ_MAN_TRADE_IS_RATIO_YOY" vbProcedure="false">"c7349"</definedName>
    <definedName function="false" hidden="true" name="IQ_MAN_TRADE_IS_RATIO_YOY_FC" vbProcedure="false">"c8229"</definedName>
    <definedName function="false" hidden="true" name="IQ_MAN_TRADE_SALES" vbProcedure="false">"c6911"</definedName>
    <definedName function="false" hidden="true" name="IQ_MAN_TRADE_SALES_APR" vbProcedure="false">"c7571"</definedName>
    <definedName function="false" hidden="true" name="IQ_MAN_TRADE_SALES_APR_FC" vbProcedure="false">"c8451"</definedName>
    <definedName function="false" hidden="true" name="IQ_MAN_TRADE_SALES_FC" vbProcedure="false">"c7791"</definedName>
    <definedName function="false" hidden="true" name="IQ_MAN_TRADE_SALES_POP" vbProcedure="false">"c7131"</definedName>
    <definedName function="false" hidden="true" name="IQ_MAN_TRADE_SALES_POP_FC" vbProcedure="false">"c8011"</definedName>
    <definedName function="false" hidden="true" name="IQ_MAN_TRADE_SALES_YOY" vbProcedure="false">"c7351"</definedName>
    <definedName function="false" hidden="true" name="IQ_MAN_TRADE_SALES_YOY_FC" vbProcedure="false">"c8231"</definedName>
    <definedName function="false" hidden="true" name="IQ_MAN_WAGES" vbProcedure="false">"c6919"</definedName>
    <definedName function="false" hidden="true" name="IQ_MAN_WAGES_APR" vbProcedure="false">"c7579"</definedName>
    <definedName function="false" hidden="true" name="IQ_MAN_WAGES_APR_FC" vbProcedure="false">"c8459"</definedName>
    <definedName function="false" hidden="true" name="IQ_MAN_WAGES_FC" vbProcedure="false">"c7799"</definedName>
    <definedName function="false" hidden="true" name="IQ_MAN_WAGES_POP" vbProcedure="false">"c7139"</definedName>
    <definedName function="false" hidden="true" name="IQ_MAN_WAGES_POP_FC" vbProcedure="false">"c8019"</definedName>
    <definedName function="false" hidden="true" name="IQ_MAN_WAGES_YOY" vbProcedure="false">"c7359"</definedName>
    <definedName function="false" hidden="true" name="IQ_MAN_WAGES_YOY_FC" vbProcedure="false">"c8239"</definedName>
    <definedName function="false" hidden="true" name="IQ_MARGIN_ANNUAL_PREMIUM_EQUIVALENT_NEW_BUSINESS" vbProcedure="false">"c9970"</definedName>
    <definedName function="false" hidden="true" name="IQ_MARGIN_PV_PREMIUMS_NEW_BUSINESS" vbProcedure="false">"c9971"</definedName>
    <definedName function="false" hidden="true" name="IQ_MARKETCAP" vbProcedure="false">"c712"</definedName>
    <definedName function="false" hidden="true" name="IQ_MARKETING" vbProcedure="false">"c2239"</definedName>
    <definedName function="false" hidden="true" name="IQ_MARKETING_PROMOTION_EXPENSE" vbProcedure="false">"c16035"</definedName>
    <definedName function="false" hidden="true" name="IQ_MARKET_CAP_LFCF" vbProcedure="false">"c2209"</definedName>
    <definedName function="false" hidden="true" name="IQ_MATERIALS_SUPPLES_INVENTORY_COAL" vbProcedure="false">"c15942"</definedName>
    <definedName function="false" hidden="true" name="IQ_MATURITY_DATE" vbProcedure="false">"c2146"</definedName>
    <definedName function="false" hidden="true" name="IQ_MATURITY_ONE_YEAR_LESS_FDIC" vbProcedure="false">"c6425"</definedName>
    <definedName function="false" hidden="true" name="IQ_MBS_INVEST_SECURITIES_FFIEC" vbProcedure="false">"c13460"</definedName>
    <definedName function="false" hidden="true" name="IQ_MBS_OTHER_ISSUED_FNMA_OTHERS_AVAIL_SALE_FFIEC" vbProcedure="false">"c12799"</definedName>
    <definedName function="false" hidden="true" name="IQ_MBS_OTHER_ISSUED_FNMA_OTHERS_FFIEC" vbProcedure="false">"c12785"</definedName>
    <definedName function="false" hidden="true" name="IQ_MBS_PASS_THROUGH_FNMA_AVAIL_SALE_FFIEC" vbProcedure="false">"c12797"</definedName>
    <definedName function="false" hidden="true" name="IQ_MBS_PASS_THROUGH_FNMA_FFIEC" vbProcedure="false">"c12783"</definedName>
    <definedName function="false" hidden="true" name="IQ_MBS_PASS_THROUGH_GNMA_AVAIL_SALE_FFIEC" vbProcedure="false">"c12796"</definedName>
    <definedName function="false" hidden="true" name="IQ_MBS_PASS_THROUGH_GNMA_FFIEC" vbProcedure="false">"c12782"</definedName>
    <definedName function="false" hidden="true" name="IQ_MBS_PASS_THROUGH_ISSUED_FNMA_GNMA_TRADING_DOM_FFIEC" vbProcedure="false">"c12921"</definedName>
    <definedName function="false" hidden="true" name="IQ_MBS_PASS_THROUGH_OTHER_AVAIL_SALE_FFIEC" vbProcedure="false">"c12798"</definedName>
    <definedName function="false" hidden="true" name="IQ_MBS_PASS_THROUGH_OTHER_FFIEC" vbProcedure="false">"c12784"</definedName>
    <definedName function="false" hidden="true" name="IQ_MBS_QUARTERLY_AVG_FFIEC" vbProcedure="false">"c15471"</definedName>
    <definedName function="false" hidden="true" name="IQ_MC_ASO_COVERED_LIVES" vbProcedure="false">"c9918"</definedName>
    <definedName function="false" hidden="true" name="IQ_MC_ASO_MEMBERSHIP" vbProcedure="false">"c9921"</definedName>
    <definedName function="false" hidden="true" name="IQ_MC_CLAIMS_RESERVES" vbProcedure="false">"c9941"</definedName>
    <definedName function="false" hidden="true" name="IQ_MC_COMBINED_RATIO" vbProcedure="false">"c9933"</definedName>
    <definedName function="false" hidden="true" name="IQ_MC_COMMERCIAL_ASO_FEES" vbProcedure="false">"c15862"</definedName>
    <definedName function="false" hidden="true" name="IQ_MC_COMMERCIAL_NON_RISK_MEMBERS" vbProcedure="false">"c15835"</definedName>
    <definedName function="false" hidden="true" name="IQ_MC_COMMERCIAL_PREMIUMS" vbProcedure="false">"c15852"</definedName>
    <definedName function="false" hidden="true" name="IQ_MC_DAYS_CLAIMS_PAYABLE" vbProcedure="false">"c9937"</definedName>
    <definedName function="false" hidden="true" name="IQ_MC_DAYS_CLAIMS_PAYABLE_EXCL_CAPITATION" vbProcedure="false">"c9938"</definedName>
    <definedName function="false" hidden="true" name="IQ_MC_DENTAL_MEMBERS" vbProcedure="false">"c15832"</definedName>
    <definedName function="false" hidden="true" name="IQ_MC_DENTAL_PREMIUMS" vbProcedure="false">"c15858"</definedName>
    <definedName function="false" hidden="true" name="IQ_MC_HMO_MEMBERS" vbProcedure="false">"c15824"</definedName>
    <definedName function="false" hidden="true" name="IQ_MC_HMO_PREMIUMS" vbProcedure="false">"c15850"</definedName>
    <definedName function="false" hidden="true" name="IQ_MC_INDEMNITY_MEMBERS" vbProcedure="false">"c15825"</definedName>
    <definedName function="false" hidden="true" name="IQ_MC_INDEMNITY_PREMIUMS" vbProcedure="false">"c15851"</definedName>
    <definedName function="false" hidden="true" name="IQ_MC_MEDICAID_ASO_FEES" vbProcedure="false">"c15865"</definedName>
    <definedName function="false" hidden="true" name="IQ_MC_MEDICAID_MEMBERS" vbProcedure="false">"c15830"</definedName>
    <definedName function="false" hidden="true" name="IQ_MC_MEDICAID_NON_RISK_MEMBERS" vbProcedure="false">"c15838"</definedName>
    <definedName function="false" hidden="true" name="IQ_MC_MEDICAID_PREMIUMS" vbProcedure="false">"c15856"</definedName>
    <definedName function="false" hidden="true" name="IQ_MC_MEDICAL_COST" vbProcedure="false">"c15847"</definedName>
    <definedName function="false" hidden="true" name="IQ_MC_MEDICAL_COSTS_PMPM" vbProcedure="false">"c9925"</definedName>
    <definedName function="false" hidden="true" name="IQ_MC_MEDICARE_ASO_FEES" vbProcedure="false">"c15864"</definedName>
    <definedName function="false" hidden="true" name="IQ_MC_MEDICARE_MEMBERS" vbProcedure="false">"c15828"</definedName>
    <definedName function="false" hidden="true" name="IQ_MC_MEDICARE_NON_RISK_MEMBERS" vbProcedure="false">"c15837"</definedName>
    <definedName function="false" hidden="true" name="IQ_MC_MEDICARE_PART_D_MEMBERS" vbProcedure="false">"c15829"</definedName>
    <definedName function="false" hidden="true" name="IQ_MC_MEDICARE_PART_D_PREMIUMS" vbProcedure="false">"c15855"</definedName>
    <definedName function="false" hidden="true" name="IQ_MC_MEDICARE_PREMIUMS" vbProcedure="false">"c15854"</definedName>
    <definedName function="false" hidden="true" name="IQ_MC_MILITARY_ASO_FEES" vbProcedure="false">"c15863"</definedName>
    <definedName function="false" hidden="true" name="IQ_MC_MILITARY_MEMBERS" vbProcedure="false">"c15827"</definedName>
    <definedName function="false" hidden="true" name="IQ_MC_MILITARY_NON_RISK_MEMBERS" vbProcedure="false">"c15836"</definedName>
    <definedName function="false" hidden="true" name="IQ_MC_MILITARY_PREMIUMS" vbProcedure="false">"c15853"</definedName>
    <definedName function="false" hidden="true" name="IQ_MC_NET_INVESTMENT_INCOME" vbProcedure="false">"c15845"</definedName>
    <definedName function="false" hidden="true" name="IQ_MC_OTHER_REV" vbProcedure="false">"c15846"</definedName>
    <definedName function="false" hidden="true" name="IQ_MC_PARENT_CASH" vbProcedure="false">"c9942"</definedName>
    <definedName function="false" hidden="true" name="IQ_MC_PPO_POS_MEMBERS" vbProcedure="false">"c15823"</definedName>
    <definedName function="false" hidden="true" name="IQ_MC_PPO_POS_PREMIUMS" vbProcedure="false">"c15849"</definedName>
    <definedName function="false" hidden="true" name="IQ_MC_PREMIUMS" vbProcedure="false">"c15861"</definedName>
    <definedName function="false" hidden="true" name="IQ_MC_PREMIUMS_PMPM" vbProcedure="false">"c9924"</definedName>
    <definedName function="false" hidden="true" name="IQ_MC_RATIO" vbProcedure="false">"c2783"</definedName>
    <definedName function="false" hidden="true" name="IQ_MC_RECEIPT_CYCLE_TIME_DAYS" vbProcedure="false">"c9939"</definedName>
    <definedName function="false" hidden="true" name="IQ_MC_RECEIPT_CYCLE_TIME_MONTHS" vbProcedure="false">"c9940"</definedName>
    <definedName function="false" hidden="true" name="IQ_MC_RISK_COVERED_LIVES" vbProcedure="false">"c9917"</definedName>
    <definedName function="false" hidden="true" name="IQ_MC_RISK_MEMBERSHIP" vbProcedure="false">"c9920"</definedName>
    <definedName function="false" hidden="true" name="IQ_MC_SELLILNG_COSTS_RATIO" vbProcedure="false">"c9928"</definedName>
    <definedName function="false" hidden="true" name="IQ_MC_SGA_PMPM" vbProcedure="false">"c9926"</definedName>
    <definedName function="false" hidden="true" name="IQ_MC_SPECIALTY_ASO_FEES" vbProcedure="false">"c15867"</definedName>
    <definedName function="false" hidden="true" name="IQ_MC_SPECIALTY_NON_RISK_MEMBERS" vbProcedure="false">"c15840"</definedName>
    <definedName function="false" hidden="true" name="IQ_MC_STATUTORY_SURPLUS" vbProcedure="false">"c2772"</definedName>
    <definedName function="false" hidden="true" name="IQ_MC_TANGIBLE_EQUITY_MEDICAL_COST" vbProcedure="false">"c15848"</definedName>
    <definedName function="false" hidden="true" name="IQ_MC_TANGIBLE_EQUITY_PER_MEMBER" vbProcedure="false">"c15843"</definedName>
    <definedName function="false" hidden="true" name="IQ_MC_TOTAL_ASO_FEES" vbProcedure="false">"c15868"</definedName>
    <definedName function="false" hidden="true" name="IQ_MC_TOTAL_COMMERCIAL_MEMBERS" vbProcedure="false">"c15826"</definedName>
    <definedName function="false" hidden="true" name="IQ_MC_TOTAL_COVERED_LIVES" vbProcedure="false">"c9919"</definedName>
    <definedName function="false" hidden="true" name="IQ_MC_TOTAL_EQUITY_PER_MEMBER" vbProcedure="false">"c15842"</definedName>
    <definedName function="false" hidden="true" name="IQ_MC_TOTAL_GOVT_ASO_FEES" vbProcedure="false">"c15866"</definedName>
    <definedName function="false" hidden="true" name="IQ_MC_TOTAL_GOVT_MEMBERS" vbProcedure="false">"c15831"</definedName>
    <definedName function="false" hidden="true" name="IQ_MC_TOTAL_GOVT_NON_RISK_MEMBERS" vbProcedure="false">"c15839"</definedName>
    <definedName function="false" hidden="true" name="IQ_MC_TOTAL_GOVT_PREMIUMS" vbProcedure="false">"c15857"</definedName>
    <definedName function="false" hidden="true" name="IQ_MC_TOTAL_MEMBERSHIP" vbProcedure="false">"c9922"</definedName>
    <definedName function="false" hidden="true" name="IQ_MC_TOTAL_MEMBERSHIP_CAPITATION" vbProcedure="false">"c9923"</definedName>
    <definedName function="false" hidden="true" name="IQ_MC_TOTAL_OTHER_MEMBERS" vbProcedure="false">"c15833"</definedName>
    <definedName function="false" hidden="true" name="IQ_MC_TOTAL_OTHER_PREMIUMS" vbProcedure="false">"c15859"</definedName>
    <definedName function="false" hidden="true" name="IQ_MC_TOTAL_RESERVES_PER_MEMBER" vbProcedure="false">"c15844"</definedName>
    <definedName function="false" hidden="true" name="IQ_MC_TOTAL_SEPCIALTY_MEMBERS" vbProcedure="false">"c15834"</definedName>
    <definedName function="false" hidden="true" name="IQ_MC_TOTAL_SEPCIALTY_PREMIUMS" vbProcedure="false">"c15860"</definedName>
    <definedName function="false" hidden="true" name="IQ_MC_TOTAL_STATUTORY_CAPITAL_SURPLUS_PER_MEMBER" vbProcedure="false">"c15841"</definedName>
    <definedName function="false" hidden="true" name="IQ_MC_UNPROCESSED_CLAIMS_INVENTORY_DAYS" vbProcedure="false">"c9936"</definedName>
    <definedName function="false" hidden="true" name="IQ_MC_UNPROCESSED_CLAIMS_INVENTORY_NUMBER" vbProcedure="false">"c9934"</definedName>
    <definedName function="false" hidden="true" name="IQ_MC_UNPROCESSED_CLAIMS_INVENTORY_VALUE" vbProcedure="false">"c9935"</definedName>
    <definedName function="false" hidden="true" name="IQ_MEASURED_ATTRIB_ORE_RESOURCES_ALUM" vbProcedure="false">"c9237"</definedName>
    <definedName function="false" hidden="true" name="IQ_MEASURED_ATTRIB_ORE_RESOURCES_COP" vbProcedure="false">"c9181"</definedName>
    <definedName function="false" hidden="true" name="IQ_MEASURED_ATTRIB_ORE_RESOURCES_DIAM" vbProcedure="false">"c9661"</definedName>
    <definedName function="false" hidden="true" name="IQ_MEASURED_ATTRIB_ORE_RESOURCES_GOLD" vbProcedure="false">"c9022"</definedName>
    <definedName function="false" hidden="true" name="IQ_MEASURED_ATTRIB_ORE_RESOURCES_IRON" vbProcedure="false">"c9396"</definedName>
    <definedName function="false" hidden="true" name="IQ_MEASURED_ATTRIB_ORE_RESOURCES_LEAD" vbProcedure="false">"c9449"</definedName>
    <definedName function="false" hidden="true" name="IQ_MEASURED_ATTRIB_ORE_RESOURCES_MANG" vbProcedure="false">"c9502"</definedName>
    <definedName function="false" hidden="true" name="IQ_MEASURED_ATTRIB_ORE_RESOURCES_MOLYB" vbProcedure="false">"c9714"</definedName>
    <definedName function="false" hidden="true" name="IQ_MEASURED_ATTRIB_ORE_RESOURCES_NICK" vbProcedure="false">"c9290"</definedName>
    <definedName function="false" hidden="true" name="IQ_MEASURED_ATTRIB_ORE_RESOURCES_PLAT" vbProcedure="false">"c9128"</definedName>
    <definedName function="false" hidden="true" name="IQ_MEASURED_ATTRIB_ORE_RESOURCES_SILVER" vbProcedure="false">"c9075"</definedName>
    <definedName function="false" hidden="true" name="IQ_MEASURED_ATTRIB_ORE_RESOURCES_TITAN" vbProcedure="false">"c9555"</definedName>
    <definedName function="false" hidden="true" name="IQ_MEASURED_ATTRIB_ORE_RESOURCES_URAN" vbProcedure="false">"c9608"</definedName>
    <definedName function="false" hidden="true" name="IQ_MEASURED_ATTRIB_ORE_RESOURCES_ZINC" vbProcedure="false">"c9343"</definedName>
    <definedName function="false" hidden="true" name="IQ_MEASURED_INDICATED_ATTRIB_ORE_RESOURCES_ALUM" vbProcedure="false">"c9239"</definedName>
    <definedName function="false" hidden="true" name="IQ_MEASURED_INDICATED_ATTRIB_ORE_RESOURCES_COP" vbProcedure="false">"c9183"</definedName>
    <definedName function="false" hidden="true" name="IQ_MEASURED_INDICATED_ATTRIB_ORE_RESOURCES_DIAM" vbProcedure="false">"c9663"</definedName>
    <definedName function="false" hidden="true" name="IQ_MEASURED_INDICATED_ATTRIB_ORE_RESOURCES_GOLD" vbProcedure="false">"c9024"</definedName>
    <definedName function="false" hidden="true" name="IQ_MEASURED_INDICATED_ATTRIB_ORE_RESOURCES_IRON" vbProcedure="false">"c9398"</definedName>
    <definedName function="false" hidden="true" name="IQ_MEASURED_INDICATED_ATTRIB_ORE_RESOURCES_LEAD" vbProcedure="false">"c9451"</definedName>
    <definedName function="false" hidden="true" name="IQ_MEASURED_INDICATED_ATTRIB_ORE_RESOURCES_MANG" vbProcedure="false">"c9504"</definedName>
    <definedName function="false" hidden="true" name="IQ_MEASURED_INDICATED_ATTRIB_ORE_RESOURCES_MOLYB" vbProcedure="false">"c9716"</definedName>
    <definedName function="false" hidden="true" name="IQ_MEASURED_INDICATED_ATTRIB_ORE_RESOURCES_NICK" vbProcedure="false">"c9292"</definedName>
    <definedName function="false" hidden="true" name="IQ_MEASURED_INDICATED_ATTRIB_ORE_RESOURCES_PLAT" vbProcedure="false">"c9130"</definedName>
    <definedName function="false" hidden="true" name="IQ_MEASURED_INDICATED_ATTRIB_ORE_RESOURCES_SILVER" vbProcedure="false">"c9077"</definedName>
    <definedName function="false" hidden="true" name="IQ_MEASURED_INDICATED_ATTRIB_ORE_RESOURCES_TITAN" vbProcedure="false">"c9557"</definedName>
    <definedName function="false" hidden="true" name="IQ_MEASURED_INDICATED_ATTRIB_ORE_RESOURCES_URAN" vbProcedure="false">"c9610"</definedName>
    <definedName function="false" hidden="true" name="IQ_MEASURED_INDICATED_ATTRIB_ORE_RESOURCES_ZINC" vbProcedure="false">"c9345"</definedName>
    <definedName function="false" hidden="true" name="IQ_MEASURED_INDICATED_ORE_RESOURCES_ALUM" vbProcedure="false">"c9226"</definedName>
    <definedName function="false" hidden="true" name="IQ_MEASURED_INDICATED_ORE_RESOURCES_COP" vbProcedure="false">"c9170"</definedName>
    <definedName function="false" hidden="true" name="IQ_MEASURED_INDICATED_ORE_RESOURCES_DIAM" vbProcedure="false">"c9650"</definedName>
    <definedName function="false" hidden="true" name="IQ_MEASURED_INDICATED_ORE_RESOURCES_GOLD" vbProcedure="false">"c9011"</definedName>
    <definedName function="false" hidden="true" name="IQ_MEASURED_INDICATED_ORE_RESOURCES_IRON" vbProcedure="false">"c9385"</definedName>
    <definedName function="false" hidden="true" name="IQ_MEASURED_INDICATED_ORE_RESOURCES_LEAD" vbProcedure="false">"c9438"</definedName>
    <definedName function="false" hidden="true" name="IQ_MEASURED_INDICATED_ORE_RESOURCES_MANG" vbProcedure="false">"c9491"</definedName>
    <definedName function="false" hidden="true" name="IQ_MEASURED_INDICATED_ORE_RESOURCES_MOLYB" vbProcedure="false">"c9703"</definedName>
    <definedName function="false" hidden="true" name="IQ_MEASURED_INDICATED_ORE_RESOURCES_NICK" vbProcedure="false">"c9279"</definedName>
    <definedName function="false" hidden="true" name="IQ_MEASURED_INDICATED_ORE_RESOURCES_PLAT" vbProcedure="false">"c9117"</definedName>
    <definedName function="false" hidden="true" name="IQ_MEASURED_INDICATED_ORE_RESOURCES_SILVER" vbProcedure="false">"c9064"</definedName>
    <definedName function="false" hidden="true" name="IQ_MEASURED_INDICATED_ORE_RESOURCES_TITAN" vbProcedure="false">"c9544"</definedName>
    <definedName function="false" hidden="true" name="IQ_MEASURED_INDICATED_ORE_RESOURCES_URAN" vbProcedure="false">"c9597"</definedName>
    <definedName function="false" hidden="true" name="IQ_MEASURED_INDICATED_ORE_RESOURCES_ZINC" vbProcedure="false">"c9332"</definedName>
    <definedName function="false" hidden="true" name="IQ_MEASURED_INDICATED_RECOV_RESOURCES_ALUM" vbProcedure="false">"c9234"</definedName>
    <definedName function="false" hidden="true" name="IQ_MEASURED_INDICATED_RECOV_RESOURCES_COAL" vbProcedure="false">"c9813"</definedName>
    <definedName function="false" hidden="true" name="IQ_MEASURED_INDICATED_RECOV_RESOURCES_COP" vbProcedure="false">"c9178"</definedName>
    <definedName function="false" hidden="true" name="IQ_MEASURED_INDICATED_RECOV_RESOURCES_DIAM" vbProcedure="false">"c9658"</definedName>
    <definedName function="false" hidden="true" name="IQ_MEASURED_INDICATED_RECOV_RESOURCES_GOLD" vbProcedure="false">"c9019"</definedName>
    <definedName function="false" hidden="true" name="IQ_MEASURED_INDICATED_RECOV_RESOURCES_IRON" vbProcedure="false">"c9393"</definedName>
    <definedName function="false" hidden="true" name="IQ_MEASURED_INDICATED_RECOV_RESOURCES_LEAD" vbProcedure="false">"c9446"</definedName>
    <definedName function="false" hidden="true" name="IQ_MEASURED_INDICATED_RECOV_RESOURCES_MANG" vbProcedure="false">"c9499"</definedName>
    <definedName function="false" hidden="true" name="IQ_MEASURED_INDICATED_RECOV_RESOURCES_MET_COAL" vbProcedure="false">"c9753"</definedName>
    <definedName function="false" hidden="true" name="IQ_MEASURED_INDICATED_RECOV_RESOURCES_MOLYB" vbProcedure="false">"c9711"</definedName>
    <definedName function="false" hidden="true" name="IQ_MEASURED_INDICATED_RECOV_RESOURCES_NICK" vbProcedure="false">"c9287"</definedName>
    <definedName function="false" hidden="true" name="IQ_MEASURED_INDICATED_RECOV_RESOURCES_PLAT" vbProcedure="false">"c9125"</definedName>
    <definedName function="false" hidden="true" name="IQ_MEASURED_INDICATED_RECOV_RESOURCES_SILVER" vbProcedure="false">"c9072"</definedName>
    <definedName function="false" hidden="true" name="IQ_MEASURED_INDICATED_RECOV_RESOURCES_STEAM" vbProcedure="false">"c9783"</definedName>
    <definedName function="false" hidden="true" name="IQ_MEASURED_INDICATED_RECOV_RESOURCES_TITAN" vbProcedure="false">"c9552"</definedName>
    <definedName function="false" hidden="true" name="IQ_MEASURED_INDICATED_RECOV_RESOURCES_URAN" vbProcedure="false">"c9605"</definedName>
    <definedName function="false" hidden="true" name="IQ_MEASURED_INDICATED_RECOV_RESOURCES_ZINC" vbProcedure="false">"c9340"</definedName>
    <definedName function="false" hidden="true" name="IQ_MEASURED_INDICATED_RESOURCES_GRADE_ALUM" vbProcedure="false">"c9227"</definedName>
    <definedName function="false" hidden="true" name="IQ_MEASURED_INDICATED_RESOURCES_GRADE_COP" vbProcedure="false">"c9171"</definedName>
    <definedName function="false" hidden="true" name="IQ_MEASURED_INDICATED_RESOURCES_GRADE_DIAM" vbProcedure="false">"c9651"</definedName>
    <definedName function="false" hidden="true" name="IQ_MEASURED_INDICATED_RESOURCES_GRADE_GOLD" vbProcedure="false">"c9012"</definedName>
    <definedName function="false" hidden="true" name="IQ_MEASURED_INDICATED_RESOURCES_GRADE_IRON" vbProcedure="false">"c9386"</definedName>
    <definedName function="false" hidden="true" name="IQ_MEASURED_INDICATED_RESOURCES_GRADE_LEAD" vbProcedure="false">"c9439"</definedName>
    <definedName function="false" hidden="true" name="IQ_MEASURED_INDICATED_RESOURCES_GRADE_MANG" vbProcedure="false">"c9492"</definedName>
    <definedName function="false" hidden="true" name="IQ_MEASURED_INDICATED_RESOURCES_GRADE_MOLYB" vbProcedure="false">"c9704"</definedName>
    <definedName function="false" hidden="true" name="IQ_MEASURED_INDICATED_RESOURCES_GRADE_NICK" vbProcedure="false">"c9280"</definedName>
    <definedName function="false" hidden="true" name="IQ_MEASURED_INDICATED_RESOURCES_GRADE_PLAT" vbProcedure="false">"c9118"</definedName>
    <definedName function="false" hidden="true" name="IQ_MEASURED_INDICATED_RESOURCES_GRADE_SILVER" vbProcedure="false">"c9065"</definedName>
    <definedName function="false" hidden="true" name="IQ_MEASURED_INDICATED_RESOURCES_GRADE_TITAN" vbProcedure="false">"c9545"</definedName>
    <definedName function="false" hidden="true" name="IQ_MEASURED_INDICATED_RESOURCES_GRADE_URAN" vbProcedure="false">"c9598"</definedName>
    <definedName function="false" hidden="true" name="IQ_MEASURED_INDICATED_RESOURCES_GRADE_ZINC" vbProcedure="false">"c9333"</definedName>
    <definedName function="false" hidden="true" name="IQ_MEASURED_ORE_RESOURCES_ALUM" vbProcedure="false">"c9222"</definedName>
    <definedName function="false" hidden="true" name="IQ_MEASURED_ORE_RESOURCES_COP" vbProcedure="false">"c9166"</definedName>
    <definedName function="false" hidden="true" name="IQ_MEASURED_ORE_RESOURCES_DIAM" vbProcedure="false">"c9646"</definedName>
    <definedName function="false" hidden="true" name="IQ_MEASURED_ORE_RESOURCES_GOLD" vbProcedure="false">"c9007"</definedName>
    <definedName function="false" hidden="true" name="IQ_MEASURED_ORE_RESOURCES_IRON" vbProcedure="false">"c9381"</definedName>
    <definedName function="false" hidden="true" name="IQ_MEASURED_ORE_RESOURCES_LEAD" vbProcedure="false">"c9434"</definedName>
    <definedName function="false" hidden="true" name="IQ_MEASURED_ORE_RESOURCES_MANG" vbProcedure="false">"c9487"</definedName>
    <definedName function="false" hidden="true" name="IQ_MEASURED_ORE_RESOURCES_MOLYB" vbProcedure="false">"c9699"</definedName>
    <definedName function="false" hidden="true" name="IQ_MEASURED_ORE_RESOURCES_NICK" vbProcedure="false">"c9275"</definedName>
    <definedName function="false" hidden="true" name="IQ_MEASURED_ORE_RESOURCES_PLAT" vbProcedure="false">"c9113"</definedName>
    <definedName function="false" hidden="true" name="IQ_MEASURED_ORE_RESOURCES_SILVER" vbProcedure="false">"c9060"</definedName>
    <definedName function="false" hidden="true" name="IQ_MEASURED_ORE_RESOURCES_TITAN" vbProcedure="false">"c9540"</definedName>
    <definedName function="false" hidden="true" name="IQ_MEASURED_ORE_RESOURCES_URAN" vbProcedure="false">"c9593"</definedName>
    <definedName function="false" hidden="true" name="IQ_MEASURED_ORE_RESOURCES_ZINC" vbProcedure="false">"c9328"</definedName>
    <definedName function="false" hidden="true" name="IQ_MEASURED_RECOV_ATTRIB_RESOURCES_ALUM" vbProcedure="false">"c9242"</definedName>
    <definedName function="false" hidden="true" name="IQ_MEASURED_RECOV_ATTRIB_RESOURCES_COAL" vbProcedure="false">"c9816"</definedName>
    <definedName function="false" hidden="true" name="IQ_MEASURED_RECOV_ATTRIB_RESOURCES_COP" vbProcedure="false">"c9186"</definedName>
    <definedName function="false" hidden="true" name="IQ_MEASURED_RECOV_ATTRIB_RESOURCES_DIAM" vbProcedure="false">"c9666"</definedName>
    <definedName function="false" hidden="true" name="IQ_MEASURED_RECOV_ATTRIB_RESOURCES_GOLD" vbProcedure="false">"c9027"</definedName>
    <definedName function="false" hidden="true" name="IQ_MEASURED_RECOV_ATTRIB_RESOURCES_IRON" vbProcedure="false">"c9401"</definedName>
    <definedName function="false" hidden="true" name="IQ_MEASURED_RECOV_ATTRIB_RESOURCES_LEAD" vbProcedure="false">"c9454"</definedName>
    <definedName function="false" hidden="true" name="IQ_MEASURED_RECOV_ATTRIB_RESOURCES_MANG" vbProcedure="false">"c9507"</definedName>
    <definedName function="false" hidden="true" name="IQ_MEASURED_RECOV_ATTRIB_RESOURCES_MET_COAL" vbProcedure="false">"c9756"</definedName>
    <definedName function="false" hidden="true" name="IQ_MEASURED_RECOV_ATTRIB_RESOURCES_MOLYB" vbProcedure="false">"c9719"</definedName>
    <definedName function="false" hidden="true" name="IQ_MEASURED_RECOV_ATTRIB_RESOURCES_NICK" vbProcedure="false">"c9295"</definedName>
    <definedName function="false" hidden="true" name="IQ_MEASURED_RECOV_ATTRIB_RESOURCES_PLAT" vbProcedure="false">"c9133"</definedName>
    <definedName function="false" hidden="true" name="IQ_MEASURED_RECOV_ATTRIB_RESOURCES_SILVER" vbProcedure="false">"c9080"</definedName>
    <definedName function="false" hidden="true" name="IQ_MEASURED_RECOV_ATTRIB_RESOURCES_STEAM" vbProcedure="false">"c9786"</definedName>
    <definedName function="false" hidden="true" name="IQ_MEASURED_RECOV_ATTRIB_RESOURCES_TITAN" vbProcedure="false">"c9560"</definedName>
    <definedName function="false" hidden="true" name="IQ_MEASURED_RECOV_ATTRIB_RESOURCES_URAN" vbProcedure="false">"c9613"</definedName>
    <definedName function="false" hidden="true" name="IQ_MEASURED_RECOV_ATTRIB_RESOURCES_ZINC" vbProcedure="false">"c9348"</definedName>
    <definedName function="false" hidden="true" name="IQ_MEASURED_RECOV_RESOURCES_ALUM" vbProcedure="false">"c9232"</definedName>
    <definedName function="false" hidden="true" name="IQ_MEASURED_RECOV_RESOURCES_COAL" vbProcedure="false">"c9811"</definedName>
    <definedName function="false" hidden="true" name="IQ_MEASURED_RECOV_RESOURCES_COP" vbProcedure="false">"c9176"</definedName>
    <definedName function="false" hidden="true" name="IQ_MEASURED_RECOV_RESOURCES_DIAM" vbProcedure="false">"c9656"</definedName>
    <definedName function="false" hidden="true" name="IQ_MEASURED_RECOV_RESOURCES_GOLD" vbProcedure="false">"c9017"</definedName>
    <definedName function="false" hidden="true" name="IQ_MEASURED_RECOV_RESOURCES_IRON" vbProcedure="false">"c9391"</definedName>
    <definedName function="false" hidden="true" name="IQ_MEASURED_RECOV_RESOURCES_LEAD" vbProcedure="false">"c9444"</definedName>
    <definedName function="false" hidden="true" name="IQ_MEASURED_RECOV_RESOURCES_MANG" vbProcedure="false">"c9497"</definedName>
    <definedName function="false" hidden="true" name="IQ_MEASURED_RECOV_RESOURCES_MET_COAL" vbProcedure="false">"c9751"</definedName>
    <definedName function="false" hidden="true" name="IQ_MEASURED_RECOV_RESOURCES_MOLYB" vbProcedure="false">"c9709"</definedName>
    <definedName function="false" hidden="true" name="IQ_MEASURED_RECOV_RESOURCES_NICK" vbProcedure="false">"c9285"</definedName>
    <definedName function="false" hidden="true" name="IQ_MEASURED_RECOV_RESOURCES_PLAT" vbProcedure="false">"c9123"</definedName>
    <definedName function="false" hidden="true" name="IQ_MEASURED_RECOV_RESOURCES_SILVER" vbProcedure="false">"c9070"</definedName>
    <definedName function="false" hidden="true" name="IQ_MEASURED_RECOV_RESOURCES_STEAM" vbProcedure="false">"c9781"</definedName>
    <definedName function="false" hidden="true" name="IQ_MEASURED_RECOV_RESOURCES_TITAN" vbProcedure="false">"c9550"</definedName>
    <definedName function="false" hidden="true" name="IQ_MEASURED_RECOV_RESOURCES_URAN" vbProcedure="false">"c9603"</definedName>
    <definedName function="false" hidden="true" name="IQ_MEASURED_RECOV_RESOURCES_ZINC" vbProcedure="false">"c9338"</definedName>
    <definedName function="false" hidden="true" name="IQ_MEASURED_RESOURCES_CALORIFIC_VALUE_COAL" vbProcedure="false">"c9806"</definedName>
    <definedName function="false" hidden="true" name="IQ_MEASURED_RESOURCES_CALORIFIC_VALUE_MET_COAL" vbProcedure="false">"c9746"</definedName>
    <definedName function="false" hidden="true" name="IQ_MEASURED_RESOURCES_CALORIFIC_VALUE_STEAM" vbProcedure="false">"c9776"</definedName>
    <definedName function="false" hidden="true" name="IQ_MEASURED_RESOURCES_GRADE_ALUM" vbProcedure="false">"c9223"</definedName>
    <definedName function="false" hidden="true" name="IQ_MEASURED_RESOURCES_GRADE_COP" vbProcedure="false">"c9167"</definedName>
    <definedName function="false" hidden="true" name="IQ_MEASURED_RESOURCES_GRADE_DIAM" vbProcedure="false">"c9647"</definedName>
    <definedName function="false" hidden="true" name="IQ_MEASURED_RESOURCES_GRADE_GOLD" vbProcedure="false">"c9008"</definedName>
    <definedName function="false" hidden="true" name="IQ_MEASURED_RESOURCES_GRADE_IRON" vbProcedure="false">"c9382"</definedName>
    <definedName function="false" hidden="true" name="IQ_MEASURED_RESOURCES_GRADE_LEAD" vbProcedure="false">"c9435"</definedName>
    <definedName function="false" hidden="true" name="IQ_MEASURED_RESOURCES_GRADE_MANG" vbProcedure="false">"c9488"</definedName>
    <definedName function="false" hidden="true" name="IQ_MEASURED_RESOURCES_GRADE_MOLYB" vbProcedure="false">"c9700"</definedName>
    <definedName function="false" hidden="true" name="IQ_MEASURED_RESOURCES_GRADE_NICK" vbProcedure="false">"c9276"</definedName>
    <definedName function="false" hidden="true" name="IQ_MEASURED_RESOURCES_GRADE_PLAT" vbProcedure="false">"c9114"</definedName>
    <definedName function="false" hidden="true" name="IQ_MEASURED_RESOURCES_GRADE_SILVER" vbProcedure="false">"c9061"</definedName>
    <definedName function="false" hidden="true" name="IQ_MEASURED_RESOURCES_GRADE_TITAN" vbProcedure="false">"c9541"</definedName>
    <definedName function="false" hidden="true" name="IQ_MEASURED_RESOURCES_GRADE_URAN" vbProcedure="false">"c9594"</definedName>
    <definedName function="false" hidden="true" name="IQ_MEASURED_RESOURCES_GRADE_ZINC" vbProcedure="false">"c9329"</definedName>
    <definedName function="false" hidden="true" name="IQ_MEDIAN_NEW_HOME_SALES_APR_FC_UNUSED" vbProcedure="false">"c8460"</definedName>
    <definedName function="false" hidden="true" name="IQ_MEDIAN_NEW_HOME_SALES_APR_UNUSED" vbProcedure="false">"c7580"</definedName>
    <definedName function="false" hidden="true" name="IQ_MEDIAN_NEW_HOME_SALES_FC_UNUSED" vbProcedure="false">"c7800"</definedName>
    <definedName function="false" hidden="true" name="IQ_MEDIAN_NEW_HOME_SALES_POP_FC_UNUSED" vbProcedure="false">"c8020"</definedName>
    <definedName function="false" hidden="true" name="IQ_MEDIAN_NEW_HOME_SALES_POP_UNUSED" vbProcedure="false">"c7140"</definedName>
    <definedName function="false" hidden="true" name="IQ_MEDIAN_NEW_HOME_SALES_UNUSED" vbProcedure="false">"c6920"</definedName>
    <definedName function="false" hidden="true" name="IQ_MEDIAN_NEW_HOME_SALES_YOY_FC_UNUSED" vbProcedure="false">"c8240"</definedName>
    <definedName function="false" hidden="true" name="IQ_MEDIAN_NEW_HOME_SALES_YOY_UNUSED" vbProcedure="false">"c7360"</definedName>
    <definedName function="false" hidden="true" name="IQ_MEDIAN_TARGET_PRICE" vbProcedure="false">"c1650"</definedName>
    <definedName function="false" hidden="true" name="IQ_MEDIAN_TARGET_PRICE_CIQ" vbProcedure="false">"c4658"</definedName>
    <definedName function="false" hidden="true" name="IQ_MEDIAN_TARGET_PRICE_REUT" vbProcedure="false">"c5316"</definedName>
    <definedName function="false" hidden="true" name="IQ_MEDIAN_TARGET_PRICE_THOM" vbProcedure="false">"c5095"</definedName>
    <definedName function="false" hidden="true" name="IQ_MEDIUM_SULFURE_RESERVES_TO_TOTAL_RESERVES_COAL" vbProcedure="false">"c15962"</definedName>
    <definedName function="false" hidden="true" name="IQ_MEDIUM_SULFUR_CONTENT_RESERVES_COAL" vbProcedure="false">"c15926"</definedName>
    <definedName function="false" hidden="true" name="IQ_MERGER" vbProcedure="false">"c713"</definedName>
    <definedName function="false" hidden="true" name="IQ_MERGER_BNK" vbProcedure="false">"c714"</definedName>
    <definedName function="false" hidden="true" name="IQ_MERGER_BR" vbProcedure="false">"c715"</definedName>
    <definedName function="false" hidden="true" name="IQ_MERGER_FIN" vbProcedure="false">"c716"</definedName>
    <definedName function="false" hidden="true" name="IQ_MERGER_INS" vbProcedure="false">"c717"</definedName>
    <definedName function="false" hidden="true" name="IQ_MERGER_RE" vbProcedure="false">"c6235"</definedName>
    <definedName function="false" hidden="true" name="IQ_MERGER_REIT" vbProcedure="false">"c718"</definedName>
    <definedName function="false" hidden="true" name="IQ_MERGER_RESTRUCTURE" vbProcedure="false">"c719"</definedName>
    <definedName function="false" hidden="true" name="IQ_MERGER_RESTRUCTURE_BNK" vbProcedure="false">"c720"</definedName>
    <definedName function="false" hidden="true" name="IQ_MERGER_RESTRUCTURE_BR" vbProcedure="false">"c721"</definedName>
    <definedName function="false" hidden="true" name="IQ_MERGER_RESTRUCTURE_FIN" vbProcedure="false">"c722"</definedName>
    <definedName function="false" hidden="true" name="IQ_MERGER_RESTRUCTURE_INS" vbProcedure="false">"c723"</definedName>
    <definedName function="false" hidden="true" name="IQ_MERGER_RESTRUCTURE_RE" vbProcedure="false">"c6236"</definedName>
    <definedName function="false" hidden="true" name="IQ_MERGER_RESTRUCTURE_REIT" vbProcedure="false">"c724"</definedName>
    <definedName function="false" hidden="true" name="IQ_MERGER_RESTRUCTURE_UTI" vbProcedure="false">"c725"</definedName>
    <definedName function="false" hidden="true" name="IQ_MERGER_SUPPLE" vbProcedure="false">"c13810"</definedName>
    <definedName function="false" hidden="true" name="IQ_MERGER_UTI" vbProcedure="false">"c726"</definedName>
    <definedName function="false" hidden="true" name="IQ_MILES_PASSED" vbProcedure="false">"c2848"</definedName>
    <definedName function="false" hidden="true" name="IQ_MINE_DEVELOPMENT_GROSS_COAL" vbProcedure="false">"c15940"</definedName>
    <definedName function="false" hidden="true" name="IQ_MINORITY_INTEREST" vbProcedure="false">"c727"</definedName>
    <definedName function="false" hidden="true" name="IQ_MINORITY_INTEREST_BNK" vbProcedure="false">"c728"</definedName>
    <definedName function="false" hidden="true" name="IQ_MINORITY_INTEREST_BR" vbProcedure="false">"c729"</definedName>
    <definedName function="false" hidden="true" name="IQ_MINORITY_INTEREST_CF" vbProcedure="false">"c730"</definedName>
    <definedName function="false" hidden="true" name="IQ_MINORITY_INTEREST_FIN" vbProcedure="false">"c731"</definedName>
    <definedName function="false" hidden="true" name="IQ_MINORITY_INTEREST_INS" vbProcedure="false">"c732"</definedName>
    <definedName function="false" hidden="true" name="IQ_MINORITY_INTEREST_IS" vbProcedure="false">"c733"</definedName>
    <definedName function="false" hidden="true" name="IQ_MINORITY_INTEREST_RE" vbProcedure="false">"c6237"</definedName>
    <definedName function="false" hidden="true" name="IQ_MINORITY_INTEREST_REIT" vbProcedure="false">"c734"</definedName>
    <definedName function="false" hidden="true" name="IQ_MINORITY_INTEREST_TOTAL" vbProcedure="false">"c1905"</definedName>
    <definedName function="false" hidden="true" name="IQ_MINORITY_INTEREST_UTI" vbProcedure="false">"c735"</definedName>
    <definedName function="false" hidden="true" name="IQ_MINORITY_INT_AVG_ASSETS_FFIEC" vbProcedure="false">"c13367"</definedName>
    <definedName function="false" hidden="true" name="IQ_MINORITY_INT_BS_FFIEC" vbProcedure="false">"c12874"</definedName>
    <definedName function="false" hidden="true" name="IQ_MINORITY_INT_FFIEC" vbProcedure="false">"c13031"</definedName>
    <definedName function="false" hidden="true" name="IQ_MINTUTES_USED_LOCAL" vbProcedure="false">"c15808"</definedName>
    <definedName function="false" hidden="true" name="IQ_MINTUTES_USED_LONG_DIST" vbProcedure="false">"c15809"</definedName>
    <definedName function="false" hidden="true" name="IQ_MIN_USE_PER_SUB" vbProcedure="false">"c15764"</definedName>
    <definedName function="false" hidden="true" name="IQ_MISC_ADJUST_CF" vbProcedure="false">"c736"</definedName>
    <definedName function="false" hidden="true" name="IQ_MISC_EARN_ADJ" vbProcedure="false">"c1603"</definedName>
    <definedName function="false" hidden="true" name="IQ_MI_RECOV_ATTRIB_RESOURCES_ALUM" vbProcedure="false">"c9244"</definedName>
    <definedName function="false" hidden="true" name="IQ_MI_RECOV_ATTRIB_RESOURCES_COAL" vbProcedure="false">"c9818"</definedName>
    <definedName function="false" hidden="true" name="IQ_MI_RECOV_ATTRIB_RESOURCES_COP" vbProcedure="false">"c9188"</definedName>
    <definedName function="false" hidden="true" name="IQ_MI_RECOV_ATTRIB_RESOURCES_DIAM" vbProcedure="false">"c9668"</definedName>
    <definedName function="false" hidden="true" name="IQ_MI_RECOV_ATTRIB_RESOURCES_GOLD" vbProcedure="false">"c9029"</definedName>
    <definedName function="false" hidden="true" name="IQ_MI_RECOV_ATTRIB_RESOURCES_IRON" vbProcedure="false">"c9403"</definedName>
    <definedName function="false" hidden="true" name="IQ_MI_RECOV_ATTRIB_RESOURCES_LEAD" vbProcedure="false">"c9456"</definedName>
    <definedName function="false" hidden="true" name="IQ_MI_RECOV_ATTRIB_RESOURCES_MANG" vbProcedure="false">"c9509"</definedName>
    <definedName function="false" hidden="true" name="IQ_MI_RECOV_ATTRIB_RESOURCES_MET_COAL" vbProcedure="false">"c9758"</definedName>
    <definedName function="false" hidden="true" name="IQ_MI_RECOV_ATTRIB_RESOURCES_MOLYB" vbProcedure="false">"c9721"</definedName>
    <definedName function="false" hidden="true" name="IQ_MI_RECOV_ATTRIB_RESOURCES_NICK" vbProcedure="false">"c9297"</definedName>
    <definedName function="false" hidden="true" name="IQ_MI_RECOV_ATTRIB_RESOURCES_PLAT" vbProcedure="false">"c9135"</definedName>
    <definedName function="false" hidden="true" name="IQ_MI_RECOV_ATTRIB_RESOURCES_SILVER" vbProcedure="false">"c9082"</definedName>
    <definedName function="false" hidden="true" name="IQ_MI_RECOV_ATTRIB_RESOURCES_STEAM" vbProcedure="false">"c9788"</definedName>
    <definedName function="false" hidden="true" name="IQ_MI_RECOV_ATTRIB_RESOURCES_TITAN" vbProcedure="false">"c9562"</definedName>
    <definedName function="false" hidden="true" name="IQ_MI_RECOV_ATTRIB_RESOURCES_URAN" vbProcedure="false">"c9615"</definedName>
    <definedName function="false" hidden="true" name="IQ_MI_RECOV_ATTRIB_RESOURCES_ZINC" vbProcedure="false">"c9350"</definedName>
    <definedName function="false" hidden="true" name="IQ_MI_RESOURCES_CALORIFIC_VALUE_COAL" vbProcedure="false">"c9808"</definedName>
    <definedName function="false" hidden="true" name="IQ_MI_RESOURCES_CALORIFIC_VALUE_MET_COAL" vbProcedure="false">"c9748"</definedName>
    <definedName function="false" hidden="true" name="IQ_MI_RESOURCES_CALORIFIC_VALUE_STEAM" vbProcedure="false">"c9778"</definedName>
    <definedName function="false" hidden="true" name="IQ_MKTCAP_EBT_EXCL" vbProcedure="false">"c737"</definedName>
    <definedName function="false" hidden="true" name="IQ_MKTCAP_EBT_EXCL_AVG" vbProcedure="false">"c738"</definedName>
    <definedName function="false" hidden="true" name="IQ_MKTCAP_EBT_INCL_AVG" vbProcedure="false">"c739"</definedName>
    <definedName function="false" hidden="true" name="IQ_MKTCAP_TOTAL_REV" vbProcedure="false">"c740"</definedName>
    <definedName function="false" hidden="true" name="IQ_MKTCAP_TOTAL_REV_AVG" vbProcedure="false">"c741"</definedName>
    <definedName function="false" hidden="true" name="IQ_MKTCAP_TOTAL_REV_FWD" vbProcedure="false">"c742"</definedName>
    <definedName function="false" hidden="true" name="IQ_MKTCAP_TOTAL_REV_FWD_CIQ" vbProcedure="false">"c4041"</definedName>
    <definedName function="false" hidden="true" name="IQ_MKTCAP_TOTAL_REV_FWD_REUT" vbProcedure="false">"c4048"</definedName>
    <definedName function="false" hidden="true" name="IQ_MKTCAP_TOTAL_REV_FWD_THOM" vbProcedure="false">"c4055"</definedName>
    <definedName function="false" hidden="true" name="IQ_MMDA_NON_TRANS_ACCTS_FFIEC" vbProcedure="false">"c15330"</definedName>
    <definedName function="false" hidden="true" name="IQ_MMDA_SAVINGS_TOT_DEPOSITS_FFIEC" vbProcedure="false">"c13905"</definedName>
    <definedName function="false" hidden="true" name="IQ_MM_ACCOUNT" vbProcedure="false">"c743"</definedName>
    <definedName function="false" hidden="true" name="IQ_MM_ACCRETION_EXPENSE" vbProcedure="false">"c9845"</definedName>
    <definedName function="false" hidden="true" name="IQ_MM_ARO_BEG" vbProcedure="false">"c9842"</definedName>
    <definedName function="false" hidden="true" name="IQ_MM_ARO_TOTAL" vbProcedure="false">"c9850"</definedName>
    <definedName function="false" hidden="true" name="IQ_MM_CURRENT_PORT_ARO" vbProcedure="false">"c9851"</definedName>
    <definedName function="false" hidden="true" name="IQ_MM_DEVELOPED_ACREAGE" vbProcedure="false">"c9832"</definedName>
    <definedName function="false" hidden="true" name="IQ_MM_DEVELOPED_SQ_KMS" vbProcedure="false">"c9831"</definedName>
    <definedName function="false" hidden="true" name="IQ_MM_DEVELOPED_SQ_MILES" vbProcedure="false">"c9833"</definedName>
    <definedName function="false" hidden="true" name="IQ_MM_EXPLORATION_EXPENDITURE_TOT" vbProcedure="false">"c9840"</definedName>
    <definedName function="false" hidden="true" name="IQ_MM_FX_ADJUSTMENT" vbProcedure="false">"c9847"</definedName>
    <definedName function="false" hidden="true" name="IQ_MM_LIABILITIES_INCURRED_ACQUIRED" vbProcedure="false">"c9843"</definedName>
    <definedName function="false" hidden="true" name="IQ_MM_LIABILITIES_REL_SPIN_OFFS" vbProcedure="false">"c9848"</definedName>
    <definedName function="false" hidden="true" name="IQ_MM_LIABILITIES_SETTLED_DISPOSED" vbProcedure="false">"c9844"</definedName>
    <definedName function="false" hidden="true" name="IQ_MM_NON_CURRENT_PORT_ARO" vbProcedure="false">"c9852"</definedName>
    <definedName function="false" hidden="true" name="IQ_MM_NUMBER_MINES" vbProcedure="false">"c9839"</definedName>
    <definedName function="false" hidden="true" name="IQ_MM_OTHER_ADJUSTMENTS_ARO" vbProcedure="false">"c9849"</definedName>
    <definedName function="false" hidden="true" name="IQ_MM_REMAINING_MINE_LIFE" vbProcedure="false">"c9838"</definedName>
    <definedName function="false" hidden="true" name="IQ_MM_RESOURCES_INCL_EXCL_RESERVES" vbProcedure="false">"c9841"</definedName>
    <definedName function="false" hidden="true" name="IQ_MM_REVISIONS_ESTIMATE" vbProcedure="false">"c9846"</definedName>
    <definedName function="false" hidden="true" name="IQ_MM_STRIPPING_RATIO" vbProcedure="false">"c9837"</definedName>
    <definedName function="false" hidden="true" name="IQ_MM_UNDEVELOPED_ACREAGE" vbProcedure="false">"c9835"</definedName>
    <definedName function="false" hidden="true" name="IQ_MM_UNDEVELOPED_SQ_KMS" vbProcedure="false">"c9834"</definedName>
    <definedName function="false" hidden="true" name="IQ_MM_UNDEVELOPED_SQ_MILES" vbProcedure="false">"c9836"</definedName>
    <definedName function="false" hidden="true" name="IQ_MONEY_MARKET_ACCOUNTS_COMMERCIAL_BANK_SUBS_FFIEC" vbProcedure="false">"c12947"</definedName>
    <definedName function="false" hidden="true" name="IQ_MONEY_MARKET_ACCOUNTS_OTHER_INSTITUTIONS_FFIEC" vbProcedure="false">"c12952"</definedName>
    <definedName function="false" hidden="true" name="IQ_MONEY_MARKET_DEPOSIT_ACCOUNTS_FDIC" vbProcedure="false">"c6553"</definedName>
    <definedName function="false" hidden="true" name="IQ_MONEY_MKT_DEPOSITS_TOTAL_DEPOSITS" vbProcedure="false">"c15720"</definedName>
    <definedName function="false" hidden="true" name="IQ_MONEY_MKT_SAVINGS_ACCT_DEPOSITS_TOTAL_DEPOSITS" vbProcedure="false">"c15722"</definedName>
    <definedName function="false" hidden="true" name="IQ_MONTH" vbProcedure="false">15000</definedName>
    <definedName function="false" hidden="true" name="IQ_MOODYS_ACTION_LT" vbProcedure="false">"c5660"</definedName>
    <definedName function="false" hidden="true" name="IQ_MOODYS_ACTION_ST" vbProcedure="false">"c5663"</definedName>
    <definedName function="false" hidden="true" name="IQ_MOODYS_BANK_FIN_STRENGTH_ACTION_LT" vbProcedure="false">"c5669"</definedName>
    <definedName function="false" hidden="true" name="IQ_MOODYS_BANK_FIN_STRENGTH_DATE_LT" vbProcedure="false">"c5668"</definedName>
    <definedName function="false" hidden="true" name="IQ_MOODYS_BANK_FIN_STRENGTH_LT" vbProcedure="false">"c5670"</definedName>
    <definedName function="false" hidden="true" name="IQ_MOODYS_CORP_FAMILY_ACTION_LT" vbProcedure="false">"c5666"</definedName>
    <definedName function="false" hidden="true" name="IQ_MOODYS_CORP_FAMILY_DATE_LT" vbProcedure="false">"c5665"</definedName>
    <definedName function="false" hidden="true" name="IQ_MOODYS_CORP_FAMILY_LT" vbProcedure="false">"c5667"</definedName>
    <definedName function="false" hidden="true" name="IQ_MOODYS_DATE_LT" vbProcedure="false">"c5659"</definedName>
    <definedName function="false" hidden="true" name="IQ_MOODYS_DATE_ST" vbProcedure="false">"c5662"</definedName>
    <definedName function="false" hidden="true" name="IQ_MOODYS_INS_FIN_STRENGTH_ACTION_LT" vbProcedure="false">"c5672"</definedName>
    <definedName function="false" hidden="true" name="IQ_MOODYS_INS_FIN_STRENGTH_ACTION_ST" vbProcedure="false">"c5675"</definedName>
    <definedName function="false" hidden="true" name="IQ_MOODYS_INS_FIN_STRENGTH_DATE_LT" vbProcedure="false">"c5671"</definedName>
    <definedName function="false" hidden="true" name="IQ_MOODYS_INS_FIN_STRENGTH_DATE_ST" vbProcedure="false">"c5674"</definedName>
    <definedName function="false" hidden="true" name="IQ_MOODYS_INS_FIN_STRENGTH_LT" vbProcedure="false">"c5673"</definedName>
    <definedName function="false" hidden="true" name="IQ_MOODYS_INS_FIN_STRENGTH_ST" vbProcedure="false">"c5676"</definedName>
    <definedName function="false" hidden="true" name="IQ_MOODYS_ISSUE_ACTION_LT" vbProcedure="false">"c5683"</definedName>
    <definedName function="false" hidden="true" name="IQ_MOODYS_ISSUE_ACTION_ST" vbProcedure="false">"c6784"</definedName>
    <definedName function="false" hidden="true" name="IQ_MOODYS_ISSUE_DATE_LT" vbProcedure="false">"c5682"</definedName>
    <definedName function="false" hidden="true" name="IQ_MOODYS_ISSUE_DATE_ST" vbProcedure="false">"c6783"</definedName>
    <definedName function="false" hidden="true" name="IQ_MOODYS_ISSUE_LT" vbProcedure="false">"c5684"</definedName>
    <definedName function="false" hidden="true" name="IQ_MOODYS_ISSUE_ST" vbProcedure="false">"c6785"</definedName>
    <definedName function="false" hidden="true" name="IQ_MOODYS_ISSUE_WATCHLIST_DATE" vbProcedure="false">"c5685"</definedName>
    <definedName function="false" hidden="true" name="IQ_MOODYS_ISSUE_WATCHLIST_INDICATOR" vbProcedure="false">"c5687"</definedName>
    <definedName function="false" hidden="true" name="IQ_MOODYS_ISSUE_WATCHLIST_REASON" vbProcedure="false">"c5686"</definedName>
    <definedName function="false" hidden="true" name="IQ_MOODYS_JR_SUB_ACTION_LT" vbProcedure="false">"c13537"</definedName>
    <definedName function="false" hidden="true" name="IQ_MOODYS_JR_SUB_DATE_LT" vbProcedure="false">"c13536"</definedName>
    <definedName function="false" hidden="true" name="IQ_MOODYS_JR_SUB_LT" vbProcedure="false">"c13535"</definedName>
    <definedName function="false" hidden="true" name="IQ_MOODYS_JR_SUB_TYPE_LT" vbProcedure="false">"c13538"</definedName>
    <definedName function="false" hidden="true" name="IQ_MOODYS_LATEST_DATE_LT" vbProcedure="false">"c12711"</definedName>
    <definedName function="false" hidden="true" name="IQ_MOODYS_LATEST_DATE_ST" vbProcedure="false">"c12715"</definedName>
    <definedName function="false" hidden="true" name="IQ_MOODYS_LATEST_LT" vbProcedure="false">"c12710"</definedName>
    <definedName function="false" hidden="true" name="IQ_MOODYS_LATEST_ST" vbProcedure="false">"c12714"</definedName>
    <definedName function="false" hidden="true" name="IQ_MOODYS_LATEST_TYPE_LT" vbProcedure="false">"c12713"</definedName>
    <definedName function="false" hidden="true" name="IQ_MOODYS_LATEST_TYPE_ST" vbProcedure="false">"c12717"</definedName>
    <definedName function="false" hidden="true" name="IQ_MOODYS_LT" vbProcedure="false">"c5661"</definedName>
    <definedName function="false" hidden="true" name="IQ_MOODYS_OTHER_ACTION_LT" vbProcedure="false">"c13545"</definedName>
    <definedName function="false" hidden="true" name="IQ_MOODYS_OTHER_ACTION_ST" vbProcedure="false">"c13569"</definedName>
    <definedName function="false" hidden="true" name="IQ_MOODYS_OTHER_DATE_LT" vbProcedure="false">"c13544"</definedName>
    <definedName function="false" hidden="true" name="IQ_MOODYS_OTHER_DATE_ST" vbProcedure="false">"c13568"</definedName>
    <definedName function="false" hidden="true" name="IQ_MOODYS_OTHER_LT" vbProcedure="false">"c13543"</definedName>
    <definedName function="false" hidden="true" name="IQ_MOODYS_OTHER_ST" vbProcedure="false">"c13567"</definedName>
    <definedName function="false" hidden="true" name="IQ_MOODYS_OTHER_TYPE_LT" vbProcedure="false">"c13546"</definedName>
    <definedName function="false" hidden="true" name="IQ_MOODYS_OTHER_TYPE_ST" vbProcedure="false">"c13570"</definedName>
    <definedName function="false" hidden="true" name="IQ_MOODYS_OUTLOOK" vbProcedure="false">"c5678"</definedName>
    <definedName function="false" hidden="true" name="IQ_MOODYS_OUTLOOK_DATE" vbProcedure="false">"c5677"</definedName>
    <definedName function="false" hidden="true" name="IQ_MOODYS_PREF_ACTION_LT" vbProcedure="false">"c13541"</definedName>
    <definedName function="false" hidden="true" name="IQ_MOODYS_PREF_DATE_LT" vbProcedure="false">"c13540"</definedName>
    <definedName function="false" hidden="true" name="IQ_MOODYS_PREF_LT" vbProcedure="false">"c13539"</definedName>
    <definedName function="false" hidden="true" name="IQ_MOODYS_PREF_TYPE_LT" vbProcedure="false">"c13542"</definedName>
    <definedName function="false" hidden="true" name="IQ_MOODYS_SERVICER_QUALITY_ACTION_LT" vbProcedure="false">"c13549"</definedName>
    <definedName function="false" hidden="true" name="IQ_MOODYS_SERVICER_QUALITY_DATE_LT" vbProcedure="false">"c13548"</definedName>
    <definedName function="false" hidden="true" name="IQ_MOODYS_SERVICER_QUALITY_LT" vbProcedure="false">"c13547"</definedName>
    <definedName function="false" hidden="true" name="IQ_MOODYS_SERVICER_QUALITY_TYPE_LT" vbProcedure="false">"c13550"</definedName>
    <definedName function="false" hidden="true" name="IQ_MOODYS_SR_SECURED_ACTION_LT" vbProcedure="false">"c13521"</definedName>
    <definedName function="false" hidden="true" name="IQ_MOODYS_SR_SECURED_ACTION_ST" vbProcedure="false">"c13553"</definedName>
    <definedName function="false" hidden="true" name="IQ_MOODYS_SR_SECURED_DATE_LT" vbProcedure="false">"c13520"</definedName>
    <definedName function="false" hidden="true" name="IQ_MOODYS_SR_SECURED_DATE_ST" vbProcedure="false">"c13552"</definedName>
    <definedName function="false" hidden="true" name="IQ_MOODYS_SR_SECURED_LT" vbProcedure="false">"c13519"</definedName>
    <definedName function="false" hidden="true" name="IQ_MOODYS_SR_SECURED_ST" vbProcedure="false">"c13551"</definedName>
    <definedName function="false" hidden="true" name="IQ_MOODYS_SR_SECURED_TYPE_LT" vbProcedure="false">"c13522"</definedName>
    <definedName function="false" hidden="true" name="IQ_MOODYS_SR_SECURED_TYPE_ST" vbProcedure="false">"c13554"</definedName>
    <definedName function="false" hidden="true" name="IQ_MOODYS_SR_SUB_ACTION_LT" vbProcedure="false">"c13529"</definedName>
    <definedName function="false" hidden="true" name="IQ_MOODYS_SR_SUB_ACTION_ST" vbProcedure="false">"c13561"</definedName>
    <definedName function="false" hidden="true" name="IQ_MOODYS_SR_SUB_DATE_LT" vbProcedure="false">"c13528"</definedName>
    <definedName function="false" hidden="true" name="IQ_MOODYS_SR_SUB_DATE_ST" vbProcedure="false">"c13560"</definedName>
    <definedName function="false" hidden="true" name="IQ_MOODYS_SR_SUB_LT" vbProcedure="false">"c13527"</definedName>
    <definedName function="false" hidden="true" name="IQ_MOODYS_SR_SUB_ST" vbProcedure="false">"c13559"</definedName>
    <definedName function="false" hidden="true" name="IQ_MOODYS_SR_SUB_TYPE_LT" vbProcedure="false">"c13530"</definedName>
    <definedName function="false" hidden="true" name="IQ_MOODYS_SR_SUB_TYPE_ST" vbProcedure="false">"c13562"</definedName>
    <definedName function="false" hidden="true" name="IQ_MOODYS_SR_UNSECURED_ACTION_LT" vbProcedure="false">"c13525"</definedName>
    <definedName function="false" hidden="true" name="IQ_MOODYS_SR_UNSECURED_ACTION_ST" vbProcedure="false">"c13557"</definedName>
    <definedName function="false" hidden="true" name="IQ_MOODYS_SR_UNSECURED_DATE_LT" vbProcedure="false">"c13524"</definedName>
    <definedName function="false" hidden="true" name="IQ_MOODYS_SR_UNSECURED_DATE_ST" vbProcedure="false">"c13556"</definedName>
    <definedName function="false" hidden="true" name="IQ_MOODYS_SR_UNSECURED_LT" vbProcedure="false">"c13523"</definedName>
    <definedName function="false" hidden="true" name="IQ_MOODYS_SR_UNSECURED_ST" vbProcedure="false">"c13555"</definedName>
    <definedName function="false" hidden="true" name="IQ_MOODYS_SR_UNSECURED_TYPE_LT" vbProcedure="false">"c13526"</definedName>
    <definedName function="false" hidden="true" name="IQ_MOODYS_SR_UNSECURED_TYPE_ST" vbProcedure="false">"c13558"</definedName>
    <definedName function="false" hidden="true" name="IQ_MOODYS_ST" vbProcedure="false">"c5664"</definedName>
    <definedName function="false" hidden="true" name="IQ_MOODYS_SUB_ACTION_LT" vbProcedure="false">"c13533"</definedName>
    <definedName function="false" hidden="true" name="IQ_MOODYS_SUB_ACTION_ST" vbProcedure="false">"c13565"</definedName>
    <definedName function="false" hidden="true" name="IQ_MOODYS_SUB_DATE_LT" vbProcedure="false">"c13532"</definedName>
    <definedName function="false" hidden="true" name="IQ_MOODYS_SUB_DATE_ST" vbProcedure="false">"c13564"</definedName>
    <definedName function="false" hidden="true" name="IQ_MOODYS_SUB_LT" vbProcedure="false">"c13531"</definedName>
    <definedName function="false" hidden="true" name="IQ_MOODYS_SUB_ST" vbProcedure="false">"c13563"</definedName>
    <definedName function="false" hidden="true" name="IQ_MOODYS_SUB_TYPE_LT" vbProcedure="false">"c13534"</definedName>
    <definedName function="false" hidden="true" name="IQ_MOODYS_SUB_TYPE_ST" vbProcedure="false">"c13566"</definedName>
    <definedName function="false" hidden="true" name="IQ_MOODYS_WATCHLIST_DATE" vbProcedure="false">"c5679"</definedName>
    <definedName function="false" hidden="true" name="IQ_MOODYS_WATCHLIST_INDICATOR" vbProcedure="false">"c5681"</definedName>
    <definedName function="false" hidden="true" name="IQ_MOODYS_WATCHLIST_REASON" vbProcedure="false">"c5680"</definedName>
    <definedName function="false" hidden="true" name="IQ_MORTGAGE_BACKED_SECURITIES_FDIC" vbProcedure="false">"c6402"</definedName>
    <definedName function="false" hidden="true" name="IQ_MORTGAGE_DEBT_UNDER_CAPITAL_LEASES_FFIEC" vbProcedure="false">"c15276"</definedName>
    <definedName function="false" hidden="true" name="IQ_MORTGAGE_SERVICING_ASSETS_FFIEC" vbProcedure="false">"c12838"</definedName>
    <definedName function="false" hidden="true" name="IQ_MORTGAGE_SERVICING_FDIC" vbProcedure="false">"c6335"</definedName>
    <definedName function="false" hidden="true" name="IQ_MORTGAGE_SERV_RIGHTS" vbProcedure="false">"c2242"</definedName>
    <definedName function="false" hidden="true" name="IQ_MORT_BANKING_FEE" vbProcedure="false">"c745"</definedName>
    <definedName function="false" hidden="true" name="IQ_MORT_BANK_ACT" vbProcedure="false">"c744"</definedName>
    <definedName function="false" hidden="true" name="IQ_MORT_INT_INC" vbProcedure="false">"c746"</definedName>
    <definedName function="false" hidden="true" name="IQ_MORT_LOANS" vbProcedure="false">"c747"</definedName>
    <definedName function="false" hidden="true" name="IQ_MORT_SECURITY" vbProcedure="false">"c748"</definedName>
    <definedName function="false" hidden="true" name="IQ_MTD" vbProcedure="false">800000</definedName>
    <definedName function="false" hidden="true" name="IQ_MTM_ADJ" vbProcedure="false">"c16000"</definedName>
    <definedName function="false" hidden="true" name="IQ_MULTIFAMILY_LOANS_GROSS_LOANS_FFIEC" vbProcedure="false">"c13404"</definedName>
    <definedName function="false" hidden="true" name="IQ_MULTIFAMILY_LOANS_RISK_BASED_FFIEC" vbProcedure="false">"c13425"</definedName>
    <definedName function="false" hidden="true" name="IQ_MULTIFAMILY_RESIDENTIAL_LOANS_FDIC" vbProcedure="false">"c6311"</definedName>
    <definedName function="false" hidden="true" name="IQ_MULTIFAMILY_RES_DOM_FFIEC" vbProcedure="false">"c15270"</definedName>
    <definedName function="false" hidden="true" name="IQ_MULTIFAM_5_LOANS_TOT_LOANS_FFIEC" vbProcedure="false">"c13869"</definedName>
    <definedName function="false" hidden="true" name="IQ_MULTI_RES_PROPERTIES_TRADING_DOM_FFIEC" vbProcedure="false">"c12930"</definedName>
    <definedName function="false" hidden="true" name="IQ_MUNICIPAL_INVEST_SECURITIES_FFIEC" vbProcedure="false">"c13459"</definedName>
    <definedName function="false" hidden="true" name="IQ_MUNI_ADVALOREM_TAX" vbProcedure="false">"c15144"</definedName>
    <definedName function="false" hidden="true" name="IQ_MUNI_AMT_TAX" vbProcedure="false">"c15146"</definedName>
    <definedName function="false" hidden="true" name="IQ_MUNI_BANK_QUALIFIED" vbProcedure="false">"c15148"</definedName>
    <definedName function="false" hidden="true" name="IQ_MUNI_DEP_TRUST_ELIGIBLE" vbProcedure="false">"c15149"</definedName>
    <definedName function="false" hidden="true" name="IQ_MUNI_ECONOMIC_DEFEASANCE" vbProcedure="false">"c15151"</definedName>
    <definedName function="false" hidden="true" name="IQ_MUNI_ESCROW" vbProcedure="false">"c15228"</definedName>
    <definedName function="false" hidden="true" name="IQ_MUNI_FED_TAX" vbProcedure="false">"c15147"</definedName>
    <definedName function="false" hidden="true" name="IQ_MUNI_LEGAL_DEFEASANCE" vbProcedure="false">"c15150"</definedName>
    <definedName function="false" hidden="true" name="IQ_MUNI_OFFERING_TYPE" vbProcedure="false">"c15143"</definedName>
    <definedName function="false" hidden="true" name="IQ_MUNI_OPTIONAL_REDEMPTION_DEFEASANCE" vbProcedure="false">"c15152"</definedName>
    <definedName function="false" hidden="true" name="IQ_MUNI_PRE_REFUNDED_DATE" vbProcedure="false">"c15154"</definedName>
    <definedName function="false" hidden="true" name="IQ_MUNI_PRE_REFUNDED_DATED_DATE" vbProcedure="false">"c15156"</definedName>
    <definedName function="false" hidden="true" name="IQ_MUNI_PRE_REFUNDED_PRICE" vbProcedure="false">"c15155"</definedName>
    <definedName function="false" hidden="true" name="IQ_MUNI_PRE_REFUNDED_TYPE" vbProcedure="false">"c15153"</definedName>
    <definedName function="false" hidden="true" name="IQ_MUNI_PURPOSE" vbProcedure="false">"c15226"</definedName>
    <definedName function="false" hidden="true" name="IQ_MUNI_STATE_TAX" vbProcedure="false">"c15145"</definedName>
    <definedName function="false" hidden="true" name="IQ_MUNI_TERRITORY" vbProcedure="false">"c15142"</definedName>
    <definedName function="false" hidden="true" name="IQ_MUNI_TYPE" vbProcedure="false">"c15227"</definedName>
    <definedName function="false" hidden="true" name="IQ_MUTUAL_FUND_LIST" vbProcedure="false">"c19092"</definedName>
    <definedName function="false" hidden="true" name="IQ_NAMES_REVISION_DATE_" vbProcedure="false">42380.6333217593</definedName>
    <definedName function="false" hidden="true" name="IQ_NAPM_BUS_CONDITIONS" vbProcedure="false">"c6921"</definedName>
    <definedName function="false" hidden="true" name="IQ_NAPM_BUS_CONDITIONS_APR" vbProcedure="false">"c7581"</definedName>
    <definedName function="false" hidden="true" name="IQ_NAPM_BUS_CONDITIONS_APR_FC" vbProcedure="false">"c8461"</definedName>
    <definedName function="false" hidden="true" name="IQ_NAPM_BUS_CONDITIONS_FC" vbProcedure="false">"c7801"</definedName>
    <definedName function="false" hidden="true" name="IQ_NAPM_BUS_CONDITIONS_POP" vbProcedure="false">"c7141"</definedName>
    <definedName function="false" hidden="true" name="IQ_NAPM_BUS_CONDITIONS_POP_FC" vbProcedure="false">"c8021"</definedName>
    <definedName function="false" hidden="true" name="IQ_NAPM_BUS_CONDITIONS_YOY" vbProcedure="false">"c7361"</definedName>
    <definedName function="false" hidden="true" name="IQ_NAPM_BUS_CONDITIONS_YOY_FC" vbProcedure="false">"c8241"</definedName>
    <definedName function="false" hidden="true" name="IQ_NATIVE_COMPANY_NAME" vbProcedure="false">"c13822"</definedName>
    <definedName function="false" hidden="true" name="IQ_NAV_ACT_OR_EST" vbProcedure="false">"c2225"</definedName>
    <definedName function="false" hidden="true" name="IQ_NAV_ACT_OR_EST_THOM" vbProcedure="false">"c5607"</definedName>
    <definedName function="false" hidden="true" name="IQ_NAV_DET_EST_CURRENCY_THOM" vbProcedure="false">"c12490"</definedName>
    <definedName function="false" hidden="true" name="IQ_NAV_DET_EST_DATE_THOM" vbProcedure="false">"c12241"</definedName>
    <definedName function="false" hidden="true" name="IQ_NAV_DET_EST_INCL_THOM" vbProcedure="false">"c12373"</definedName>
    <definedName function="false" hidden="true" name="IQ_NAV_DET_EST_ORIGIN_THOM" vbProcedure="false">"c12707"</definedName>
    <definedName function="false" hidden="true" name="IQ_NAV_DET_EST_THOM" vbProcedure="false">"c12091"</definedName>
    <definedName function="false" hidden="true" name="IQ_NAV_EST" vbProcedure="false">"c1751"</definedName>
    <definedName function="false" hidden="true" name="IQ_NAV_EST_THOM" vbProcedure="false">"c5601"</definedName>
    <definedName function="false" hidden="true" name="IQ_NAV_HIGH_EST" vbProcedure="false">"c1753"</definedName>
    <definedName function="false" hidden="true" name="IQ_NAV_HIGH_EST_THOM" vbProcedure="false">"c5604"</definedName>
    <definedName function="false" hidden="true" name="IQ_NAV_LOW_EST" vbProcedure="false">"c1754"</definedName>
    <definedName function="false" hidden="true" name="IQ_NAV_LOW_EST_THOM" vbProcedure="false">"c5605"</definedName>
    <definedName function="false" hidden="true" name="IQ_NAV_MEDIAN_EST" vbProcedure="false">"c1752"</definedName>
    <definedName function="false" hidden="true" name="IQ_NAV_MEDIAN_EST_THOM" vbProcedure="false">"c5602"</definedName>
    <definedName function="false" hidden="true" name="IQ_NAV_NUM_EST" vbProcedure="false">"c1755"</definedName>
    <definedName function="false" hidden="true" name="IQ_NAV_NUM_EST_THOM" vbProcedure="false">"c5606"</definedName>
    <definedName function="false" hidden="true" name="IQ_NAV_RE" vbProcedure="false">"c15996"</definedName>
    <definedName function="false" hidden="true" name="IQ_NAV_SHARE_ACT_OR_EST" vbProcedure="false">"c2225"</definedName>
    <definedName function="false" hidden="true" name="IQ_NAV_SHARE_ACT_OR_EST_REUT" vbProcedure="false">"c5623"</definedName>
    <definedName function="false" hidden="true" name="IQ_NAV_SHARE_DET_EST_CURRENCY_REUT" vbProcedure="false">"c12538"</definedName>
    <definedName function="false" hidden="true" name="IQ_NAV_SHARE_DET_EST_DATE_REUT" vbProcedure="false">"c12297"</definedName>
    <definedName function="false" hidden="true" name="IQ_NAV_SHARE_DET_EST_INCL_REUT" vbProcedure="false">"c12421"</definedName>
    <definedName function="false" hidden="true" name="IQ_NAV_SHARE_DET_EST_ORIGIN" vbProcedure="false">"c12585"</definedName>
    <definedName function="false" hidden="true" name="IQ_NAV_SHARE_DET_EST_ORIGIN_REUT" vbProcedure="false">"c12665"</definedName>
    <definedName function="false" hidden="true" name="IQ_NAV_SHARE_DET_EST_ORIGIN_THOM" vbProcedure="false">"c12611"</definedName>
    <definedName function="false" hidden="true" name="IQ_NAV_SHARE_DET_EST_REUT" vbProcedure="false">"c12155"</definedName>
    <definedName function="false" hidden="true" name="IQ_NAV_SHARE_EST" vbProcedure="false">"c5609"</definedName>
    <definedName function="false" hidden="true" name="IQ_NAV_SHARE_EST_REUT" vbProcedure="false">"c5617"</definedName>
    <definedName function="false" hidden="true" name="IQ_NAV_SHARE_HIGH_EST" vbProcedure="false">"c5612"</definedName>
    <definedName function="false" hidden="true" name="IQ_NAV_SHARE_HIGH_EST_REUT" vbProcedure="false">"c5620"</definedName>
    <definedName function="false" hidden="true" name="IQ_NAV_SHARE_LOW_EST" vbProcedure="false">"c5613"</definedName>
    <definedName function="false" hidden="true" name="IQ_NAV_SHARE_LOW_EST_REUT" vbProcedure="false">"c5621"</definedName>
    <definedName function="false" hidden="true" name="IQ_NAV_SHARE_MEDIAN_EST" vbProcedure="false">"c5610"</definedName>
    <definedName function="false" hidden="true" name="IQ_NAV_SHARE_MEDIAN_EST_REUT" vbProcedure="false">"c5618"</definedName>
    <definedName function="false" hidden="true" name="IQ_NAV_SHARE_NUM_EST" vbProcedure="false">"c5614"</definedName>
    <definedName function="false" hidden="true" name="IQ_NAV_SHARE_NUM_EST_REUT" vbProcedure="false">"c5622"</definedName>
    <definedName function="false" hidden="true" name="IQ_NAV_SHARE_RE" vbProcedure="false">"c16011"</definedName>
    <definedName function="false" hidden="true" name="IQ_NAV_SHARE_STDDEV_EST" vbProcedure="false">"c5611"</definedName>
    <definedName function="false" hidden="true" name="IQ_NAV_SHARE_STDDEV_EST_REUT" vbProcedure="false">"c5619"</definedName>
    <definedName function="false" hidden="true" name="IQ_NAV_STDDEV_EST" vbProcedure="false">"c1756"</definedName>
    <definedName function="false" hidden="true" name="IQ_NAV_STDDEV_EST_THOM" vbProcedure="false">"c5603"</definedName>
    <definedName function="false" hidden="true" name="IQ_NCLS_CLOSED_END_1_4_FAM_LOANS_TOT_LOANS_FFIEC" vbProcedure="false">"c13891"</definedName>
    <definedName function="false" hidden="true" name="IQ_NCLS_COMM_IND_LOANS_TOT_LOANS_FFIEC" vbProcedure="false">"c13898"</definedName>
    <definedName function="false" hidden="true" name="IQ_NCLS_COMM_RE_FARM_LOANS_TOT_LOANS_FFIEC" vbProcedure="false">"c13897"</definedName>
    <definedName function="false" hidden="true" name="IQ_NCLS_COMM_RE_NONFARM_NONRES_TOT_LOANS_FFIEC" vbProcedure="false">"c13896"</definedName>
    <definedName function="false" hidden="true" name="IQ_NCLS_CONST_LAND_DEV_LOANS_TOT_LOANS_FFIEC" vbProcedure="false">"c13890"</definedName>
    <definedName function="false" hidden="true" name="IQ_NCLS_CONSUMER_LOANS_TOT_LOANS_FFIEC" vbProcedure="false">"c13899"</definedName>
    <definedName function="false" hidden="true" name="IQ_NCLS_FARM_LOANS_TOT_LOANS_FFIEC" vbProcedure="false">"c13895"</definedName>
    <definedName function="false" hidden="true" name="IQ_NCLS_HOME_EQUITY_LOANS_TOT_LOANS_FFIEC" vbProcedure="false">"c13892"</definedName>
    <definedName function="false" hidden="true" name="IQ_NCLS_MULTIFAM_5_LOANS_TOT_LOANS_FFIEC" vbProcedure="false">"c13894"</definedName>
    <definedName function="false" hidden="true" name="IQ_NCLS_TOT_1_4_FAM_LOANS_TOT_LOANS_FFIEC" vbProcedure="false">"c13893"</definedName>
    <definedName function="false" hidden="true" name="IQ_NCLS_TOT_LEASES_TOT_LOANS_FFIEC" vbProcedure="false">"c13900"</definedName>
    <definedName function="false" hidden="true" name="IQ_NCLS_TOT_LOANS_TOT_LOANS_FFIEC" vbProcedure="false">"c13901"</definedName>
    <definedName function="false" hidden="true" name="IQ_NCOS_CLOSED_END_1_4_FAM_LOANS_TOT_LOANS_FFIEC" vbProcedure="false">"c13879"</definedName>
    <definedName function="false" hidden="true" name="IQ_NCOS_COMM_IND_LOANS_TOT_LOANS_FFIEC" vbProcedure="false">"c13886"</definedName>
    <definedName function="false" hidden="true" name="IQ_NCOS_COMM_RE_FARM_LOANS_TOT_LOANS_FFIEC" vbProcedure="false">"c13885"</definedName>
    <definedName function="false" hidden="true" name="IQ_NCOS_COMM_RE_NONFARM_NONRES_TOT_LOANS_FFIEC" vbProcedure="false">"c13884"</definedName>
    <definedName function="false" hidden="true" name="IQ_NCOS_CONST_LAND_DEV_LOANS_TOT_LOANS_FFIEC" vbProcedure="false">"c13878"</definedName>
    <definedName function="false" hidden="true" name="IQ_NCOS_CONSUMER_LOANS_TOT_LOANS_FFIEC" vbProcedure="false">"c13887"</definedName>
    <definedName function="false" hidden="true" name="IQ_NCOS_FARM_LOANS_TOT_LOANS_FFIEC" vbProcedure="false">"c13883"</definedName>
    <definedName function="false" hidden="true" name="IQ_NCOS_HOME_EQUITY_LOANS_TOT_LOANS_FFIEC" vbProcedure="false">"c13880"</definedName>
    <definedName function="false" hidden="true" name="IQ_NCOS_MULTIFAM_5_LOANS_TOT_LOANS_FFIEC" vbProcedure="false">"c13882"</definedName>
    <definedName function="false" hidden="true" name="IQ_NCOS_TOT_1_4_FAM_LOANS_TOT_LOANS_FFIEC" vbProcedure="false">"c13881"</definedName>
    <definedName function="false" hidden="true" name="IQ_NCOS_TOT_LEASES_TOT_LOANS_FFIEC" vbProcedure="false">"c13888"</definedName>
    <definedName function="false" hidden="true" name="IQ_NCOS_TOT_LOANS_TOT_LOANS_FFIEC" vbProcedure="false">"c13889"</definedName>
    <definedName function="false" hidden="true" name="IQ_NEGATIVE_FAIR_VALUE_DERIVATIVES_BENEFICIARY_FFIEC" vbProcedure="false">"c13124"</definedName>
    <definedName function="false" hidden="true" name="IQ_NEGATIVE_FAIR_VALUE_DERIVATIVES_GUARANTOR_FFIEC" vbProcedure="false">"c13117"</definedName>
    <definedName function="false" hidden="true" name="IQ_NET_ADD_BASIC" vbProcedure="false">"c15782"</definedName>
    <definedName function="false" hidden="true" name="IQ_NET_ADD_BBAND" vbProcedure="false">"c15785"</definedName>
    <definedName function="false" hidden="true" name="IQ_NET_ADD_DIG" vbProcedure="false">"c15783"</definedName>
    <definedName function="false" hidden="true" name="IQ_NET_ADD_PHONE" vbProcedure="false">"c15786"</definedName>
    <definedName function="false" hidden="true" name="IQ_NET_ADD_POSTPAID_WIRELESS" vbProcedure="false">"c15754"</definedName>
    <definedName function="false" hidden="true" name="IQ_NET_ADD_PREPAID_WIRELESS" vbProcedure="false">"c15755"</definedName>
    <definedName function="false" hidden="true" name="IQ_NET_ADD_RESELL_WHOLESALE_WIRELESS" vbProcedure="false">"c15756"</definedName>
    <definedName function="false" hidden="true" name="IQ_NET_ADD_RGU" vbProcedure="false">"c15787"</definedName>
    <definedName function="false" hidden="true" name="IQ_NET_ADD_SATELLITE" vbProcedure="false">"c15784"</definedName>
    <definedName function="false" hidden="true" name="IQ_NET_ADD_TOTAL_WIRELESS" vbProcedure="false">"c15757"</definedName>
    <definedName function="false" hidden="true" name="IQ_NET_BOOKING_LOCATION_ADJUSTMENT_FOREIGN_FFIEC" vbProcedure="false">"c15385"</definedName>
    <definedName function="false" hidden="true" name="IQ_NET_CHANGE" vbProcedure="false">"c749"</definedName>
    <definedName function="false" hidden="true" name="IQ_NET_CHARGE_OFFS_FDIC" vbProcedure="false">"c6641"</definedName>
    <definedName function="false" hidden="true" name="IQ_NET_CHARGE_OFFS_LOANS_FDIC" vbProcedure="false">"c6751"</definedName>
    <definedName function="false" hidden="true" name="IQ_NET_CLAIM_ADJ_EXP_RESERVE_BOP" vbProcedure="false">"c15877"</definedName>
    <definedName function="false" hidden="true" name="IQ_NET_CLAIM_EXP_INCUR" vbProcedure="false">"c2757"</definedName>
    <definedName function="false" hidden="true" name="IQ_NET_CLAIM_EXP_INCUR_CY" vbProcedure="false">"c2761"</definedName>
    <definedName function="false" hidden="true" name="IQ_NET_CLAIM_EXP_INCUR_PY" vbProcedure="false">"c2762"</definedName>
    <definedName function="false" hidden="true" name="IQ_NET_CLAIM_EXP_PAID" vbProcedure="false">"c2760"</definedName>
    <definedName function="false" hidden="true" name="IQ_NET_CLAIM_EXP_PAID_CY" vbProcedure="false">"c2763"</definedName>
    <definedName function="false" hidden="true" name="IQ_NET_CLAIM_EXP_PAID_PY" vbProcedure="false">"c2764"</definedName>
    <definedName function="false" hidden="true" name="IQ_NET_CLAIM_EXP_RES" vbProcedure="false">"c2754"</definedName>
    <definedName function="false" hidden="true" name="IQ_NET_DEBT" vbProcedure="false">"c1584"</definedName>
    <definedName function="false" hidden="true" name="IQ_NET_DEBT_ACT_OR_EST" vbProcedure="false">"c3583"</definedName>
    <definedName function="false" hidden="true" name="IQ_NET_DEBT_ACT_OR_EST_REUT" vbProcedure="false">"c5473"</definedName>
    <definedName function="false" hidden="true" name="IQ_NET_DEBT_ACT_OR_EST_THOM" vbProcedure="false">"c5309"</definedName>
    <definedName function="false" hidden="true" name="IQ_NET_DEBT_DET_EST" vbProcedure="false">"c12061"</definedName>
    <definedName function="false" hidden="true" name="IQ_NET_DEBT_DET_EST_CURRENCY" vbProcedure="false">"c12468"</definedName>
    <definedName function="false" hidden="true" name="IQ_NET_DEBT_DET_EST_CURRENCY_REUT" vbProcedure="false">"c12539"</definedName>
    <definedName function="false" hidden="true" name="IQ_NET_DEBT_DET_EST_CURRENCY_THOM" vbProcedure="false">"c12491"</definedName>
    <definedName function="false" hidden="true" name="IQ_NET_DEBT_DET_EST_DATE" vbProcedure="false">"c12214"</definedName>
    <definedName function="false" hidden="true" name="IQ_NET_DEBT_DET_EST_DATE_REUT" vbProcedure="false">"c12298"</definedName>
    <definedName function="false" hidden="true" name="IQ_NET_DEBT_DET_EST_DATE_THOM" vbProcedure="false">"c12242"</definedName>
    <definedName function="false" hidden="true" name="IQ_NET_DEBT_DET_EST_INCL" vbProcedure="false">"c12351"</definedName>
    <definedName function="false" hidden="true" name="IQ_NET_DEBT_DET_EST_INCL_REUT" vbProcedure="false">"c12422"</definedName>
    <definedName function="false" hidden="true" name="IQ_NET_DEBT_DET_EST_INCL_THOM" vbProcedure="false">"c12374"</definedName>
    <definedName function="false" hidden="true" name="IQ_NET_DEBT_DET_EST_ORIGIN" vbProcedure="false">"c12586"</definedName>
    <definedName function="false" hidden="true" name="IQ_NET_DEBT_DET_EST_ORIGIN_REUT" vbProcedure="false">"c12666"</definedName>
    <definedName function="false" hidden="true" name="IQ_NET_DEBT_DET_EST_ORIGIN_THOM" vbProcedure="false">"c12612"</definedName>
    <definedName function="false" hidden="true" name="IQ_NET_DEBT_DET_EST_REUT" vbProcedure="false">"c12156"</definedName>
    <definedName function="false" hidden="true" name="IQ_NET_DEBT_DET_EST_THOM" vbProcedure="false">"c12092"</definedName>
    <definedName function="false" hidden="true" name="IQ_NET_DEBT_EBITDA" vbProcedure="false">"c750"</definedName>
    <definedName function="false" hidden="true" name="IQ_NET_DEBT_EBITDA_CAPEX" vbProcedure="false">"c2949"</definedName>
    <definedName function="false" hidden="true" name="IQ_NET_DEBT_EST" vbProcedure="false">"c3517"</definedName>
    <definedName function="false" hidden="true" name="IQ_NET_DEBT_EST_REUT" vbProcedure="false">"c3976"</definedName>
    <definedName function="false" hidden="true" name="IQ_NET_DEBT_EST_THOM" vbProcedure="false">"c4027"</definedName>
    <definedName function="false" hidden="true" name="IQ_NET_DEBT_GUIDANCE" vbProcedure="false">"c4467"</definedName>
    <definedName function="false" hidden="true" name="IQ_NET_DEBT_GUIDANCE_CIQ" vbProcedure="false">"c5005"</definedName>
    <definedName function="false" hidden="true" name="IQ_NET_DEBT_GUIDANCE_CIQ_COL" vbProcedure="false">"c11652"</definedName>
    <definedName function="false" hidden="true" name="IQ_NET_DEBT_HIGH_EST" vbProcedure="false">"c3518"</definedName>
    <definedName function="false" hidden="true" name="IQ_NET_DEBT_HIGH_EST_REUT" vbProcedure="false">"c3978"</definedName>
    <definedName function="false" hidden="true" name="IQ_NET_DEBT_HIGH_EST_THOM" vbProcedure="false">"c4029"</definedName>
    <definedName function="false" hidden="true" name="IQ_NET_DEBT_HIGH_GUIDANCE" vbProcedure="false">"c4181"</definedName>
    <definedName function="false" hidden="true" name="IQ_NET_DEBT_HIGH_GUIDANCE_CIQ" vbProcedure="false">"c4593"</definedName>
    <definedName function="false" hidden="true" name="IQ_NET_DEBT_HIGH_GUIDANCE_CIQ_COL" vbProcedure="false">"c11242"</definedName>
    <definedName function="false" hidden="true" name="IQ_NET_DEBT_ISSUED" vbProcedure="false">"c751"</definedName>
    <definedName function="false" hidden="true" name="IQ_NET_DEBT_ISSUED_BNK" vbProcedure="false">"c752"</definedName>
    <definedName function="false" hidden="true" name="IQ_NET_DEBT_ISSUED_BR" vbProcedure="false">"c753"</definedName>
    <definedName function="false" hidden="true" name="IQ_NET_DEBT_ISSUED_FIN" vbProcedure="false">"c754"</definedName>
    <definedName function="false" hidden="true" name="IQ_NET_DEBT_ISSUED_INS" vbProcedure="false">"c755"</definedName>
    <definedName function="false" hidden="true" name="IQ_NET_DEBT_ISSUED_RE" vbProcedure="false">"c6238"</definedName>
    <definedName function="false" hidden="true" name="IQ_NET_DEBT_ISSUED_REIT" vbProcedure="false">"c756"</definedName>
    <definedName function="false" hidden="true" name="IQ_NET_DEBT_ISSUED_UTI" vbProcedure="false">"c757"</definedName>
    <definedName function="false" hidden="true" name="IQ_NET_DEBT_LOW_EST" vbProcedure="false">"c3519"</definedName>
    <definedName function="false" hidden="true" name="IQ_NET_DEBT_LOW_EST_REUT" vbProcedure="false">"c3979"</definedName>
    <definedName function="false" hidden="true" name="IQ_NET_DEBT_LOW_EST_THOM" vbProcedure="false">"c4030"</definedName>
    <definedName function="false" hidden="true" name="IQ_NET_DEBT_LOW_GUIDANCE" vbProcedure="false">"c4221"</definedName>
    <definedName function="false" hidden="true" name="IQ_NET_DEBT_LOW_GUIDANCE_CIQ" vbProcedure="false">"c4633"</definedName>
    <definedName function="false" hidden="true" name="IQ_NET_DEBT_LOW_GUIDANCE_CIQ_COL" vbProcedure="false">"c11282"</definedName>
    <definedName function="false" hidden="true" name="IQ_NET_DEBT_MEDIAN_EST" vbProcedure="false">"c3520"</definedName>
    <definedName function="false" hidden="true" name="IQ_NET_DEBT_MEDIAN_EST_REUT" vbProcedure="false">"c3977"</definedName>
    <definedName function="false" hidden="true" name="IQ_NET_DEBT_MEDIAN_EST_THOM" vbProcedure="false">"c4028"</definedName>
    <definedName function="false" hidden="true" name="IQ_NET_DEBT_NUM_EST" vbProcedure="false">"c3515"</definedName>
    <definedName function="false" hidden="true" name="IQ_NET_DEBT_NUM_EST_REUT" vbProcedure="false">"c3980"</definedName>
    <definedName function="false" hidden="true" name="IQ_NET_DEBT_NUM_EST_THOM" vbProcedure="false">"c4031"</definedName>
    <definedName function="false" hidden="true" name="IQ_NET_DEBT_STDDEV_EST" vbProcedure="false">"c3516"</definedName>
    <definedName function="false" hidden="true" name="IQ_NET_DEBT_STDDEV_EST_REUT" vbProcedure="false">"c3981"</definedName>
    <definedName function="false" hidden="true" name="IQ_NET_DEBT_STDDEV_EST_THOM" vbProcedure="false">"c4032"</definedName>
    <definedName function="false" hidden="true" name="IQ_NET_EARNED" vbProcedure="false">"c2734"</definedName>
    <definedName function="false" hidden="true" name="IQ_NET_FUNDS_PURCHASED_ASSETS_TOT_FFIEC" vbProcedure="false">"c13448"</definedName>
    <definedName function="false" hidden="true" name="IQ_NET_GAIN_LOSS_OREO_EXP_FFIEC" vbProcedure="false">"c15370"</definedName>
    <definedName function="false" hidden="true" name="IQ_NET_GAIN_LOSS_OREO_INC_FFIEC" vbProcedure="false">"c15367"</definedName>
    <definedName function="false" hidden="true" name="IQ_NET_GAIN_LOSS_SALES_LOANS_EXP_FFIEC" vbProcedure="false">"c15371"</definedName>
    <definedName function="false" hidden="true" name="IQ_NET_GAIN_LOSS_SALES_LOANS_INC_FFIEC" vbProcedure="false">"c15368"</definedName>
    <definedName function="false" hidden="true" name="IQ_NET_GAIN_SALE_PREMISES_FIXED_ASSETS_EXP_FFIEC" vbProcedure="false">"c15372"</definedName>
    <definedName function="false" hidden="true" name="IQ_NET_GAIN_SALE_PREMISES_FIXED_ASSETS_INC_FFIEC" vbProcedure="false">"c15369"</definedName>
    <definedName function="false" hidden="true" name="IQ_NET_INC" vbProcedure="false">"c1394"</definedName>
    <definedName function="false" hidden="true" name="IQ_NET_INCOME_FDIC" vbProcedure="false">"c6587"</definedName>
    <definedName function="false" hidden="true" name="IQ_NET_INCOME_HOMEBUILDING_SALES" vbProcedure="false">"c15818"</definedName>
    <definedName function="false" hidden="true" name="IQ_NET_INCOME_LH_FFIEC" vbProcedure="false">"c13110"</definedName>
    <definedName function="false" hidden="true" name="IQ_NET_INCOME_PC_FFIEC" vbProcedure="false">"c13103"</definedName>
    <definedName function="false" hidden="true" name="IQ_NET_INCOME_SHE_FFIEC" vbProcedure="false">"c12960"</definedName>
    <definedName function="false" hidden="true" name="IQ_NET_INC_10K" vbProcedure="false">"IQ_NET_INC_10K"</definedName>
    <definedName function="false" hidden="true" name="IQ_NET_INC_10Q" vbProcedure="false">"IQ_NET_INC_10Q"</definedName>
    <definedName function="false" hidden="true" name="IQ_NET_INC_10Q1" vbProcedure="false">"IQ_NET_INC_10Q1"</definedName>
    <definedName function="false" hidden="true" name="IQ_NET_INC_BEFORE" vbProcedure="false">"c1368"</definedName>
    <definedName function="false" hidden="true" name="IQ_NET_INC_CF" vbProcedure="false">"c1397"</definedName>
    <definedName function="false" hidden="true" name="IQ_NET_INC_GROWTH_1" vbProcedure="false">"IQ_NET_INC_GROWTH_1"</definedName>
    <definedName function="false" hidden="true" name="IQ_NET_INC_GROWTH_2" vbProcedure="false">"IQ_NET_INC_GROWTH_2"</definedName>
    <definedName function="false" hidden="true" name="IQ_NET_INC_MARGIN" vbProcedure="false">"c1398"</definedName>
    <definedName function="false" hidden="true" name="IQ_NET_INTEREST_EXP" vbProcedure="false">"c769"</definedName>
    <definedName function="false" hidden="true" name="IQ_NET_INTEREST_EXP_RE" vbProcedure="false">"c6239"</definedName>
    <definedName function="false" hidden="true" name="IQ_NET_INTEREST_EXP_REIT" vbProcedure="false">"c770"</definedName>
    <definedName function="false" hidden="true" name="IQ_NET_INTEREST_EXP_UTI" vbProcedure="false">"c771"</definedName>
    <definedName function="false" hidden="true" name="IQ_NET_INTEREST_INC" vbProcedure="false">"c1392"</definedName>
    <definedName function="false" hidden="true" name="IQ_NET_INTEREST_INC_AFTER_LL" vbProcedure="false">"c1604"</definedName>
    <definedName function="false" hidden="true" name="IQ_NET_INTEREST_INC_INTERNATIONAL_OPS_FFIEC" vbProcedure="false">"c15375"</definedName>
    <definedName function="false" hidden="true" name="IQ_NET_INTEREST_MARGIN_FDIC" vbProcedure="false">"c6726"</definedName>
    <definedName function="false" hidden="true" name="IQ_NET_INT_INCOME_AVG_ASSET" vbProcedure="false">"c15706"</definedName>
    <definedName function="false" hidden="true" name="IQ_NET_INT_INCOME_FFIEC" vbProcedure="false">"c13001"</definedName>
    <definedName function="false" hidden="true" name="IQ_NET_INT_INCOME_FTE_FFIEC" vbProcedure="false">"c13036"</definedName>
    <definedName function="false" hidden="true" name="IQ_NET_INT_INC_10YR_ANN_CAGR" vbProcedure="false">"c6100"</definedName>
    <definedName function="false" hidden="true" name="IQ_NET_INT_INC_10YR_ANN_GROWTH" vbProcedure="false">"c758"</definedName>
    <definedName function="false" hidden="true" name="IQ_NET_INT_INC_1YR_ANN_GROWTH" vbProcedure="false">"c759"</definedName>
    <definedName function="false" hidden="true" name="IQ_NET_INT_INC_2YR_ANN_CAGR" vbProcedure="false">"c6101"</definedName>
    <definedName function="false" hidden="true" name="IQ_NET_INT_INC_2YR_ANN_GROWTH" vbProcedure="false">"c760"</definedName>
    <definedName function="false" hidden="true" name="IQ_NET_INT_INC_3YR_ANN_CAGR" vbProcedure="false">"c6102"</definedName>
    <definedName function="false" hidden="true" name="IQ_NET_INT_INC_3YR_ANN_GROWTH" vbProcedure="false">"c761"</definedName>
    <definedName function="false" hidden="true" name="IQ_NET_INT_INC_5YR_ANN_CAGR" vbProcedure="false">"c6103"</definedName>
    <definedName function="false" hidden="true" name="IQ_NET_INT_INC_5YR_ANN_GROWTH" vbProcedure="false">"c762"</definedName>
    <definedName function="false" hidden="true" name="IQ_NET_INT_INC_7YR_ANN_CAGR" vbProcedure="false">"c6104"</definedName>
    <definedName function="false" hidden="true" name="IQ_NET_INT_INC_7YR_ANN_GROWTH" vbProcedure="false">"c763"</definedName>
    <definedName function="false" hidden="true" name="IQ_NET_INT_INC_AFTER_LL_BNK_SUBTOTAL_AP" vbProcedure="false">"c8979"</definedName>
    <definedName function="false" hidden="true" name="IQ_NET_INT_INC_BNK" vbProcedure="false">"c764"</definedName>
    <definedName function="false" hidden="true" name="IQ_NET_INT_INC_BNK_AP" vbProcedure="false">"c8874"</definedName>
    <definedName function="false" hidden="true" name="IQ_NET_INT_INC_BNK_AP_ABS" vbProcedure="false">"c8893"</definedName>
    <definedName function="false" hidden="true" name="IQ_NET_INT_INC_BNK_FDIC" vbProcedure="false">"c6570"</definedName>
    <definedName function="false" hidden="true" name="IQ_NET_INT_INC_BNK_NAME_AP" vbProcedure="false">"c8912"</definedName>
    <definedName function="false" hidden="true" name="IQ_NET_INT_INC_BNK_NAME_AP_ABS" vbProcedure="false">"c8931"</definedName>
    <definedName function="false" hidden="true" name="IQ_NET_INT_INC_BNK_SUBTOTAL_AP" vbProcedure="false">"c8978"</definedName>
    <definedName function="false" hidden="true" name="IQ_NET_INT_INC_BR" vbProcedure="false">"c765"</definedName>
    <definedName function="false" hidden="true" name="IQ_NET_INT_INC_FIN" vbProcedure="false">"c766"</definedName>
    <definedName function="false" hidden="true" name="IQ_NET_INT_INC_TOTAL_REV" vbProcedure="false">"c767"</definedName>
    <definedName function="false" hidden="true" name="IQ_NET_INT_MARGIN" vbProcedure="false">"c768"</definedName>
    <definedName function="false" hidden="true" name="IQ_NET_LIFE_INS_IN_FORCE" vbProcedure="false">"c2769"</definedName>
    <definedName function="false" hidden="true" name="IQ_NET_LOANS" vbProcedure="false">"c772"</definedName>
    <definedName function="false" hidden="true" name="IQ_NET_LOANS_10YR_ANN_CAGR" vbProcedure="false">"c6105"</definedName>
    <definedName function="false" hidden="true" name="IQ_NET_LOANS_10YR_ANN_GROWTH" vbProcedure="false">"c773"</definedName>
    <definedName function="false" hidden="true" name="IQ_NET_LOANS_1YR_ANN_GROWTH" vbProcedure="false">"c774"</definedName>
    <definedName function="false" hidden="true" name="IQ_NET_LOANS_2YR_ANN_CAGR" vbProcedure="false">"c6106"</definedName>
    <definedName function="false" hidden="true" name="IQ_NET_LOANS_2YR_ANN_GROWTH" vbProcedure="false">"c775"</definedName>
    <definedName function="false" hidden="true" name="IQ_NET_LOANS_3YR_ANN_CAGR" vbProcedure="false">"c6107"</definedName>
    <definedName function="false" hidden="true" name="IQ_NET_LOANS_3YR_ANN_GROWTH" vbProcedure="false">"c776"</definedName>
    <definedName function="false" hidden="true" name="IQ_NET_LOANS_5YR_ANN_CAGR" vbProcedure="false">"c6108"</definedName>
    <definedName function="false" hidden="true" name="IQ_NET_LOANS_5YR_ANN_GROWTH" vbProcedure="false">"c777"</definedName>
    <definedName function="false" hidden="true" name="IQ_NET_LOANS_7YR_ANN_CAGR" vbProcedure="false">"c6109"</definedName>
    <definedName function="false" hidden="true" name="IQ_NET_LOANS_7YR_ANN_GROWTH" vbProcedure="false">"c778"</definedName>
    <definedName function="false" hidden="true" name="IQ_NET_LOANS_CORE_DEPOSITS_FFIEC" vbProcedure="false">"c13341"</definedName>
    <definedName function="false" hidden="true" name="IQ_NET_LOANS_DEPOSITS_FFIEC" vbProcedure="false">"c13340"</definedName>
    <definedName function="false" hidden="true" name="IQ_NET_LOANS_EQUITY_FFIEC" vbProcedure="false">"c13347"</definedName>
    <definedName function="false" hidden="true" name="IQ_NET_LOANS_LEASES_CORE_DEPOSITS_FDIC" vbProcedure="false">"c6743"</definedName>
    <definedName function="false" hidden="true" name="IQ_NET_LOANS_LEASES_DEPOSITS_FDIC" vbProcedure="false">"c6742"</definedName>
    <definedName function="false" hidden="true" name="IQ_NET_LOANS_TOTAL_DEPOSITS" vbProcedure="false">"c779"</definedName>
    <definedName function="false" hidden="true" name="IQ_NET_LOSSES" vbProcedure="false">"c15873"</definedName>
    <definedName function="false" hidden="true" name="IQ_NET_NONINTEREST_INC_EXP_INTERNATIONAL_OPS_FFIEC" vbProcedure="false">"c15387"</definedName>
    <definedName function="false" hidden="true" name="IQ_NET_OPERATING_INCOME_ASSETS_FDIC" vbProcedure="false">"c6729"</definedName>
    <definedName function="false" hidden="true" name="IQ_NET_PREMIUMS_WRITTEN_AVG_ASSETS" vbProcedure="false">"c15888"</definedName>
    <definedName function="false" hidden="true" name="IQ_NET_PREMIUMS_WRITTEN_AVG_EQUITY" vbProcedure="false">"c15891"</definedName>
    <definedName function="false" hidden="true" name="IQ_NET_PREMIUMS_WRITTEN_AVG_STATUTORY_SURPLUS" vbProcedure="false">"c15890"</definedName>
    <definedName function="false" hidden="true" name="IQ_NET_PREMIUMS_WRITTEN_GROSS_PREMIUMS_WRITTEN" vbProcedure="false">"c15889"</definedName>
    <definedName function="false" hidden="true" name="IQ_NET_PREMIUM_WRITTEN_STATUTORY_SURPLUS" vbProcedure="false">"c15880"</definedName>
    <definedName function="false" hidden="true" name="IQ_NET_RENTAL_EXP_FN" vbProcedure="false">"c780"</definedName>
    <definedName function="false" hidden="true" name="IQ_NET_SECURITIZATION_INCOME_FDIC" vbProcedure="false">"c6669"</definedName>
    <definedName function="false" hidden="true" name="IQ_NET_SECURITIZATION_INC_FOREIGN_FFIEC" vbProcedure="false">"c15379"</definedName>
    <definedName function="false" hidden="true" name="IQ_NET_SERVICING_FEES_FDIC" vbProcedure="false">"c6668"</definedName>
    <definedName function="false" hidden="true" name="IQ_NET_TO_GROSS_EARNED" vbProcedure="false">"c2750"</definedName>
    <definedName function="false" hidden="true" name="IQ_NET_TO_GROSS_WRITTEN" vbProcedure="false">"c2729"</definedName>
    <definedName function="false" hidden="true" name="IQ_NET_WORKING_CAP" vbProcedure="false">"c3493"</definedName>
    <definedName function="false" hidden="true" name="IQ_NET_WRITTEN" vbProcedure="false">"c2728"</definedName>
    <definedName function="false" hidden="true" name="IQ_NEWS" vbProcedure="false">"c13743"</definedName>
    <definedName function="false" hidden="true" name="IQ_NEWS_DATE" vbProcedure="false">"c13746"</definedName>
    <definedName function="false" hidden="true" name="IQ_NEWS_SOURCE" vbProcedure="false">"c13745"</definedName>
    <definedName function="false" hidden="true" name="IQ_NEWS_TIME" vbProcedure="false">"c13759"</definedName>
    <definedName function="false" hidden="true" name="IQ_NEWS_URL" vbProcedure="false">"c13744"</definedName>
    <definedName function="false" hidden="true" name="IQ_NEW_PREM" vbProcedure="false">"c2785"</definedName>
    <definedName function="false" hidden="true" name="IQ_NEXT_CALL_DATE" vbProcedure="false">"c2198"</definedName>
    <definedName function="false" hidden="true" name="IQ_NEXT_CALL_PRICE" vbProcedure="false">"c2199"</definedName>
    <definedName function="false" hidden="true" name="IQ_NEXT_EARNINGS_DATE" vbProcedure="false">"c13592"</definedName>
    <definedName function="false" hidden="true" name="IQ_NEXT_INT_DATE" vbProcedure="false">"c2187"</definedName>
    <definedName function="false" hidden="true" name="IQ_NEXT_PUT_DATE" vbProcedure="false">"c2200"</definedName>
    <definedName function="false" hidden="true" name="IQ_NEXT_PUT_PRICE" vbProcedure="false">"c2201"</definedName>
    <definedName function="false" hidden="true" name="IQ_NEXT_SINK_FUND_AMOUNT" vbProcedure="false">"c2490"</definedName>
    <definedName function="false" hidden="true" name="IQ_NEXT_SINK_FUND_DATE" vbProcedure="false">"c2489"</definedName>
    <definedName function="false" hidden="true" name="IQ_NEXT_SINK_FUND_PRICE" vbProcedure="false">"c2491"</definedName>
    <definedName function="false" hidden="true" name="IQ_NEXT_YR_PROD_EST_MAX_ALUM" vbProcedure="false">"c9251"</definedName>
    <definedName function="false" hidden="true" name="IQ_NEXT_YR_PROD_EST_MAX_CATHODE_COP" vbProcedure="false">"c9198"</definedName>
    <definedName function="false" hidden="true" name="IQ_NEXT_YR_PROD_EST_MAX_COP" vbProcedure="false">"c9196"</definedName>
    <definedName function="false" hidden="true" name="IQ_NEXT_YR_PROD_EST_MAX_DIAM" vbProcedure="false">"c9675"</definedName>
    <definedName function="false" hidden="true" name="IQ_NEXT_YR_PROD_EST_MAX_GOLD" vbProcedure="false">"c9036"</definedName>
    <definedName function="false" hidden="true" name="IQ_NEXT_YR_PROD_EST_MAX_IRON" vbProcedure="false">"c9410"</definedName>
    <definedName function="false" hidden="true" name="IQ_NEXT_YR_PROD_EST_MAX_LEAD" vbProcedure="false">"c9463"</definedName>
    <definedName function="false" hidden="true" name="IQ_NEXT_YR_PROD_EST_MAX_MANG" vbProcedure="false">"c9516"</definedName>
    <definedName function="false" hidden="true" name="IQ_NEXT_YR_PROD_EST_MAX_MOLYB" vbProcedure="false">"c9728"</definedName>
    <definedName function="false" hidden="true" name="IQ_NEXT_YR_PROD_EST_MAX_NICK" vbProcedure="false">"c9304"</definedName>
    <definedName function="false" hidden="true" name="IQ_NEXT_YR_PROD_EST_MAX_PLAT" vbProcedure="false">"c9142"</definedName>
    <definedName function="false" hidden="true" name="IQ_NEXT_YR_PROD_EST_MAX_SILVER" vbProcedure="false">"c9089"</definedName>
    <definedName function="false" hidden="true" name="IQ_NEXT_YR_PROD_EST_MAX_TITAN" vbProcedure="false">"c9569"</definedName>
    <definedName function="false" hidden="true" name="IQ_NEXT_YR_PROD_EST_MAX_URAN" vbProcedure="false">"c9622"</definedName>
    <definedName function="false" hidden="true" name="IQ_NEXT_YR_PROD_EST_MAX_ZINC" vbProcedure="false">"c9357"</definedName>
    <definedName function="false" hidden="true" name="IQ_NEXT_YR_PROD_EST_MIN_ALUM" vbProcedure="false">"c9250"</definedName>
    <definedName function="false" hidden="true" name="IQ_NEXT_YR_PROD_EST_MIN_CATHODE_COP" vbProcedure="false">"c9197"</definedName>
    <definedName function="false" hidden="true" name="IQ_NEXT_YR_PROD_EST_MIN_COP" vbProcedure="false">"c9195"</definedName>
    <definedName function="false" hidden="true" name="IQ_NEXT_YR_PROD_EST_MIN_DIAM" vbProcedure="false">"c9674"</definedName>
    <definedName function="false" hidden="true" name="IQ_NEXT_YR_PROD_EST_MIN_GOLD" vbProcedure="false">"c9035"</definedName>
    <definedName function="false" hidden="true" name="IQ_NEXT_YR_PROD_EST_MIN_IRON" vbProcedure="false">"c9409"</definedName>
    <definedName function="false" hidden="true" name="IQ_NEXT_YR_PROD_EST_MIN_LEAD" vbProcedure="false">"c9462"</definedName>
    <definedName function="false" hidden="true" name="IQ_NEXT_YR_PROD_EST_MIN_MANG" vbProcedure="false">"c9515"</definedName>
    <definedName function="false" hidden="true" name="IQ_NEXT_YR_PROD_EST_MIN_MOLYB" vbProcedure="false">"c9727"</definedName>
    <definedName function="false" hidden="true" name="IQ_NEXT_YR_PROD_EST_MIN_NICK" vbProcedure="false">"c9303"</definedName>
    <definedName function="false" hidden="true" name="IQ_NEXT_YR_PROD_EST_MIN_PLAT" vbProcedure="false">"c9141"</definedName>
    <definedName function="false" hidden="true" name="IQ_NEXT_YR_PROD_EST_MIN_SILVER" vbProcedure="false">"c9088"</definedName>
    <definedName function="false" hidden="true" name="IQ_NEXT_YR_PROD_EST_MIN_TITAN" vbProcedure="false">"c9568"</definedName>
    <definedName function="false" hidden="true" name="IQ_NEXT_YR_PROD_EST_MIN_URAN" vbProcedure="false">"c9621"</definedName>
    <definedName function="false" hidden="true" name="IQ_NEXT_YR_PROD_EST_MIN_ZINC" vbProcedure="false">"c9356"</definedName>
    <definedName function="false" hidden="true" name="IQ_NI" vbProcedure="false">"c781"</definedName>
    <definedName function="false" hidden="true" name="IQ_NI_10YR_ANN_CAGR" vbProcedure="false">"c6110"</definedName>
    <definedName function="false" hidden="true" name="IQ_NI_10YR_ANN_GROWTH" vbProcedure="false">"c782"</definedName>
    <definedName function="false" hidden="true" name="IQ_NI_1YR_ANN_GROWTH" vbProcedure="false">"c783"</definedName>
    <definedName function="false" hidden="true" name="IQ_NI_2YR_ANN_CAGR" vbProcedure="false">"c6111"</definedName>
    <definedName function="false" hidden="true" name="IQ_NI_2YR_ANN_GROWTH" vbProcedure="false">"c784"</definedName>
    <definedName function="false" hidden="true" name="IQ_NI_3YR_ANN_CAGR" vbProcedure="false">"c6112"</definedName>
    <definedName function="false" hidden="true" name="IQ_NI_3YR_ANN_GROWTH" vbProcedure="false">"c785"</definedName>
    <definedName function="false" hidden="true" name="IQ_NI_5YR_ANN_CAGR" vbProcedure="false">"c6113"</definedName>
    <definedName function="false" hidden="true" name="IQ_NI_5YR_ANN_GROWTH" vbProcedure="false">"c786"</definedName>
    <definedName function="false" hidden="true" name="IQ_NI_7YR_ANN_CAGR" vbProcedure="false">"c6114"</definedName>
    <definedName function="false" hidden="true" name="IQ_NI_7YR_ANN_GROWTH" vbProcedure="false">"c787"</definedName>
    <definedName function="false" hidden="true" name="IQ_NI_ACT_OR_EST" vbProcedure="false">"c2222"</definedName>
    <definedName function="false" hidden="true" name="IQ_NI_ACT_OR_EST_REUT" vbProcedure="false">"c5468"</definedName>
    <definedName function="false" hidden="true" name="IQ_NI_ACT_OR_EST_THOM" vbProcedure="false">"c5306"</definedName>
    <definedName function="false" hidden="true" name="IQ_NI_AFTER_CAPITALIZED" vbProcedure="false">"c788"</definedName>
    <definedName function="false" hidden="true" name="IQ_NI_AVAIL_EXCL" vbProcedure="false">"c789"</definedName>
    <definedName function="false" hidden="true" name="IQ_NI_AVAIL_EXCL_MARGIN" vbProcedure="false">"c790"</definedName>
    <definedName function="false" hidden="true" name="IQ_NI_AVAIL_INCL" vbProcedure="false">"c791"</definedName>
    <definedName function="false" hidden="true" name="IQ_NI_AVAIL_SUBTOTAL_AP" vbProcedure="false">"c8984"</definedName>
    <definedName function="false" hidden="true" name="IQ_NI_AVG_ASSETS_FFIEC" vbProcedure="false">"c13370"</definedName>
    <definedName function="false" hidden="true" name="IQ_NI_BANK_AND_NONCONTROLLING_INTEREST_FFIEC" vbProcedure="false">"c15365"</definedName>
    <definedName function="false" hidden="true" name="IQ_NI_BEFORE_CAPITALIZED" vbProcedure="false">"c792"</definedName>
    <definedName function="false" hidden="true" name="IQ_NI_BEFORE_INTERNAL_ALLOCATIONS_FOREIGN_FFIEC" vbProcedure="false">"c15393"</definedName>
    <definedName function="false" hidden="true" name="IQ_NI_CF" vbProcedure="false">"c793"</definedName>
    <definedName function="false" hidden="true" name="IQ_NI_CHARGES_AP" vbProcedure="false">"c8879"</definedName>
    <definedName function="false" hidden="true" name="IQ_NI_CHARGES_AP_ABS" vbProcedure="false">"c8898"</definedName>
    <definedName function="false" hidden="true" name="IQ_NI_CHARGES_NAME_AP" vbProcedure="false">"c8917"</definedName>
    <definedName function="false" hidden="true" name="IQ_NI_CHARGES_NAME_AP_ABS" vbProcedure="false">"c8936"</definedName>
    <definedName function="false" hidden="true" name="IQ_NI_DET_EST" vbProcedure="false">"c12062"</definedName>
    <definedName function="false" hidden="true" name="IQ_NI_DET_EST_CURRENCY" vbProcedure="false">"c12469"</definedName>
    <definedName function="false" hidden="true" name="IQ_NI_DET_EST_CURRENCY_REUT" vbProcedure="false">"c12540"</definedName>
    <definedName function="false" hidden="true" name="IQ_NI_DET_EST_CURRENCY_THOM" vbProcedure="false">"c12492"</definedName>
    <definedName function="false" hidden="true" name="IQ_NI_DET_EST_DATE" vbProcedure="false">"c12215"</definedName>
    <definedName function="false" hidden="true" name="IQ_NI_DET_EST_DATE_REUT" vbProcedure="false">"c12299"</definedName>
    <definedName function="false" hidden="true" name="IQ_NI_DET_EST_DATE_THOM" vbProcedure="false">"c12243"</definedName>
    <definedName function="false" hidden="true" name="IQ_NI_DET_EST_INCL" vbProcedure="false">"c12352"</definedName>
    <definedName function="false" hidden="true" name="IQ_NI_DET_EST_INCL_REUT" vbProcedure="false">"c12423"</definedName>
    <definedName function="false" hidden="true" name="IQ_NI_DET_EST_INCL_THOM" vbProcedure="false">"c12375"</definedName>
    <definedName function="false" hidden="true" name="IQ_NI_DET_EST_ORIGIN" vbProcedure="false">"c12587"</definedName>
    <definedName function="false" hidden="true" name="IQ_NI_DET_EST_ORIGIN_REUT" vbProcedure="false">"c12667"</definedName>
    <definedName function="false" hidden="true" name="IQ_NI_DET_EST_ORIGIN_THOM" vbProcedure="false">"c12613"</definedName>
    <definedName function="false" hidden="true" name="IQ_NI_DET_EST_REUT" vbProcedure="false">"c12157"</definedName>
    <definedName function="false" hidden="true" name="IQ_NI_DET_EST_THOM" vbProcedure="false">"c12093"</definedName>
    <definedName function="false" hidden="true" name="IQ_NI_EST" vbProcedure="false">"c1716"</definedName>
    <definedName function="false" hidden="true" name="IQ_NI_EST_REUT" vbProcedure="false">"c5368"</definedName>
    <definedName function="false" hidden="true" name="IQ_NI_EST_THOM" vbProcedure="false">"c5126"</definedName>
    <definedName function="false" hidden="true" name="IQ_NI_FFIEC" vbProcedure="false">"c13034"</definedName>
    <definedName function="false" hidden="true" name="IQ_NI_GAAP_GUIDANCE" vbProcedure="false">"c4470"</definedName>
    <definedName function="false" hidden="true" name="IQ_NI_GAAP_GUIDANCE_CIQ" vbProcedure="false">"c5008"</definedName>
    <definedName function="false" hidden="true" name="IQ_NI_GAAP_GUIDANCE_CIQ_COL" vbProcedure="false">"c11655"</definedName>
    <definedName function="false" hidden="true" name="IQ_NI_GAAP_HIGH_GUIDANCE" vbProcedure="false">"c4177"</definedName>
    <definedName function="false" hidden="true" name="IQ_NI_GAAP_HIGH_GUIDANCE_CIQ" vbProcedure="false">"c4589"</definedName>
    <definedName function="false" hidden="true" name="IQ_NI_GAAP_HIGH_GUIDANCE_CIQ_COL" vbProcedure="false">"c11238"</definedName>
    <definedName function="false" hidden="true" name="IQ_NI_GAAP_LOW_GUIDANCE" vbProcedure="false">"c4217"</definedName>
    <definedName function="false" hidden="true" name="IQ_NI_GAAP_LOW_GUIDANCE_CIQ" vbProcedure="false">"c4629"</definedName>
    <definedName function="false" hidden="true" name="IQ_NI_GAAP_LOW_GUIDANCE_CIQ_COL" vbProcedure="false">"c11278"</definedName>
    <definedName function="false" hidden="true" name="IQ_NI_GUIDANCE" vbProcedure="false">"c4469"</definedName>
    <definedName function="false" hidden="true" name="IQ_NI_GUIDANCE_CIQ" vbProcedure="false">"c5007"</definedName>
    <definedName function="false" hidden="true" name="IQ_NI_GUIDANCE_CIQ_COL" vbProcedure="false">"c11654"</definedName>
    <definedName function="false" hidden="true" name="IQ_NI_GW_DET_EST" vbProcedure="false">"c12063"</definedName>
    <definedName function="false" hidden="true" name="IQ_NI_GW_DET_EST_CURRENCY" vbProcedure="false">"c12470"</definedName>
    <definedName function="false" hidden="true" name="IQ_NI_GW_DET_EST_CURRENCY_REUT" vbProcedure="false">"c12541"</definedName>
    <definedName function="false" hidden="true" name="IQ_NI_GW_DET_EST_DATE" vbProcedure="false">"c12216"</definedName>
    <definedName function="false" hidden="true" name="IQ_NI_GW_DET_EST_DATE_REUT" vbProcedure="false">"c12300"</definedName>
    <definedName function="false" hidden="true" name="IQ_NI_GW_DET_EST_INCL" vbProcedure="false">"c12353"</definedName>
    <definedName function="false" hidden="true" name="IQ_NI_GW_DET_EST_INCL_REUT" vbProcedure="false">"c12424"</definedName>
    <definedName function="false" hidden="true" name="IQ_NI_GW_DET_EST_ORIGIN_REUT" vbProcedure="false">"c12668"</definedName>
    <definedName function="false" hidden="true" name="IQ_NI_GW_DET_EST_REUT" vbProcedure="false">"c12158"</definedName>
    <definedName function="false" hidden="true" name="IQ_NI_GW_EST" vbProcedure="false">"c1723"</definedName>
    <definedName function="false" hidden="true" name="IQ_NI_GW_EST_REUT" vbProcedure="false">"c5375"</definedName>
    <definedName function="false" hidden="true" name="IQ_NI_GW_GUIDANCE" vbProcedure="false">"c4471"</definedName>
    <definedName function="false" hidden="true" name="IQ_NI_GW_GUIDANCE_CIQ" vbProcedure="false">"c5009"</definedName>
    <definedName function="false" hidden="true" name="IQ_NI_GW_GUIDANCE_CIQ_COL" vbProcedure="false">"c11656"</definedName>
    <definedName function="false" hidden="true" name="IQ_NI_GW_HIGH_EST" vbProcedure="false">"c1725"</definedName>
    <definedName function="false" hidden="true" name="IQ_NI_GW_HIGH_EST_REUT" vbProcedure="false">"c5377"</definedName>
    <definedName function="false" hidden="true" name="IQ_NI_GW_HIGH_GUIDANCE" vbProcedure="false">"c4178"</definedName>
    <definedName function="false" hidden="true" name="IQ_NI_GW_HIGH_GUIDANCE_CIQ" vbProcedure="false">"c4590"</definedName>
    <definedName function="false" hidden="true" name="IQ_NI_GW_HIGH_GUIDANCE_CIQ_COL" vbProcedure="false">"c11239"</definedName>
    <definedName function="false" hidden="true" name="IQ_NI_GW_LOW_EST" vbProcedure="false">"c1726"</definedName>
    <definedName function="false" hidden="true" name="IQ_NI_GW_LOW_EST_REUT" vbProcedure="false">"c5378"</definedName>
    <definedName function="false" hidden="true" name="IQ_NI_GW_LOW_GUIDANCE" vbProcedure="false">"c4218"</definedName>
    <definedName function="false" hidden="true" name="IQ_NI_GW_LOW_GUIDANCE_CIQ" vbProcedure="false">"c4630"</definedName>
    <definedName function="false" hidden="true" name="IQ_NI_GW_LOW_GUIDANCE_CIQ_COL" vbProcedure="false">"c11279"</definedName>
    <definedName function="false" hidden="true" name="IQ_NI_GW_MEDIAN_EST" vbProcedure="false">"c1724"</definedName>
    <definedName function="false" hidden="true" name="IQ_NI_GW_MEDIAN_EST_REUT" vbProcedure="false">"c5376"</definedName>
    <definedName function="false" hidden="true" name="IQ_NI_GW_NUM_EST" vbProcedure="false">"c1727"</definedName>
    <definedName function="false" hidden="true" name="IQ_NI_GW_NUM_EST_REUT" vbProcedure="false">"c5379"</definedName>
    <definedName function="false" hidden="true" name="IQ_NI_GW_STDDEV_EST" vbProcedure="false">"c1728"</definedName>
    <definedName function="false" hidden="true" name="IQ_NI_GW_STDDEV_EST_REUT" vbProcedure="false">"c5380"</definedName>
    <definedName function="false" hidden="true" name="IQ_NI_HIGH_EST" vbProcedure="false">"c1718"</definedName>
    <definedName function="false" hidden="true" name="IQ_NI_HIGH_EST_REUT" vbProcedure="false">"c5370"</definedName>
    <definedName function="false" hidden="true" name="IQ_NI_HIGH_EST_THOM" vbProcedure="false">"c5128"</definedName>
    <definedName function="false" hidden="true" name="IQ_NI_HIGH_GUIDANCE" vbProcedure="false">"c4176"</definedName>
    <definedName function="false" hidden="true" name="IQ_NI_HIGH_GUIDANCE_CIQ" vbProcedure="false">"c4588"</definedName>
    <definedName function="false" hidden="true" name="IQ_NI_HIGH_GUIDANCE_CIQ_COL" vbProcedure="false">"c11237"</definedName>
    <definedName function="false" hidden="true" name="IQ_NI_LOW_EST" vbProcedure="false">"c1719"</definedName>
    <definedName function="false" hidden="true" name="IQ_NI_LOW_EST_REUT" vbProcedure="false">"c5371"</definedName>
    <definedName function="false" hidden="true" name="IQ_NI_LOW_EST_THOM" vbProcedure="false">"c5129"</definedName>
    <definedName function="false" hidden="true" name="IQ_NI_LOW_GUIDANCE" vbProcedure="false">"c4216"</definedName>
    <definedName function="false" hidden="true" name="IQ_NI_LOW_GUIDANCE_CIQ" vbProcedure="false">"c4628"</definedName>
    <definedName function="false" hidden="true" name="IQ_NI_LOW_GUIDANCE_CIQ_COL" vbProcedure="false">"c11277"</definedName>
    <definedName function="false" hidden="true" name="IQ_NI_MARGIN" vbProcedure="false">"c794"</definedName>
    <definedName function="false" hidden="true" name="IQ_NI_MEDIAN_EST" vbProcedure="false">"c1717"</definedName>
    <definedName function="false" hidden="true" name="IQ_NI_MEDIAN_EST_REUT" vbProcedure="false">"c5369"</definedName>
    <definedName function="false" hidden="true" name="IQ_NI_MEDIAN_EST_THOM" vbProcedure="false">"c5127"</definedName>
    <definedName function="false" hidden="true" name="IQ_NI_NON_CONTROLLING_INTERESTS_FFIEC" vbProcedure="false">"c15366"</definedName>
    <definedName function="false" hidden="true" name="IQ_NI_NORM" vbProcedure="false">"c1901"</definedName>
    <definedName function="false" hidden="true" name="IQ_NI_NORM_10YR_ANN_CAGR" vbProcedure="false">"c6189"</definedName>
    <definedName function="false" hidden="true" name="IQ_NI_NORM_10YR_ANN_GROWTH" vbProcedure="false">"c1960"</definedName>
    <definedName function="false" hidden="true" name="IQ_NI_NORM_1YR_ANN_GROWTH" vbProcedure="false">"c1955"</definedName>
    <definedName function="false" hidden="true" name="IQ_NI_NORM_2YR_ANN_CAGR" vbProcedure="false">"c6185"</definedName>
    <definedName function="false" hidden="true" name="IQ_NI_NORM_2YR_ANN_GROWTH" vbProcedure="false">"c1956"</definedName>
    <definedName function="false" hidden="true" name="IQ_NI_NORM_3YR_ANN_CAGR" vbProcedure="false">"c6186"</definedName>
    <definedName function="false" hidden="true" name="IQ_NI_NORM_3YR_ANN_GROWTH" vbProcedure="false">"c1957"</definedName>
    <definedName function="false" hidden="true" name="IQ_NI_NORM_5YR_ANN_CAGR" vbProcedure="false">"c6187"</definedName>
    <definedName function="false" hidden="true" name="IQ_NI_NORM_5YR_ANN_GROWTH" vbProcedure="false">"c1958"</definedName>
    <definedName function="false" hidden="true" name="IQ_NI_NORM_7YR_ANN_CAGR" vbProcedure="false">"c6188"</definedName>
    <definedName function="false" hidden="true" name="IQ_NI_NORM_7YR_ANN_GROWTH" vbProcedure="false">"c1959"</definedName>
    <definedName function="false" hidden="true" name="IQ_NI_NORM_MARGIN" vbProcedure="false">"c1964"</definedName>
    <definedName function="false" hidden="true" name="IQ_NI_NUM_EST" vbProcedure="false">"c1720"</definedName>
    <definedName function="false" hidden="true" name="IQ_NI_NUM_EST_REUT" vbProcedure="false">"c5372"</definedName>
    <definedName function="false" hidden="true" name="IQ_NI_NUM_EST_THOM" vbProcedure="false">"c5130"</definedName>
    <definedName function="false" hidden="true" name="IQ_NI_REPORTED_DET_EST_CURRENCY_REUT" vbProcedure="false">"c12542"</definedName>
    <definedName function="false" hidden="true" name="IQ_NI_REPORTED_DET_EST_DATE_REUT" vbProcedure="false">"c12301"</definedName>
    <definedName function="false" hidden="true" name="IQ_NI_REPORTED_DET_EST_INCL_REUT" vbProcedure="false">"c12425"</definedName>
    <definedName function="false" hidden="true" name="IQ_NI_REPORTED_DET_EST_ORIGIN" vbProcedure="false">"c12588"</definedName>
    <definedName function="false" hidden="true" name="IQ_NI_REPORTED_DET_EST_ORIGIN_REUT" vbProcedure="false">"c12669"</definedName>
    <definedName function="false" hidden="true" name="IQ_NI_REPORTED_DET_EST_REUT" vbProcedure="false">"c12159"</definedName>
    <definedName function="false" hidden="true" name="IQ_NI_REPORTED_EST" vbProcedure="false">"c1730"</definedName>
    <definedName function="false" hidden="true" name="IQ_NI_REPORTED_EST_REUT" vbProcedure="false">"c5382"</definedName>
    <definedName function="false" hidden="true" name="IQ_NI_REPORTED_HIGH_EST" vbProcedure="false">"c1732"</definedName>
    <definedName function="false" hidden="true" name="IQ_NI_REPORTED_HIGH_EST_REUT" vbProcedure="false">"c5384"</definedName>
    <definedName function="false" hidden="true" name="IQ_NI_REPORTED_LOW_EST" vbProcedure="false">"c1733"</definedName>
    <definedName function="false" hidden="true" name="IQ_NI_REPORTED_LOW_EST_REUT" vbProcedure="false">"c5385"</definedName>
    <definedName function="false" hidden="true" name="IQ_NI_REPORTED_MEDIAN_EST" vbProcedure="false">"c1731"</definedName>
    <definedName function="false" hidden="true" name="IQ_NI_REPORTED_MEDIAN_EST_REUT" vbProcedure="false">"c5383"</definedName>
    <definedName function="false" hidden="true" name="IQ_NI_REPORTED_NUM_EST" vbProcedure="false">"c1734"</definedName>
    <definedName function="false" hidden="true" name="IQ_NI_REPORTED_NUM_EST_REUT" vbProcedure="false">"c5386"</definedName>
    <definedName function="false" hidden="true" name="IQ_NI_REPORTED_STDDEV_EST" vbProcedure="false">"c1735"</definedName>
    <definedName function="false" hidden="true" name="IQ_NI_REPORTED_STDDEV_EST_REUT" vbProcedure="false">"c5387"</definedName>
    <definedName function="false" hidden="true" name="IQ_NI_SBC_ACT_OR_EST" vbProcedure="false">"c4474"</definedName>
    <definedName function="false" hidden="true" name="IQ_NI_SBC_ACT_OR_EST_CIQ" vbProcedure="false">"c5012"</definedName>
    <definedName function="false" hidden="true" name="IQ_NI_SBC_EST" vbProcedure="false">"c4473"</definedName>
    <definedName function="false" hidden="true" name="IQ_NI_SBC_GUIDANCE" vbProcedure="false">"c4475"</definedName>
    <definedName function="false" hidden="true" name="IQ_NI_SBC_GUIDANCE_CIQ" vbProcedure="false">"c5013"</definedName>
    <definedName function="false" hidden="true" name="IQ_NI_SBC_GUIDANCE_CIQ_COL" vbProcedure="false">"c11660"</definedName>
    <definedName function="false" hidden="true" name="IQ_NI_SBC_GW_ACT_OR_EST" vbProcedure="false">"c4478"</definedName>
    <definedName function="false" hidden="true" name="IQ_NI_SBC_GW_ACT_OR_EST_CIQ" vbProcedure="false">"c5016"</definedName>
    <definedName function="false" hidden="true" name="IQ_NI_SBC_GW_EST" vbProcedure="false">"c4477"</definedName>
    <definedName function="false" hidden="true" name="IQ_NI_SBC_GW_GUIDANCE" vbProcedure="false">"c4479"</definedName>
    <definedName function="false" hidden="true" name="IQ_NI_SBC_GW_GUIDANCE_CIQ" vbProcedure="false">"c5017"</definedName>
    <definedName function="false" hidden="true" name="IQ_NI_SBC_GW_GUIDANCE_CIQ_COL" vbProcedure="false">"c11664"</definedName>
    <definedName function="false" hidden="true" name="IQ_NI_SBC_GW_HIGH_EST" vbProcedure="false">"c4480"</definedName>
    <definedName function="false" hidden="true" name="IQ_NI_SBC_GW_HIGH_GUIDANCE" vbProcedure="false">"c4187"</definedName>
    <definedName function="false" hidden="true" name="IQ_NI_SBC_GW_HIGH_GUIDANCE_CIQ" vbProcedure="false">"c4599"</definedName>
    <definedName function="false" hidden="true" name="IQ_NI_SBC_GW_HIGH_GUIDANCE_CIQ_COL" vbProcedure="false">"c11248"</definedName>
    <definedName function="false" hidden="true" name="IQ_NI_SBC_GW_LOW_EST" vbProcedure="false">"c4481"</definedName>
    <definedName function="false" hidden="true" name="IQ_NI_SBC_GW_LOW_GUIDANCE" vbProcedure="false">"c4227"</definedName>
    <definedName function="false" hidden="true" name="IQ_NI_SBC_GW_LOW_GUIDANCE_CIQ" vbProcedure="false">"c4639"</definedName>
    <definedName function="false" hidden="true" name="IQ_NI_SBC_GW_LOW_GUIDANCE_CIQ_COL" vbProcedure="false">"c11288"</definedName>
    <definedName function="false" hidden="true" name="IQ_NI_SBC_GW_MEDIAN_EST" vbProcedure="false">"c4482"</definedName>
    <definedName function="false" hidden="true" name="IQ_NI_SBC_GW_NUM_EST" vbProcedure="false">"c4483"</definedName>
    <definedName function="false" hidden="true" name="IQ_NI_SBC_GW_STDDEV_EST" vbProcedure="false">"c4484"</definedName>
    <definedName function="false" hidden="true" name="IQ_NI_SBC_HIGH_EST" vbProcedure="false">"c4486"</definedName>
    <definedName function="false" hidden="true" name="IQ_NI_SBC_HIGH_GUIDANCE" vbProcedure="false">"c4186"</definedName>
    <definedName function="false" hidden="true" name="IQ_NI_SBC_HIGH_GUIDANCE_CIQ" vbProcedure="false">"c4598"</definedName>
    <definedName function="false" hidden="true" name="IQ_NI_SBC_HIGH_GUIDANCE_CIQ_COL" vbProcedure="false">"c11247"</definedName>
    <definedName function="false" hidden="true" name="IQ_NI_SBC_LOW_EST" vbProcedure="false">"c4487"</definedName>
    <definedName function="false" hidden="true" name="IQ_NI_SBC_LOW_GUIDANCE" vbProcedure="false">"c4226"</definedName>
    <definedName function="false" hidden="true" name="IQ_NI_SBC_LOW_GUIDANCE_CIQ" vbProcedure="false">"c4638"</definedName>
    <definedName function="false" hidden="true" name="IQ_NI_SBC_LOW_GUIDANCE_CIQ_COL" vbProcedure="false">"c11287"</definedName>
    <definedName function="false" hidden="true" name="IQ_NI_SBC_MEDIAN_EST" vbProcedure="false">"c4488"</definedName>
    <definedName function="false" hidden="true" name="IQ_NI_SBC_NUM_EST" vbProcedure="false">"c4489"</definedName>
    <definedName function="false" hidden="true" name="IQ_NI_SBC_STDDEV_EST" vbProcedure="false">"c4490"</definedName>
    <definedName function="false" hidden="true" name="IQ_NI_SFAS" vbProcedure="false">"c795"</definedName>
    <definedName function="false" hidden="true" name="IQ_NI_STDDEV_EST" vbProcedure="false">"c1721"</definedName>
    <definedName function="false" hidden="true" name="IQ_NI_STDDEV_EST_REUT" vbProcedure="false">"c5373"</definedName>
    <definedName function="false" hidden="true" name="IQ_NI_STDDEV_EST_THOM" vbProcedure="false">"c5131"</definedName>
    <definedName function="false" hidden="true" name="IQ_NI_SUBTOTAL_AP" vbProcedure="false">"c8983"</definedName>
    <definedName function="false" hidden="true" name="IQ_NLA_PCT_LEASED_CONSOL" vbProcedure="false">"c8815"</definedName>
    <definedName function="false" hidden="true" name="IQ_NLA_PCT_LEASED_MANAGED" vbProcedure="false">"c8817"</definedName>
    <definedName function="false" hidden="true" name="IQ_NLA_PCT_LEASED_OTHER" vbProcedure="false">"c8818"</definedName>
    <definedName function="false" hidden="true" name="IQ_NLA_PCT_LEASED_TOTAL" vbProcedure="false">"c8819"</definedName>
    <definedName function="false" hidden="true" name="IQ_NLA_PCT_LEASED_UNCONSOL" vbProcedure="false">"c8816"</definedName>
    <definedName function="false" hidden="true" name="IQ_NLA_SQ_FT_CONSOL" vbProcedure="false">"c8800"</definedName>
    <definedName function="false" hidden="true" name="IQ_NLA_SQ_FT_MANAGED" vbProcedure="false">"c8802"</definedName>
    <definedName function="false" hidden="true" name="IQ_NLA_SQ_FT_OTHER" vbProcedure="false">"c8803"</definedName>
    <definedName function="false" hidden="true" name="IQ_NLA_SQ_FT_TOTAL" vbProcedure="false">"c8804"</definedName>
    <definedName function="false" hidden="true" name="IQ_NLA_SQ_FT_UNCONSOL" vbProcedure="false">"c8801"</definedName>
    <definedName function="false" hidden="true" name="IQ_NLA_SQ_METER_CONSOL" vbProcedure="false">"c8805"</definedName>
    <definedName function="false" hidden="true" name="IQ_NLA_SQ_METER_MANAGED" vbProcedure="false">"c8807"</definedName>
    <definedName function="false" hidden="true" name="IQ_NLA_SQ_METER_OTHER" vbProcedure="false">"c8808"</definedName>
    <definedName function="false" hidden="true" name="IQ_NLA_SQ_METER_TOTAL" vbProcedure="false">"c8809"</definedName>
    <definedName function="false" hidden="true" name="IQ_NLA_SQ_METER_UNCONSOL" vbProcedure="false">"c8806"</definedName>
    <definedName function="false" hidden="true" name="IQ_NOI_INCL_UNCONSOL" vbProcedure="false">"c16068"</definedName>
    <definedName function="false" hidden="true" name="IQ_NOL_CF_1YR" vbProcedure="false">"c3465"</definedName>
    <definedName function="false" hidden="true" name="IQ_NOL_CF_2YR" vbProcedure="false">"c3466"</definedName>
    <definedName function="false" hidden="true" name="IQ_NOL_CF_3YR" vbProcedure="false">"c3467"</definedName>
    <definedName function="false" hidden="true" name="IQ_NOL_CF_4YR" vbProcedure="false">"c3468"</definedName>
    <definedName function="false" hidden="true" name="IQ_NOL_CF_5YR" vbProcedure="false">"c3469"</definedName>
    <definedName function="false" hidden="true" name="IQ_NOL_CF_AFTER_FIVE" vbProcedure="false">"c3470"</definedName>
    <definedName function="false" hidden="true" name="IQ_NOL_CF_MAX_YEAR" vbProcedure="false">"c3473"</definedName>
    <definedName function="false" hidden="true" name="IQ_NOL_CF_NO_EXP" vbProcedure="false">"c3471"</definedName>
    <definedName function="false" hidden="true" name="IQ_NOL_CF_TOTAL" vbProcedure="false">"c3472"</definedName>
    <definedName function="false" hidden="true" name="IQ_NONCASH_INCOME_AMORT_CLOSED_END_LOANS_FFIEC" vbProcedure="false">"c13078"</definedName>
    <definedName function="false" hidden="true" name="IQ_NONCASH_PENSION_EXP" vbProcedure="false">"c3000"</definedName>
    <definedName function="false" hidden="true" name="IQ_NONCORE_ASSETS_TOT_FFIEC" vbProcedure="false">"c13443"</definedName>
    <definedName function="false" hidden="true" name="IQ_NONCURRENT_LOANS_1_4_FAMILY_FDIC" vbProcedure="false">"c6770"</definedName>
    <definedName function="false" hidden="true" name="IQ_NONCURRENT_LOANS_COMMERCIAL_INDUSTRIAL_FDIC" vbProcedure="false">"c6773"</definedName>
    <definedName function="false" hidden="true" name="IQ_NONCURRENT_LOANS_COMMERCIAL_RE_FDIC" vbProcedure="false">"c6768"</definedName>
    <definedName function="false" hidden="true" name="IQ_NONCURRENT_LOANS_COMMERCIAL_RE_NOT_SECURED_FDIC" vbProcedure="false">"c6778"</definedName>
    <definedName function="false" hidden="true" name="IQ_NONCURRENT_LOANS_CONSTRUCTION_LAND_DEV_FDIC" vbProcedure="false">"c6767"</definedName>
    <definedName function="false" hidden="true" name="IQ_NONCURRENT_LOANS_CREDIT_CARD_FDIC" vbProcedure="false">"c6775"</definedName>
    <definedName function="false" hidden="true" name="IQ_NONCURRENT_LOANS_GUARANTEED_FDIC" vbProcedure="false">"c6358"</definedName>
    <definedName function="false" hidden="true" name="IQ_NONCURRENT_LOANS_HOME_EQUITY_FDIC" vbProcedure="false">"c6771"</definedName>
    <definedName function="false" hidden="true" name="IQ_NONCURRENT_LOANS_INDIVIDUALS_FDIC" vbProcedure="false">"c6774"</definedName>
    <definedName function="false" hidden="true" name="IQ_NONCURRENT_LOANS_LEASES_FDIC" vbProcedure="false">"c6357"</definedName>
    <definedName function="false" hidden="true" name="IQ_NONCURRENT_LOANS_MULTIFAMILY_FDIC" vbProcedure="false">"c6769"</definedName>
    <definedName function="false" hidden="true" name="IQ_NONCURRENT_LOANS_OTHER_FAMILY_FDIC" vbProcedure="false">"c6772"</definedName>
    <definedName function="false" hidden="true" name="IQ_NONCURRENT_LOANS_OTHER_INDIVIDUAL_FDIC" vbProcedure="false">"c6776"</definedName>
    <definedName function="false" hidden="true" name="IQ_NONCURRENT_LOANS_OTHER_LOANS_FDIC" vbProcedure="false">"c6777"</definedName>
    <definedName function="false" hidden="true" name="IQ_NONCURRENT_LOANS_RE_FDIC" vbProcedure="false">"c6766"</definedName>
    <definedName function="false" hidden="true" name="IQ_NONCURRENT_LOANS_TOTAL_LOANS_FDIC" vbProcedure="false">"c6765"</definedName>
    <definedName function="false" hidden="true" name="IQ_NONCURRENT_OREO_ASSETS_FDIC" vbProcedure="false">"c6741"</definedName>
    <definedName function="false" hidden="true" name="IQ_NONDEF_CAPITAL_GOODS_ORDERS" vbProcedure="false">"c6932"</definedName>
    <definedName function="false" hidden="true" name="IQ_NONDEF_CAPITAL_GOODS_ORDERS_APR" vbProcedure="false">"c7592"</definedName>
    <definedName function="false" hidden="true" name="IQ_NONDEF_CAPITAL_GOODS_ORDERS_APR_FC" vbProcedure="false">"c8472"</definedName>
    <definedName function="false" hidden="true" name="IQ_NONDEF_CAPITAL_GOODS_ORDERS_FC" vbProcedure="false">"c7812"</definedName>
    <definedName function="false" hidden="true" name="IQ_NONDEF_CAPITAL_GOODS_ORDERS_POP" vbProcedure="false">"c7152"</definedName>
    <definedName function="false" hidden="true" name="IQ_NONDEF_CAPITAL_GOODS_ORDERS_POP_FC" vbProcedure="false">"c8032"</definedName>
    <definedName function="false" hidden="true" name="IQ_NONDEF_CAPITAL_GOODS_ORDERS_YOY" vbProcedure="false">"c7372"</definedName>
    <definedName function="false" hidden="true" name="IQ_NONDEF_CAPITAL_GOODS_ORDERS_YOY_FC" vbProcedure="false">"c8252"</definedName>
    <definedName function="false" hidden="true" name="IQ_NONDEF_CAPITAL_GOODS_SHIPMENTS" vbProcedure="false">"c6933"</definedName>
    <definedName function="false" hidden="true" name="IQ_NONDEF_CAPITAL_GOODS_SHIPMENTS_APR" vbProcedure="false">"c7593"</definedName>
    <definedName function="false" hidden="true" name="IQ_NONDEF_CAPITAL_GOODS_SHIPMENTS_APR_FC" vbProcedure="false">"c8473"</definedName>
    <definedName function="false" hidden="true" name="IQ_NONDEF_CAPITAL_GOODS_SHIPMENTS_FC" vbProcedure="false">"c7813"</definedName>
    <definedName function="false" hidden="true" name="IQ_NONDEF_CAPITAL_GOODS_SHIPMENTS_POP" vbProcedure="false">"c7153"</definedName>
    <definedName function="false" hidden="true" name="IQ_NONDEF_CAPITAL_GOODS_SHIPMENTS_POP_FC" vbProcedure="false">"c8033"</definedName>
    <definedName function="false" hidden="true" name="IQ_NONDEF_CAPITAL_GOODS_SHIPMENTS_YOY" vbProcedure="false">"c7373"</definedName>
    <definedName function="false" hidden="true" name="IQ_NONDEF_CAPITAL_GOODS_SHIPMENTS_YOY_FC" vbProcedure="false">"c8253"</definedName>
    <definedName function="false" hidden="true" name="IQ_NONDEF_SPENDING_SAAR" vbProcedure="false">"c6934"</definedName>
    <definedName function="false" hidden="true" name="IQ_NONDEF_SPENDING_SAAR_APR" vbProcedure="false">"c7594"</definedName>
    <definedName function="false" hidden="true" name="IQ_NONDEF_SPENDING_SAAR_APR_FC" vbProcedure="false">"c8474"</definedName>
    <definedName function="false" hidden="true" name="IQ_NONDEF_SPENDING_SAAR_FC" vbProcedure="false">"c7814"</definedName>
    <definedName function="false" hidden="true" name="IQ_NONDEF_SPENDING_SAAR_POP" vbProcedure="false">"c7154"</definedName>
    <definedName function="false" hidden="true" name="IQ_NONDEF_SPENDING_SAAR_POP_FC" vbProcedure="false">"c8034"</definedName>
    <definedName function="false" hidden="true" name="IQ_NONDEF_SPENDING_SAAR_YOY" vbProcedure="false">"c7374"</definedName>
    <definedName function="false" hidden="true" name="IQ_NONDEF_SPENDING_SAAR_YOY_FC" vbProcedure="false">"c8254"</definedName>
    <definedName function="false" hidden="true" name="IQ_NONFARM_EMP_HRS_PCT_CHANGE" vbProcedure="false">"c6935"</definedName>
    <definedName function="false" hidden="true" name="IQ_NONFARM_EMP_HRS_PCT_CHANGE_FC" vbProcedure="false">"c7815"</definedName>
    <definedName function="false" hidden="true" name="IQ_NONFARM_EMP_HRS_PCT_CHANGE_POP" vbProcedure="false">"c7155"</definedName>
    <definedName function="false" hidden="true" name="IQ_NONFARM_EMP_HRS_PCT_CHANGE_POP_FC" vbProcedure="false">"c8035"</definedName>
    <definedName function="false" hidden="true" name="IQ_NONFARM_EMP_HRS_PCT_CHANGE_YOY" vbProcedure="false">"c7375"</definedName>
    <definedName function="false" hidden="true" name="IQ_NONFARM_EMP_HRS_PCT_CHANGE_YOY_FC" vbProcedure="false">"c8255"</definedName>
    <definedName function="false" hidden="true" name="IQ_NONFARM_NONRES_DOM_FFIEC" vbProcedure="false">"c15271"</definedName>
    <definedName function="false" hidden="true" name="IQ_NONFARM_NONRES_GROSS_LOANS_FFIEC" vbProcedure="false">"c13405"</definedName>
    <definedName function="false" hidden="true" name="IQ_NONFARM_NONRES_LL_REC_DOM_FFIEC" vbProcedure="false">"c13626"</definedName>
    <definedName function="false" hidden="true" name="IQ_NONFARM_NONRES_RISK_BASED_FFIEC" vbProcedure="false">"c13426"</definedName>
    <definedName function="false" hidden="true" name="IQ_NONFARM_OUTPUT_PER_HR" vbProcedure="false">"c6936"</definedName>
    <definedName function="false" hidden="true" name="IQ_NONFARM_OUTPUT_PER_HR_APR" vbProcedure="false">"c7596"</definedName>
    <definedName function="false" hidden="true" name="IQ_NONFARM_OUTPUT_PER_HR_APR_FC" vbProcedure="false">"c8476"</definedName>
    <definedName function="false" hidden="true" name="IQ_NONFARM_OUTPUT_PER_HR_FC" vbProcedure="false">"c7816"</definedName>
    <definedName function="false" hidden="true" name="IQ_NONFARM_OUTPUT_PER_HR_POP" vbProcedure="false">"c7156"</definedName>
    <definedName function="false" hidden="true" name="IQ_NONFARM_OUTPUT_PER_HR_POP_FC" vbProcedure="false">"c8036"</definedName>
    <definedName function="false" hidden="true" name="IQ_NONFARM_OUTPUT_PER_HR_YOY" vbProcedure="false">"c7376"</definedName>
    <definedName function="false" hidden="true" name="IQ_NONFARM_OUTPUT_PER_HR_YOY_FC" vbProcedure="false">"c8256"</definedName>
    <definedName function="false" hidden="true" name="IQ_NONFARM_PAYROLLS" vbProcedure="false">"c6926"</definedName>
    <definedName function="false" hidden="true" name="IQ_NONFARM_PAYROLLS_APR" vbProcedure="false">"c7586"</definedName>
    <definedName function="false" hidden="true" name="IQ_NONFARM_PAYROLLS_APR_FC" vbProcedure="false">"c8466"</definedName>
    <definedName function="false" hidden="true" name="IQ_NONFARM_PAYROLLS_FC" vbProcedure="false">"c7806"</definedName>
    <definedName function="false" hidden="true" name="IQ_NONFARM_PAYROLLS_POP" vbProcedure="false">"c7146"</definedName>
    <definedName function="false" hidden="true" name="IQ_NONFARM_PAYROLLS_POP_FC" vbProcedure="false">"c8026"</definedName>
    <definedName function="false" hidden="true" name="IQ_NONFARM_PAYROLLS_YOY" vbProcedure="false">"c7366"</definedName>
    <definedName function="false" hidden="true" name="IQ_NONFARM_PAYROLLS_YOY_FC" vbProcedure="false">"c8246"</definedName>
    <definedName function="false" hidden="true" name="IQ_NONFARM_TOTAL_HR_INDEX" vbProcedure="false">"c6937"</definedName>
    <definedName function="false" hidden="true" name="IQ_NONFARM_TOTAL_HR_INDEX_APR" vbProcedure="false">"c7597"</definedName>
    <definedName function="false" hidden="true" name="IQ_NONFARM_TOTAL_HR_INDEX_APR_FC" vbProcedure="false">"c8477"</definedName>
    <definedName function="false" hidden="true" name="IQ_NONFARM_TOTAL_HR_INDEX_FC" vbProcedure="false">"c7817"</definedName>
    <definedName function="false" hidden="true" name="IQ_NONFARM_TOTAL_HR_INDEX_POP" vbProcedure="false">"c7157"</definedName>
    <definedName function="false" hidden="true" name="IQ_NONFARM_TOTAL_HR_INDEX_POP_FC" vbProcedure="false">"c8037"</definedName>
    <definedName function="false" hidden="true" name="IQ_NONFARM_TOTAL_HR_INDEX_YOY" vbProcedure="false">"c7377"</definedName>
    <definedName function="false" hidden="true" name="IQ_NONFARM_TOTAL_HR_INDEX_YOY_FC" vbProcedure="false">"c8257"</definedName>
    <definedName function="false" hidden="true" name="IQ_NONFARM_WAGES" vbProcedure="false">"c6938"</definedName>
    <definedName function="false" hidden="true" name="IQ_NONFARM_WAGES_APR" vbProcedure="false">"c7598"</definedName>
    <definedName function="false" hidden="true" name="IQ_NONFARM_WAGES_APR_FC" vbProcedure="false">"c8478"</definedName>
    <definedName function="false" hidden="true" name="IQ_NONFARM_WAGES_FC" vbProcedure="false">"c7818"</definedName>
    <definedName function="false" hidden="true" name="IQ_NONFARM_WAGES_INDEX" vbProcedure="false">"c6939"</definedName>
    <definedName function="false" hidden="true" name="IQ_NONFARM_WAGES_INDEX_APR" vbProcedure="false">"c7599"</definedName>
    <definedName function="false" hidden="true" name="IQ_NONFARM_WAGES_INDEX_APR_FC" vbProcedure="false">"c8479"</definedName>
    <definedName function="false" hidden="true" name="IQ_NONFARM_WAGES_INDEX_FC" vbProcedure="false">"c7819"</definedName>
    <definedName function="false" hidden="true" name="IQ_NONFARM_WAGES_INDEX_POP" vbProcedure="false">"c7159"</definedName>
    <definedName function="false" hidden="true" name="IQ_NONFARM_WAGES_INDEX_POP_FC" vbProcedure="false">"c8039"</definedName>
    <definedName function="false" hidden="true" name="IQ_NONFARM_WAGES_INDEX_YOY" vbProcedure="false">"c7379"</definedName>
    <definedName function="false" hidden="true" name="IQ_NONFARM_WAGES_INDEX_YOY_FC" vbProcedure="false">"c8259"</definedName>
    <definedName function="false" hidden="true" name="IQ_NONFARM_WAGES_POP" vbProcedure="false">"c7158"</definedName>
    <definedName function="false" hidden="true" name="IQ_NONFARM_WAGES_POP_FC" vbProcedure="false">"c8038"</definedName>
    <definedName function="false" hidden="true" name="IQ_NONFARM_WAGES_YOY" vbProcedure="false">"c7378"</definedName>
    <definedName function="false" hidden="true" name="IQ_NONFARM_WAGES_YOY_FC" vbProcedure="false">"c8258"</definedName>
    <definedName function="false" hidden="true" name="IQ_NONINTEREST_BEARING_BALANCES_FDIC" vbProcedure="false">"c6394"</definedName>
    <definedName function="false" hidden="true" name="IQ_NONINTEREST_BEARING_CASH_FFIEC" vbProcedure="false">"c12774"</definedName>
    <definedName function="false" hidden="true" name="IQ_NONINTEREST_BEARING_DEPOSITS_DOMESTIC_FDIC" vbProcedure="false">"c6477"</definedName>
    <definedName function="false" hidden="true" name="IQ_NONINTEREST_BEARING_DEPOSITS_FOREIGN_FDIC" vbProcedure="false">"c6484"</definedName>
    <definedName function="false" hidden="true" name="IQ_NONINTEREST_EXPENSE_EARNING_ASSETS_FDIC" vbProcedure="false">"c6728"</definedName>
    <definedName function="false" hidden="true" name="IQ_NONINTEREST_INCOME_EARNING_ASSETS_FDIC" vbProcedure="false">"c6727"</definedName>
    <definedName function="false" hidden="true" name="IQ_NONINTEREST_INC_FOREIGN_FFIEC" vbProcedure="false">"c15376"</definedName>
    <definedName function="false" hidden="true" name="IQ_NONMORTGAGE_SERVICING_FDIC" vbProcedure="false">"c6336"</definedName>
    <definedName function="false" hidden="true" name="IQ_NONQUALIFYING_PREFERRED_T1_FFIEC" vbProcedure="false">"c13134"</definedName>
    <definedName function="false" hidden="true" name="IQ_NONRECOURSE_DEBT" vbProcedure="false">"c2550"</definedName>
    <definedName function="false" hidden="true" name="IQ_NONRECOURSE_DEBT_PCT" vbProcedure="false">"c2551"</definedName>
    <definedName function="false" hidden="true" name="IQ_NONRES_FIXED_INVEST" vbProcedure="false">"c6931"</definedName>
    <definedName function="false" hidden="true" name="IQ_NONRES_FIXED_INVEST_APR" vbProcedure="false">"c7591"</definedName>
    <definedName function="false" hidden="true" name="IQ_NONRES_FIXED_INVEST_POP" vbProcedure="false">"c7151"</definedName>
    <definedName function="false" hidden="true" name="IQ_NONRES_FIXED_INVEST_PRIV_APR_FC_UNUSED" vbProcedure="false">"c8468"</definedName>
    <definedName function="false" hidden="true" name="IQ_NONRES_FIXED_INVEST_PRIV_APR_UNUSED" vbProcedure="false">"c7588"</definedName>
    <definedName function="false" hidden="true" name="IQ_NONRES_FIXED_INVEST_PRIV_FC_UNUSED" vbProcedure="false">"c7808"</definedName>
    <definedName function="false" hidden="true" name="IQ_NONRES_FIXED_INVEST_PRIV_POP_FC_UNUSED" vbProcedure="false">"c8028"</definedName>
    <definedName function="false" hidden="true" name="IQ_NONRES_FIXED_INVEST_PRIV_POP_UNUSED" vbProcedure="false">"c7148"</definedName>
    <definedName function="false" hidden="true" name="IQ_NONRES_FIXED_INVEST_PRIV_REAL" vbProcedure="false">"c6989"</definedName>
    <definedName function="false" hidden="true" name="IQ_NONRES_FIXED_INVEST_PRIV_REAL_APR" vbProcedure="false">"c7649"</definedName>
    <definedName function="false" hidden="true" name="IQ_NONRES_FIXED_INVEST_PRIV_REAL_APR_FC" vbProcedure="false">"c8529"</definedName>
    <definedName function="false" hidden="true" name="IQ_NONRES_FIXED_INVEST_PRIV_REAL_FC" vbProcedure="false">"c7869"</definedName>
    <definedName function="false" hidden="true" name="IQ_NONRES_FIXED_INVEST_PRIV_REAL_POP" vbProcedure="false">"c7209"</definedName>
    <definedName function="false" hidden="true" name="IQ_NONRES_FIXED_INVEST_PRIV_REAL_POP_FC" vbProcedure="false">"c8089"</definedName>
    <definedName function="false" hidden="true" name="IQ_NONRES_FIXED_INVEST_PRIV_REAL_SAAR" vbProcedure="false">"c6990"</definedName>
    <definedName function="false" hidden="true" name="IQ_NONRES_FIXED_INVEST_PRIV_REAL_SAAR_APR" vbProcedure="false">"c7650"</definedName>
    <definedName function="false" hidden="true" name="IQ_NONRES_FIXED_INVEST_PRIV_REAL_SAAR_APR_FC" vbProcedure="false">"c8530"</definedName>
    <definedName function="false" hidden="true" name="IQ_NONRES_FIXED_INVEST_PRIV_REAL_SAAR_FC" vbProcedure="false">"c7870"</definedName>
    <definedName function="false" hidden="true" name="IQ_NONRES_FIXED_INVEST_PRIV_REAL_SAAR_POP" vbProcedure="false">"c7210"</definedName>
    <definedName function="false" hidden="true" name="IQ_NONRES_FIXED_INVEST_PRIV_REAL_SAAR_POP_FC" vbProcedure="false">"c8090"</definedName>
    <definedName function="false" hidden="true" name="IQ_NONRES_FIXED_INVEST_PRIV_REAL_SAAR_USD_APR_FC" vbProcedure="false">"c11981"</definedName>
    <definedName function="false" hidden="true" name="IQ_NONRES_FIXED_INVEST_PRIV_REAL_SAAR_USD_FC" vbProcedure="false">"c11978"</definedName>
    <definedName function="false" hidden="true" name="IQ_NONRES_FIXED_INVEST_PRIV_REAL_SAAR_USD_POP_FC" vbProcedure="false">"c11979"</definedName>
    <definedName function="false" hidden="true" name="IQ_NONRES_FIXED_INVEST_PRIV_REAL_SAAR_USD_YOY_FC" vbProcedure="false">"c11980"</definedName>
    <definedName function="false" hidden="true" name="IQ_NONRES_FIXED_INVEST_PRIV_REAL_SAAR_YOY" vbProcedure="false">"c7430"</definedName>
    <definedName function="false" hidden="true" name="IQ_NONRES_FIXED_INVEST_PRIV_REAL_SAAR_YOY_FC" vbProcedure="false">"c8310"</definedName>
    <definedName function="false" hidden="true" name="IQ_NONRES_FIXED_INVEST_PRIV_REAL_USD_APR_FC" vbProcedure="false">"c11977"</definedName>
    <definedName function="false" hidden="true" name="IQ_NONRES_FIXED_INVEST_PRIV_REAL_USD_FC" vbProcedure="false">"c11974"</definedName>
    <definedName function="false" hidden="true" name="IQ_NONRES_FIXED_INVEST_PRIV_REAL_USD_POP_FC" vbProcedure="false">"c11975"</definedName>
    <definedName function="false" hidden="true" name="IQ_NONRES_FIXED_INVEST_PRIV_REAL_USD_YOY_FC" vbProcedure="false">"c11976"</definedName>
    <definedName function="false" hidden="true" name="IQ_NONRES_FIXED_INVEST_PRIV_REAL_YOY" vbProcedure="false">"c7429"</definedName>
    <definedName function="false" hidden="true" name="IQ_NONRES_FIXED_INVEST_PRIV_REAL_YOY_FC" vbProcedure="false">"c8309"</definedName>
    <definedName function="false" hidden="true" name="IQ_NONRES_FIXED_INVEST_PRIV_SAAR" vbProcedure="false">"c6929"</definedName>
    <definedName function="false" hidden="true" name="IQ_NONRES_FIXED_INVEST_PRIV_SAAR_APR" vbProcedure="false">"c7589"</definedName>
    <definedName function="false" hidden="true" name="IQ_NONRES_FIXED_INVEST_PRIV_SAAR_APR_FC" vbProcedure="false">"c8469"</definedName>
    <definedName function="false" hidden="true" name="IQ_NONRES_FIXED_INVEST_PRIV_SAAR_FC" vbProcedure="false">"c7809"</definedName>
    <definedName function="false" hidden="true" name="IQ_NONRES_FIXED_INVEST_PRIV_SAAR_POP" vbProcedure="false">"c7149"</definedName>
    <definedName function="false" hidden="true" name="IQ_NONRES_FIXED_INVEST_PRIV_SAAR_POP_FC" vbProcedure="false">"c8029"</definedName>
    <definedName function="false" hidden="true" name="IQ_NONRES_FIXED_INVEST_PRIV_SAAR_USD_APR_FC" vbProcedure="false">"c11877"</definedName>
    <definedName function="false" hidden="true" name="IQ_NONRES_FIXED_INVEST_PRIV_SAAR_USD_FC" vbProcedure="false">"c11874"</definedName>
    <definedName function="false" hidden="true" name="IQ_NONRES_FIXED_INVEST_PRIV_SAAR_USD_POP_FC" vbProcedure="false">"c11875"</definedName>
    <definedName function="false" hidden="true" name="IQ_NONRES_FIXED_INVEST_PRIV_SAAR_USD_YOY_FC" vbProcedure="false">"c11876"</definedName>
    <definedName function="false" hidden="true" name="IQ_NONRES_FIXED_INVEST_PRIV_SAAR_YOY" vbProcedure="false">"c7369"</definedName>
    <definedName function="false" hidden="true" name="IQ_NONRES_FIXED_INVEST_PRIV_SAAR_YOY_FC" vbProcedure="false">"c8249"</definedName>
    <definedName function="false" hidden="true" name="IQ_NONRES_FIXED_INVEST_PRIV_UNUSED" vbProcedure="false">"c6928"</definedName>
    <definedName function="false" hidden="true" name="IQ_NONRES_FIXED_INVEST_PRIV_USD_APR_FC" vbProcedure="false">"c11873"</definedName>
    <definedName function="false" hidden="true" name="IQ_NONRES_FIXED_INVEST_PRIV_USD_FC" vbProcedure="false">"c11870"</definedName>
    <definedName function="false" hidden="true" name="IQ_NONRES_FIXED_INVEST_PRIV_USD_POP_FC" vbProcedure="false">"c11871"</definedName>
    <definedName function="false" hidden="true" name="IQ_NONRES_FIXED_INVEST_PRIV_USD_YOY_FC" vbProcedure="false">"c11872"</definedName>
    <definedName function="false" hidden="true" name="IQ_NONRES_FIXED_INVEST_PRIV_YOY_FC_UNUSED" vbProcedure="false">"c8248"</definedName>
    <definedName function="false" hidden="true" name="IQ_NONRES_FIXED_INVEST_PRIV_YOY_UNUSED" vbProcedure="false">"c7368"</definedName>
    <definedName function="false" hidden="true" name="IQ_NONRES_FIXED_INVEST_REAL" vbProcedure="false">"c6993"</definedName>
    <definedName function="false" hidden="true" name="IQ_NONRES_FIXED_INVEST_REAL_APR" vbProcedure="false">"c7653"</definedName>
    <definedName function="false" hidden="true" name="IQ_NONRES_FIXED_INVEST_REAL_POP" vbProcedure="false">"c7213"</definedName>
    <definedName function="false" hidden="true" name="IQ_NONRES_FIXED_INVEST_REAL_SAAR" vbProcedure="false">"c6987"</definedName>
    <definedName function="false" hidden="true" name="IQ_NONRES_FIXED_INVEST_REAL_SAAR_APR" vbProcedure="false">"c7647"</definedName>
    <definedName function="false" hidden="true" name="IQ_NONRES_FIXED_INVEST_REAL_SAAR_APR_FC" vbProcedure="false">"c8527"</definedName>
    <definedName function="false" hidden="true" name="IQ_NONRES_FIXED_INVEST_REAL_SAAR_FC" vbProcedure="false">"c7867"</definedName>
    <definedName function="false" hidden="true" name="IQ_NONRES_FIXED_INVEST_REAL_SAAR_POP" vbProcedure="false">"c7207"</definedName>
    <definedName function="false" hidden="true" name="IQ_NONRES_FIXED_INVEST_REAL_SAAR_POP_FC" vbProcedure="false">"c8087"</definedName>
    <definedName function="false" hidden="true" name="IQ_NONRES_FIXED_INVEST_REAL_SAAR_YOY" vbProcedure="false">"c7427"</definedName>
    <definedName function="false" hidden="true" name="IQ_NONRES_FIXED_INVEST_REAL_SAAR_YOY_FC" vbProcedure="false">"c8307"</definedName>
    <definedName function="false" hidden="true" name="IQ_NONRES_FIXED_INVEST_REAL_USD_APR_FC" vbProcedure="false">"c11973"</definedName>
    <definedName function="false" hidden="true" name="IQ_NONRES_FIXED_INVEST_REAL_USD_FC" vbProcedure="false">"c11970"</definedName>
    <definedName function="false" hidden="true" name="IQ_NONRES_FIXED_INVEST_REAL_USD_POP_FC" vbProcedure="false">"c11971"</definedName>
    <definedName function="false" hidden="true" name="IQ_NONRES_FIXED_INVEST_REAL_USD_YOY_FC" vbProcedure="false">"c11972"</definedName>
    <definedName function="false" hidden="true" name="IQ_NONRES_FIXED_INVEST_REAL_YOY" vbProcedure="false">"c7433"</definedName>
    <definedName function="false" hidden="true" name="IQ_NONRES_FIXED_INVEST_STRUCT" vbProcedure="false">"c6930"</definedName>
    <definedName function="false" hidden="true" name="IQ_NONRES_FIXED_INVEST_STRUCT_APR" vbProcedure="false">"c7590"</definedName>
    <definedName function="false" hidden="true" name="IQ_NONRES_FIXED_INVEST_STRUCT_APR_FC" vbProcedure="false">"c8470"</definedName>
    <definedName function="false" hidden="true" name="IQ_NONRES_FIXED_INVEST_STRUCT_FC" vbProcedure="false">"c7810"</definedName>
    <definedName function="false" hidden="true" name="IQ_NONRES_FIXED_INVEST_STRUCT_POP" vbProcedure="false">"c7150"</definedName>
    <definedName function="false" hidden="true" name="IQ_NONRES_FIXED_INVEST_STRUCT_POP_FC" vbProcedure="false">"c8030"</definedName>
    <definedName function="false" hidden="true" name="IQ_NONRES_FIXED_INVEST_STRUCT_REAL" vbProcedure="false">"c6992"</definedName>
    <definedName function="false" hidden="true" name="IQ_NONRES_FIXED_INVEST_STRUCT_REAL_APR" vbProcedure="false">"c7652"</definedName>
    <definedName function="false" hidden="true" name="IQ_NONRES_FIXED_INVEST_STRUCT_REAL_APR_FC" vbProcedure="false">"c8532"</definedName>
    <definedName function="false" hidden="true" name="IQ_NONRES_FIXED_INVEST_STRUCT_REAL_FC" vbProcedure="false">"c7872"</definedName>
    <definedName function="false" hidden="true" name="IQ_NONRES_FIXED_INVEST_STRUCT_REAL_POP" vbProcedure="false">"c7212"</definedName>
    <definedName function="false" hidden="true" name="IQ_NONRES_FIXED_INVEST_STRUCT_REAL_POP_FC" vbProcedure="false">"c8092"</definedName>
    <definedName function="false" hidden="true" name="IQ_NONRES_FIXED_INVEST_STRUCT_REAL_SAAR" vbProcedure="false">"c6991"</definedName>
    <definedName function="false" hidden="true" name="IQ_NONRES_FIXED_INVEST_STRUCT_REAL_SAAR_APR" vbProcedure="false">"c7651"</definedName>
    <definedName function="false" hidden="true" name="IQ_NONRES_FIXED_INVEST_STRUCT_REAL_SAAR_APR_FC" vbProcedure="false">"c8531"</definedName>
    <definedName function="false" hidden="true" name="IQ_NONRES_FIXED_INVEST_STRUCT_REAL_SAAR_FC" vbProcedure="false">"c7871"</definedName>
    <definedName function="false" hidden="true" name="IQ_NONRES_FIXED_INVEST_STRUCT_REAL_SAAR_POP" vbProcedure="false">"c7211"</definedName>
    <definedName function="false" hidden="true" name="IQ_NONRES_FIXED_INVEST_STRUCT_REAL_SAAR_POP_FC" vbProcedure="false">"c8091"</definedName>
    <definedName function="false" hidden="true" name="IQ_NONRES_FIXED_INVEST_STRUCT_REAL_SAAR_YOY" vbProcedure="false">"c7431"</definedName>
    <definedName function="false" hidden="true" name="IQ_NONRES_FIXED_INVEST_STRUCT_REAL_SAAR_YOY_FC" vbProcedure="false">"c8311"</definedName>
    <definedName function="false" hidden="true" name="IQ_NONRES_FIXED_INVEST_STRUCT_REAL_USD_APR_FC" vbProcedure="false">"c11985"</definedName>
    <definedName function="false" hidden="true" name="IQ_NONRES_FIXED_INVEST_STRUCT_REAL_USD_FC" vbProcedure="false">"c11982"</definedName>
    <definedName function="false" hidden="true" name="IQ_NONRES_FIXED_INVEST_STRUCT_REAL_USD_POP_FC" vbProcedure="false">"c11983"</definedName>
    <definedName function="false" hidden="true" name="IQ_NONRES_FIXED_INVEST_STRUCT_REAL_USD_YOY_FC" vbProcedure="false">"c11984"</definedName>
    <definedName function="false" hidden="true" name="IQ_NONRES_FIXED_INVEST_STRUCT_REAL_YOY" vbProcedure="false">"c7432"</definedName>
    <definedName function="false" hidden="true" name="IQ_NONRES_FIXED_INVEST_STRUCT_REAL_YOY_FC" vbProcedure="false">"c8312"</definedName>
    <definedName function="false" hidden="true" name="IQ_NONRES_FIXED_INVEST_STRUCT_USD_APR_FC" vbProcedure="false">"c11881"</definedName>
    <definedName function="false" hidden="true" name="IQ_NONRES_FIXED_INVEST_STRUCT_USD_FC" vbProcedure="false">"c11878"</definedName>
    <definedName function="false" hidden="true" name="IQ_NONRES_FIXED_INVEST_STRUCT_USD_POP_FC" vbProcedure="false">"c11879"</definedName>
    <definedName function="false" hidden="true" name="IQ_NONRES_FIXED_INVEST_STRUCT_USD_YOY_FC" vbProcedure="false">"c11880"</definedName>
    <definedName function="false" hidden="true" name="IQ_NONRES_FIXED_INVEST_STRUCT_YOY" vbProcedure="false">"c7370"</definedName>
    <definedName function="false" hidden="true" name="IQ_NONRES_FIXED_INVEST_STRUCT_YOY_FC" vbProcedure="false">"c8250"</definedName>
    <definedName function="false" hidden="true" name="IQ_NONRES_FIXED_INVEST_USD_APR_FC" vbProcedure="false">"c11869"</definedName>
    <definedName function="false" hidden="true" name="IQ_NONRES_FIXED_INVEST_USD_FC" vbProcedure="false">"c11866"</definedName>
    <definedName function="false" hidden="true" name="IQ_NONRES_FIXED_INVEST_USD_POP_FC" vbProcedure="false">"c11867"</definedName>
    <definedName function="false" hidden="true" name="IQ_NONRES_FIXED_INVEST_USD_YOY_FC" vbProcedure="false">"c11868"</definedName>
    <definedName function="false" hidden="true" name="IQ_NONRES_FIXED_INVEST_YOY" vbProcedure="false">"c7371"</definedName>
    <definedName function="false" hidden="true" name="IQ_NONTRADING_SECURITIES_FAIR_VALUE_TOT_FFIEC" vbProcedure="false">"c13211"</definedName>
    <definedName function="false" hidden="true" name="IQ_NONTRADING_SECURITIES_LEVEL_1_FFIEC" vbProcedure="false">"c13219"</definedName>
    <definedName function="false" hidden="true" name="IQ_NONTRADING_SECURITIES_LEVEL_2_FFIEC" vbProcedure="false">"c13227"</definedName>
    <definedName function="false" hidden="true" name="IQ_NONTRADING_SECURITIES_LEVEL_3_FFIEC" vbProcedure="false">"c13235"</definedName>
    <definedName function="false" hidden="true" name="IQ_NONTRANSACTION_ACCOUNTS_FDIC" vbProcedure="false">"c6552"</definedName>
    <definedName function="false" hidden="true" name="IQ_NONUTIL_REV" vbProcedure="false">"c2089"</definedName>
    <definedName function="false" hidden="true" name="IQ_NON_ACCRUAL_ASSET_SOLD_DURING_QTR_FFIEC" vbProcedure="false">"c15350"</definedName>
    <definedName function="false" hidden="true" name="IQ_NON_ACCRUAL_LOANS" vbProcedure="false">"c796"</definedName>
    <definedName function="false" hidden="true" name="IQ_NON_ACCRU_ALLOW_RECEIVABLES_FFIEC" vbProcedure="false">"c13353"</definedName>
    <definedName function="false" hidden="true" name="IQ_NON_CASH" vbProcedure="false">"c1399"</definedName>
    <definedName function="false" hidden="true" name="IQ_NON_CASH_ITEMS" vbProcedure="false">"c797"</definedName>
    <definedName function="false" hidden="true" name="IQ_NON_CD_DEPOSITS" vbProcedure="false">"c15718"</definedName>
    <definedName function="false" hidden="true" name="IQ_NON_CD_DEPOSITS_TOTAL_DEPOSITS" vbProcedure="false">"c15725"</definedName>
    <definedName function="false" hidden="true" name="IQ_NON_CURRENT_LOANS_FFIEC" vbProcedure="false">"c13860"</definedName>
    <definedName function="false" hidden="true" name="IQ_NON_FARM_NONRES_PROPERTIES_TRADING_DOM_FFIEC" vbProcedure="false">"c12931"</definedName>
    <definedName function="false" hidden="true" name="IQ_NON_INS_EXP" vbProcedure="false">"c798"</definedName>
    <definedName function="false" hidden="true" name="IQ_NON_INS_REV" vbProcedure="false">"c799"</definedName>
    <definedName function="false" hidden="true" name="IQ_NON_INTEREST_EXP" vbProcedure="false">"c1400"</definedName>
    <definedName function="false" hidden="true" name="IQ_NON_INTEREST_INC" vbProcedure="false">"c1401"</definedName>
    <definedName function="false" hidden="true" name="IQ_NON_INT_BAL_OTHER_INSTITUTIONS_FFIEC" vbProcedure="false">"c12950"</definedName>
    <definedName function="false" hidden="true" name="IQ_NON_INT_BEARING_DEPOSITS" vbProcedure="false">"c800"</definedName>
    <definedName function="false" hidden="true" name="IQ_NON_INT_BEAR_CD" vbProcedure="false">"c11750"</definedName>
    <definedName function="false" hidden="true" name="IQ_NON_INT_DEPOSITS_DOM_FFIEC" vbProcedure="false">"c12851"</definedName>
    <definedName function="false" hidden="true" name="IQ_NON_INT_DEPOSITS_FOREIGN_FFIEC" vbProcedure="false">"c12854"</definedName>
    <definedName function="false" hidden="true" name="IQ_NON_INT_EXP" vbProcedure="false">"c801"</definedName>
    <definedName function="false" hidden="true" name="IQ_NON_INT_EXPENSE_AVG_ASSET" vbProcedure="false">"c15708"</definedName>
    <definedName function="false" hidden="true" name="IQ_NON_INT_EXPENSE_FFIEC" vbProcedure="false">"c13028"</definedName>
    <definedName function="false" hidden="true" name="IQ_NON_INT_EXP_AVG_ASSETS_FFIEC" vbProcedure="false">"c18878"</definedName>
    <definedName function="false" hidden="true" name="IQ_NON_INT_EXP_BNK_AP" vbProcedure="false">"c8877"</definedName>
    <definedName function="false" hidden="true" name="IQ_NON_INT_EXP_BNK_AP_ABS" vbProcedure="false">"c8896"</definedName>
    <definedName function="false" hidden="true" name="IQ_NON_INT_EXP_BNK_NAME_AP" vbProcedure="false">"c8915"</definedName>
    <definedName function="false" hidden="true" name="IQ_NON_INT_EXP_BNK_NAME_AP_ABS" vbProcedure="false">"c8934"</definedName>
    <definedName function="false" hidden="true" name="IQ_NON_INT_EXP_BNK_SUBTOTAL_AP" vbProcedure="false">"c8981"</definedName>
    <definedName function="false" hidden="true" name="IQ_NON_INT_EXP_FDIC" vbProcedure="false">"c6579"</definedName>
    <definedName function="false" hidden="true" name="IQ_NON_INT_INC" vbProcedure="false">"c802"</definedName>
    <definedName function="false" hidden="true" name="IQ_NON_INT_INCOME_AVG_ASSET" vbProcedure="false">"c15707"</definedName>
    <definedName function="false" hidden="true" name="IQ_NON_INT_INCOME_FFIEC" vbProcedure="false">"c13017"</definedName>
    <definedName function="false" hidden="true" name="IQ_NON_INT_INC_10YR_ANN_CAGR" vbProcedure="false">"c6115"</definedName>
    <definedName function="false" hidden="true" name="IQ_NON_INT_INC_10YR_ANN_GROWTH" vbProcedure="false">"c803"</definedName>
    <definedName function="false" hidden="true" name="IQ_NON_INT_INC_1YR_ANN_GROWTH" vbProcedure="false">"c804"</definedName>
    <definedName function="false" hidden="true" name="IQ_NON_INT_INC_2YR_ANN_CAGR" vbProcedure="false">"c6116"</definedName>
    <definedName function="false" hidden="true" name="IQ_NON_INT_INC_2YR_ANN_GROWTH" vbProcedure="false">"c805"</definedName>
    <definedName function="false" hidden="true" name="IQ_NON_INT_INC_3YR_ANN_CAGR" vbProcedure="false">"c6117"</definedName>
    <definedName function="false" hidden="true" name="IQ_NON_INT_INC_3YR_ANN_GROWTH" vbProcedure="false">"c806"</definedName>
    <definedName function="false" hidden="true" name="IQ_NON_INT_INC_5YR_ANN_CAGR" vbProcedure="false">"c6118"</definedName>
    <definedName function="false" hidden="true" name="IQ_NON_INT_INC_5YR_ANN_GROWTH" vbProcedure="false">"c807"</definedName>
    <definedName function="false" hidden="true" name="IQ_NON_INT_INC_7YR_ANN_CAGR" vbProcedure="false">"c6119"</definedName>
    <definedName function="false" hidden="true" name="IQ_NON_INT_INC_7YR_ANN_GROWTH" vbProcedure="false">"c808"</definedName>
    <definedName function="false" hidden="true" name="IQ_NON_INT_INC_AVG_ASSETS_FFIEC" vbProcedure="false">"c13359"</definedName>
    <definedName function="false" hidden="true" name="IQ_NON_INT_INC_BNK_AP" vbProcedure="false">"c8876"</definedName>
    <definedName function="false" hidden="true" name="IQ_NON_INT_INC_BNK_AP_ABS" vbProcedure="false">"c8895"</definedName>
    <definedName function="false" hidden="true" name="IQ_NON_INT_INC_BNK_NAME_AP" vbProcedure="false">"c8914"</definedName>
    <definedName function="false" hidden="true" name="IQ_NON_INT_INC_BNK_NAME_AP_ABS" vbProcedure="false">"c8933"</definedName>
    <definedName function="false" hidden="true" name="IQ_NON_INT_INC_BNK_SUBTOTAL_AP" vbProcedure="false">"c8980"</definedName>
    <definedName function="false" hidden="true" name="IQ_NON_INT_INC_FDIC" vbProcedure="false">"c6575"</definedName>
    <definedName function="false" hidden="true" name="IQ_NON_INT_INC_OPERATING_INC_FFIEC" vbProcedure="false">"c13382"</definedName>
    <definedName function="false" hidden="true" name="IQ_NON_OPER_EXP" vbProcedure="false">"c809"</definedName>
    <definedName function="false" hidden="true" name="IQ_NON_OPER_INC" vbProcedure="false">"c810"</definedName>
    <definedName function="false" hidden="true" name="IQ_NON_PERFORMING_ASSETS" vbProcedure="false">"c826"</definedName>
    <definedName function="false" hidden="true" name="IQ_NON_PERFORMING_ASSETS_FFIEC" vbProcedure="false">"c13859"</definedName>
    <definedName function="false" hidden="true" name="IQ_NON_PERFORMING_LOANS" vbProcedure="false">"c827"</definedName>
    <definedName function="false" hidden="true" name="IQ_NON_PERFORMING_LOANS_FFIEC" vbProcedure="false">"c13861"</definedName>
    <definedName function="false" hidden="true" name="IQ_NON_PERF_ASSETS_10YR_ANN_CAGR" vbProcedure="false">"c6120"</definedName>
    <definedName function="false" hidden="true" name="IQ_NON_PERF_ASSETS_10YR_ANN_GROWTH" vbProcedure="false">"c811"</definedName>
    <definedName function="false" hidden="true" name="IQ_NON_PERF_ASSETS_1YR_ANN_GROWTH" vbProcedure="false">"c812"</definedName>
    <definedName function="false" hidden="true" name="IQ_NON_PERF_ASSETS_2YR_ANN_CAGR" vbProcedure="false">"c6121"</definedName>
    <definedName function="false" hidden="true" name="IQ_NON_PERF_ASSETS_2YR_ANN_GROWTH" vbProcedure="false">"c813"</definedName>
    <definedName function="false" hidden="true" name="IQ_NON_PERF_ASSETS_3YR_ANN_CAGR" vbProcedure="false">"c6122"</definedName>
    <definedName function="false" hidden="true" name="IQ_NON_PERF_ASSETS_3YR_ANN_GROWTH" vbProcedure="false">"c814"</definedName>
    <definedName function="false" hidden="true" name="IQ_NON_PERF_ASSETS_5YR_ANN_CAGR" vbProcedure="false">"c6123"</definedName>
    <definedName function="false" hidden="true" name="IQ_NON_PERF_ASSETS_5YR_ANN_GROWTH" vbProcedure="false">"c815"</definedName>
    <definedName function="false" hidden="true" name="IQ_NON_PERF_ASSETS_7YR_ANN_CAGR" vbProcedure="false">"c6124"</definedName>
    <definedName function="false" hidden="true" name="IQ_NON_PERF_ASSETS_7YR_ANN_GROWTH" vbProcedure="false">"c816"</definedName>
    <definedName function="false" hidden="true" name="IQ_NON_PERF_ASSETS_EQUITY" vbProcedure="false">"c15702"</definedName>
    <definedName function="false" hidden="true" name="IQ_NON_PERF_ASSETS_LOANS_OREO" vbProcedure="false">"c15701"</definedName>
    <definedName function="false" hidden="true" name="IQ_NON_PERF_ASSETS_TOTAL_ASSETS" vbProcedure="false">"c817"</definedName>
    <definedName function="false" hidden="true" name="IQ_NON_PERF_LOANS_10YR_ANN_CAGR" vbProcedure="false">"c6125"</definedName>
    <definedName function="false" hidden="true" name="IQ_NON_PERF_LOANS_10YR_ANN_GROWTH" vbProcedure="false">"c818"</definedName>
    <definedName function="false" hidden="true" name="IQ_NON_PERF_LOANS_1YR_ANN_GROWTH" vbProcedure="false">"c819"</definedName>
    <definedName function="false" hidden="true" name="IQ_NON_PERF_LOANS_2YR_ANN_CAGR" vbProcedure="false">"c6126"</definedName>
    <definedName function="false" hidden="true" name="IQ_NON_PERF_LOANS_2YR_ANN_GROWTH" vbProcedure="false">"c820"</definedName>
    <definedName function="false" hidden="true" name="IQ_NON_PERF_LOANS_3YR_ANN_CAGR" vbProcedure="false">"c6127"</definedName>
    <definedName function="false" hidden="true" name="IQ_NON_PERF_LOANS_3YR_ANN_GROWTH" vbProcedure="false">"c821"</definedName>
    <definedName function="false" hidden="true" name="IQ_NON_PERF_LOANS_5YR_ANN_CAGR" vbProcedure="false">"c6128"</definedName>
    <definedName function="false" hidden="true" name="IQ_NON_PERF_LOANS_5YR_ANN_GROWTH" vbProcedure="false">"c822"</definedName>
    <definedName function="false" hidden="true" name="IQ_NON_PERF_LOANS_7YR_ANN_CAGR" vbProcedure="false">"c6129"</definedName>
    <definedName function="false" hidden="true" name="IQ_NON_PERF_LOANS_7YR_ANN_GROWTH" vbProcedure="false">"c823"</definedName>
    <definedName function="false" hidden="true" name="IQ_NON_PERF_LOANS_TOTAL_ASSETS" vbProcedure="false">"c824"</definedName>
    <definedName function="false" hidden="true" name="IQ_NON_PERF_LOANS_TOTAL_LOANS" vbProcedure="false">"c825"</definedName>
    <definedName function="false" hidden="true" name="IQ_NON_RENTAL_NOI" vbProcedure="false">"c16066"</definedName>
    <definedName function="false" hidden="true" name="IQ_NON_RENTAL_OPERATING_EXPENSE" vbProcedure="false">"c16046"</definedName>
    <definedName function="false" hidden="true" name="IQ_NON_RE_DA" vbProcedure="false">"c16179"</definedName>
    <definedName function="false" hidden="true" name="IQ_NON_US_ADDRESSEES_TOTAL_LOANS_FOREIGN_FDIC" vbProcedure="false">"c6443"</definedName>
    <definedName function="false" hidden="true" name="IQ_NON_US_ADDRESS_LEASE_FIN_REC_FFIEC" vbProcedure="false">"c13625"</definedName>
    <definedName function="false" hidden="true" name="IQ_NON_US_CHARGE_OFFS_AND_RECOVERIES_FDIC" vbProcedure="false">"c6650"</definedName>
    <definedName function="false" hidden="true" name="IQ_NON_US_CHARGE_OFFS_FDIC" vbProcedure="false">"c6648"</definedName>
    <definedName function="false" hidden="true" name="IQ_NON_US_COMMERCIAL_INDUSTRIAL_CHARGE_OFFS_FDIC" vbProcedure="false">"c6651"</definedName>
    <definedName function="false" hidden="true" name="IQ_NON_US_NET_LOANS_FDIC" vbProcedure="false">"c6376"</definedName>
    <definedName function="false" hidden="true" name="IQ_NON_US_RECOVERIES_FDIC" vbProcedure="false">"c6649"</definedName>
    <definedName function="false" hidden="true" name="IQ_NORMAL_INC_AFTER" vbProcedure="false">"c1605"</definedName>
    <definedName function="false" hidden="true" name="IQ_NORMAL_INC_AVAIL" vbProcedure="false">"c1606"</definedName>
    <definedName function="false" hidden="true" name="IQ_NORMAL_INC_BEFORE" vbProcedure="false">"c1607"</definedName>
    <definedName function="false" hidden="true" name="IQ_NORM_EPS_ACT_OR_EST" vbProcedure="false">"c2249"</definedName>
    <definedName function="false" hidden="true" name="IQ_NORM_EPS_ACT_OR_EST_CIQ" vbProcedure="false">"c5069"</definedName>
    <definedName function="false" hidden="true" name="IQ_NORM_EPS_ACT_OR_EST_REUT" vbProcedure="false">"c5472"</definedName>
    <definedName function="false" hidden="true" name="IQ_NOTES_PAY" vbProcedure="false">"c1423"</definedName>
    <definedName function="false" hidden="true" name="IQ_NOTIONAL_AMOUNT_CREDIT_DERIVATIVES_FDIC" vbProcedure="false">"c6507"</definedName>
    <definedName function="false" hidden="true" name="IQ_NOTIONAL_AMT_DERIVATIVES_BENEFICIARY_FFIEC" vbProcedure="false">"c13118"</definedName>
    <definedName function="false" hidden="true" name="IQ_NOTIONAL_AMT_DERIVATIVES_GUARANTOR_FFIEC" vbProcedure="false">"c13111"</definedName>
    <definedName function="false" hidden="true" name="IQ_NOTIONAL_VALUE_EXCHANGE_SWAPS_FDIC" vbProcedure="false">"c6516"</definedName>
    <definedName function="false" hidden="true" name="IQ_NOTIONAL_VALUE_OTHER_SWAPS_FDIC" vbProcedure="false">"c6521"</definedName>
    <definedName function="false" hidden="true" name="IQ_NOTIONAL_VALUE_RATE_SWAPS_FDIC" vbProcedure="false">"c6511"</definedName>
    <definedName function="false" hidden="true" name="IQ_NOW_ACCOUNT" vbProcedure="false">"c828"</definedName>
    <definedName function="false" hidden="true" name="IQ_NOW_ATS_ACCOUNTS_COMMERCIAL_BANK_SUBS_FFIEC" vbProcedure="false">"c12946"</definedName>
    <definedName function="false" hidden="true" name="IQ_NOW_ATS_ACCOUNTS_OTHER_INSTITUTIONS_FFIEC" vbProcedure="false">"c12951"</definedName>
    <definedName function="false" hidden="true" name="IQ_NOW_OTHER_TRANS_ACCTS_TOT_DEPOSITS_FFIEC" vbProcedure="false">"c13903"</definedName>
    <definedName function="false" hidden="true" name="IQ_NPPE" vbProcedure="false">"c829"</definedName>
    <definedName function="false" hidden="true" name="IQ_NPPE_10YR_ANN_CAGR" vbProcedure="false">"c6130"</definedName>
    <definedName function="false" hidden="true" name="IQ_NPPE_10YR_ANN_GROWTH" vbProcedure="false">"c830"</definedName>
    <definedName function="false" hidden="true" name="IQ_NPPE_1YR_ANN_GROWTH" vbProcedure="false">"c831"</definedName>
    <definedName function="false" hidden="true" name="IQ_NPPE_2YR_ANN_CAGR" vbProcedure="false">"c6131"</definedName>
    <definedName function="false" hidden="true" name="IQ_NPPE_2YR_ANN_GROWTH" vbProcedure="false">"c832"</definedName>
    <definedName function="false" hidden="true" name="IQ_NPPE_3YR_ANN_CAGR" vbProcedure="false">"c6132"</definedName>
    <definedName function="false" hidden="true" name="IQ_NPPE_3YR_ANN_GROWTH" vbProcedure="false">"c833"</definedName>
    <definedName function="false" hidden="true" name="IQ_NPPE_5YR_ANN_CAGR" vbProcedure="false">"c6133"</definedName>
    <definedName function="false" hidden="true" name="IQ_NPPE_5YR_ANN_GROWTH" vbProcedure="false">"c834"</definedName>
    <definedName function="false" hidden="true" name="IQ_NPPE_7YR_ANN_CAGR" vbProcedure="false">"c6134"</definedName>
    <definedName function="false" hidden="true" name="IQ_NPPE_7YR_ANN_GROWTH" vbProcedure="false">"c835"</definedName>
    <definedName function="false" hidden="true" name="IQ_NTM" vbProcedure="false">6000</definedName>
    <definedName function="false" hidden="true" name="IQ_NUKE" vbProcedure="false">"c836"</definedName>
    <definedName function="false" hidden="true" name="IQ_NUKE_CF" vbProcedure="false">"c837"</definedName>
    <definedName function="false" hidden="true" name="IQ_NUKE_CONTR" vbProcedure="false">"c838"</definedName>
    <definedName function="false" hidden="true" name="IQ_NUMBER_ADRHOLDERS" vbProcedure="false">"c1970"</definedName>
    <definedName function="false" hidden="true" name="IQ_NUMBER_CELL_SITES" vbProcedure="false">"c15762"</definedName>
    <definedName function="false" hidden="true" name="IQ_NUMBER_DAYS" vbProcedure="false">"c1904"</definedName>
    <definedName function="false" hidden="true" name="IQ_NUMBER_DEPOSITS_LESS_THAN_100K_FDIC" vbProcedure="false">"c6495"</definedName>
    <definedName function="false" hidden="true" name="IQ_NUMBER_DEPOSITS_MORE_THAN_100K_FDIC" vbProcedure="false">"c6493"</definedName>
    <definedName function="false" hidden="true" name="IQ_NUMBER_MINES_ALUM" vbProcedure="false">"c9248"</definedName>
    <definedName function="false" hidden="true" name="IQ_NUMBER_MINES_COAL" vbProcedure="false">"c9822"</definedName>
    <definedName function="false" hidden="true" name="IQ_NUMBER_MINES_COP" vbProcedure="false">"c9193"</definedName>
    <definedName function="false" hidden="true" name="IQ_NUMBER_MINES_DIAM" vbProcedure="false">"c9672"</definedName>
    <definedName function="false" hidden="true" name="IQ_NUMBER_MINES_GOLD" vbProcedure="false">"c9033"</definedName>
    <definedName function="false" hidden="true" name="IQ_NUMBER_MINES_IRON" vbProcedure="false">"c9407"</definedName>
    <definedName function="false" hidden="true" name="IQ_NUMBER_MINES_LEAD" vbProcedure="false">"c9460"</definedName>
    <definedName function="false" hidden="true" name="IQ_NUMBER_MINES_MANG" vbProcedure="false">"c9513"</definedName>
    <definedName function="false" hidden="true" name="IQ_NUMBER_MINES_MOLYB" vbProcedure="false">"c9725"</definedName>
    <definedName function="false" hidden="true" name="IQ_NUMBER_MINES_NICK" vbProcedure="false">"c9301"</definedName>
    <definedName function="false" hidden="true" name="IQ_NUMBER_MINES_PLAT" vbProcedure="false">"c9139"</definedName>
    <definedName function="false" hidden="true" name="IQ_NUMBER_MINES_SILVER" vbProcedure="false">"c9086"</definedName>
    <definedName function="false" hidden="true" name="IQ_NUMBER_MINES_TITAN" vbProcedure="false">"c9566"</definedName>
    <definedName function="false" hidden="true" name="IQ_NUMBER_MINES_URAN" vbProcedure="false">"c9619"</definedName>
    <definedName function="false" hidden="true" name="IQ_NUMBER_MINES_ZINC" vbProcedure="false">"c9354"</definedName>
    <definedName function="false" hidden="true" name="IQ_NUMBER_SHAREHOLDERS" vbProcedure="false">"c1967"</definedName>
    <definedName function="false" hidden="true" name="IQ_NUMBER_SHAREHOLDERS_CLASSA" vbProcedure="false">"c1968"</definedName>
    <definedName function="false" hidden="true" name="IQ_NUMBER_SHAREHOLDERS_OTHER" vbProcedure="false">"c1969"</definedName>
    <definedName function="false" hidden="true" name="IQ_NUMBER_WIRELESS_TOWERS" vbProcedure="false">"c15766"</definedName>
    <definedName function="false" hidden="true" name="IQ_NUM_BRANCHES" vbProcedure="false">"c2088"</definedName>
    <definedName function="false" hidden="true" name="IQ_NUM_CONTRIBUTORS" vbProcedure="false">"c13739"</definedName>
    <definedName function="false" hidden="true" name="IQ_OBLIGATIONS_OF_STATES_TOTAL_LOANS_FOREIGN_FDIC" vbProcedure="false">"c6447"</definedName>
    <definedName function="false" hidden="true" name="IQ_OBLIGATIONS_STATES_FDIC" vbProcedure="false">"c6431"</definedName>
    <definedName function="false" hidden="true" name="IQ_OBLIGATION_STATES_POLI_SUBD_US_LL_REC_DOM_FFIEC" vbProcedure="false">"c15295"</definedName>
    <definedName function="false" hidden="true" name="IQ_OBLIGATION_STATES_POLI_SUBD_US_LL_REC_FFIEC" vbProcedure="false">"c15294"</definedName>
    <definedName function="false" hidden="true" name="IQ_OCCUPANCY_CONSOL" vbProcedure="false">"c8840"</definedName>
    <definedName function="false" hidden="true" name="IQ_OCCUPANCY_EXP_AVG_ASSETS_FFIEC" vbProcedure="false">"c13372"</definedName>
    <definedName function="false" hidden="true" name="IQ_OCCUPANCY_EXP_OPERATING_INC_FFIEC" vbProcedure="false">"c13380"</definedName>
    <definedName function="false" hidden="true" name="IQ_OCCUPANCY_MANAGED" vbProcedure="false">"c8842"</definedName>
    <definedName function="false" hidden="true" name="IQ_OCCUPANCY_OTHER" vbProcedure="false">"c8843"</definedName>
    <definedName function="false" hidden="true" name="IQ_OCCUPANCY_SAME_PROP" vbProcedure="false">"c8845"</definedName>
    <definedName function="false" hidden="true" name="IQ_OCCUPANCY_TOTAL" vbProcedure="false">"c8844"</definedName>
    <definedName function="false" hidden="true" name="IQ_OCCUPANCY_UNCONSOL" vbProcedure="false">"c8841"</definedName>
    <definedName function="false" hidden="true" name="IQ_OCCUPY_EXP" vbProcedure="false">"c839"</definedName>
    <definedName function="false" hidden="true" name="IQ_OFFER_AMOUNT" vbProcedure="false">"c2152"</definedName>
    <definedName function="false" hidden="true" name="IQ_OFFER_COUPON" vbProcedure="false">"c2147"</definedName>
    <definedName function="false" hidden="true" name="IQ_OFFER_COUPON_TYPE" vbProcedure="false">"c2148"</definedName>
    <definedName function="false" hidden="true" name="IQ_OFFER_DATE" vbProcedure="false">"c2149"</definedName>
    <definedName function="false" hidden="true" name="IQ_OFFER_PRICE" vbProcedure="false">"c2150"</definedName>
    <definedName function="false" hidden="true" name="IQ_OFFER_YIELD" vbProcedure="false">"c2151"</definedName>
    <definedName function="false" hidden="true" name="IQ_OG_10DISC" vbProcedure="false">"c1998"</definedName>
    <definedName function="false" hidden="true" name="IQ_OG_10DISC_GAS" vbProcedure="false">"c2018"</definedName>
    <definedName function="false" hidden="true" name="IQ_OG_10DISC_OIL" vbProcedure="false">"c2008"</definedName>
    <definedName function="false" hidden="true" name="IQ_OG_ACQ_COST_PROVED" vbProcedure="false">"c1975"</definedName>
    <definedName function="false" hidden="true" name="IQ_OG_ACQ_COST_PROVED_GAS" vbProcedure="false">"c1987"</definedName>
    <definedName function="false" hidden="true" name="IQ_OG_ACQ_COST_PROVED_OIL" vbProcedure="false">"c1981"</definedName>
    <definedName function="false" hidden="true" name="IQ_OG_ACQ_COST_UNPROVED" vbProcedure="false">"c1976"</definedName>
    <definedName function="false" hidden="true" name="IQ_OG_ACQ_COST_UNPROVED_GAS" vbProcedure="false">"c1988"</definedName>
    <definedName function="false" hidden="true" name="IQ_OG_ACQ_COST_UNPROVED_OIL" vbProcedure="false">"c1982"</definedName>
    <definedName function="false" hidden="true" name="IQ_OG_AVG_DAILY_GAS_EQUIV_PRODUCTION_MMCFE" vbProcedure="false">"c10061"</definedName>
    <definedName function="false" hidden="true" name="IQ_OG_AVG_DAILY_OIL_EQUIV_PRODUCTION_KBOE" vbProcedure="false">"c10060"</definedName>
    <definedName function="false" hidden="true" name="IQ_OG_AVG_DAILY_PRODUCTION_GAS_MMCM" vbProcedure="false">"c10059"</definedName>
    <definedName function="false" hidden="true" name="IQ_OG_AVG_DAILY_PROD_GAS" vbProcedure="false">"c2910"</definedName>
    <definedName function="false" hidden="true" name="IQ_OG_AVG_DAILY_PROD_NGL" vbProcedure="false">"c2911"</definedName>
    <definedName function="false" hidden="true" name="IQ_OG_AVG_DAILY_PROD_OIL" vbProcedure="false">"c2909"</definedName>
    <definedName function="false" hidden="true" name="IQ_OG_AVG_DAILY_SALES_VOL_EQ_INC_GAS" vbProcedure="false">"c5797"</definedName>
    <definedName function="false" hidden="true" name="IQ_OG_AVG_DAILY_SALES_VOL_EQ_INC_NGL" vbProcedure="false">"c5798"</definedName>
    <definedName function="false" hidden="true" name="IQ_OG_AVG_DAILY_SALES_VOL_EQ_INC_OIL" vbProcedure="false">"c5796"</definedName>
    <definedName function="false" hidden="true" name="IQ_OG_AVG_GAS_PRICE_CBM_HEDGED" vbProcedure="false">"c10054"</definedName>
    <definedName function="false" hidden="true" name="IQ_OG_AVG_GAS_PRICE_CBM_UNHEDGED" vbProcedure="false">"c10055"</definedName>
    <definedName function="false" hidden="true" name="IQ_OG_AVG_PRODUCTION_COST_BBL" vbProcedure="false">"c10062"</definedName>
    <definedName function="false" hidden="true" name="IQ_OG_AVG_PRODUCTION_COST_BOE" vbProcedure="false">"c10064"</definedName>
    <definedName function="false" hidden="true" name="IQ_OG_AVG_PRODUCTION_COST_MCF" vbProcedure="false">"c10063"</definedName>
    <definedName function="false" hidden="true" name="IQ_OG_AVG_PRODUCTION_COST_MCFE" vbProcedure="false">"c10065"</definedName>
    <definedName function="false" hidden="true" name="IQ_OG_CLOSE_BALANCE_GAS" vbProcedure="false">"c2049"</definedName>
    <definedName function="false" hidden="true" name="IQ_OG_CLOSE_BALANCE_NGL" vbProcedure="false">"c2920"</definedName>
    <definedName function="false" hidden="true" name="IQ_OG_CLOSE_BALANCE_OIL" vbProcedure="false">"c2037"</definedName>
    <definedName function="false" hidden="true" name="IQ_OG_DAILY_PRDUCTION_GROWTH_GAS" vbProcedure="false">"c12732"</definedName>
    <definedName function="false" hidden="true" name="IQ_OG_DAILY_PRDUCTION_GROWTH_GAS_EQUIVALENT" vbProcedure="false">"c12733"</definedName>
    <definedName function="false" hidden="true" name="IQ_OG_DAILY_PRDUCTION_GROWTH_NGL" vbProcedure="false">"c12734"</definedName>
    <definedName function="false" hidden="true" name="IQ_OG_DAILY_PRDUCTION_GROWTH_OIL" vbProcedure="false">"c12735"</definedName>
    <definedName function="false" hidden="true" name="IQ_OG_DAILY_PRDUCTION_GROWTH_OIL_EQUIVALENT" vbProcedure="false">"c12736"</definedName>
    <definedName function="false" hidden="true" name="IQ_OG_DAILY_PRODUCTION_GROWTH_GAS" vbProcedure="false">"c10073"</definedName>
    <definedName function="false" hidden="true" name="IQ_OG_DAILY_PRODUCTION_GROWTH_GAS_EQUIVALENT" vbProcedure="false">"c10076"</definedName>
    <definedName function="false" hidden="true" name="IQ_OG_DAILY_PRODUCTION_GROWTH_NGL" vbProcedure="false">"c10074"</definedName>
    <definedName function="false" hidden="true" name="IQ_OG_DAILY_PRODUCTION_GROWTH_OIL" vbProcedure="false">"c10072"</definedName>
    <definedName function="false" hidden="true" name="IQ_OG_DAILY_PRODUCTION_GROWTH_OIL_EQUIVALENT" vbProcedure="false">"c10075"</definedName>
    <definedName function="false" hidden="true" name="IQ_OG_DCF_BEFORE_TAXES" vbProcedure="false">"c2023"</definedName>
    <definedName function="false" hidden="true" name="IQ_OG_DCF_BEFORE_TAXES_GAS" vbProcedure="false">"c2025"</definedName>
    <definedName function="false" hidden="true" name="IQ_OG_DCF_BEFORE_TAXES_OIL" vbProcedure="false">"c2024"</definedName>
    <definedName function="false" hidden="true" name="IQ_OG_DEVELOPED_ACRE_GROSS_EQ_INC" vbProcedure="false">"c5802"</definedName>
    <definedName function="false" hidden="true" name="IQ_OG_DEVELOPED_ACRE_NET_EQ_INC" vbProcedure="false">"c5803"</definedName>
    <definedName function="false" hidden="true" name="IQ_OG_DEVELOPED_RESERVES_GAS" vbProcedure="false">"c2053"</definedName>
    <definedName function="false" hidden="true" name="IQ_OG_DEVELOPED_RESERVES_GAS_BCM" vbProcedure="false">"c10045"</definedName>
    <definedName function="false" hidden="true" name="IQ_OG_DEVELOPED_RESERVES_NGL" vbProcedure="false">"c2922"</definedName>
    <definedName function="false" hidden="true" name="IQ_OG_DEVELOPED_RESERVES_OIL" vbProcedure="false">"c2054"</definedName>
    <definedName function="false" hidden="true" name="IQ_OG_DEVELOPMENT_COSTS" vbProcedure="false">"c1978"</definedName>
    <definedName function="false" hidden="true" name="IQ_OG_DEVELOPMENT_COSTS_GAS" vbProcedure="false">"c1990"</definedName>
    <definedName function="false" hidden="true" name="IQ_OG_DEVELOPMENT_COSTS_OIL" vbProcedure="false">"c1984"</definedName>
    <definedName function="false" hidden="true" name="IQ_OG_EQUITY_AFFILIATES_RESERVES_GAS_BCM" vbProcedure="false">"c10047"</definedName>
    <definedName function="false" hidden="true" name="IQ_OG_EQUITY_DCF" vbProcedure="false">"c2002"</definedName>
    <definedName function="false" hidden="true" name="IQ_OG_EQUITY_DCF_GAS" vbProcedure="false">"c2022"</definedName>
    <definedName function="false" hidden="true" name="IQ_OG_EQUITY_DCF_OIL" vbProcedure="false">"c2012"</definedName>
    <definedName function="false" hidden="true" name="IQ_OG_EQUTY_RESERVES_GAS" vbProcedure="false">"c2050"</definedName>
    <definedName function="false" hidden="true" name="IQ_OG_EQUTY_RESERVES_NGL" vbProcedure="false">"c2921"</definedName>
    <definedName function="false" hidden="true" name="IQ_OG_EQUTY_RESERVES_OIL" vbProcedure="false">"c2038"</definedName>
    <definedName function="false" hidden="true" name="IQ_OG_EXPLORATION_COSTS" vbProcedure="false">"c1977"</definedName>
    <definedName function="false" hidden="true" name="IQ_OG_EXPLORATION_COSTS_GAS" vbProcedure="false">"c1989"</definedName>
    <definedName function="false" hidden="true" name="IQ_OG_EXPLORATION_COSTS_OIL" vbProcedure="false">"c1983"</definedName>
    <definedName function="false" hidden="true" name="IQ_OG_EXPLORATION_DEVELOPMENT_COST" vbProcedure="false">"c10081"</definedName>
    <definedName function="false" hidden="true" name="IQ_OG_EXT_DISC_GAS" vbProcedure="false">"c2043"</definedName>
    <definedName function="false" hidden="true" name="IQ_OG_EXT_DISC_NGL" vbProcedure="false">"c2914"</definedName>
    <definedName function="false" hidden="true" name="IQ_OG_EXT_DISC_OIL" vbProcedure="false">"c2031"</definedName>
    <definedName function="false" hidden="true" name="IQ_OG_FUTURE_CASH_INFLOWS" vbProcedure="false">"c1993"</definedName>
    <definedName function="false" hidden="true" name="IQ_OG_FUTURE_CASH_INFLOWS_GAS" vbProcedure="false">"c2013"</definedName>
    <definedName function="false" hidden="true" name="IQ_OG_FUTURE_CASH_INFLOWS_OIL" vbProcedure="false">"c2003"</definedName>
    <definedName function="false" hidden="true" name="IQ_OG_FUTURE_DEVELOPMENT_COSTS" vbProcedure="false">"c1995"</definedName>
    <definedName function="false" hidden="true" name="IQ_OG_FUTURE_DEVELOPMENT_COSTS_GAS" vbProcedure="false">"c2015"</definedName>
    <definedName function="false" hidden="true" name="IQ_OG_FUTURE_DEVELOPMENT_COSTS_OIL" vbProcedure="false">"c2005"</definedName>
    <definedName function="false" hidden="true" name="IQ_OG_FUTURE_INC_TAXES" vbProcedure="false">"c1997"</definedName>
    <definedName function="false" hidden="true" name="IQ_OG_FUTURE_INC_TAXES_GAS" vbProcedure="false">"c2017"</definedName>
    <definedName function="false" hidden="true" name="IQ_OG_FUTURE_INC_TAXES_OIL" vbProcedure="false">"c2007"</definedName>
    <definedName function="false" hidden="true" name="IQ_OG_FUTURE_PRODUCTION_COSTS" vbProcedure="false">"c1994"</definedName>
    <definedName function="false" hidden="true" name="IQ_OG_FUTURE_PRODUCTION_COSTS_GAS" vbProcedure="false">"c2014"</definedName>
    <definedName function="false" hidden="true" name="IQ_OG_FUTURE_PRODUCTION_COSTS_OIL" vbProcedure="false">"c2004"</definedName>
    <definedName function="false" hidden="true" name="IQ_OG_GAS_PRICE_HEDGED" vbProcedure="false">"c2056"</definedName>
    <definedName function="false" hidden="true" name="IQ_OG_GAS_PRICE_UNHEDGED" vbProcedure="false">"c2058"</definedName>
    <definedName function="false" hidden="true" name="IQ_OG_GROSS_DEVELOPED_AREA_SQ_KM" vbProcedure="false">"c10079"</definedName>
    <definedName function="false" hidden="true" name="IQ_OG_GROSS_DEVELOPMENT_DRY_WELLS_DRILLED" vbProcedure="false">"c10098"</definedName>
    <definedName function="false" hidden="true" name="IQ_OG_GROSS_DEVELOPMENT_PRODUCTIVE_WELLS_DRILLED" vbProcedure="false">"c10097"</definedName>
    <definedName function="false" hidden="true" name="IQ_OG_GROSS_DEVELOPMENT_PRODUCTIVE_WELLS_DRILLED_GAS" vbProcedure="false">"c15907"</definedName>
    <definedName function="false" hidden="true" name="IQ_OG_GROSS_DEVELOPMENT_PRODUCTIVE_WELLS_DRILLED_OIL" vbProcedure="false">"c15906"</definedName>
    <definedName function="false" hidden="true" name="IQ_OG_GROSS_DEVELOPMENT_TOTAL_WELLS_DRILLED" vbProcedure="false">"c10099"</definedName>
    <definedName function="false" hidden="true" name="IQ_OG_GROSS_EXPLORATORY_DRY_WELLS_DRILLED" vbProcedure="false">"c10095"</definedName>
    <definedName function="false" hidden="true" name="IQ_OG_GROSS_EXPLORATORY_PRODUCTIVE_WELLS_DRILLED" vbProcedure="false">"c10094"</definedName>
    <definedName function="false" hidden="true" name="IQ_OG_GROSS_EXPLORATORY_PRODUCTIVE_WELLS_DRILLED_GAS" vbProcedure="false">"c15905"</definedName>
    <definedName function="false" hidden="true" name="IQ_OG_GROSS_EXPLORATORY_PRODUCTIVE_WELLS_DRILLED_OIL" vbProcedure="false">"c15904"</definedName>
    <definedName function="false" hidden="true" name="IQ_OG_GROSS_EXPLORATORY_TOTAL_WELLS_DRILLED" vbProcedure="false">"c10096"</definedName>
    <definedName function="false" hidden="true" name="IQ_OG_GROSS_OPERATED_WELLS" vbProcedure="false">"c10092"</definedName>
    <definedName function="false" hidden="true" name="IQ_OG_GROSS_PRODUCING_WELLS_GAS" vbProcedure="false">"c15897"</definedName>
    <definedName function="false" hidden="true" name="IQ_OG_GROSS_PRODUCING_WELLS_OIL" vbProcedure="false">"c15896"</definedName>
    <definedName function="false" hidden="true" name="IQ_OG_GROSS_PRODUCTIVE_WELLS_DRILLED_GAS" vbProcedure="false">"c15901"</definedName>
    <definedName function="false" hidden="true" name="IQ_OG_GROSS_PRODUCTIVE_WELLS_DRILLED_OIL" vbProcedure="false">"c15900"</definedName>
    <definedName function="false" hidden="true" name="IQ_OG_GROSS_PRODUCTIVE_WELLS_GAS" vbProcedure="false">"c10087"</definedName>
    <definedName function="false" hidden="true" name="IQ_OG_GROSS_PRODUCTIVE_WELLS_OIL" vbProcedure="false">"c10086"</definedName>
    <definedName function="false" hidden="true" name="IQ_OG_GROSS_PRODUCTIVE_WELLS_TOTAL" vbProcedure="false">"c10088"</definedName>
    <definedName function="false" hidden="true" name="IQ_OG_GROSS_TOTAL_WELLS_DRILLED" vbProcedure="false">"c10100"</definedName>
    <definedName function="false" hidden="true" name="IQ_OG_GROSS_UNDEVELOPED_AREA_SQ_KM" vbProcedure="false">"c10077"</definedName>
    <definedName function="false" hidden="true" name="IQ_OG_GROSS_WELLS_DRILLING" vbProcedure="false">"c10108"</definedName>
    <definedName function="false" hidden="true" name="IQ_OG_IMPROVED_RECOVERY_GAS" vbProcedure="false">"c2044"</definedName>
    <definedName function="false" hidden="true" name="IQ_OG_IMPROVED_RECOVERY_NGL" vbProcedure="false">"c2915"</definedName>
    <definedName function="false" hidden="true" name="IQ_OG_IMPROVED_RECOVERY_OIL" vbProcedure="false">"c2032"</definedName>
    <definedName function="false" hidden="true" name="IQ_OG_LIQUID_GAS_PRICE_HEDGED" vbProcedure="false">"c2233"</definedName>
    <definedName function="false" hidden="true" name="IQ_OG_LIQUID_GAS_PRICE_UNHEDGED" vbProcedure="false">"c2234"</definedName>
    <definedName function="false" hidden="true" name="IQ_OG_NET_DEVELOPED_AREA_SQ_KM" vbProcedure="false">"c10080"</definedName>
    <definedName function="false" hidden="true" name="IQ_OG_NET_DEVELOPMENT_DRY_WELLS_DRILLED" vbProcedure="false">"c10105"</definedName>
    <definedName function="false" hidden="true" name="IQ_OG_NET_DEVELOPMENT_PRODUCTIVE_WELLS_DRILLED" vbProcedure="false">"c10104"</definedName>
    <definedName function="false" hidden="true" name="IQ_OG_NET_DEVELOPMENT_PRODUCTIVE_WELLS_DRILLED_GAS" vbProcedure="false">"c15911"</definedName>
    <definedName function="false" hidden="true" name="IQ_OG_NET_DEVELOPMENT_PRODUCTIVE_WELLS_DRILLED_OIL" vbProcedure="false">"c15910"</definedName>
    <definedName function="false" hidden="true" name="IQ_OG_NET_DEVELOPMENT_TOTAL_WELLS_DRILLED" vbProcedure="false">"c10106"</definedName>
    <definedName function="false" hidden="true" name="IQ_OG_NET_EXPLORATORY_DRY_WELLS_DRILLED" vbProcedure="false">"c10102"</definedName>
    <definedName function="false" hidden="true" name="IQ_OG_NET_EXPLORATORY_PRODUCTIVE_WELLS_DRILLED" vbProcedure="false">"c10101"</definedName>
    <definedName function="false" hidden="true" name="IQ_OG_NET_EXPLORATORY_PRODUCTIVE_WELLS_DRILLED_GAS" vbProcedure="false">"c15909"</definedName>
    <definedName function="false" hidden="true" name="IQ_OG_NET_EXPLORATORY_PRODUCTIVE_WELLS_DRILLED_OIL" vbProcedure="false">"c15908"</definedName>
    <definedName function="false" hidden="true" name="IQ_OG_NET_EXPLORATORY_TOTAL_WELLS_DRILLED" vbProcedure="false">"c10103"</definedName>
    <definedName function="false" hidden="true" name="IQ_OG_NET_FUTURE_CASH_FLOWS" vbProcedure="false">"c1996"</definedName>
    <definedName function="false" hidden="true" name="IQ_OG_NET_FUTURE_CASH_FLOWS_GAS" vbProcedure="false">"c2016"</definedName>
    <definedName function="false" hidden="true" name="IQ_OG_NET_FUTURE_CASH_FLOWS_OIL" vbProcedure="false">"c2006"</definedName>
    <definedName function="false" hidden="true" name="IQ_OG_NET_OPERATED_WELLS" vbProcedure="false">"c10093"</definedName>
    <definedName function="false" hidden="true" name="IQ_OG_NET_PRODUCING_WELLS_GAS" vbProcedure="false">"c15899"</definedName>
    <definedName function="false" hidden="true" name="IQ_OG_NET_PRODUCING_WELLS_OIL" vbProcedure="false">"c15898"</definedName>
    <definedName function="false" hidden="true" name="IQ_OG_NET_PRODUCTIVE_WELLS_DRILLED_GAS" vbProcedure="false">"c15903"</definedName>
    <definedName function="false" hidden="true" name="IQ_OG_NET_PRODUCTIVE_WELLS_DRILLED_OIL" vbProcedure="false">"c15902"</definedName>
    <definedName function="false" hidden="true" name="IQ_OG_NET_PRODUCTIVE_WELLS_GAS" vbProcedure="false">"c10090"</definedName>
    <definedName function="false" hidden="true" name="IQ_OG_NET_PRODUCTIVE_WELLS_OIL" vbProcedure="false">"c10089"</definedName>
    <definedName function="false" hidden="true" name="IQ_OG_NET_PRODUCTIVE_WELLS_TOTAL" vbProcedure="false">"c10091"</definedName>
    <definedName function="false" hidden="true" name="IQ_OG_NET_TOTAL_WELLS_DRILLED" vbProcedure="false">"c10107"</definedName>
    <definedName function="false" hidden="true" name="IQ_OG_NET_UNDEVELOPED_AREA_SQ_KM" vbProcedure="false">"c10078"</definedName>
    <definedName function="false" hidden="true" name="IQ_OG_NET_WELLS_DRILLING" vbProcedure="false">"c10109"</definedName>
    <definedName function="false" hidden="true" name="IQ_OG_NUMBER_WELLS_NEW" vbProcedure="false">"c10085"</definedName>
    <definedName function="false" hidden="true" name="IQ_OG_OIL_PRICE_HEDGED" vbProcedure="false">"c2055"</definedName>
    <definedName function="false" hidden="true" name="IQ_OG_OIL_PRICE_UNHEDGED" vbProcedure="false">"c2057"</definedName>
    <definedName function="false" hidden="true" name="IQ_OG_OPEN_BALANCE_GAS" vbProcedure="false">"c2041"</definedName>
    <definedName function="false" hidden="true" name="IQ_OG_OPEN_BALANCE_NGL" vbProcedure="false">"c2912"</definedName>
    <definedName function="false" hidden="true" name="IQ_OG_OPEN_BALANCE_OIL" vbProcedure="false">"c2029"</definedName>
    <definedName function="false" hidden="true" name="IQ_OG_OTHER_ADJ_FCF" vbProcedure="false">"c1999"</definedName>
    <definedName function="false" hidden="true" name="IQ_OG_OTHER_ADJ_FCF_GAS" vbProcedure="false">"c2019"</definedName>
    <definedName function="false" hidden="true" name="IQ_OG_OTHER_ADJ_FCF_OIL" vbProcedure="false">"c2009"</definedName>
    <definedName function="false" hidden="true" name="IQ_OG_OTHER_ADJ_GAS" vbProcedure="false">"c2048"</definedName>
    <definedName function="false" hidden="true" name="IQ_OG_OTHER_ADJ_NGL" vbProcedure="false">"c2919"</definedName>
    <definedName function="false" hidden="true" name="IQ_OG_OTHER_ADJ_OIL" vbProcedure="false">"c2036"</definedName>
    <definedName function="false" hidden="true" name="IQ_OG_OTHER_COSTS" vbProcedure="false">"c1979"</definedName>
    <definedName function="false" hidden="true" name="IQ_OG_OTHER_COSTS_GAS" vbProcedure="false">"c1991"</definedName>
    <definedName function="false" hidden="true" name="IQ_OG_OTHER_COSTS_OIL" vbProcedure="false">"c1985"</definedName>
    <definedName function="false" hidden="true" name="IQ_OG_PRDUCTION_GROWTH_GAS" vbProcedure="false">"c12737"</definedName>
    <definedName function="false" hidden="true" name="IQ_OG_PRDUCTION_GROWTH_GAS_EQUIVALENT" vbProcedure="false">"c12738"</definedName>
    <definedName function="false" hidden="true" name="IQ_OG_PRDUCTION_GROWTH_NGL" vbProcedure="false">"c12739"</definedName>
    <definedName function="false" hidden="true" name="IQ_OG_PRDUCTION_GROWTH_OIL" vbProcedure="false">"c12740"</definedName>
    <definedName function="false" hidden="true" name="IQ_OG_PRDUCTION_GROWTH_OIL_EQUIVALENT" vbProcedure="false">"c12741"</definedName>
    <definedName function="false" hidden="true" name="IQ_OG_PRDUCTION_GROWTH_TOAL" vbProcedure="false">"c12742"</definedName>
    <definedName function="false" hidden="true" name="IQ_OG_PRODUCTION_GAS" vbProcedure="false">"c2047"</definedName>
    <definedName function="false" hidden="true" name="IQ_OG_PRODUCTION_GROWTH_GAS" vbProcedure="false">"c10067"</definedName>
    <definedName function="false" hidden="true" name="IQ_OG_PRODUCTION_GROWTH_GAS_EQUIVALENT" vbProcedure="false">"c10070"</definedName>
    <definedName function="false" hidden="true" name="IQ_OG_PRODUCTION_GROWTH_NGL" vbProcedure="false">"c10068"</definedName>
    <definedName function="false" hidden="true" name="IQ_OG_PRODUCTION_GROWTH_OIL" vbProcedure="false">"c10066"</definedName>
    <definedName function="false" hidden="true" name="IQ_OG_PRODUCTION_GROWTH_OIL_EQUIVALENT" vbProcedure="false">"c10069"</definedName>
    <definedName function="false" hidden="true" name="IQ_OG_PRODUCTION_GROWTH_TOTAL" vbProcedure="false">"c10071"</definedName>
    <definedName function="false" hidden="true" name="IQ_OG_PRODUCTION_NGL" vbProcedure="false">"c2918"</definedName>
    <definedName function="false" hidden="true" name="IQ_OG_PRODUCTION_OIL" vbProcedure="false">"c2035"</definedName>
    <definedName function="false" hidden="true" name="IQ_OG_PURCHASES_GAS" vbProcedure="false">"c2045"</definedName>
    <definedName function="false" hidden="true" name="IQ_OG_PURCHASES_NGL" vbProcedure="false">"c2916"</definedName>
    <definedName function="false" hidden="true" name="IQ_OG_PURCHASES_OIL" vbProcedure="false">"c2033"</definedName>
    <definedName function="false" hidden="true" name="IQ_OG_RESERVE_REPLACEMENT_RATIO" vbProcedure="false">"c5799"</definedName>
    <definedName function="false" hidden="true" name="IQ_OG_REVISIONS_GAS" vbProcedure="false">"c2042"</definedName>
    <definedName function="false" hidden="true" name="IQ_OG_REVISIONS_NGL" vbProcedure="false">"c2913"</definedName>
    <definedName function="false" hidden="true" name="IQ_OG_REVISIONS_OIL" vbProcedure="false">"c2030"</definedName>
    <definedName function="false" hidden="true" name="IQ_OG_RIGS_NON_OPERATED" vbProcedure="false">"c10083"</definedName>
    <definedName function="false" hidden="true" name="IQ_OG_RIGS_OPERATED" vbProcedure="false">"c10082"</definedName>
    <definedName function="false" hidden="true" name="IQ_OG_RIGS_TOTAL" vbProcedure="false">"c10084"</definedName>
    <definedName function="false" hidden="true" name="IQ_OG_SALES_IN_PLACE_GAS" vbProcedure="false">"c2046"</definedName>
    <definedName function="false" hidden="true" name="IQ_OG_SALES_IN_PLACE_NGL" vbProcedure="false">"c2917"</definedName>
    <definedName function="false" hidden="true" name="IQ_OG_SALES_IN_PLACE_OIL" vbProcedure="false">"c2034"</definedName>
    <definedName function="false" hidden="true" name="IQ_OG_SALES_VOL_EQ_INC_GAS" vbProcedure="false">"c5794"</definedName>
    <definedName function="false" hidden="true" name="IQ_OG_SALES_VOL_EQ_INC_NGL" vbProcedure="false">"c5795"</definedName>
    <definedName function="false" hidden="true" name="IQ_OG_SALES_VOL_EQ_INC_OIL" vbProcedure="false">"c5793"</definedName>
    <definedName function="false" hidden="true" name="IQ_OG_STANDARDIZED_DCF" vbProcedure="false">"c2000"</definedName>
    <definedName function="false" hidden="true" name="IQ_OG_STANDARDIZED_DCF_GAS" vbProcedure="false">"c2020"</definedName>
    <definedName function="false" hidden="true" name="IQ_OG_STANDARDIZED_DCF_HEDGED" vbProcedure="false">"c2001"</definedName>
    <definedName function="false" hidden="true" name="IQ_OG_STANDARDIZED_DCF_HEDGED_GAS" vbProcedure="false">"c2021"</definedName>
    <definedName function="false" hidden="true" name="IQ_OG_STANDARDIZED_DCF_HEDGED_OIL" vbProcedure="false">"c2011"</definedName>
    <definedName function="false" hidden="true" name="IQ_OG_STANDARDIZED_DCF_OIL" vbProcedure="false">"c2010"</definedName>
    <definedName function="false" hidden="true" name="IQ_OG_TAXES" vbProcedure="false">"c2026"</definedName>
    <definedName function="false" hidden="true" name="IQ_OG_TAXES_GAS" vbProcedure="false">"c2028"</definedName>
    <definedName function="false" hidden="true" name="IQ_OG_TAXES_OIL" vbProcedure="false">"c2027"</definedName>
    <definedName function="false" hidden="true" name="IQ_OG_TOTAL_COSTS" vbProcedure="false">"c1980"</definedName>
    <definedName function="false" hidden="true" name="IQ_OG_TOTAL_COSTS_GAS" vbProcedure="false">"c1992"</definedName>
    <definedName function="false" hidden="true" name="IQ_OG_TOTAL_COSTS_OIL" vbProcedure="false">"c1986"</definedName>
    <definedName function="false" hidden="true" name="IQ_OG_TOTAL_EST_PROVED_RESERVES_GAS" vbProcedure="false">"c2052"</definedName>
    <definedName function="false" hidden="true" name="IQ_OG_TOTAL_GAS_EQUIV_PRODUCTION_BCFE" vbProcedure="false">"c10058"</definedName>
    <definedName function="false" hidden="true" name="IQ_OG_TOTAL_GAS_PRODUCTION" vbProcedure="false">"c2060"</definedName>
    <definedName function="false" hidden="true" name="IQ_OG_TOTAL_LIQUID_GAS_PRODUCTION" vbProcedure="false">"c2235"</definedName>
    <definedName function="false" hidden="true" name="IQ_OG_TOTAL_OIL_EQUIV_PRODUCTION_MMBOE" vbProcedure="false">"c10057"</definedName>
    <definedName function="false" hidden="true" name="IQ_OG_TOTAL_OIL_PRODUCTION" vbProcedure="false">"c2059"</definedName>
    <definedName function="false" hidden="true" name="IQ_OG_TOTAL_OIL_PRODUCTON" vbProcedure="false">"c2059"</definedName>
    <definedName function="false" hidden="true" name="IQ_OG_TOTAL_POSSIBLE_RESERVES_GAS_BCF" vbProcedure="false">"c10050"</definedName>
    <definedName function="false" hidden="true" name="IQ_OG_TOTAL_POSSIBLE_RESERVES_GAS_BCM" vbProcedure="false">"c10051"</definedName>
    <definedName function="false" hidden="true" name="IQ_OG_TOTAL_POSSIBLE_RESERVES_OIL_MMBBLS" vbProcedure="false">"c10053"</definedName>
    <definedName function="false" hidden="true" name="IQ_OG_TOTAL_PROBABLE_RESERVES_GAS_BCF" vbProcedure="false">"c10048"</definedName>
    <definedName function="false" hidden="true" name="IQ_OG_TOTAL_PROBABLE_RESERVES_GAS_BCM" vbProcedure="false">"c10049"</definedName>
    <definedName function="false" hidden="true" name="IQ_OG_TOTAL_PROBABLE_RESERVES_OIL_MMBBLS" vbProcedure="false">"c10052"</definedName>
    <definedName function="false" hidden="true" name="IQ_OG_TOTAL_PRODUCTION_GAS_BCM" vbProcedure="false">"c10056"</definedName>
    <definedName function="false" hidden="true" name="IQ_OG_TOTAL_PROVED_RESERVES_GAS_BCM" vbProcedure="false">"c10046"</definedName>
    <definedName function="false" hidden="true" name="IQ_OG_UNDEVELOPED_ACRE_GROSS_EQ_INC" vbProcedure="false">"c5800"</definedName>
    <definedName function="false" hidden="true" name="IQ_OG_UNDEVELOPED_ACRE_NET_EQ_INC" vbProcedure="false">"c5801"</definedName>
    <definedName function="false" hidden="true" name="IQ_OG_UNDEVELOPED_RESERVES_GAS" vbProcedure="false">"c2051"</definedName>
    <definedName function="false" hidden="true" name="IQ_OG_UNDEVELOPED_RESERVES_GAS_BCM" vbProcedure="false">"c10044"</definedName>
    <definedName function="false" hidden="true" name="IQ_OG_UNDEVELOPED_RESERVES_NGL" vbProcedure="false">"c2923"</definedName>
    <definedName function="false" hidden="true" name="IQ_OG_UNDEVELOPED_RESERVES_OIL" vbProcedure="false">"c2039"</definedName>
    <definedName function="false" hidden="true" name="IQ_OIL_IMPAIR" vbProcedure="false">"c840"</definedName>
    <definedName function="false" hidden="true" name="IQ_OL_COMM_AFTER_FIVE" vbProcedure="false">"c841"</definedName>
    <definedName function="false" hidden="true" name="IQ_OL_COMM_CY" vbProcedure="false">"c842"</definedName>
    <definedName function="false" hidden="true" name="IQ_OL_COMM_CY1" vbProcedure="false">"c843"</definedName>
    <definedName function="false" hidden="true" name="IQ_OL_COMM_CY2" vbProcedure="false">"c844"</definedName>
    <definedName function="false" hidden="true" name="IQ_OL_COMM_CY3" vbProcedure="false">"c845"</definedName>
    <definedName function="false" hidden="true" name="IQ_OL_COMM_CY4" vbProcedure="false">"c846"</definedName>
    <definedName function="false" hidden="true" name="IQ_OL_COMM_NEXT_FIVE" vbProcedure="false">"c847"</definedName>
    <definedName function="false" hidden="true" name="IQ_OPEB_ACCRUED_LIAB" vbProcedure="false">"c3308"</definedName>
    <definedName function="false" hidden="true" name="IQ_OPEB_ACCRUED_LIAB_DOM" vbProcedure="false">"c3306"</definedName>
    <definedName function="false" hidden="true" name="IQ_OPEB_ACCRUED_LIAB_FOREIGN" vbProcedure="false">"c3307"</definedName>
    <definedName function="false" hidden="true" name="IQ_OPEB_ACCUM_OTHER_CI" vbProcedure="false">"c3314"</definedName>
    <definedName function="false" hidden="true" name="IQ_OPEB_ACCUM_OTHER_CI_DOM" vbProcedure="false">"c3312"</definedName>
    <definedName function="false" hidden="true" name="IQ_OPEB_ACCUM_OTHER_CI_FOREIGN" vbProcedure="false">"c3313"</definedName>
    <definedName function="false" hidden="true" name="IQ_OPEB_ACT_NEXT" vbProcedure="false">"c5774"</definedName>
    <definedName function="false" hidden="true" name="IQ_OPEB_ACT_NEXT_DOM" vbProcedure="false">"c5772"</definedName>
    <definedName function="false" hidden="true" name="IQ_OPEB_ACT_NEXT_FOREIGN" vbProcedure="false">"c5773"</definedName>
    <definedName function="false" hidden="true" name="IQ_OPEB_AMT_RECOG_NEXT" vbProcedure="false">"c5783"</definedName>
    <definedName function="false" hidden="true" name="IQ_OPEB_AMT_RECOG_NEXT_DOM" vbProcedure="false">"c5781"</definedName>
    <definedName function="false" hidden="true" name="IQ_OPEB_AMT_RECOG_NEXT_FOREIGN" vbProcedure="false">"c5782"</definedName>
    <definedName function="false" hidden="true" name="IQ_OPEB_ASSETS" vbProcedure="false">"c3356"</definedName>
    <definedName function="false" hidden="true" name="IQ_OPEB_ASSETS_ACQ" vbProcedure="false">"c3347"</definedName>
    <definedName function="false" hidden="true" name="IQ_OPEB_ASSETS_ACQ_DOM" vbProcedure="false">"c3345"</definedName>
    <definedName function="false" hidden="true" name="IQ_OPEB_ASSETS_ACQ_FOREIGN" vbProcedure="false">"c3346"</definedName>
    <definedName function="false" hidden="true" name="IQ_OPEB_ASSETS_ACTUAL_RETURN" vbProcedure="false">"c3332"</definedName>
    <definedName function="false" hidden="true" name="IQ_OPEB_ASSETS_ACTUAL_RETURN_DOM" vbProcedure="false">"c3330"</definedName>
    <definedName function="false" hidden="true" name="IQ_OPEB_ASSETS_ACTUAL_RETURN_FOREIGN" vbProcedure="false">"c3331"</definedName>
    <definedName function="false" hidden="true" name="IQ_OPEB_ASSETS_BEG" vbProcedure="false">"c3329"</definedName>
    <definedName function="false" hidden="true" name="IQ_OPEB_ASSETS_BEG_DOM" vbProcedure="false">"c3327"</definedName>
    <definedName function="false" hidden="true" name="IQ_OPEB_ASSETS_BEG_FOREIGN" vbProcedure="false">"c3328"</definedName>
    <definedName function="false" hidden="true" name="IQ_OPEB_ASSETS_BENEFITS_PAID" vbProcedure="false">"c3341"</definedName>
    <definedName function="false" hidden="true" name="IQ_OPEB_ASSETS_BENEFITS_PAID_DOM" vbProcedure="false">"c3339"</definedName>
    <definedName function="false" hidden="true" name="IQ_OPEB_ASSETS_BENEFITS_PAID_FOREIGN" vbProcedure="false">"c3340"</definedName>
    <definedName function="false" hidden="true" name="IQ_OPEB_ASSETS_CURTAIL" vbProcedure="false">"c3350"</definedName>
    <definedName function="false" hidden="true" name="IQ_OPEB_ASSETS_CURTAIL_DOM" vbProcedure="false">"c3348"</definedName>
    <definedName function="false" hidden="true" name="IQ_OPEB_ASSETS_CURTAIL_FOREIGN" vbProcedure="false">"c3349"</definedName>
    <definedName function="false" hidden="true" name="IQ_OPEB_ASSETS_DOM" vbProcedure="false">"c3354"</definedName>
    <definedName function="false" hidden="true" name="IQ_OPEB_ASSETS_EMPLOYER_CONTRIBUTIONS" vbProcedure="false">"c3335"</definedName>
    <definedName function="false" hidden="true" name="IQ_OPEB_ASSETS_EMPLOYER_CONTRIBUTIONS_DOM" vbProcedure="false">"c3333"</definedName>
    <definedName function="false" hidden="true" name="IQ_OPEB_ASSETS_EMPLOYER_CONTRIBUTIONS_FOREIGN" vbProcedure="false">"c3334"</definedName>
    <definedName function="false" hidden="true" name="IQ_OPEB_ASSETS_FOREIGN" vbProcedure="false">"c3355"</definedName>
    <definedName function="false" hidden="true" name="IQ_OPEB_ASSETS_FX_ADJ" vbProcedure="false">"c3344"</definedName>
    <definedName function="false" hidden="true" name="IQ_OPEB_ASSETS_FX_ADJ_DOM" vbProcedure="false">"c3342"</definedName>
    <definedName function="false" hidden="true" name="IQ_OPEB_ASSETS_FX_ADJ_FOREIGN" vbProcedure="false">"c3343"</definedName>
    <definedName function="false" hidden="true" name="IQ_OPEB_ASSETS_OTHER_PLAN_ADJ" vbProcedure="false">"c3353"</definedName>
    <definedName function="false" hidden="true" name="IQ_OPEB_ASSETS_OTHER_PLAN_ADJ_DOM" vbProcedure="false">"c3351"</definedName>
    <definedName function="false" hidden="true" name="IQ_OPEB_ASSETS_OTHER_PLAN_ADJ_FOREIGN" vbProcedure="false">"c3352"</definedName>
    <definedName function="false" hidden="true" name="IQ_OPEB_ASSETS_PARTICIP_CONTRIBUTIONS" vbProcedure="false">"c3338"</definedName>
    <definedName function="false" hidden="true" name="IQ_OPEB_ASSETS_PARTICIP_CONTRIBUTIONS_DOM" vbProcedure="false">"c3336"</definedName>
    <definedName function="false" hidden="true" name="IQ_OPEB_ASSETS_PARTICIP_CONTRIBUTIONS_FOREIGN" vbProcedure="false">"c3337"</definedName>
    <definedName function="false" hidden="true" name="IQ_OPEB_BENEFIT_INFO_DATE" vbProcedure="false">"c3410"</definedName>
    <definedName function="false" hidden="true" name="IQ_OPEB_BENEFIT_INFO_DATE_DOM" vbProcedure="false">"c3408"</definedName>
    <definedName function="false" hidden="true" name="IQ_OPEB_BENEFIT_INFO_DATE_FOREIGN" vbProcedure="false">"c3409"</definedName>
    <definedName function="false" hidden="true" name="IQ_OPEB_BREAKDOWN_EQ" vbProcedure="false">"c3275"</definedName>
    <definedName function="false" hidden="true" name="IQ_OPEB_BREAKDOWN_EQ_DOM" vbProcedure="false">"c3273"</definedName>
    <definedName function="false" hidden="true" name="IQ_OPEB_BREAKDOWN_EQ_FOREIGN" vbProcedure="false">"c3274"</definedName>
    <definedName function="false" hidden="true" name="IQ_OPEB_BREAKDOWN_FI" vbProcedure="false">"c3278"</definedName>
    <definedName function="false" hidden="true" name="IQ_OPEB_BREAKDOWN_FI_DOM" vbProcedure="false">"c3276"</definedName>
    <definedName function="false" hidden="true" name="IQ_OPEB_BREAKDOWN_FI_FOREIGN" vbProcedure="false">"c3277"</definedName>
    <definedName function="false" hidden="true" name="IQ_OPEB_BREAKDOWN_OTHER" vbProcedure="false">"c3284"</definedName>
    <definedName function="false" hidden="true" name="IQ_OPEB_BREAKDOWN_OTHER_DOM" vbProcedure="false">"c3282"</definedName>
    <definedName function="false" hidden="true" name="IQ_OPEB_BREAKDOWN_OTHER_FOREIGN" vbProcedure="false">"c3283"</definedName>
    <definedName function="false" hidden="true" name="IQ_OPEB_BREAKDOWN_PCT_EQ" vbProcedure="false">"c3263"</definedName>
    <definedName function="false" hidden="true" name="IQ_OPEB_BREAKDOWN_PCT_EQ_DOM" vbProcedure="false">"c3261"</definedName>
    <definedName function="false" hidden="true" name="IQ_OPEB_BREAKDOWN_PCT_EQ_FOREIGN" vbProcedure="false">"c3262"</definedName>
    <definedName function="false" hidden="true" name="IQ_OPEB_BREAKDOWN_PCT_FI" vbProcedure="false">"c3266"</definedName>
    <definedName function="false" hidden="true" name="IQ_OPEB_BREAKDOWN_PCT_FI_DOM" vbProcedure="false">"c3264"</definedName>
    <definedName function="false" hidden="true" name="IQ_OPEB_BREAKDOWN_PCT_FI_FOREIGN" vbProcedure="false">"c3265"</definedName>
    <definedName function="false" hidden="true" name="IQ_OPEB_BREAKDOWN_PCT_OTHER" vbProcedure="false">"c3272"</definedName>
    <definedName function="false" hidden="true" name="IQ_OPEB_BREAKDOWN_PCT_OTHER_DOM" vbProcedure="false">"c3270"</definedName>
    <definedName function="false" hidden="true" name="IQ_OPEB_BREAKDOWN_PCT_OTHER_FOREIGN" vbProcedure="false">"c3271"</definedName>
    <definedName function="false" hidden="true" name="IQ_OPEB_BREAKDOWN_PCT_RE" vbProcedure="false">"c3269"</definedName>
    <definedName function="false" hidden="true" name="IQ_OPEB_BREAKDOWN_PCT_RE_DOM" vbProcedure="false">"c3267"</definedName>
    <definedName function="false" hidden="true" name="IQ_OPEB_BREAKDOWN_PCT_RE_FOREIGN" vbProcedure="false">"c3268"</definedName>
    <definedName function="false" hidden="true" name="IQ_OPEB_BREAKDOWN_RE" vbProcedure="false">"c3281"</definedName>
    <definedName function="false" hidden="true" name="IQ_OPEB_BREAKDOWN_RE_DOM" vbProcedure="false">"c3279"</definedName>
    <definedName function="false" hidden="true" name="IQ_OPEB_BREAKDOWN_RE_FOREIGN" vbProcedure="false">"c3280"</definedName>
    <definedName function="false" hidden="true" name="IQ_OPEB_CI_ACT" vbProcedure="false">"c5759"</definedName>
    <definedName function="false" hidden="true" name="IQ_OPEB_CI_ACT_DOM" vbProcedure="false">"c5757"</definedName>
    <definedName function="false" hidden="true" name="IQ_OPEB_CI_ACT_FOREIGN" vbProcedure="false">"c5758"</definedName>
    <definedName function="false" hidden="true" name="IQ_OPEB_CI_NET_AMT_RECOG" vbProcedure="false">"c5771"</definedName>
    <definedName function="false" hidden="true" name="IQ_OPEB_CI_NET_AMT_RECOG_DOM" vbProcedure="false">"c5769"</definedName>
    <definedName function="false" hidden="true" name="IQ_OPEB_CI_NET_AMT_RECOG_FOREIGN" vbProcedure="false">"c5770"</definedName>
    <definedName function="false" hidden="true" name="IQ_OPEB_CI_OTHER_MISC_ADJ" vbProcedure="false">"c5768"</definedName>
    <definedName function="false" hidden="true" name="IQ_OPEB_CI_OTHER_MISC_ADJ_DOM" vbProcedure="false">"c5766"</definedName>
    <definedName function="false" hidden="true" name="IQ_OPEB_CI_OTHER_MISC_ADJ_FOREIGN" vbProcedure="false">"c5767"</definedName>
    <definedName function="false" hidden="true" name="IQ_OPEB_CI_PRIOR_SERVICE" vbProcedure="false">"c5762"</definedName>
    <definedName function="false" hidden="true" name="IQ_OPEB_CI_PRIOR_SERVICE_DOM" vbProcedure="false">"c5760"</definedName>
    <definedName function="false" hidden="true" name="IQ_OPEB_CI_PRIOR_SERVICE_FOREIGN" vbProcedure="false">"c5761"</definedName>
    <definedName function="false" hidden="true" name="IQ_OPEB_CI_TRANSITION" vbProcedure="false">"c5765"</definedName>
    <definedName function="false" hidden="true" name="IQ_OPEB_CI_TRANSITION_DOM" vbProcedure="false">"c5763"</definedName>
    <definedName function="false" hidden="true" name="IQ_OPEB_CI_TRANSITION_FOREIGN" vbProcedure="false">"c5764"</definedName>
    <definedName function="false" hidden="true" name="IQ_OPEB_CL" vbProcedure="false">"c5789"</definedName>
    <definedName function="false" hidden="true" name="IQ_OPEB_CL_DOM" vbProcedure="false">"c5787"</definedName>
    <definedName function="false" hidden="true" name="IQ_OPEB_CL_FOREIGN" vbProcedure="false">"c5788"</definedName>
    <definedName function="false" hidden="true" name="IQ_OPEB_DECREASE_EFFECT_PBO" vbProcedure="false">"c3458"</definedName>
    <definedName function="false" hidden="true" name="IQ_OPEB_DECREASE_EFFECT_PBO_DOM" vbProcedure="false">"c3456"</definedName>
    <definedName function="false" hidden="true" name="IQ_OPEB_DECREASE_EFFECT_PBO_FOREIGN" vbProcedure="false">"c3457"</definedName>
    <definedName function="false" hidden="true" name="IQ_OPEB_DECREASE_EFFECT_SERVICE_INT_COST" vbProcedure="false">"c3455"</definedName>
    <definedName function="false" hidden="true" name="IQ_OPEB_DECREASE_EFFECT_SERVICE_INT_COST_DOM" vbProcedure="false">"c3453"</definedName>
    <definedName function="false" hidden="true" name="IQ_OPEB_DECREASE_EFFECT_SERVICE_INT_COST_FOREIGN" vbProcedure="false">"c3454"</definedName>
    <definedName function="false" hidden="true" name="IQ_OPEB_DISC_RATE_MAX" vbProcedure="false">"c3422"</definedName>
    <definedName function="false" hidden="true" name="IQ_OPEB_DISC_RATE_MAX_DOM" vbProcedure="false">"c3420"</definedName>
    <definedName function="false" hidden="true" name="IQ_OPEB_DISC_RATE_MAX_FOREIGN" vbProcedure="false">"c3421"</definedName>
    <definedName function="false" hidden="true" name="IQ_OPEB_DISC_RATE_MIN" vbProcedure="false">"c3419"</definedName>
    <definedName function="false" hidden="true" name="IQ_OPEB_DISC_RATE_MIN_DOM" vbProcedure="false">"c3417"</definedName>
    <definedName function="false" hidden="true" name="IQ_OPEB_DISC_RATE_MIN_FOREIGN" vbProcedure="false">"c3418"</definedName>
    <definedName function="false" hidden="true" name="IQ_OPEB_EST_BENEFIT_1YR" vbProcedure="false">"c3287"</definedName>
    <definedName function="false" hidden="true" name="IQ_OPEB_EST_BENEFIT_1YR_DOM" vbProcedure="false">"c3285"</definedName>
    <definedName function="false" hidden="true" name="IQ_OPEB_EST_BENEFIT_1YR_FOREIGN" vbProcedure="false">"c3286"</definedName>
    <definedName function="false" hidden="true" name="IQ_OPEB_EST_BENEFIT_2YR" vbProcedure="false">"c3290"</definedName>
    <definedName function="false" hidden="true" name="IQ_OPEB_EST_BENEFIT_2YR_DOM" vbProcedure="false">"c3288"</definedName>
    <definedName function="false" hidden="true" name="IQ_OPEB_EST_BENEFIT_2YR_FOREIGN" vbProcedure="false">"c3289"</definedName>
    <definedName function="false" hidden="true" name="IQ_OPEB_EST_BENEFIT_3YR" vbProcedure="false">"c3293"</definedName>
    <definedName function="false" hidden="true" name="IQ_OPEB_EST_BENEFIT_3YR_DOM" vbProcedure="false">"c3291"</definedName>
    <definedName function="false" hidden="true" name="IQ_OPEB_EST_BENEFIT_3YR_FOREIGN" vbProcedure="false">"c3292"</definedName>
    <definedName function="false" hidden="true" name="IQ_OPEB_EST_BENEFIT_4YR" vbProcedure="false">"c3296"</definedName>
    <definedName function="false" hidden="true" name="IQ_OPEB_EST_BENEFIT_4YR_DOM" vbProcedure="false">"c3294"</definedName>
    <definedName function="false" hidden="true" name="IQ_OPEB_EST_BENEFIT_4YR_FOREIGN" vbProcedure="false">"c3295"</definedName>
    <definedName function="false" hidden="true" name="IQ_OPEB_EST_BENEFIT_5YR" vbProcedure="false">"c3299"</definedName>
    <definedName function="false" hidden="true" name="IQ_OPEB_EST_BENEFIT_5YR_DOM" vbProcedure="false">"c3297"</definedName>
    <definedName function="false" hidden="true" name="IQ_OPEB_EST_BENEFIT_5YR_FOREIGN" vbProcedure="false">"c3298"</definedName>
    <definedName function="false" hidden="true" name="IQ_OPEB_EST_BENEFIT_AFTER5" vbProcedure="false">"c3302"</definedName>
    <definedName function="false" hidden="true" name="IQ_OPEB_EST_BENEFIT_AFTER5_DOM" vbProcedure="false">"c3300"</definedName>
    <definedName function="false" hidden="true" name="IQ_OPEB_EST_BENEFIT_AFTER5_FOREIGN" vbProcedure="false">"c3301"</definedName>
    <definedName function="false" hidden="true" name="IQ_OPEB_EXP_RATE_RETURN_MAX" vbProcedure="false">"c3434"</definedName>
    <definedName function="false" hidden="true" name="IQ_OPEB_EXP_RATE_RETURN_MAX_DOM" vbProcedure="false">"c3432"</definedName>
    <definedName function="false" hidden="true" name="IQ_OPEB_EXP_RATE_RETURN_MAX_FOREIGN" vbProcedure="false">"c3433"</definedName>
    <definedName function="false" hidden="true" name="IQ_OPEB_EXP_RATE_RETURN_MIN" vbProcedure="false">"c3431"</definedName>
    <definedName function="false" hidden="true" name="IQ_OPEB_EXP_RATE_RETURN_MIN_DOM" vbProcedure="false">"c3429"</definedName>
    <definedName function="false" hidden="true" name="IQ_OPEB_EXP_RATE_RETURN_MIN_FOREIGN" vbProcedure="false">"c3430"</definedName>
    <definedName function="false" hidden="true" name="IQ_OPEB_EXP_RETURN" vbProcedure="false">"c3398"</definedName>
    <definedName function="false" hidden="true" name="IQ_OPEB_EXP_RETURN_DOM" vbProcedure="false">"c3396"</definedName>
    <definedName function="false" hidden="true" name="IQ_OPEB_EXP_RETURN_FOREIGN" vbProcedure="false">"c3397"</definedName>
    <definedName function="false" hidden="true" name="IQ_OPEB_HEALTH_COST_TREND_INITIAL" vbProcedure="false">"c3413"</definedName>
    <definedName function="false" hidden="true" name="IQ_OPEB_HEALTH_COST_TREND_INITIAL_DOM" vbProcedure="false">"c3411"</definedName>
    <definedName function="false" hidden="true" name="IQ_OPEB_HEALTH_COST_TREND_INITIAL_FOREIGN" vbProcedure="false">"c3412"</definedName>
    <definedName function="false" hidden="true" name="IQ_OPEB_HEALTH_COST_TREND_ULTIMATE" vbProcedure="false">"c3416"</definedName>
    <definedName function="false" hidden="true" name="IQ_OPEB_HEALTH_COST_TREND_ULTIMATE_DOM" vbProcedure="false">"c3414"</definedName>
    <definedName function="false" hidden="true" name="IQ_OPEB_HEALTH_COST_TREND_ULTIMATE_FOREIGN" vbProcedure="false">"c3415"</definedName>
    <definedName function="false" hidden="true" name="IQ_OPEB_INCREASE_EFFECT_PBO" vbProcedure="false">"c3452"</definedName>
    <definedName function="false" hidden="true" name="IQ_OPEB_INCREASE_EFFECT_PBO_DOM" vbProcedure="false">"c3450"</definedName>
    <definedName function="false" hidden="true" name="IQ_OPEB_INCREASE_EFFECT_PBO_FOREIGN" vbProcedure="false">"c3451"</definedName>
    <definedName function="false" hidden="true" name="IQ_OPEB_INCREASE_EFFECT_SERVICE_INT_COST" vbProcedure="false">"c3449"</definedName>
    <definedName function="false" hidden="true" name="IQ_OPEB_INCREASE_EFFECT_SERVICE_INT_COST_DOM" vbProcedure="false">"c3447"</definedName>
    <definedName function="false" hidden="true" name="IQ_OPEB_INCREASE_EFFECT_SERVICE_INT_COST_FOREIGN" vbProcedure="false">"c3448"</definedName>
    <definedName function="false" hidden="true" name="IQ_OPEB_INTAN_ASSETS" vbProcedure="false">"c3311"</definedName>
    <definedName function="false" hidden="true" name="IQ_OPEB_INTAN_ASSETS_DOM" vbProcedure="false">"c3309"</definedName>
    <definedName function="false" hidden="true" name="IQ_OPEB_INTAN_ASSETS_FOREIGN" vbProcedure="false">"c3310"</definedName>
    <definedName function="false" hidden="true" name="IQ_OPEB_INTEREST_COST" vbProcedure="false">"c3395"</definedName>
    <definedName function="false" hidden="true" name="IQ_OPEB_INTEREST_COST_DOM" vbProcedure="false">"c3393"</definedName>
    <definedName function="false" hidden="true" name="IQ_OPEB_INTEREST_COST_FOREIGN" vbProcedure="false">"c3394"</definedName>
    <definedName function="false" hidden="true" name="IQ_OPEB_LT_ASSETS" vbProcedure="false">"c5786"</definedName>
    <definedName function="false" hidden="true" name="IQ_OPEB_LT_ASSETS_DOM" vbProcedure="false">"c5784"</definedName>
    <definedName function="false" hidden="true" name="IQ_OPEB_LT_ASSETS_FOREIGN" vbProcedure="false">"c5785"</definedName>
    <definedName function="false" hidden="true" name="IQ_OPEB_LT_LIAB" vbProcedure="false">"c5792"</definedName>
    <definedName function="false" hidden="true" name="IQ_OPEB_LT_LIAB_DOM" vbProcedure="false">"c5790"</definedName>
    <definedName function="false" hidden="true" name="IQ_OPEB_LT_LIAB_FOREIGN" vbProcedure="false">"c5791"</definedName>
    <definedName function="false" hidden="true" name="IQ_OPEB_NET_ASSET_RECOG" vbProcedure="false">"c3326"</definedName>
    <definedName function="false" hidden="true" name="IQ_OPEB_NET_ASSET_RECOG_DOM" vbProcedure="false">"c3324"</definedName>
    <definedName function="false" hidden="true" name="IQ_OPEB_NET_ASSET_RECOG_FOREIGN" vbProcedure="false">"c3325"</definedName>
    <definedName function="false" hidden="true" name="IQ_OPEB_OBLIGATION_ACCUMULATED" vbProcedure="false">"c3407"</definedName>
    <definedName function="false" hidden="true" name="IQ_OPEB_OBLIGATION_ACCUMULATED_DOM" vbProcedure="false">"c3405"</definedName>
    <definedName function="false" hidden="true" name="IQ_OPEB_OBLIGATION_ACCUMULATED_FOREIGN" vbProcedure="false">"c3406"</definedName>
    <definedName function="false" hidden="true" name="IQ_OPEB_OBLIGATION_ACQ" vbProcedure="false">"c3380"</definedName>
    <definedName function="false" hidden="true" name="IQ_OPEB_OBLIGATION_ACQ_DOM" vbProcedure="false">"c3378"</definedName>
    <definedName function="false" hidden="true" name="IQ_OPEB_OBLIGATION_ACQ_FOREIGN" vbProcedure="false">"c3379"</definedName>
    <definedName function="false" hidden="true" name="IQ_OPEB_OBLIGATION_ACTUARIAL_GAIN_LOSS" vbProcedure="false">"c3371"</definedName>
    <definedName function="false" hidden="true" name="IQ_OPEB_OBLIGATION_ACTUARIAL_GAIN_LOSS_DOM" vbProcedure="false">"c3369"</definedName>
    <definedName function="false" hidden="true" name="IQ_OPEB_OBLIGATION_ACTUARIAL_GAIN_LOSS_FOREIGN" vbProcedure="false">"c3370"</definedName>
    <definedName function="false" hidden="true" name="IQ_OPEB_OBLIGATION_BEG" vbProcedure="false">"c3359"</definedName>
    <definedName function="false" hidden="true" name="IQ_OPEB_OBLIGATION_BEG_DOM" vbProcedure="false">"c3357"</definedName>
    <definedName function="false" hidden="true" name="IQ_OPEB_OBLIGATION_BEG_FOREIGN" vbProcedure="false">"c3358"</definedName>
    <definedName function="false" hidden="true" name="IQ_OPEB_OBLIGATION_CURTAIL" vbProcedure="false">"c3383"</definedName>
    <definedName function="false" hidden="true" name="IQ_OPEB_OBLIGATION_CURTAIL_DOM" vbProcedure="false">"c3381"</definedName>
    <definedName function="false" hidden="true" name="IQ_OPEB_OBLIGATION_CURTAIL_FOREIGN" vbProcedure="false">"c3382"</definedName>
    <definedName function="false" hidden="true" name="IQ_OPEB_OBLIGATION_EMPLOYEE_CONTRIBUTIONS" vbProcedure="false">"c3368"</definedName>
    <definedName function="false" hidden="true" name="IQ_OPEB_OBLIGATION_EMPLOYEE_CONTRIBUTIONS_DOM" vbProcedure="false">"c3366"</definedName>
    <definedName function="false" hidden="true" name="IQ_OPEB_OBLIGATION_EMPLOYEE_CONTRIBUTIONS_FOREIGN" vbProcedure="false">"c3367"</definedName>
    <definedName function="false" hidden="true" name="IQ_OPEB_OBLIGATION_FX_ADJ" vbProcedure="false">"c3377"</definedName>
    <definedName function="false" hidden="true" name="IQ_OPEB_OBLIGATION_FX_ADJ_DOM" vbProcedure="false">"c3375"</definedName>
    <definedName function="false" hidden="true" name="IQ_OPEB_OBLIGATION_FX_ADJ_FOREIGN" vbProcedure="false">"c3376"</definedName>
    <definedName function="false" hidden="true" name="IQ_OPEB_OBLIGATION_INTEREST_COST" vbProcedure="false">"c3365"</definedName>
    <definedName function="false" hidden="true" name="IQ_OPEB_OBLIGATION_INTEREST_COST_DOM" vbProcedure="false">"c3363"</definedName>
    <definedName function="false" hidden="true" name="IQ_OPEB_OBLIGATION_INTEREST_COST_FOREIGN" vbProcedure="false">"c3364"</definedName>
    <definedName function="false" hidden="true" name="IQ_OPEB_OBLIGATION_OTHER_PLAN_ADJ" vbProcedure="false">"c3386"</definedName>
    <definedName function="false" hidden="true" name="IQ_OPEB_OBLIGATION_OTHER_PLAN_ADJ_DOM" vbProcedure="false">"c3384"</definedName>
    <definedName function="false" hidden="true" name="IQ_OPEB_OBLIGATION_OTHER_PLAN_ADJ_FOREIGN" vbProcedure="false">"c3385"</definedName>
    <definedName function="false" hidden="true" name="IQ_OPEB_OBLIGATION_PAID" vbProcedure="false">"c3374"</definedName>
    <definedName function="false" hidden="true" name="IQ_OPEB_OBLIGATION_PAID_DOM" vbProcedure="false">"c3372"</definedName>
    <definedName function="false" hidden="true" name="IQ_OPEB_OBLIGATION_PAID_FOREIGN" vbProcedure="false">"c3373"</definedName>
    <definedName function="false" hidden="true" name="IQ_OPEB_OBLIGATION_PROJECTED" vbProcedure="false">"c3389"</definedName>
    <definedName function="false" hidden="true" name="IQ_OPEB_OBLIGATION_PROJECTED_DOM" vbProcedure="false">"c3387"</definedName>
    <definedName function="false" hidden="true" name="IQ_OPEB_OBLIGATION_PROJECTED_FOREIGN" vbProcedure="false">"c3388"</definedName>
    <definedName function="false" hidden="true" name="IQ_OPEB_OBLIGATION_SERVICE_COST" vbProcedure="false">"c3362"</definedName>
    <definedName function="false" hidden="true" name="IQ_OPEB_OBLIGATION_SERVICE_COST_DOM" vbProcedure="false">"c3360"</definedName>
    <definedName function="false" hidden="true" name="IQ_OPEB_OBLIGATION_SERVICE_COST_FOREIGN" vbProcedure="false">"c3361"</definedName>
    <definedName function="false" hidden="true" name="IQ_OPEB_OTHER" vbProcedure="false">"c3317"</definedName>
    <definedName function="false" hidden="true" name="IQ_OPEB_OTHER_ADJ" vbProcedure="false">"c3323"</definedName>
    <definedName function="false" hidden="true" name="IQ_OPEB_OTHER_ADJ_DOM" vbProcedure="false">"c3321"</definedName>
    <definedName function="false" hidden="true" name="IQ_OPEB_OTHER_ADJ_FOREIGN" vbProcedure="false">"c3322"</definedName>
    <definedName function="false" hidden="true" name="IQ_OPEB_OTHER_COST" vbProcedure="false">"c3401"</definedName>
    <definedName function="false" hidden="true" name="IQ_OPEB_OTHER_COST_DOM" vbProcedure="false">"c3399"</definedName>
    <definedName function="false" hidden="true" name="IQ_OPEB_OTHER_COST_FOREIGN" vbProcedure="false">"c3400"</definedName>
    <definedName function="false" hidden="true" name="IQ_OPEB_OTHER_DOM" vbProcedure="false">"c3315"</definedName>
    <definedName function="false" hidden="true" name="IQ_OPEB_OTHER_FOREIGN" vbProcedure="false">"c3316"</definedName>
    <definedName function="false" hidden="true" name="IQ_OPEB_PBO_ASSUMED_RATE_RET_MAX" vbProcedure="false">"c3440"</definedName>
    <definedName function="false" hidden="true" name="IQ_OPEB_PBO_ASSUMED_RATE_RET_MAX_DOM" vbProcedure="false">"c3438"</definedName>
    <definedName function="false" hidden="true" name="IQ_OPEB_PBO_ASSUMED_RATE_RET_MAX_FOREIGN" vbProcedure="false">"c3439"</definedName>
    <definedName function="false" hidden="true" name="IQ_OPEB_PBO_ASSUMED_RATE_RET_MIN" vbProcedure="false">"c3437"</definedName>
    <definedName function="false" hidden="true" name="IQ_OPEB_PBO_ASSUMED_RATE_RET_MIN_DOM" vbProcedure="false">"c3435"</definedName>
    <definedName function="false" hidden="true" name="IQ_OPEB_PBO_ASSUMED_RATE_RET_MIN_FOREIGN" vbProcedure="false">"c3436"</definedName>
    <definedName function="false" hidden="true" name="IQ_OPEB_PBO_RATE_COMP_INCREASE_MAX" vbProcedure="false">"c3446"</definedName>
    <definedName function="false" hidden="true" name="IQ_OPEB_PBO_RATE_COMP_INCREASE_MAX_DOM" vbProcedure="false">"c3444"</definedName>
    <definedName function="false" hidden="true" name="IQ_OPEB_PBO_RATE_COMP_INCREASE_MAX_FOREIGN" vbProcedure="false">"c3445"</definedName>
    <definedName function="false" hidden="true" name="IQ_OPEB_PBO_RATE_COMP_INCREASE_MIN" vbProcedure="false">"c3443"</definedName>
    <definedName function="false" hidden="true" name="IQ_OPEB_PBO_RATE_COMP_INCREASE_MIN_DOM" vbProcedure="false">"c3441"</definedName>
    <definedName function="false" hidden="true" name="IQ_OPEB_PBO_RATE_COMP_INCREASE_MIN_FOREIGN" vbProcedure="false">"c3442"</definedName>
    <definedName function="false" hidden="true" name="IQ_OPEB_PREPAID_COST" vbProcedure="false">"c3305"</definedName>
    <definedName function="false" hidden="true" name="IQ_OPEB_PREPAID_COST_DOM" vbProcedure="false">"c3303"</definedName>
    <definedName function="false" hidden="true" name="IQ_OPEB_PREPAID_COST_FOREIGN" vbProcedure="false">"c3304"</definedName>
    <definedName function="false" hidden="true" name="IQ_OPEB_PRIOR_SERVICE_NEXT" vbProcedure="false">"c5777"</definedName>
    <definedName function="false" hidden="true" name="IQ_OPEB_PRIOR_SERVICE_NEXT_DOM" vbProcedure="false">"c5775"</definedName>
    <definedName function="false" hidden="true" name="IQ_OPEB_PRIOR_SERVICE_NEXT_FOREIGN" vbProcedure="false">"c5776"</definedName>
    <definedName function="false" hidden="true" name="IQ_OPEB_RATE_COMP_INCREASE_MAX" vbProcedure="false">"c3428"</definedName>
    <definedName function="false" hidden="true" name="IQ_OPEB_RATE_COMP_INCREASE_MAX_DOM" vbProcedure="false">"c3426"</definedName>
    <definedName function="false" hidden="true" name="IQ_OPEB_RATE_COMP_INCREASE_MAX_FOREIGN" vbProcedure="false">"c3427"</definedName>
    <definedName function="false" hidden="true" name="IQ_OPEB_RATE_COMP_INCREASE_MIN" vbProcedure="false">"c3425"</definedName>
    <definedName function="false" hidden="true" name="IQ_OPEB_RATE_COMP_INCREASE_MIN_DOM" vbProcedure="false">"c3423"</definedName>
    <definedName function="false" hidden="true" name="IQ_OPEB_RATE_COMP_INCREASE_MIN_FOREIGN" vbProcedure="false">"c3424"</definedName>
    <definedName function="false" hidden="true" name="IQ_OPEB_SERVICE_COST" vbProcedure="false">"c3392"</definedName>
    <definedName function="false" hidden="true" name="IQ_OPEB_SERVICE_COST_DOM" vbProcedure="false">"c3390"</definedName>
    <definedName function="false" hidden="true" name="IQ_OPEB_SERVICE_COST_FOREIGN" vbProcedure="false">"c3391"</definedName>
    <definedName function="false" hidden="true" name="IQ_OPEB_TOTAL_COST" vbProcedure="false">"c3404"</definedName>
    <definedName function="false" hidden="true" name="IQ_OPEB_TOTAL_COST_DOM" vbProcedure="false">"c3402"</definedName>
    <definedName function="false" hidden="true" name="IQ_OPEB_TOTAL_COST_FOREIGN" vbProcedure="false">"c3403"</definedName>
    <definedName function="false" hidden="true" name="IQ_OPEB_TRANSITION_NEXT" vbProcedure="false">"c5780"</definedName>
    <definedName function="false" hidden="true" name="IQ_OPEB_TRANSITION_NEXT_DOM" vbProcedure="false">"c5778"</definedName>
    <definedName function="false" hidden="true" name="IQ_OPEB_TRANSITION_NEXT_FOREIGN" vbProcedure="false">"c5779"</definedName>
    <definedName function="false" hidden="true" name="IQ_OPEB_UNRECOG_PRIOR" vbProcedure="false">"c3320"</definedName>
    <definedName function="false" hidden="true" name="IQ_OPEB_UNRECOG_PRIOR_DOM" vbProcedure="false">"c3318"</definedName>
    <definedName function="false" hidden="true" name="IQ_OPEB_UNRECOG_PRIOR_FOREIGN" vbProcedure="false">"c3319"</definedName>
    <definedName function="false" hidden="true" name="IQ_OPENPRICE" vbProcedure="false">"c848"</definedName>
    <definedName function="false" hidden="true" name="IQ_OPERATING_EXP_AVG_ASSETS_FFIEC" vbProcedure="false">"c13373"</definedName>
    <definedName function="false" hidden="true" name="IQ_OPERATING_INC_AVG_ASSETS_FFIEC" vbProcedure="false">"c13368"</definedName>
    <definedName function="false" hidden="true" name="IQ_OPERATING_INC_TE_AVG_ASSETS_FFIEC" vbProcedure="false">"c13360"</definedName>
    <definedName function="false" hidden="true" name="IQ_OPERATING_NOI_AVG_GROSS_PROP" vbProcedure="false">"c16058"</definedName>
    <definedName function="false" hidden="true" name="IQ_OPERATIONS_EXP" vbProcedure="false">"c855"</definedName>
    <definedName function="false" hidden="true" name="IQ_OPER_INC" vbProcedure="false">"c849"</definedName>
    <definedName function="false" hidden="true" name="IQ_OPER_INC_ACT_OR_EST" vbProcedure="false">"c2220"</definedName>
    <definedName function="false" hidden="true" name="IQ_OPER_INC_ACT_OR_EST_REUT" vbProcedure="false">"c5466"</definedName>
    <definedName function="false" hidden="true" name="IQ_OPER_INC_ACT_OR_EST_THOM" vbProcedure="false">"c5304"</definedName>
    <definedName function="false" hidden="true" name="IQ_OPER_INC_BR" vbProcedure="false">"c850"</definedName>
    <definedName function="false" hidden="true" name="IQ_OPER_INC_DET_EST" vbProcedure="false">"c12064"</definedName>
    <definedName function="false" hidden="true" name="IQ_OPER_INC_DET_EST_CURRENCY" vbProcedure="false">"c12471"</definedName>
    <definedName function="false" hidden="true" name="IQ_OPER_INC_DET_EST_CURRENCY_REUT" vbProcedure="false">"c12543"</definedName>
    <definedName function="false" hidden="true" name="IQ_OPER_INC_DET_EST_CURRENCY_THOM" vbProcedure="false">"c12494"</definedName>
    <definedName function="false" hidden="true" name="IQ_OPER_INC_DET_EST_DATE" vbProcedure="false">"c12217"</definedName>
    <definedName function="false" hidden="true" name="IQ_OPER_INC_DET_EST_DATE_REUT" vbProcedure="false">"c12302"</definedName>
    <definedName function="false" hidden="true" name="IQ_OPER_INC_DET_EST_DATE_THOM" vbProcedure="false">"c12245"</definedName>
    <definedName function="false" hidden="true" name="IQ_OPER_INC_DET_EST_INCL" vbProcedure="false">"c12354"</definedName>
    <definedName function="false" hidden="true" name="IQ_OPER_INC_DET_EST_INCL_REUT" vbProcedure="false">"c12426"</definedName>
    <definedName function="false" hidden="true" name="IQ_OPER_INC_DET_EST_INCL_THOM" vbProcedure="false">"c12377"</definedName>
    <definedName function="false" hidden="true" name="IQ_OPER_INC_DET_EST_ORIGIN" vbProcedure="false">"c12589"</definedName>
    <definedName function="false" hidden="true" name="IQ_OPER_INC_DET_EST_ORIGIN_REUT" vbProcedure="false">"c12670"</definedName>
    <definedName function="false" hidden="true" name="IQ_OPER_INC_DET_EST_ORIGIN_THOM" vbProcedure="false">"c12615"</definedName>
    <definedName function="false" hidden="true" name="IQ_OPER_INC_DET_EST_REUT" vbProcedure="false">"c12160"</definedName>
    <definedName function="false" hidden="true" name="IQ_OPER_INC_DET_EST_THOM" vbProcedure="false">"c12095"</definedName>
    <definedName function="false" hidden="true" name="IQ_OPER_INC_EST" vbProcedure="false">"c1688"</definedName>
    <definedName function="false" hidden="true" name="IQ_OPER_INC_EST_REUT" vbProcedure="false">"c5340"</definedName>
    <definedName function="false" hidden="true" name="IQ_OPER_INC_EST_THOM" vbProcedure="false">"c5112"</definedName>
    <definedName function="false" hidden="true" name="IQ_OPER_INC_FIN" vbProcedure="false">"c851"</definedName>
    <definedName function="false" hidden="true" name="IQ_OPER_INC_HIGH_EST" vbProcedure="false">"c1690"</definedName>
    <definedName function="false" hidden="true" name="IQ_OPER_INC_HIGH_EST_REUT" vbProcedure="false">"c5342"</definedName>
    <definedName function="false" hidden="true" name="IQ_OPER_INC_HIGH_EST_THOM" vbProcedure="false">"c5114"</definedName>
    <definedName function="false" hidden="true" name="IQ_OPER_INC_INS" vbProcedure="false">"c852"</definedName>
    <definedName function="false" hidden="true" name="IQ_OPER_INC_LOW_EST" vbProcedure="false">"c1691"</definedName>
    <definedName function="false" hidden="true" name="IQ_OPER_INC_LOW_EST_REUT" vbProcedure="false">"c5343"</definedName>
    <definedName function="false" hidden="true" name="IQ_OPER_INC_LOW_EST_THOM" vbProcedure="false">"c5115"</definedName>
    <definedName function="false" hidden="true" name="IQ_OPER_INC_MARGIN" vbProcedure="false">"c1448"</definedName>
    <definedName function="false" hidden="true" name="IQ_OPER_INC_MEDIAN_EST" vbProcedure="false">"c1689"</definedName>
    <definedName function="false" hidden="true" name="IQ_OPER_INC_MEDIAN_EST_REUT" vbProcedure="false">"c5341"</definedName>
    <definedName function="false" hidden="true" name="IQ_OPER_INC_MEDIAN_EST_THOM" vbProcedure="false">"c5113"</definedName>
    <definedName function="false" hidden="true" name="IQ_OPER_INC_NUM_EST" vbProcedure="false">"c1692"</definedName>
    <definedName function="false" hidden="true" name="IQ_OPER_INC_NUM_EST_REUT" vbProcedure="false">"c5344"</definedName>
    <definedName function="false" hidden="true" name="IQ_OPER_INC_NUM_EST_THOM" vbProcedure="false">"c5116"</definedName>
    <definedName function="false" hidden="true" name="IQ_OPER_INC_RE" vbProcedure="false">"c6240"</definedName>
    <definedName function="false" hidden="true" name="IQ_OPER_INC_REIT" vbProcedure="false">"c853"</definedName>
    <definedName function="false" hidden="true" name="IQ_OPER_INC_STDDEV_EST" vbProcedure="false">"c1693"</definedName>
    <definedName function="false" hidden="true" name="IQ_OPER_INC_STDDEV_EST_REUT" vbProcedure="false">"c5345"</definedName>
    <definedName function="false" hidden="true" name="IQ_OPER_INC_STDDEV_EST_THOM" vbProcedure="false">"c5117"</definedName>
    <definedName function="false" hidden="true" name="IQ_OPER_INC_UTI" vbProcedure="false">"c854"</definedName>
    <definedName function="false" hidden="true" name="IQ_OPTIONS_BEG_OS" vbProcedure="false">"c1572"</definedName>
    <definedName function="false" hidden="true" name="IQ_OPTIONS_CANCELLED" vbProcedure="false">"c856"</definedName>
    <definedName function="false" hidden="true" name="IQ_OPTIONS_END_OS" vbProcedure="false">"c1573"</definedName>
    <definedName function="false" hidden="true" name="IQ_OPTIONS_EXERCISABLE_END_OS" vbProcedure="false">"c5804"</definedName>
    <definedName function="false" hidden="true" name="IQ_OPTIONS_EXERCISED" vbProcedure="false">"c2116"</definedName>
    <definedName function="false" hidden="true" name="IQ_OPTIONS_GRANTED" vbProcedure="false">"c2673"</definedName>
    <definedName function="false" hidden="true" name="IQ_OPTIONS_ISSUED" vbProcedure="false">"c857"</definedName>
    <definedName function="false" hidden="true" name="IQ_OPTIONS_STRIKE_PRICE_BEG_OS" vbProcedure="false">"c5805"</definedName>
    <definedName function="false" hidden="true" name="IQ_OPTIONS_STRIKE_PRICE_CANCELLED" vbProcedure="false">"c5807"</definedName>
    <definedName function="false" hidden="true" name="IQ_OPTIONS_STRIKE_PRICE_EXERCISABLE" vbProcedure="false">"c5808"</definedName>
    <definedName function="false" hidden="true" name="IQ_OPTIONS_STRIKE_PRICE_EXERCISED" vbProcedure="false">"c5806"</definedName>
    <definedName function="false" hidden="true" name="IQ_OPTIONS_STRIKE_PRICE_GRANTED" vbProcedure="false">"c2678"</definedName>
    <definedName function="false" hidden="true" name="IQ_OPTIONS_STRIKE_PRICE_OS" vbProcedure="false">"c2677"</definedName>
    <definedName function="false" hidden="true" name="IQ_ORDER_BACKLOG" vbProcedure="false">"c2090"</definedName>
    <definedName function="false" hidden="true" name="IQ_OREO_1_4_RESIDENTIAL_FDIC" vbProcedure="false">"c6454"</definedName>
    <definedName function="false" hidden="true" name="IQ_OREO_COMMERCIAL_RE_FDIC" vbProcedure="false">"c6456"</definedName>
    <definedName function="false" hidden="true" name="IQ_OREO_CONSTRUCTION_DEVELOPMENT_FDIC" vbProcedure="false">"c6457"</definedName>
    <definedName function="false" hidden="true" name="IQ_OREO_FARMLAND_FDIC" vbProcedure="false">"c6458"</definedName>
    <definedName function="false" hidden="true" name="IQ_OREO_FFIEC" vbProcedure="false">"c12831"</definedName>
    <definedName function="false" hidden="true" name="IQ_OREO_FOREIGN_FDIC" vbProcedure="false">"c6460"</definedName>
    <definedName function="false" hidden="true" name="IQ_OREO_FOREIGN_FFIEC" vbProcedure="false">"c15273"</definedName>
    <definedName function="false" hidden="true" name="IQ_OREO_MULTI_FAMILY_RESIDENTIAL_FDIC" vbProcedure="false">"c6455"</definedName>
    <definedName function="false" hidden="true" name="IQ_OREO_OTHER_FFIEC" vbProcedure="false">"c12833"</definedName>
    <definedName function="false" hidden="true" name="IQ_OTHER_ADDITIONS_T1_FFIEC" vbProcedure="false">"c13142"</definedName>
    <definedName function="false" hidden="true" name="IQ_OTHER_ADDITIONS_T2_FFIEC" vbProcedure="false">"c13148"</definedName>
    <definedName function="false" hidden="true" name="IQ_OTHER_ADJUSTMENTS_COVERED" vbProcedure="false">"c9961"</definedName>
    <definedName function="false" hidden="true" name="IQ_OTHER_ADJUSTMENTS_FFIEC" vbProcedure="false">"c12972"</definedName>
    <definedName function="false" hidden="true" name="IQ_OTHER_ADJUSTMENTS_GROUP" vbProcedure="false">"c9947"</definedName>
    <definedName function="false" hidden="true" name="IQ_OTHER_ADJUST_GROSS_LOANS" vbProcedure="false">"c859"</definedName>
    <definedName function="false" hidden="true" name="IQ_OTHER_ADJ_CLAIM_ADJ_EXP_INCURRED" vbProcedure="false">"c15878"</definedName>
    <definedName function="false" hidden="true" name="IQ_OTHER_ADJ_CLAIM_ADJ_EXP_PAID" vbProcedure="false">"c15879"</definedName>
    <definedName function="false" hidden="true" name="IQ_OTHER_ADJ_RESERVES" vbProcedure="false">"c15882"</definedName>
    <definedName function="false" hidden="true" name="IQ_OTHER_ADJ_RESERVE_BOP" vbProcedure="false">"c15876"</definedName>
    <definedName function="false" hidden="true" name="IQ_OTHER_AFFO" vbProcedure="false">"c16180"</definedName>
    <definedName function="false" hidden="true" name="IQ_OTHER_AMORT" vbProcedure="false">"c5563"</definedName>
    <definedName function="false" hidden="true" name="IQ_OTHER_AMORT_BNK" vbProcedure="false">"c5565"</definedName>
    <definedName function="false" hidden="true" name="IQ_OTHER_AMORT_BR" vbProcedure="false">"c5566"</definedName>
    <definedName function="false" hidden="true" name="IQ_OTHER_AMORT_FIN" vbProcedure="false">"c5567"</definedName>
    <definedName function="false" hidden="true" name="IQ_OTHER_AMORT_INS" vbProcedure="false">"c5568"</definedName>
    <definedName function="false" hidden="true" name="IQ_OTHER_AMORT_RE" vbProcedure="false">"c6287"</definedName>
    <definedName function="false" hidden="true" name="IQ_OTHER_AMORT_REIT" vbProcedure="false">"c5569"</definedName>
    <definedName function="false" hidden="true" name="IQ_OTHER_AMORT_UTI" vbProcedure="false">"c5570"</definedName>
    <definedName function="false" hidden="true" name="IQ_OTHER_ASSETS" vbProcedure="false">"c860"</definedName>
    <definedName function="false" hidden="true" name="IQ_OTHER_ASSETS_BNK" vbProcedure="false">"c861"</definedName>
    <definedName function="false" hidden="true" name="IQ_OTHER_ASSETS_BR" vbProcedure="false">"c862"</definedName>
    <definedName function="false" hidden="true" name="IQ_OTHER_ASSETS_FDIC" vbProcedure="false">"c6338"</definedName>
    <definedName function="false" hidden="true" name="IQ_OTHER_ASSETS_FFIEC" vbProcedure="false">"c12848"</definedName>
    <definedName function="false" hidden="true" name="IQ_OTHER_ASSETS_FIN" vbProcedure="false">"c863"</definedName>
    <definedName function="false" hidden="true" name="IQ_OTHER_ASSETS_INS" vbProcedure="false">"c864"</definedName>
    <definedName function="false" hidden="true" name="IQ_OTHER_ASSETS_RE" vbProcedure="false">"c6241"</definedName>
    <definedName function="false" hidden="true" name="IQ_OTHER_ASSETS_REIT" vbProcedure="false">"c865"</definedName>
    <definedName function="false" hidden="true" name="IQ_OTHER_ASSETS_SERV_RIGHTS" vbProcedure="false">"c2243"</definedName>
    <definedName function="false" hidden="true" name="IQ_OTHER_ASSETS_TOTAL_FFIEC" vbProcedure="false">"c12841"</definedName>
    <definedName function="false" hidden="true" name="IQ_OTHER_ASSETS_UTI" vbProcedure="false">"c866"</definedName>
    <definedName function="false" hidden="true" name="IQ_OTHER_BEARING_LIAB" vbProcedure="false">"c1608"</definedName>
    <definedName function="false" hidden="true" name="IQ_OTHER_BEDS" vbProcedure="false">"c8784"</definedName>
    <definedName function="false" hidden="true" name="IQ_OTHER_BENEFITS_OBLIGATION" vbProcedure="false">"c867"</definedName>
    <definedName function="false" hidden="true" name="IQ_OTHER_BORROWED_FUNDS_FDIC" vbProcedure="false">"c6345"</definedName>
    <definedName function="false" hidden="true" name="IQ_OTHER_BORROWED_MONEY_FAIR_VALUE_TOT_FFIEC" vbProcedure="false">"c15409"</definedName>
    <definedName function="false" hidden="true" name="IQ_OTHER_BORROWED_MONEY_FFIEC" vbProcedure="false">"c12862"</definedName>
    <definedName function="false" hidden="true" name="IQ_OTHER_BORROWED_MONEY_LEVEL_1_FFIEC" vbProcedure="false">"c15431"</definedName>
    <definedName function="false" hidden="true" name="IQ_OTHER_BORROWED_MONEY_LEVEL_2_FFIEC" vbProcedure="false">"c15444"</definedName>
    <definedName function="false" hidden="true" name="IQ_OTHER_BORROWED_MONEY_LEVEL_3_FFIEC" vbProcedure="false">"c15457"</definedName>
    <definedName function="false" hidden="true" name="IQ_OTHER_BORROWED_MONEY_LT_FFIEC" vbProcedure="false">"c12865"</definedName>
    <definedName function="false" hidden="true" name="IQ_OTHER_BORROWED_MONEY_ST_FFIEC" vbProcedure="false">"c12864"</definedName>
    <definedName function="false" hidden="true" name="IQ_OTHER_CA" vbProcedure="false">"c868"</definedName>
    <definedName function="false" hidden="true" name="IQ_OTHER_CA_SUPPL" vbProcedure="false">"c869"</definedName>
    <definedName function="false" hidden="true" name="IQ_OTHER_CA_SUPPL_BNK" vbProcedure="false">"c870"</definedName>
    <definedName function="false" hidden="true" name="IQ_OTHER_CA_SUPPL_BR" vbProcedure="false">"c871"</definedName>
    <definedName function="false" hidden="true" name="IQ_OTHER_CA_SUPPL_FIN" vbProcedure="false">"c872"</definedName>
    <definedName function="false" hidden="true" name="IQ_OTHER_CA_SUPPL_INS" vbProcedure="false">"c873"</definedName>
    <definedName function="false" hidden="true" name="IQ_OTHER_CA_SUPPL_RE" vbProcedure="false">"c6242"</definedName>
    <definedName function="false" hidden="true" name="IQ_OTHER_CA_SUPPL_REIT" vbProcedure="false">"c874"</definedName>
    <definedName function="false" hidden="true" name="IQ_OTHER_CA_SUPPL_UTI" vbProcedure="false">"c875"</definedName>
    <definedName function="false" hidden="true" name="IQ_OTHER_CA_UTI" vbProcedure="false">"c876"</definedName>
    <definedName function="false" hidden="true" name="IQ_OTHER_CL" vbProcedure="false">"c877"</definedName>
    <definedName function="false" hidden="true" name="IQ_OTHER_CL_SUPPL" vbProcedure="false">"c878"</definedName>
    <definedName function="false" hidden="true" name="IQ_OTHER_CL_SUPPL_BNK" vbProcedure="false">"c879"</definedName>
    <definedName function="false" hidden="true" name="IQ_OTHER_CL_SUPPL_BR" vbProcedure="false">"c880"</definedName>
    <definedName function="false" hidden="true" name="IQ_OTHER_CL_SUPPL_FIN" vbProcedure="false">"c881"</definedName>
    <definedName function="false" hidden="true" name="IQ_OTHER_CL_SUPPL_INS" vbProcedure="false">"c6021"</definedName>
    <definedName function="false" hidden="true" name="IQ_OTHER_CL_SUPPL_RE" vbProcedure="false">"c6243"</definedName>
    <definedName function="false" hidden="true" name="IQ_OTHER_CL_SUPPL_REIT" vbProcedure="false">"c882"</definedName>
    <definedName function="false" hidden="true" name="IQ_OTHER_CL_SUPPL_UTI" vbProcedure="false">"c883"</definedName>
    <definedName function="false" hidden="true" name="IQ_OTHER_CL_UTI" vbProcedure="false">"c884"</definedName>
    <definedName function="false" hidden="true" name="IQ_OTHER_COMPREHENSIVE_INCOME_FDIC" vbProcedure="false">"c6503"</definedName>
    <definedName function="false" hidden="true" name="IQ_OTHER_COMPREHENSIVE_INCOME_FFIEC" vbProcedure="false">"c12970"</definedName>
    <definedName function="false" hidden="true" name="IQ_OTHER_CONSTRUCTION_GROSS_LOANS_FFIEC" vbProcedure="false">"c13403"</definedName>
    <definedName function="false" hidden="true" name="IQ_OTHER_CONSTRUCTION_LOANS_DUE_30_89_FFIEC" vbProcedure="false">"c13258"</definedName>
    <definedName function="false" hidden="true" name="IQ_OTHER_CONSTRUCTION_LOANS_DUE_90_FFIEC" vbProcedure="false">"c13286"</definedName>
    <definedName function="false" hidden="true" name="IQ_OTHER_CONSTRUCTION_LOANS_NON_ACCRUAL_FFIEC" vbProcedure="false">"c13312"</definedName>
    <definedName function="false" hidden="true" name="IQ_OTHER_CONSTRUCTION_LOANS_UNUSED_FFIEC" vbProcedure="false">"c13245"</definedName>
    <definedName function="false" hidden="true" name="IQ_OTHER_CONSTRUCTION_RISK_BASED_FFIEC" vbProcedure="false">"c13424"</definedName>
    <definedName function="false" hidden="true" name="IQ_OTHER_CONSUMER_LL_REC_FFIEC" vbProcedure="false">"c12891"</definedName>
    <definedName function="false" hidden="true" name="IQ_OTHER_CONSUMER_LOANS_FFIEC" vbProcedure="false">"c12824"</definedName>
    <definedName function="false" hidden="true" name="IQ_OTHER_CONSUMER_LOANS_TRADING_DOM_FFIEC" vbProcedure="false">"c12935"</definedName>
    <definedName function="false" hidden="true" name="IQ_OTHER_CURRENT_ASSETS" vbProcedure="false">"c1403"</definedName>
    <definedName function="false" hidden="true" name="IQ_OTHER_CURRENT_LIAB" vbProcedure="false">"c1404"</definedName>
    <definedName function="false" hidden="true" name="IQ_OTHER_DEBT" vbProcedure="false">"c2507"</definedName>
    <definedName function="false" hidden="true" name="IQ_OTHER_DEBT_PCT" vbProcedure="false">"c2508"</definedName>
    <definedName function="false" hidden="true" name="IQ_OTHER_DEBT_SECURITIES_DOM_FFIEC" vbProcedure="false">"c12789"</definedName>
    <definedName function="false" hidden="true" name="IQ_OTHER_DEBT_SECURITIES_FOREIGN_FFIEC" vbProcedure="false">"c12790"</definedName>
    <definedName function="false" hidden="true" name="IQ_OTHER_DEBT_SECURITIES_QUARTERLY_AVG_FFIEC" vbProcedure="false">"c15473"</definedName>
    <definedName function="false" hidden="true" name="IQ_OTHER_DEBT_SEC_DOM_AVAIL_SALE_FFIEC" vbProcedure="false">"c12803"</definedName>
    <definedName function="false" hidden="true" name="IQ_OTHER_DEBT_SEC_FOREIGN_AVAIL_SALE_FFIEC" vbProcedure="false">"c12804"</definedName>
    <definedName function="false" hidden="true" name="IQ_OTHER_DEBT_SEC_INVEST_SECURITIES_FFIEC" vbProcedure="false">"c13462"</definedName>
    <definedName function="false" hidden="true" name="IQ_OTHER_DEBT_SEC_TRADING_DOM_FFIEC" vbProcedure="false">"c12924"</definedName>
    <definedName function="false" hidden="true" name="IQ_OTHER_DEBT_SEC_TRADING_FFIEC" vbProcedure="false">"c12819"</definedName>
    <definedName function="false" hidden="true" name="IQ_OTHER_DEDUCTIONS_LEVERAGE_RATIO_FFIEC" vbProcedure="false">"c13158"</definedName>
    <definedName function="false" hidden="true" name="IQ_OTHER_DEP" vbProcedure="false">"c885"</definedName>
    <definedName function="false" hidden="true" name="IQ_OTHER_DEPOSITORY_INSTITUTIONS_LOANS_FDIC" vbProcedure="false">"c6436"</definedName>
    <definedName function="false" hidden="true" name="IQ_OTHER_DEPOSITORY_INSTITUTIONS_TOTAL_LOANS_FOREIGN_FDIC" vbProcedure="false">"c6442"</definedName>
    <definedName function="false" hidden="true" name="IQ_OTHER_DEPOSITS_FFIEC" vbProcedure="false">"c12994"</definedName>
    <definedName function="false" hidden="true" name="IQ_OTHER_DEPOSITS_TOTAL_DEPOSITS" vbProcedure="false">"c15724"</definedName>
    <definedName function="false" hidden="true" name="IQ_OTHER_DERIVATIVES_BENEFICIARY_FFIEC" vbProcedure="false">"c13122"</definedName>
    <definedName function="false" hidden="true" name="IQ_OTHER_DERIVATIVES_GUARANTOR_FFIEC" vbProcedure="false">"c13115"</definedName>
    <definedName function="false" hidden="true" name="IQ_OTHER_DEVELOPMENT_EXPENSE" vbProcedure="false">"c16041"</definedName>
    <definedName function="false" hidden="true" name="IQ_OTHER_DEVELOPMENT_REVENUE" vbProcedure="false">"c16025"</definedName>
    <definedName function="false" hidden="true" name="IQ_OTHER_DOMESTIC_DEBT_SECURITIES_FDIC" vbProcedure="false">"c6302"</definedName>
    <definedName function="false" hidden="true" name="IQ_OTHER_EARNING" vbProcedure="false">"c1609"</definedName>
    <definedName function="false" hidden="true" name="IQ_OTHER_EPRA_NAV_ADJ" vbProcedure="false">"c16004"</definedName>
    <definedName function="false" hidden="true" name="IQ_OTHER_EPRA_NNAV_ADJ" vbProcedure="false">"c16009"</definedName>
    <definedName function="false" hidden="true" name="IQ_OTHER_EQUITY" vbProcedure="false">"c886"</definedName>
    <definedName function="false" hidden="true" name="IQ_OTHER_EQUITY_BNK" vbProcedure="false">"c887"</definedName>
    <definedName function="false" hidden="true" name="IQ_OTHER_EQUITY_BR" vbProcedure="false">"c888"</definedName>
    <definedName function="false" hidden="true" name="IQ_OTHER_EQUITY_CAPITAL_COMPS_FFIEC" vbProcedure="false">"c12880"</definedName>
    <definedName function="false" hidden="true" name="IQ_OTHER_EQUITY_FFIEC" vbProcedure="false">"c12879"</definedName>
    <definedName function="false" hidden="true" name="IQ_OTHER_EQUITY_FIN" vbProcedure="false">"c889"</definedName>
    <definedName function="false" hidden="true" name="IQ_OTHER_EQUITY_INS" vbProcedure="false">"c890"</definedName>
    <definedName function="false" hidden="true" name="IQ_OTHER_EQUITY_RE" vbProcedure="false">"c6244"</definedName>
    <definedName function="false" hidden="true" name="IQ_OTHER_EQUITY_REIT" vbProcedure="false">"c891"</definedName>
    <definedName function="false" hidden="true" name="IQ_OTHER_EQUITY_UTI" vbProcedure="false">"c892"</definedName>
    <definedName function="false" hidden="true" name="IQ_OTHER_EXP_OPERATING_INC_FFIEC" vbProcedure="false">"c13381"</definedName>
    <definedName function="false" hidden="true" name="IQ_OTHER_FAD" vbProcedure="false">"c16184"</definedName>
    <definedName function="false" hidden="true" name="IQ_OTHER_FINANCE_ACT" vbProcedure="false">"c893"</definedName>
    <definedName function="false" hidden="true" name="IQ_OTHER_FINANCE_ACT_BNK" vbProcedure="false">"c894"</definedName>
    <definedName function="false" hidden="true" name="IQ_OTHER_FINANCE_ACT_BR" vbProcedure="false">"c895"</definedName>
    <definedName function="false" hidden="true" name="IQ_OTHER_FINANCE_ACT_FIN" vbProcedure="false">"c896"</definedName>
    <definedName function="false" hidden="true" name="IQ_OTHER_FINANCE_ACT_INS" vbProcedure="false">"c897"</definedName>
    <definedName function="false" hidden="true" name="IQ_OTHER_FINANCE_ACT_RE" vbProcedure="false">"c6245"</definedName>
    <definedName function="false" hidden="true" name="IQ_OTHER_FINANCE_ACT_REIT" vbProcedure="false">"c898"</definedName>
    <definedName function="false" hidden="true" name="IQ_OTHER_FINANCE_ACT_SUPPL" vbProcedure="false">"c899"</definedName>
    <definedName function="false" hidden="true" name="IQ_OTHER_FINANCE_ACT_SUPPL_BNK" vbProcedure="false">"c900"</definedName>
    <definedName function="false" hidden="true" name="IQ_OTHER_FINANCE_ACT_SUPPL_BR" vbProcedure="false">"c901"</definedName>
    <definedName function="false" hidden="true" name="IQ_OTHER_FINANCE_ACT_SUPPL_FIN" vbProcedure="false">"c902"</definedName>
    <definedName function="false" hidden="true" name="IQ_OTHER_FINANCE_ACT_SUPPL_INS" vbProcedure="false">"c903"</definedName>
    <definedName function="false" hidden="true" name="IQ_OTHER_FINANCE_ACT_SUPPL_RE" vbProcedure="false">"c6246"</definedName>
    <definedName function="false" hidden="true" name="IQ_OTHER_FINANCE_ACT_SUPPL_REIT" vbProcedure="false">"c904"</definedName>
    <definedName function="false" hidden="true" name="IQ_OTHER_FINANCE_ACT_SUPPL_UTI" vbProcedure="false">"c905"</definedName>
    <definedName function="false" hidden="true" name="IQ_OTHER_FINANCE_ACT_UTI" vbProcedure="false">"c906"</definedName>
    <definedName function="false" hidden="true" name="IQ_OTHER_FOREIGN_LOANS_FOREIGN_FFIEC" vbProcedure="false">"c13482"</definedName>
    <definedName function="false" hidden="true" name="IQ_OTHER_IBF_DEPOSIT_LIABILITIES_FFIEC" vbProcedure="false">"c15301"</definedName>
    <definedName function="false" hidden="true" name="IQ_OTHER_INDIVIDUAL_FAMILY_DOM_QUARTERLY_AVG_FFIEC" vbProcedure="false">"c15481"</definedName>
    <definedName function="false" hidden="true" name="IQ_OTHER_INSURANCE_FEES_FDIC" vbProcedure="false">"c6672"</definedName>
    <definedName function="false" hidden="true" name="IQ_OTHER_INSURANCE_PREMIUMS_FFIEC" vbProcedure="false">"c13071"</definedName>
    <definedName function="false" hidden="true" name="IQ_OTHER_INTAN" vbProcedure="false">"c907"</definedName>
    <definedName function="false" hidden="true" name="IQ_OTHER_INTANGIBLE_ASSETS_FFIEC" vbProcedure="false">"c12837"</definedName>
    <definedName function="false" hidden="true" name="IQ_OTHER_INTANGIBLE_ASSETS_TOT_FFIEC" vbProcedure="false">"c12840"</definedName>
    <definedName function="false" hidden="true" name="IQ_OTHER_INTANGIBLE_FDIC" vbProcedure="false">"c6337"</definedName>
    <definedName function="false" hidden="true" name="IQ_OTHER_INTAN_BNK" vbProcedure="false">"c908"</definedName>
    <definedName function="false" hidden="true" name="IQ_OTHER_INTAN_BR" vbProcedure="false">"c909"</definedName>
    <definedName function="false" hidden="true" name="IQ_OTHER_INTAN_FIN" vbProcedure="false">"c910"</definedName>
    <definedName function="false" hidden="true" name="IQ_OTHER_INTAN_INS" vbProcedure="false">"c911"</definedName>
    <definedName function="false" hidden="true" name="IQ_OTHER_INTAN_RE" vbProcedure="false">"c6247"</definedName>
    <definedName function="false" hidden="true" name="IQ_OTHER_INTAN_REIT" vbProcedure="false">"c912"</definedName>
    <definedName function="false" hidden="true" name="IQ_OTHER_INTAN_UTI" vbProcedure="false">"c913"</definedName>
    <definedName function="false" hidden="true" name="IQ_OTHER_INT_EXPENSE_FFIEC" vbProcedure="false">"c12999"</definedName>
    <definedName function="false" hidden="true" name="IQ_OTHER_INT_INCOME_FFIEC" vbProcedure="false">"c12988"</definedName>
    <definedName function="false" hidden="true" name="IQ_OTHER_INV" vbProcedure="false">"c914"</definedName>
    <definedName function="false" hidden="true" name="IQ_OTHER_INVEST" vbProcedure="false">"c915"</definedName>
    <definedName function="false" hidden="true" name="IQ_OTHER_INVESTING" vbProcedure="false">"c1408"</definedName>
    <definedName function="false" hidden="true" name="IQ_OTHER_INVEST_ACT" vbProcedure="false">"c916"</definedName>
    <definedName function="false" hidden="true" name="IQ_OTHER_INVEST_ACT_BNK" vbProcedure="false">"c917"</definedName>
    <definedName function="false" hidden="true" name="IQ_OTHER_INVEST_ACT_BR" vbProcedure="false">"c918"</definedName>
    <definedName function="false" hidden="true" name="IQ_OTHER_INVEST_ACT_FIN" vbProcedure="false">"c919"</definedName>
    <definedName function="false" hidden="true" name="IQ_OTHER_INVEST_ACT_INS" vbProcedure="false">"c920"</definedName>
    <definedName function="false" hidden="true" name="IQ_OTHER_INVEST_ACT_RE" vbProcedure="false">"c6248"</definedName>
    <definedName function="false" hidden="true" name="IQ_OTHER_INVEST_ACT_REIT" vbProcedure="false">"c921"</definedName>
    <definedName function="false" hidden="true" name="IQ_OTHER_INVEST_ACT_SUPPL" vbProcedure="false">"c922"</definedName>
    <definedName function="false" hidden="true" name="IQ_OTHER_INVEST_ACT_SUPPL_BNK" vbProcedure="false">"c923"</definedName>
    <definedName function="false" hidden="true" name="IQ_OTHER_INVEST_ACT_SUPPL_BR" vbProcedure="false">"c924"</definedName>
    <definedName function="false" hidden="true" name="IQ_OTHER_INVEST_ACT_SUPPL_FIN" vbProcedure="false">"c925"</definedName>
    <definedName function="false" hidden="true" name="IQ_OTHER_INVEST_ACT_SUPPL_INS" vbProcedure="false">"c926"</definedName>
    <definedName function="false" hidden="true" name="IQ_OTHER_INVEST_ACT_SUPPL_RE" vbProcedure="false">"c6249"</definedName>
    <definedName function="false" hidden="true" name="IQ_OTHER_INVEST_ACT_SUPPL_REIT" vbProcedure="false">"c927"</definedName>
    <definedName function="false" hidden="true" name="IQ_OTHER_INVEST_ACT_SUPPL_UTI" vbProcedure="false">"c928"</definedName>
    <definedName function="false" hidden="true" name="IQ_OTHER_INVEST_ACT_UTI" vbProcedure="false">"c929"</definedName>
    <definedName function="false" hidden="true" name="IQ_OTHER_LEASES_DUE_30_89_FFIEC" vbProcedure="false">"c13278"</definedName>
    <definedName function="false" hidden="true" name="IQ_OTHER_LEASES_DUE_90_FFIEC" vbProcedure="false">"c13304"</definedName>
    <definedName function="false" hidden="true" name="IQ_OTHER_LEASES_LL_REC_FFIEC" vbProcedure="false">"c12896"</definedName>
    <definedName function="false" hidden="true" name="IQ_OTHER_LEASES_NON_ACCRUAL_FFIEC" vbProcedure="false">"c13330"</definedName>
    <definedName function="false" hidden="true" name="IQ_OTHER_LIAB" vbProcedure="false">"c930"</definedName>
    <definedName function="false" hidden="true" name="IQ_OTHER_LIABILITIES_FDIC" vbProcedure="false">"c6347"</definedName>
    <definedName function="false" hidden="true" name="IQ_OTHER_LIABILITIES_FFIEC" vbProcedure="false">"c12872"</definedName>
    <definedName function="false" hidden="true" name="IQ_OTHER_LIABILITIES_TOTAL_FFIEC" vbProcedure="false">"c12869"</definedName>
    <definedName function="false" hidden="true" name="IQ_OTHER_LIAB_BNK" vbProcedure="false">"c931"</definedName>
    <definedName function="false" hidden="true" name="IQ_OTHER_LIAB_BR" vbProcedure="false">"c932"</definedName>
    <definedName function="false" hidden="true" name="IQ_OTHER_LIAB_FIN" vbProcedure="false">"c933"</definedName>
    <definedName function="false" hidden="true" name="IQ_OTHER_LIAB_INS" vbProcedure="false">"c934"</definedName>
    <definedName function="false" hidden="true" name="IQ_OTHER_LIAB_LT" vbProcedure="false">"c935"</definedName>
    <definedName function="false" hidden="true" name="IQ_OTHER_LIAB_LT_BNK" vbProcedure="false">"c936"</definedName>
    <definedName function="false" hidden="true" name="IQ_OTHER_LIAB_LT_BR" vbProcedure="false">"c937"</definedName>
    <definedName function="false" hidden="true" name="IQ_OTHER_LIAB_LT_FIN" vbProcedure="false">"c938"</definedName>
    <definedName function="false" hidden="true" name="IQ_OTHER_LIAB_LT_INS" vbProcedure="false">"c939"</definedName>
    <definedName function="false" hidden="true" name="IQ_OTHER_LIAB_LT_RE" vbProcedure="false">"c6250"</definedName>
    <definedName function="false" hidden="true" name="IQ_OTHER_LIAB_LT_REIT" vbProcedure="false">"c940"</definedName>
    <definedName function="false" hidden="true" name="IQ_OTHER_LIAB_LT_UTI" vbProcedure="false">"c941"</definedName>
    <definedName function="false" hidden="true" name="IQ_OTHER_LIAB_RE" vbProcedure="false">"c6251"</definedName>
    <definedName function="false" hidden="true" name="IQ_OTHER_LIAB_REIT" vbProcedure="false">"c942"</definedName>
    <definedName function="false" hidden="true" name="IQ_OTHER_LIAB_UTI" vbProcedure="false">"c943"</definedName>
    <definedName function="false" hidden="true" name="IQ_OTHER_LIAB_WRITTEN" vbProcedure="false">"c944"</definedName>
    <definedName function="false" hidden="true" name="IQ_OTHER_LL_REC_FFIEC" vbProcedure="false">"c12894"</definedName>
    <definedName function="false" hidden="true" name="IQ_OTHER_LOANS" vbProcedure="false">"c945"</definedName>
    <definedName function="false" hidden="true" name="IQ_OTHER_LOANS_CHARGE_OFFS_FDIC" vbProcedure="false">"c6601"</definedName>
    <definedName function="false" hidden="true" name="IQ_OTHER_LOANS_DUE_30_89_FFIEC" vbProcedure="false">"c13275"</definedName>
    <definedName function="false" hidden="true" name="IQ_OTHER_LOANS_DUE_90_FFIEC" vbProcedure="false">"c13301"</definedName>
    <definedName function="false" hidden="true" name="IQ_OTHER_LOANS_FFIEC" vbProcedure="false">"c12825"</definedName>
    <definedName function="false" hidden="true" name="IQ_OTHER_LOANS_FOREIGN_FDIC" vbProcedure="false">"c6446"</definedName>
    <definedName function="false" hidden="true" name="IQ_OTHER_LOANS_GROSS_LOANS_FFIEC" vbProcedure="false">"c13414"</definedName>
    <definedName function="false" hidden="true" name="IQ_OTHER_LOANS_INDIVIDUALS_CHARGE_OFFS_FFIEC" vbProcedure="false">"c13181"</definedName>
    <definedName function="false" hidden="true" name="IQ_OTHER_LOANS_INDIVIDUALS_DUE_30_89_FFIEC" vbProcedure="false">"c13273"</definedName>
    <definedName function="false" hidden="true" name="IQ_OTHER_LOANS_INDIVIDUALS_DUE_90_FFIEC" vbProcedure="false">"c13299"</definedName>
    <definedName function="false" hidden="true" name="IQ_OTHER_LOANS_INDIVIDUALS_NON_ACCRUAL_FFIEC" vbProcedure="false">"c13325"</definedName>
    <definedName function="false" hidden="true" name="IQ_OTHER_LOANS_INDIVIDUALS_RECOV_FFIEC" vbProcedure="false">"c13203"</definedName>
    <definedName function="false" hidden="true" name="IQ_OTHER_LOANS_LEASES_FDIC" vbProcedure="false">"c6322"</definedName>
    <definedName function="false" hidden="true" name="IQ_OTHER_LOANS_LL_REC_DOM_FFIEC" vbProcedure="false">"c12914"</definedName>
    <definedName function="false" hidden="true" name="IQ_OTHER_LOANS_NET_CHARGE_OFFS_FDIC" vbProcedure="false">"c6639"</definedName>
    <definedName function="false" hidden="true" name="IQ_OTHER_LOANS_NON_ACCRUAL_FFIEC" vbProcedure="false">"c13327"</definedName>
    <definedName function="false" hidden="true" name="IQ_OTHER_LOANS_RECOVERIES_FDIC" vbProcedure="false">"c6620"</definedName>
    <definedName function="false" hidden="true" name="IQ_OTHER_LOANS_RISK_BASED_FFIEC" vbProcedure="false">"c13435"</definedName>
    <definedName function="false" hidden="true" name="IQ_OTHER_LOANS_TOTAL_FDIC" vbProcedure="false">"c6432"</definedName>
    <definedName function="false" hidden="true" name="IQ_OTHER_LOANS_TOTAL_LOANS" vbProcedure="false">"c15716"</definedName>
    <definedName function="false" hidden="true" name="IQ_OTHER_LOANS_TRADING_DOM_FFIEC" vbProcedure="false">"c12936"</definedName>
    <definedName function="false" hidden="true" name="IQ_OTHER_LONG_TERM" vbProcedure="false">"c1409"</definedName>
    <definedName function="false" hidden="true" name="IQ_OTHER_LT_ASSETS" vbProcedure="false">"c946"</definedName>
    <definedName function="false" hidden="true" name="IQ_OTHER_LT_ASSETS_BNK" vbProcedure="false">"c947"</definedName>
    <definedName function="false" hidden="true" name="IQ_OTHER_LT_ASSETS_BR" vbProcedure="false">"c948"</definedName>
    <definedName function="false" hidden="true" name="IQ_OTHER_LT_ASSETS_FIN" vbProcedure="false">"c949"</definedName>
    <definedName function="false" hidden="true" name="IQ_OTHER_LT_ASSETS_INS" vbProcedure="false">"c950"</definedName>
    <definedName function="false" hidden="true" name="IQ_OTHER_LT_ASSETS_RE" vbProcedure="false">"c6252"</definedName>
    <definedName function="false" hidden="true" name="IQ_OTHER_LT_ASSETS_REIT" vbProcedure="false">"c951"</definedName>
    <definedName function="false" hidden="true" name="IQ_OTHER_LT_ASSETS_UTI" vbProcedure="false">"c952"</definedName>
    <definedName function="false" hidden="true" name="IQ_OTHER_MBS_AVAIL_SALE_FFIEC" vbProcedure="false">"c12801"</definedName>
    <definedName function="false" hidden="true" name="IQ_OTHER_MBS_FFIEC" vbProcedure="false">"c12787"</definedName>
    <definedName function="false" hidden="true" name="IQ_OTHER_MBS_ISSUED_FNMA_GNMA_TRADING_DOM_FFIEC" vbProcedure="false">"c12922"</definedName>
    <definedName function="false" hidden="true" name="IQ_OTHER_MBS_ISSUED_FNMA_GNMA_TRADING_FFIEC" vbProcedure="false">"c12817"</definedName>
    <definedName function="false" hidden="true" name="IQ_OTHER_MBS_TRADING_DOM_FFIEC" vbProcedure="false">"c12923"</definedName>
    <definedName function="false" hidden="true" name="IQ_OTHER_MBS_TRADING_FFIEC" vbProcedure="false">"c12818"</definedName>
    <definedName function="false" hidden="true" name="IQ_OTHER_MINING_REVENUE_COAL" vbProcedure="false">"c15931"</definedName>
    <definedName function="false" hidden="true" name="IQ_OTHER_NET" vbProcedure="false">"c1453"</definedName>
    <definedName function="false" hidden="true" name="IQ_OTHER_NONFARM_NONRES_GROSS_LOANS_FFIEC" vbProcedure="false">"c13407"</definedName>
    <definedName function="false" hidden="true" name="IQ_OTHER_NONFARM_NONRES_LL_REC_DOM_FFIEC" vbProcedure="false">"c12907"</definedName>
    <definedName function="false" hidden="true" name="IQ_OTHER_NONFARM_NONRES_RISK_BASED_FFIEC" vbProcedure="false">"c13428"</definedName>
    <definedName function="false" hidden="true" name="IQ_OTHER_NONINTEREST_INC_FOREIGN_FFIEC" vbProcedure="false">"c15380"</definedName>
    <definedName function="false" hidden="true" name="IQ_OTHER_NON_INT_ALLOCATIONS_FFIEC" vbProcedure="false">"c13065"</definedName>
    <definedName function="false" hidden="true" name="IQ_OTHER_NON_INT_EXP" vbProcedure="false">"c953"</definedName>
    <definedName function="false" hidden="true" name="IQ_OTHER_NON_INT_EXPENSE_FDIC" vbProcedure="false">"c6679"</definedName>
    <definedName function="false" hidden="true" name="IQ_OTHER_NON_INT_EXP_FDIC" vbProcedure="false">"c6578"</definedName>
    <definedName function="false" hidden="true" name="IQ_OTHER_NON_INT_EXP_FFIEC" vbProcedure="false">"c13027"</definedName>
    <definedName function="false" hidden="true" name="IQ_OTHER_NON_INT_EXP_TOTAL" vbProcedure="false">"c954"</definedName>
    <definedName function="false" hidden="true" name="IQ_OTHER_NON_INT_INC" vbProcedure="false">"c955"</definedName>
    <definedName function="false" hidden="true" name="IQ_OTHER_NON_INT_INCOME_FFIEC" vbProcedure="false">"c13016"</definedName>
    <definedName function="false" hidden="true" name="IQ_OTHER_NON_INT_INC_FDIC" vbProcedure="false">"c6676"</definedName>
    <definedName function="false" hidden="true" name="IQ_OTHER_NON_INT_INC_OPERATING_INC_FFIEC" vbProcedure="false">"c13392"</definedName>
    <definedName function="false" hidden="true" name="IQ_OTHER_NON_OPER_EXP" vbProcedure="false">"c956"</definedName>
    <definedName function="false" hidden="true" name="IQ_OTHER_NON_OPER_EXP_BR" vbProcedure="false">"c957"</definedName>
    <definedName function="false" hidden="true" name="IQ_OTHER_NON_OPER_EXP_FIN" vbProcedure="false">"c958"</definedName>
    <definedName function="false" hidden="true" name="IQ_OTHER_NON_OPER_EXP_INS" vbProcedure="false">"c959"</definedName>
    <definedName function="false" hidden="true" name="IQ_OTHER_NON_OPER_EXP_RE" vbProcedure="false">"c6253"</definedName>
    <definedName function="false" hidden="true" name="IQ_OTHER_NON_OPER_EXP_REIT" vbProcedure="false">"c960"</definedName>
    <definedName function="false" hidden="true" name="IQ_OTHER_NON_OPER_EXP_SUPPL" vbProcedure="false">"c961"</definedName>
    <definedName function="false" hidden="true" name="IQ_OTHER_NON_OPER_EXP_SUPPL_BR" vbProcedure="false">"c962"</definedName>
    <definedName function="false" hidden="true" name="IQ_OTHER_NON_OPER_EXP_SUPPL_FIN" vbProcedure="false">"c963"</definedName>
    <definedName function="false" hidden="true" name="IQ_OTHER_NON_OPER_EXP_SUPPL_INS" vbProcedure="false">"c964"</definedName>
    <definedName function="false" hidden="true" name="IQ_OTHER_NON_OPER_EXP_SUPPL_RE" vbProcedure="false">"c6254"</definedName>
    <definedName function="false" hidden="true" name="IQ_OTHER_NON_OPER_EXP_SUPPL_REIT" vbProcedure="false">"c965"</definedName>
    <definedName function="false" hidden="true" name="IQ_OTHER_NON_OPER_EXP_SUPPL_UTI" vbProcedure="false">"c966"</definedName>
    <definedName function="false" hidden="true" name="IQ_OTHER_NON_OPER_EXP_UTI" vbProcedure="false">"c967"</definedName>
    <definedName function="false" hidden="true" name="IQ_OTHER_OFF_BS_ITEMS_FFIEC" vbProcedure="false">"c13126"</definedName>
    <definedName function="false" hidden="true" name="IQ_OTHER_OFF_BS_LIAB_FDIC" vbProcedure="false">"c6533"</definedName>
    <definedName function="false" hidden="true" name="IQ_OTHER_OPER" vbProcedure="false">"c982"</definedName>
    <definedName function="false" hidden="true" name="IQ_OTHER_OPER_ACT" vbProcedure="false">"c983"</definedName>
    <definedName function="false" hidden="true" name="IQ_OTHER_OPER_ACT_BNK" vbProcedure="false">"c984"</definedName>
    <definedName function="false" hidden="true" name="IQ_OTHER_OPER_ACT_BR" vbProcedure="false">"c985"</definedName>
    <definedName function="false" hidden="true" name="IQ_OTHER_OPER_ACT_FIN" vbProcedure="false">"c986"</definedName>
    <definedName function="false" hidden="true" name="IQ_OTHER_OPER_ACT_INS" vbProcedure="false">"c987"</definedName>
    <definedName function="false" hidden="true" name="IQ_OTHER_OPER_ACT_RE" vbProcedure="false">"c6255"</definedName>
    <definedName function="false" hidden="true" name="IQ_OTHER_OPER_ACT_REIT" vbProcedure="false">"c988"</definedName>
    <definedName function="false" hidden="true" name="IQ_OTHER_OPER_ACT_UTI" vbProcedure="false">"c989"</definedName>
    <definedName function="false" hidden="true" name="IQ_OTHER_OPER_BR" vbProcedure="false">"c990"</definedName>
    <definedName function="false" hidden="true" name="IQ_OTHER_OPER_FIN" vbProcedure="false">"c991"</definedName>
    <definedName function="false" hidden="true" name="IQ_OTHER_OPER_INS" vbProcedure="false">"c992"</definedName>
    <definedName function="false" hidden="true" name="IQ_OTHER_OPER_RE" vbProcedure="false">"c6256"</definedName>
    <definedName function="false" hidden="true" name="IQ_OTHER_OPER_REIT" vbProcedure="false">"c993"</definedName>
    <definedName function="false" hidden="true" name="IQ_OTHER_OPER_SUPPL_BR" vbProcedure="false">"c994"</definedName>
    <definedName function="false" hidden="true" name="IQ_OTHER_OPER_SUPPL_FIN" vbProcedure="false">"c995"</definedName>
    <definedName function="false" hidden="true" name="IQ_OTHER_OPER_SUPPL_INS" vbProcedure="false">"c996"</definedName>
    <definedName function="false" hidden="true" name="IQ_OTHER_OPER_SUPPL_RE" vbProcedure="false">"c6257"</definedName>
    <definedName function="false" hidden="true" name="IQ_OTHER_OPER_SUPPL_REIT" vbProcedure="false">"c997"</definedName>
    <definedName function="false" hidden="true" name="IQ_OTHER_OPER_SUPPL_UTI" vbProcedure="false">"c998"</definedName>
    <definedName function="false" hidden="true" name="IQ_OTHER_OPER_TOT_BNK" vbProcedure="false">"c999"</definedName>
    <definedName function="false" hidden="true" name="IQ_OTHER_OPER_TOT_BR" vbProcedure="false">"c1000"</definedName>
    <definedName function="false" hidden="true" name="IQ_OTHER_OPER_TOT_FIN" vbProcedure="false">"c1001"</definedName>
    <definedName function="false" hidden="true" name="IQ_OTHER_OPER_TOT_INS" vbProcedure="false">"c1002"</definedName>
    <definedName function="false" hidden="true" name="IQ_OTHER_OPER_TOT_RE" vbProcedure="false">"c6258"</definedName>
    <definedName function="false" hidden="true" name="IQ_OTHER_OPER_TOT_REIT" vbProcedure="false">"c1003"</definedName>
    <definedName function="false" hidden="true" name="IQ_OTHER_OPER_TOT_UTI" vbProcedure="false">"c1004"</definedName>
    <definedName function="false" hidden="true" name="IQ_OTHER_OPER_UTI" vbProcedure="false">"c1005"</definedName>
    <definedName function="false" hidden="true" name="IQ_OTHER_OPTIONS_BEG_OS" vbProcedure="false">"c2686"</definedName>
    <definedName function="false" hidden="true" name="IQ_OTHER_OPTIONS_CANCELLED" vbProcedure="false">"c2689"</definedName>
    <definedName function="false" hidden="true" name="IQ_OTHER_OPTIONS_END_OS" vbProcedure="false">"c2690"</definedName>
    <definedName function="false" hidden="true" name="IQ_OTHER_OPTIONS_EXERCISABLE_END_OS" vbProcedure="false">"c5814"</definedName>
    <definedName function="false" hidden="true" name="IQ_OTHER_OPTIONS_EXERCISED" vbProcedure="false">"c2688"</definedName>
    <definedName function="false" hidden="true" name="IQ_OTHER_OPTIONS_GRANTED" vbProcedure="false">"c2687"</definedName>
    <definedName function="false" hidden="true" name="IQ_OTHER_OPTIONS_STRIKE_PRICE_BEG_OS" vbProcedure="false">"c5815"</definedName>
    <definedName function="false" hidden="true" name="IQ_OTHER_OPTIONS_STRIKE_PRICE_CANCELLED" vbProcedure="false">"c5817"</definedName>
    <definedName function="false" hidden="true" name="IQ_OTHER_OPTIONS_STRIKE_PRICE_EXERCISABLE" vbProcedure="false">"c5818"</definedName>
    <definedName function="false" hidden="true" name="IQ_OTHER_OPTIONS_STRIKE_PRICE_EXERCISED" vbProcedure="false">"c5816"</definedName>
    <definedName function="false" hidden="true" name="IQ_OTHER_OPTIONS_STRIKE_PRICE_OS" vbProcedure="false">"c2691"</definedName>
    <definedName function="false" hidden="true" name="IQ_OTHER_OUTSTANDING_BS_DATE" vbProcedure="false">"c1972"</definedName>
    <definedName function="false" hidden="true" name="IQ_OTHER_OUTSTANDING_FILING_DATE" vbProcedure="false">"c1974"</definedName>
    <definedName function="false" hidden="true" name="IQ_OTHER_OVER_TOTAL" vbProcedure="false">"c13770"</definedName>
    <definedName function="false" hidden="true" name="IQ_OTHER_PC_WRITTEN" vbProcedure="false">"c1006"</definedName>
    <definedName function="false" hidden="true" name="IQ_OTHER_PROP" vbProcedure="false">"c8764"</definedName>
    <definedName function="false" hidden="true" name="IQ_OTHER_PROP_OPERATING_EXPENSE" vbProcedure="false">"c16043"</definedName>
    <definedName function="false" hidden="true" name="IQ_OTHER_PROP_OPERATING_REVENUE" vbProcedure="false">"c16027"</definedName>
    <definedName function="false" hidden="true" name="IQ_OTHER_REAL_ESTATE" vbProcedure="false">"c1007"</definedName>
    <definedName function="false" hidden="true" name="IQ_OTHER_RECEIV" vbProcedure="false">"c1008"</definedName>
    <definedName function="false" hidden="true" name="IQ_OTHER_RECEIV_INS" vbProcedure="false">"c1009"</definedName>
    <definedName function="false" hidden="true" name="IQ_OTHER_REV" vbProcedure="false">"c1010"</definedName>
    <definedName function="false" hidden="true" name="IQ_OTHER_REVENUE" vbProcedure="false">"c1410"</definedName>
    <definedName function="false" hidden="true" name="IQ_OTHER_REVOLVING_CREDIT_LL_REC_FFIEC" vbProcedure="false">"c12890"</definedName>
    <definedName function="false" hidden="true" name="IQ_OTHER_REVOLVING_CREDIT_LOANS_TRADING_DOM_FFIEC" vbProcedure="false">"c12934"</definedName>
    <definedName function="false" hidden="true" name="IQ_OTHER_REVOL_CREDIT_CONSUMER_LOANS_FFIEC" vbProcedure="false">"c12823"</definedName>
    <definedName function="false" hidden="true" name="IQ_OTHER_REV_BR" vbProcedure="false">"c1011"</definedName>
    <definedName function="false" hidden="true" name="IQ_OTHER_REV_FIN" vbProcedure="false">"c1012"</definedName>
    <definedName function="false" hidden="true" name="IQ_OTHER_REV_INS" vbProcedure="false">"c1013"</definedName>
    <definedName function="false" hidden="true" name="IQ_OTHER_REV_RE" vbProcedure="false">"c6259"</definedName>
    <definedName function="false" hidden="true" name="IQ_OTHER_REV_REIT" vbProcedure="false">"c1014"</definedName>
    <definedName function="false" hidden="true" name="IQ_OTHER_REV_SUPPL" vbProcedure="false">"c1015"</definedName>
    <definedName function="false" hidden="true" name="IQ_OTHER_REV_SUPPL_BR" vbProcedure="false">"c1016"</definedName>
    <definedName function="false" hidden="true" name="IQ_OTHER_REV_SUPPL_FIN" vbProcedure="false">"c1017"</definedName>
    <definedName function="false" hidden="true" name="IQ_OTHER_REV_SUPPL_INS" vbProcedure="false">"c1018"</definedName>
    <definedName function="false" hidden="true" name="IQ_OTHER_REV_SUPPL_RE" vbProcedure="false">"c6260"</definedName>
    <definedName function="false" hidden="true" name="IQ_OTHER_REV_SUPPL_REIT" vbProcedure="false">"c1019"</definedName>
    <definedName function="false" hidden="true" name="IQ_OTHER_REV_SUPPL_UTI" vbProcedure="false">"c1020"</definedName>
    <definedName function="false" hidden="true" name="IQ_OTHER_REV_UTI" vbProcedure="false">"c1021"</definedName>
    <definedName function="false" hidden="true" name="IQ_OTHER_RE_OWNED_FDIC" vbProcedure="false">"c6330"</definedName>
    <definedName function="false" hidden="true" name="IQ_OTHER_ROOMS" vbProcedure="false">"c8788"</definedName>
    <definedName function="false" hidden="true" name="IQ_OTHER_SAVINGS_DEPOSITS_FDIC" vbProcedure="false">"c6554"</definedName>
    <definedName function="false" hidden="true" name="IQ_OTHER_SAVINGS_DEPOSITS_NON_TRANS_ACCTS_FFIEC" vbProcedure="false">"c15331"</definedName>
    <definedName function="false" hidden="true" name="IQ_OTHER_SECURITIES_QUARTERLY_AVG_FFIEC" vbProcedure="false">"c15472"</definedName>
    <definedName function="false" hidden="true" name="IQ_OTHER_SQ_FT" vbProcedure="false">"c8780"</definedName>
    <definedName function="false" hidden="true" name="IQ_OTHER_STRIKE_PRICE_GRANTED" vbProcedure="false">"c2692"</definedName>
    <definedName function="false" hidden="true" name="IQ_OTHER_TAX_EQUIVALENT_ADJUSTMENTS_FFIEC" vbProcedure="false">"c13855"</definedName>
    <definedName function="false" hidden="true" name="IQ_OTHER_TRADING_ASSETS_FAIR_VALUE_TOT_FFIEC" vbProcedure="false">"c15404"</definedName>
    <definedName function="false" hidden="true" name="IQ_OTHER_TRADING_ASSETS_FFIEC" vbProcedure="false">"c12826"</definedName>
    <definedName function="false" hidden="true" name="IQ_OTHER_TRADING_ASSETS_LEVEL_1_FFIEC" vbProcedure="false">"c15426"</definedName>
    <definedName function="false" hidden="true" name="IQ_OTHER_TRADING_ASSETS_LEVEL_2_FFIEC" vbProcedure="false">"c15439"</definedName>
    <definedName function="false" hidden="true" name="IQ_OTHER_TRADING_ASSETS_LEVEL_3_FFIEC" vbProcedure="false">"c15452"</definedName>
    <definedName function="false" hidden="true" name="IQ_OTHER_TRADING_ASSETS_TOTAL_FFIEC" vbProcedure="false">"c12937"</definedName>
    <definedName function="false" hidden="true" name="IQ_OTHER_TRADING_LIABILITIES_FAIR_VALUE_TOT_FFIEC" vbProcedure="false">"c15408"</definedName>
    <definedName function="false" hidden="true" name="IQ_OTHER_TRADING_LIABILITIES_FFIEC" vbProcedure="false">"c12860"</definedName>
    <definedName function="false" hidden="true" name="IQ_OTHER_TRADING_LIABILITIES_LEVEL_1_FFIEC" vbProcedure="false">"c15430"</definedName>
    <definedName function="false" hidden="true" name="IQ_OTHER_TRADING_LIABILITIES_LEVEL_2_FFIEC" vbProcedure="false">"c15443"</definedName>
    <definedName function="false" hidden="true" name="IQ_OTHER_TRADING_LIABILITIES_LEVEL_3_FFIEC" vbProcedure="false">"c15456"</definedName>
    <definedName function="false" hidden="true" name="IQ_OTHER_TRANSACTIONS_FDIC" vbProcedure="false">"c6504"</definedName>
    <definedName function="false" hidden="true" name="IQ_OTHER_UNDRAWN" vbProcedure="false">"c2522"</definedName>
    <definedName function="false" hidden="true" name="IQ_OTHER_UNITS" vbProcedure="false">"c8772"</definedName>
    <definedName function="false" hidden="true" name="IQ_OTHER_UNUSED_COMMITMENTS_FDIC" vbProcedure="false">"c6530"</definedName>
    <definedName function="false" hidden="true" name="IQ_OTHER_UNUSED_FFIEC" vbProcedure="false">"c13248"</definedName>
    <definedName function="false" hidden="true" name="IQ_OTHER_UNUSUAL" vbProcedure="false">"c1488"</definedName>
    <definedName function="false" hidden="true" name="IQ_OTHER_UNUSUAL_BNK" vbProcedure="false">"c1560"</definedName>
    <definedName function="false" hidden="true" name="IQ_OTHER_UNUSUAL_BR" vbProcedure="false">"c1561"</definedName>
    <definedName function="false" hidden="true" name="IQ_OTHER_UNUSUAL_FIN" vbProcedure="false">"c1562"</definedName>
    <definedName function="false" hidden="true" name="IQ_OTHER_UNUSUAL_INS" vbProcedure="false">"c1563"</definedName>
    <definedName function="false" hidden="true" name="IQ_OTHER_UNUSUAL_RE" vbProcedure="false">"c6282"</definedName>
    <definedName function="false" hidden="true" name="IQ_OTHER_UNUSUAL_REIT" vbProcedure="false">"c1564"</definedName>
    <definedName function="false" hidden="true" name="IQ_OTHER_UNUSUAL_SUPPL" vbProcedure="false">"c1494"</definedName>
    <definedName function="false" hidden="true" name="IQ_OTHER_UNUSUAL_SUPPLE" vbProcedure="false">"c13816"</definedName>
    <definedName function="false" hidden="true" name="IQ_OTHER_UNUSUAL_SUPPL_BNK" vbProcedure="false">"c1495"</definedName>
    <definedName function="false" hidden="true" name="IQ_OTHER_UNUSUAL_SUPPL_BR" vbProcedure="false">"c1496"</definedName>
    <definedName function="false" hidden="true" name="IQ_OTHER_UNUSUAL_SUPPL_FIN" vbProcedure="false">"c1497"</definedName>
    <definedName function="false" hidden="true" name="IQ_OTHER_UNUSUAL_SUPPL_INS" vbProcedure="false">"c1498"</definedName>
    <definedName function="false" hidden="true" name="IQ_OTHER_UNUSUAL_SUPPL_RE" vbProcedure="false">"c6281"</definedName>
    <definedName function="false" hidden="true" name="IQ_OTHER_UNUSUAL_SUPPL_REIT" vbProcedure="false">"c1499"</definedName>
    <definedName function="false" hidden="true" name="IQ_OTHER_UNUSUAL_SUPPL_UTI" vbProcedure="false">"c1500"</definedName>
    <definedName function="false" hidden="true" name="IQ_OTHER_UNUSUAL_UTI" vbProcedure="false">"c1565"</definedName>
    <definedName function="false" hidden="true" name="IQ_OTHER_WARRANTS_BEG_OS" vbProcedure="false">"c2712"</definedName>
    <definedName function="false" hidden="true" name="IQ_OTHER_WARRANTS_CANCELLED" vbProcedure="false">"c2715"</definedName>
    <definedName function="false" hidden="true" name="IQ_OTHER_WARRANTS_END_OS" vbProcedure="false">"c2716"</definedName>
    <definedName function="false" hidden="true" name="IQ_OTHER_WARRANTS_EXERCISED" vbProcedure="false">"c2714"</definedName>
    <definedName function="false" hidden="true" name="IQ_OTHER_WARRANTS_ISSUED" vbProcedure="false">"c2713"</definedName>
    <definedName function="false" hidden="true" name="IQ_OTHER_WARRANTS_STRIKE_PRICE_ISSUED" vbProcedure="false">"c2718"</definedName>
    <definedName function="false" hidden="true" name="IQ_OTHER_WARRANTS_STRIKE_PRICE_OS" vbProcedure="false">"c2717"</definedName>
    <definedName function="false" hidden="true" name="IQ_OUTSTANDING_BS_DATE" vbProcedure="false">"c2128"</definedName>
    <definedName function="false" hidden="true" name="IQ_OUTSTANDING_FILING_DATE" vbProcedure="false">"c1023"</definedName>
    <definedName function="false" hidden="true" name="IQ_OVERHEAD_EXP_AVG_ASSETS_FFIEC" vbProcedure="false">"c13361"</definedName>
    <definedName function="false" hidden="true" name="IQ_OVERHEAD_EXP_REV_FFIEC" vbProcedure="false">"c13494"</definedName>
    <definedName function="false" hidden="true" name="IQ_OVERHEAD_NON_INT_INC_AVG_ASSETS_FFIEC" vbProcedure="false">"c13374"</definedName>
    <definedName function="false" hidden="true" name="IQ_OVERHEAD_NON_INT_OPERATING_INC_FFIEC" vbProcedure="false">"c13393"</definedName>
    <definedName function="false" hidden="true" name="IQ_OVERHEAD_OPERATING_INC_FFIEC" vbProcedure="false">"c13378"</definedName>
    <definedName function="false" hidden="true" name="IQ_OVER_FIFETEEN_YEAR_MORTGAGE_PASS_THROUGHS_FDIC" vbProcedure="false">"c6416"</definedName>
    <definedName function="false" hidden="true" name="IQ_OVER_FIFTEEN_YEAR_FIXED_AND_FLOATING_RATE_FDIC" vbProcedure="false">"c6424"</definedName>
    <definedName function="false" hidden="true" name="IQ_OVER_THREE_YEARS_FDIC" vbProcedure="false">"c6418"</definedName>
    <definedName function="false" hidden="true" name="IQ_OWNED_RESERVES_COAL" vbProcedure="false">"c15916"</definedName>
    <definedName function="false" hidden="true" name="IQ_OWNED_RESERVES_TO_TOTAL_RESERVES_COAL" vbProcedure="false">"c15957"</definedName>
    <definedName function="false" hidden="true" name="IQ_OWNERSHIP" vbProcedure="false">"c2160"</definedName>
    <definedName function="false" hidden="true" name="IQ_OWNER_OCCUPIED_GROSS_LOANS_FFIEC" vbProcedure="false">"c13406"</definedName>
    <definedName function="false" hidden="true" name="IQ_OWNER_OCCUPIED_LOANS_RISK_BASED_FFIEC" vbProcedure="false">"c13427"</definedName>
    <definedName function="false" hidden="true" name="IQ_OWNER_OCCUPIED_NONFARM_NONRES_LL_REC_DOM_FFIEC" vbProcedure="false">"c12906"</definedName>
    <definedName function="false" hidden="true" name="IQ_PARTICIPATIONS_ACCEPTANCES_FFIEC" vbProcedure="false">"c13254"</definedName>
    <definedName function="false" hidden="true" name="IQ_PARTICIPATION_POOLS_RESIDENTIAL_MORTGAGES_FDIC" vbProcedure="false">"c6403"</definedName>
    <definedName function="false" hidden="true" name="IQ_PARTNERSHIP_INC_RE" vbProcedure="false">"c12039"</definedName>
    <definedName function="false" hidden="true" name="IQ_PART_TIME" vbProcedure="false">"c1024"</definedName>
    <definedName function="false" hidden="true" name="IQ_PASS_THROUGH_FNMA_GNMA_TRADING_FFIEC" vbProcedure="false">"c12816"</definedName>
    <definedName function="false" hidden="true" name="IQ_PAST_DUE_30_1_4_FAMILY_LOANS_FDIC" vbProcedure="false">"c6693"</definedName>
    <definedName function="false" hidden="true" name="IQ_PAST_DUE_30_AUTO_LOANS_FDIC" vbProcedure="false">"c6687"</definedName>
    <definedName function="false" hidden="true" name="IQ_PAST_DUE_30_CL_LOANS_FDIC" vbProcedure="false">"c6688"</definedName>
    <definedName function="false" hidden="true" name="IQ_PAST_DUE_30_CREDIT_CARDS_RECEIVABLES_FDIC" vbProcedure="false">"c6690"</definedName>
    <definedName function="false" hidden="true" name="IQ_PAST_DUE_30_HOME_EQUITY_LINES_FDIC" vbProcedure="false">"c6691"</definedName>
    <definedName function="false" hidden="true" name="IQ_PAST_DUE_30_OTHER_CONSUMER_LOANS_FDIC" vbProcedure="false">"c6689"</definedName>
    <definedName function="false" hidden="true" name="IQ_PAST_DUE_30_OTHER_LOANS_FDIC" vbProcedure="false">"c6692"</definedName>
    <definedName function="false" hidden="true" name="IQ_PAST_DUE_90_1_4_FAMILY_LOANS_FDIC" vbProcedure="false">"c6700"</definedName>
    <definedName function="false" hidden="true" name="IQ_PAST_DUE_90_AUTO_LOANS_FDIC" vbProcedure="false">"c6694"</definedName>
    <definedName function="false" hidden="true" name="IQ_PAST_DUE_90_CL_LOANS_FDIC" vbProcedure="false">"c6695"</definedName>
    <definedName function="false" hidden="true" name="IQ_PAST_DUE_90_CREDIT_CARDS_RECEIVABLES_FDIC" vbProcedure="false">"c6697"</definedName>
    <definedName function="false" hidden="true" name="IQ_PAST_DUE_90_HOME_EQUITY_LINES_FDIC" vbProcedure="false">"c6698"</definedName>
    <definedName function="false" hidden="true" name="IQ_PAST_DUE_90_OTHER_CONSUMER_LOANS_FDIC" vbProcedure="false">"c6696"</definedName>
    <definedName function="false" hidden="true" name="IQ_PAST_DUE_90_OTHER_LOANS_FDIC" vbProcedure="false">"c6699"</definedName>
    <definedName function="false" hidden="true" name="IQ_PAST_DUE_ALLOW_GROSS_LOANS_FFIEC" vbProcedure="false">"c13416"</definedName>
    <definedName function="false" hidden="true" name="IQ_PAYOUT_RATIO" vbProcedure="false">"c1900"</definedName>
    <definedName function="false" hidden="true" name="IQ_PAY_ACCRUED" vbProcedure="false">"c1457"</definedName>
    <definedName function="false" hidden="true" name="IQ_PBV" vbProcedure="false">"c1025"</definedName>
    <definedName function="false" hidden="true" name="IQ_PBV_AVG" vbProcedure="false">"c1026"</definedName>
    <definedName function="false" hidden="true" name="IQ_PBV_FWD" vbProcedure="false">"c15235"</definedName>
    <definedName function="false" hidden="true" name="IQ_PBV_FWD_THOM" vbProcedure="false">"c15237"</definedName>
    <definedName function="false" hidden="true" name="IQ_PC_EARNED" vbProcedure="false">"c2749"</definedName>
    <definedName function="false" hidden="true" name="IQ_PC_GAAP_COMBINED_RATIO" vbProcedure="false">"c2781"</definedName>
    <definedName function="false" hidden="true" name="IQ_PC_GAAP_COMBINED_RATIO_EXCL_CL" vbProcedure="false">"c2782"</definedName>
    <definedName function="false" hidden="true" name="IQ_PC_GAAP_EXPENSE_RATIO" vbProcedure="false">"c2780"</definedName>
    <definedName function="false" hidden="true" name="IQ_PC_GAAP_LOSS" vbProcedure="false">"c2779"</definedName>
    <definedName function="false" hidden="true" name="IQ_PC_POLICY_BENEFITS_EXP" vbProcedure="false">"c2790"</definedName>
    <definedName function="false" hidden="true" name="IQ_PC_STATUTORY_SURPLUS" vbProcedure="false">"c2770"</definedName>
    <definedName function="false" hidden="true" name="IQ_PC_STAT_COMBINED_RATIO" vbProcedure="false">"c2778"</definedName>
    <definedName function="false" hidden="true" name="IQ_PC_STAT_COMBINED_RATIO_EXCL_DIV" vbProcedure="false">"c2777"</definedName>
    <definedName function="false" hidden="true" name="IQ_PC_STAT_DIVIDEND_RATIO" vbProcedure="false">"c2776"</definedName>
    <definedName function="false" hidden="true" name="IQ_PC_STAT_EXPENSE_RATIO" vbProcedure="false">"c2775"</definedName>
    <definedName function="false" hidden="true" name="IQ_PC_STAT_LOSS_RATIO" vbProcedure="false">"c2774"</definedName>
    <definedName function="false" hidden="true" name="IQ_PC_WRITTEN" vbProcedure="false">"c1027"</definedName>
    <definedName function="false" hidden="true" name="IQ_PEG_FWD" vbProcedure="false">"c1863"</definedName>
    <definedName function="false" hidden="true" name="IQ_PEG_FWD_CIQ" vbProcedure="false">"c4045"</definedName>
    <definedName function="false" hidden="true" name="IQ_PEG_FWD_REUT" vbProcedure="false">"c4052"</definedName>
    <definedName function="false" hidden="true" name="IQ_PEG_FWD_THOM" vbProcedure="false">"c4059"</definedName>
    <definedName function="false" hidden="true" name="IQ_PENETRATION_BASIC_CABLE" vbProcedure="false">"c16204"</definedName>
    <definedName function="false" hidden="true" name="IQ_PENETRATION_BBAND" vbProcedure="false">"c2852"</definedName>
    <definedName function="false" hidden="true" name="IQ_PENETRATION_BBAND_THP" vbProcedure="false">"c2851"</definedName>
    <definedName function="false" hidden="true" name="IQ_PENETRATION_PHONE" vbProcedure="false">"c2853"</definedName>
    <definedName function="false" hidden="true" name="IQ_PENETRATION_VIDEO" vbProcedure="false">"c2850"</definedName>
    <definedName function="false" hidden="true" name="IQ_PENSION" vbProcedure="false">"c1031"</definedName>
    <definedName function="false" hidden="true" name="IQ_PENSION_ACCRUED_LIAB" vbProcedure="false">"c3134"</definedName>
    <definedName function="false" hidden="true" name="IQ_PENSION_ACCRUED_LIAB_DOM" vbProcedure="false">"c3132"</definedName>
    <definedName function="false" hidden="true" name="IQ_PENSION_ACCRUED_LIAB_FOREIGN" vbProcedure="false">"c3133"</definedName>
    <definedName function="false" hidden="true" name="IQ_PENSION_ACCUMULATED_OBLIGATION" vbProcedure="false">"c3570"</definedName>
    <definedName function="false" hidden="true" name="IQ_PENSION_ACCUMULATED_OBLIGATION_DOMESTIC" vbProcedure="false">"c3568"</definedName>
    <definedName function="false" hidden="true" name="IQ_PENSION_ACCUMULATED_OBLIGATION_FOREIGN" vbProcedure="false">"c3569"</definedName>
    <definedName function="false" hidden="true" name="IQ_PENSION_ACCUM_OTHER_CI" vbProcedure="false">"c3140"</definedName>
    <definedName function="false" hidden="true" name="IQ_PENSION_ACCUM_OTHER_CI_DOM" vbProcedure="false">"c3138"</definedName>
    <definedName function="false" hidden="true" name="IQ_PENSION_ACCUM_OTHER_CI_FOREIGN" vbProcedure="false">"c3139"</definedName>
    <definedName function="false" hidden="true" name="IQ_PENSION_ACT_NEXT" vbProcedure="false">"c5738"</definedName>
    <definedName function="false" hidden="true" name="IQ_PENSION_ACT_NEXT_DOM" vbProcedure="false">"c5736"</definedName>
    <definedName function="false" hidden="true" name="IQ_PENSION_ACT_NEXT_FOREIGN" vbProcedure="false">"c5737"</definedName>
    <definedName function="false" hidden="true" name="IQ_PENSION_AMT_RECOG_NEXT_DOM" vbProcedure="false">"c5745"</definedName>
    <definedName function="false" hidden="true" name="IQ_PENSION_AMT_RECOG_NEXT_FOREIGN" vbProcedure="false">"c5746"</definedName>
    <definedName function="false" hidden="true" name="IQ_PENSION_AMT_RECOG_PERIOD" vbProcedure="false">"c5747"</definedName>
    <definedName function="false" hidden="true" name="IQ_PENSION_ASSETS" vbProcedure="false">"c3182"</definedName>
    <definedName function="false" hidden="true" name="IQ_PENSION_ASSETS_ACQ" vbProcedure="false">"c3173"</definedName>
    <definedName function="false" hidden="true" name="IQ_PENSION_ASSETS_ACQ_DOM" vbProcedure="false">"c3171"</definedName>
    <definedName function="false" hidden="true" name="IQ_PENSION_ASSETS_ACQ_FOREIGN" vbProcedure="false">"c3172"</definedName>
    <definedName function="false" hidden="true" name="IQ_PENSION_ASSETS_ACTUAL_RETURN" vbProcedure="false">"c3158"</definedName>
    <definedName function="false" hidden="true" name="IQ_PENSION_ASSETS_ACTUAL_RETURN_DOM" vbProcedure="false">"c3156"</definedName>
    <definedName function="false" hidden="true" name="IQ_PENSION_ASSETS_ACTUAL_RETURN_FOREIGN" vbProcedure="false">"c3157"</definedName>
    <definedName function="false" hidden="true" name="IQ_PENSION_ASSETS_BEG" vbProcedure="false">"c3155"</definedName>
    <definedName function="false" hidden="true" name="IQ_PENSION_ASSETS_BEG_DOM" vbProcedure="false">"c3153"</definedName>
    <definedName function="false" hidden="true" name="IQ_PENSION_ASSETS_BEG_FOREIGN" vbProcedure="false">"c3154"</definedName>
    <definedName function="false" hidden="true" name="IQ_PENSION_ASSETS_BENEFITS_PAID" vbProcedure="false">"c3167"</definedName>
    <definedName function="false" hidden="true" name="IQ_PENSION_ASSETS_BENEFITS_PAID_DOM" vbProcedure="false">"c3165"</definedName>
    <definedName function="false" hidden="true" name="IQ_PENSION_ASSETS_BENEFITS_PAID_FOREIGN" vbProcedure="false">"c3166"</definedName>
    <definedName function="false" hidden="true" name="IQ_PENSION_ASSETS_CURTAIL" vbProcedure="false">"c3176"</definedName>
    <definedName function="false" hidden="true" name="IQ_PENSION_ASSETS_CURTAIL_DOM" vbProcedure="false">"c3174"</definedName>
    <definedName function="false" hidden="true" name="IQ_PENSION_ASSETS_CURTAIL_FOREIGN" vbProcedure="false">"c3175"</definedName>
    <definedName function="false" hidden="true" name="IQ_PENSION_ASSETS_DOM" vbProcedure="false">"c3180"</definedName>
    <definedName function="false" hidden="true" name="IQ_PENSION_ASSETS_EMPLOYER_CONTRIBUTIONS" vbProcedure="false">"c3161"</definedName>
    <definedName function="false" hidden="true" name="IQ_PENSION_ASSETS_EMPLOYER_CONTRIBUTIONS_DOM" vbProcedure="false">"c3159"</definedName>
    <definedName function="false" hidden="true" name="IQ_PENSION_ASSETS_EMPLOYER_CONTRIBUTIONS_FOREIGN" vbProcedure="false">"c3160"</definedName>
    <definedName function="false" hidden="true" name="IQ_PENSION_ASSETS_FOREIGN" vbProcedure="false">"c3181"</definedName>
    <definedName function="false" hidden="true" name="IQ_PENSION_ASSETS_FX_ADJ" vbProcedure="false">"c3170"</definedName>
    <definedName function="false" hidden="true" name="IQ_PENSION_ASSETS_FX_ADJ_DOM" vbProcedure="false">"c3168"</definedName>
    <definedName function="false" hidden="true" name="IQ_PENSION_ASSETS_FX_ADJ_FOREIGN" vbProcedure="false">"c3169"</definedName>
    <definedName function="false" hidden="true" name="IQ_PENSION_ASSETS_OTHER_PLAN_ADJ" vbProcedure="false">"c3179"</definedName>
    <definedName function="false" hidden="true" name="IQ_PENSION_ASSETS_OTHER_PLAN_ADJ_DOM" vbProcedure="false">"c3177"</definedName>
    <definedName function="false" hidden="true" name="IQ_PENSION_ASSETS_OTHER_PLAN_ADJ_FOREIGN" vbProcedure="false">"c3178"</definedName>
    <definedName function="false" hidden="true" name="IQ_PENSION_ASSETS_PARTICIP_CONTRIBUTIONS" vbProcedure="false">"c3164"</definedName>
    <definedName function="false" hidden="true" name="IQ_PENSION_ASSETS_PARTICIP_CONTRIBUTIONS_DOM" vbProcedure="false">"c3162"</definedName>
    <definedName function="false" hidden="true" name="IQ_PENSION_ASSETS_PARTICIP_CONTRIBUTIONS_FOREIGN" vbProcedure="false">"c3163"</definedName>
    <definedName function="false" hidden="true" name="IQ_PENSION_BENEFIT_INFO_DATE" vbProcedure="false">"c3230"</definedName>
    <definedName function="false" hidden="true" name="IQ_PENSION_BENEFIT_INFO_DATE_DOM" vbProcedure="false">"c3228"</definedName>
    <definedName function="false" hidden="true" name="IQ_PENSION_BENEFIT_INFO_DATE_FOREIGN" vbProcedure="false">"c3229"</definedName>
    <definedName function="false" hidden="true" name="IQ_PENSION_BREAKDOWN_EQ" vbProcedure="false">"c3101"</definedName>
    <definedName function="false" hidden="true" name="IQ_PENSION_BREAKDOWN_EQ_DOM" vbProcedure="false">"c3099"</definedName>
    <definedName function="false" hidden="true" name="IQ_PENSION_BREAKDOWN_EQ_FOREIGN" vbProcedure="false">"c3100"</definedName>
    <definedName function="false" hidden="true" name="IQ_PENSION_BREAKDOWN_FI" vbProcedure="false">"c3104"</definedName>
    <definedName function="false" hidden="true" name="IQ_PENSION_BREAKDOWN_FI_DOM" vbProcedure="false">"c3102"</definedName>
    <definedName function="false" hidden="true" name="IQ_PENSION_BREAKDOWN_FI_FOREIGN" vbProcedure="false">"c3103"</definedName>
    <definedName function="false" hidden="true" name="IQ_PENSION_BREAKDOWN_OTHER" vbProcedure="false">"c3110"</definedName>
    <definedName function="false" hidden="true" name="IQ_PENSION_BREAKDOWN_OTHER_DOM" vbProcedure="false">"c3108"</definedName>
    <definedName function="false" hidden="true" name="IQ_PENSION_BREAKDOWN_OTHER_FOREIGN" vbProcedure="false">"c3109"</definedName>
    <definedName function="false" hidden="true" name="IQ_PENSION_BREAKDOWN_PCT_EQ" vbProcedure="false">"c3089"</definedName>
    <definedName function="false" hidden="true" name="IQ_PENSION_BREAKDOWN_PCT_EQ_DOM" vbProcedure="false">"c3087"</definedName>
    <definedName function="false" hidden="true" name="IQ_PENSION_BREAKDOWN_PCT_EQ_FOREIGN" vbProcedure="false">"c3088"</definedName>
    <definedName function="false" hidden="true" name="IQ_PENSION_BREAKDOWN_PCT_FI" vbProcedure="false">"c3092"</definedName>
    <definedName function="false" hidden="true" name="IQ_PENSION_BREAKDOWN_PCT_FI_DOM" vbProcedure="false">"c3090"</definedName>
    <definedName function="false" hidden="true" name="IQ_PENSION_BREAKDOWN_PCT_FI_FOREIGN" vbProcedure="false">"c3091"</definedName>
    <definedName function="false" hidden="true" name="IQ_PENSION_BREAKDOWN_PCT_OTHER" vbProcedure="false">"c3098"</definedName>
    <definedName function="false" hidden="true" name="IQ_PENSION_BREAKDOWN_PCT_OTHER_DOM" vbProcedure="false">"c3096"</definedName>
    <definedName function="false" hidden="true" name="IQ_PENSION_BREAKDOWN_PCT_OTHER_FOREIGN" vbProcedure="false">"c3097"</definedName>
    <definedName function="false" hidden="true" name="IQ_PENSION_BREAKDOWN_PCT_RE" vbProcedure="false">"c3095"</definedName>
    <definedName function="false" hidden="true" name="IQ_PENSION_BREAKDOWN_PCT_RE_DOM" vbProcedure="false">"c3093"</definedName>
    <definedName function="false" hidden="true" name="IQ_PENSION_BREAKDOWN_PCT_RE_FOREIGN" vbProcedure="false">"c3094"</definedName>
    <definedName function="false" hidden="true" name="IQ_PENSION_BREAKDOWN_RE" vbProcedure="false">"c3107"</definedName>
    <definedName function="false" hidden="true" name="IQ_PENSION_BREAKDOWN_RE_DOM" vbProcedure="false">"c3105"</definedName>
    <definedName function="false" hidden="true" name="IQ_PENSION_BREAKDOWN_RE_FOREIGN" vbProcedure="false">"c3106"</definedName>
    <definedName function="false" hidden="true" name="IQ_PENSION_CI_ACT" vbProcedure="false">"c5723"</definedName>
    <definedName function="false" hidden="true" name="IQ_PENSION_CI_ACT_DOM" vbProcedure="false">"c5721"</definedName>
    <definedName function="false" hidden="true" name="IQ_PENSION_CI_ACT_FOREIGN" vbProcedure="false">"c5722"</definedName>
    <definedName function="false" hidden="true" name="IQ_PENSION_CI_NET_AMT_RECOG" vbProcedure="false">"c5735"</definedName>
    <definedName function="false" hidden="true" name="IQ_PENSION_CI_NET_AMT_RECOG_DOM" vbProcedure="false">"c5733"</definedName>
    <definedName function="false" hidden="true" name="IQ_PENSION_CI_NET_AMT_RECOG_FOREIGN" vbProcedure="false">"c5734"</definedName>
    <definedName function="false" hidden="true" name="IQ_PENSION_CI_OTHER_MISC_ADJ" vbProcedure="false">"c5732"</definedName>
    <definedName function="false" hidden="true" name="IQ_PENSION_CI_OTHER_MISC_ADJ_DOM" vbProcedure="false">"c5730"</definedName>
    <definedName function="false" hidden="true" name="IQ_PENSION_CI_OTHER_MISC_ADJ_FOREIGN" vbProcedure="false">"c5731"</definedName>
    <definedName function="false" hidden="true" name="IQ_PENSION_CI_PRIOR_SERVICE" vbProcedure="false">"c5726"</definedName>
    <definedName function="false" hidden="true" name="IQ_PENSION_CI_PRIOR_SERVICE_DOM" vbProcedure="false">"c5724"</definedName>
    <definedName function="false" hidden="true" name="IQ_PENSION_CI_PRIOR_SERVICE_FOREIGN" vbProcedure="false">"c5725"</definedName>
    <definedName function="false" hidden="true" name="IQ_PENSION_CI_TRANSITION" vbProcedure="false">"c5729"</definedName>
    <definedName function="false" hidden="true" name="IQ_PENSION_CI_TRANSITION_DOM" vbProcedure="false">"c5727"</definedName>
    <definedName function="false" hidden="true" name="IQ_PENSION_CI_TRANSITION_FOREIGN" vbProcedure="false">"c5728"</definedName>
    <definedName function="false" hidden="true" name="IQ_PENSION_CL" vbProcedure="false">"c5753"</definedName>
    <definedName function="false" hidden="true" name="IQ_PENSION_CL_DOM" vbProcedure="false">"c5751"</definedName>
    <definedName function="false" hidden="true" name="IQ_PENSION_CL_FOREIGN" vbProcedure="false">"c5752"</definedName>
    <definedName function="false" hidden="true" name="IQ_PENSION_CONTRIBUTION_TOTAL_COST" vbProcedure="false">"c3559"</definedName>
    <definedName function="false" hidden="true" name="IQ_PENSION_DISCOUNT_RATE_DOMESTIC" vbProcedure="false">"c3573"</definedName>
    <definedName function="false" hidden="true" name="IQ_PENSION_DISCOUNT_RATE_FOREIGN" vbProcedure="false">"c3574"</definedName>
    <definedName function="false" hidden="true" name="IQ_PENSION_DISC_RATE_MAX" vbProcedure="false">"c3236"</definedName>
    <definedName function="false" hidden="true" name="IQ_PENSION_DISC_RATE_MAX_DOM" vbProcedure="false">"c3234"</definedName>
    <definedName function="false" hidden="true" name="IQ_PENSION_DISC_RATE_MAX_FOREIGN" vbProcedure="false">"c3235"</definedName>
    <definedName function="false" hidden="true" name="IQ_PENSION_DISC_RATE_MIN" vbProcedure="false">"c3233"</definedName>
    <definedName function="false" hidden="true" name="IQ_PENSION_DISC_RATE_MIN_DOM" vbProcedure="false">"c3231"</definedName>
    <definedName function="false" hidden="true" name="IQ_PENSION_DISC_RATE_MIN_FOREIGN" vbProcedure="false">"c3232"</definedName>
    <definedName function="false" hidden="true" name="IQ_PENSION_EST_BENEFIT_1YR" vbProcedure="false">"c3113"</definedName>
    <definedName function="false" hidden="true" name="IQ_PENSION_EST_BENEFIT_1YR_DOM" vbProcedure="false">"c3111"</definedName>
    <definedName function="false" hidden="true" name="IQ_PENSION_EST_BENEFIT_1YR_FOREIGN" vbProcedure="false">"c3112"</definedName>
    <definedName function="false" hidden="true" name="IQ_PENSION_EST_BENEFIT_2YR" vbProcedure="false">"c3116"</definedName>
    <definedName function="false" hidden="true" name="IQ_PENSION_EST_BENEFIT_2YR_DOM" vbProcedure="false">"c3114"</definedName>
    <definedName function="false" hidden="true" name="IQ_PENSION_EST_BENEFIT_2YR_FOREIGN" vbProcedure="false">"c3115"</definedName>
    <definedName function="false" hidden="true" name="IQ_PENSION_EST_BENEFIT_3YR" vbProcedure="false">"c3119"</definedName>
    <definedName function="false" hidden="true" name="IQ_PENSION_EST_BENEFIT_3YR_DOM" vbProcedure="false">"c3117"</definedName>
    <definedName function="false" hidden="true" name="IQ_PENSION_EST_BENEFIT_3YR_FOREIGN" vbProcedure="false">"c3118"</definedName>
    <definedName function="false" hidden="true" name="IQ_PENSION_EST_BENEFIT_4YR" vbProcedure="false">"c3122"</definedName>
    <definedName function="false" hidden="true" name="IQ_PENSION_EST_BENEFIT_4YR_DOM" vbProcedure="false">"c3120"</definedName>
    <definedName function="false" hidden="true" name="IQ_PENSION_EST_BENEFIT_4YR_FOREIGN" vbProcedure="false">"c3121"</definedName>
    <definedName function="false" hidden="true" name="IQ_PENSION_EST_BENEFIT_5YR" vbProcedure="false">"c3125"</definedName>
    <definedName function="false" hidden="true" name="IQ_PENSION_EST_BENEFIT_5YR_DOM" vbProcedure="false">"c3123"</definedName>
    <definedName function="false" hidden="true" name="IQ_PENSION_EST_BENEFIT_5YR_FOREIGN" vbProcedure="false">"c3124"</definedName>
    <definedName function="false" hidden="true" name="IQ_PENSION_EST_BENEFIT_AFTER5" vbProcedure="false">"c3128"</definedName>
    <definedName function="false" hidden="true" name="IQ_PENSION_EST_BENEFIT_AFTER5_DOM" vbProcedure="false">"c3126"</definedName>
    <definedName function="false" hidden="true" name="IQ_PENSION_EST_BENEFIT_AFTER5_FOREIGN" vbProcedure="false">"c3127"</definedName>
    <definedName function="false" hidden="true" name="IQ_PENSION_EST_CONTRIBUTIONS_NEXTYR" vbProcedure="false">"c3218"</definedName>
    <definedName function="false" hidden="true" name="IQ_PENSION_EST_CONTRIBUTIONS_NEXTYR_DOM" vbProcedure="false">"c3216"</definedName>
    <definedName function="false" hidden="true" name="IQ_PENSION_EST_CONTRIBUTIONS_NEXTYR_FOREIGN" vbProcedure="false">"c3217"</definedName>
    <definedName function="false" hidden="true" name="IQ_PENSION_EXP_RATE_RETURN_MAX" vbProcedure="false">"c3248"</definedName>
    <definedName function="false" hidden="true" name="IQ_PENSION_EXP_RATE_RETURN_MAX_DOM" vbProcedure="false">"c3246"</definedName>
    <definedName function="false" hidden="true" name="IQ_PENSION_EXP_RATE_RETURN_MAX_FOREIGN" vbProcedure="false">"c3247"</definedName>
    <definedName function="false" hidden="true" name="IQ_PENSION_EXP_RATE_RETURN_MIN" vbProcedure="false">"c3245"</definedName>
    <definedName function="false" hidden="true" name="IQ_PENSION_EXP_RATE_RETURN_MIN_DOM" vbProcedure="false">"c3243"</definedName>
    <definedName function="false" hidden="true" name="IQ_PENSION_EXP_RATE_RETURN_MIN_FOREIGN" vbProcedure="false">"c3244"</definedName>
    <definedName function="false" hidden="true" name="IQ_PENSION_EXP_RETURN_DOMESTIC" vbProcedure="false">"c3571"</definedName>
    <definedName function="false" hidden="true" name="IQ_PENSION_EXP_RETURN_FOREIGN" vbProcedure="false">"c3572"</definedName>
    <definedName function="false" hidden="true" name="IQ_PENSION_INTAN_ASSETS" vbProcedure="false">"c3137"</definedName>
    <definedName function="false" hidden="true" name="IQ_PENSION_INTAN_ASSETS_DOM" vbProcedure="false">"c3135"</definedName>
    <definedName function="false" hidden="true" name="IQ_PENSION_INTAN_ASSETS_FOREIGN" vbProcedure="false">"c3136"</definedName>
    <definedName function="false" hidden="true" name="IQ_PENSION_INTEREST_COST" vbProcedure="false">"c3582"</definedName>
    <definedName function="false" hidden="true" name="IQ_PENSION_INTEREST_COST_DOM" vbProcedure="false">"c3580"</definedName>
    <definedName function="false" hidden="true" name="IQ_PENSION_INTEREST_COST_FOREIGN" vbProcedure="false">"c3581"</definedName>
    <definedName function="false" hidden="true" name="IQ_PENSION_LT_ASSETS" vbProcedure="false">"c5750"</definedName>
    <definedName function="false" hidden="true" name="IQ_PENSION_LT_ASSETS_DOM" vbProcedure="false">"c5748"</definedName>
    <definedName function="false" hidden="true" name="IQ_PENSION_LT_ASSETS_FOREIGN" vbProcedure="false">"c5749"</definedName>
    <definedName function="false" hidden="true" name="IQ_PENSION_LT_LIAB" vbProcedure="false">"c5756"</definedName>
    <definedName function="false" hidden="true" name="IQ_PENSION_LT_LIAB_DOM" vbProcedure="false">"c5754"</definedName>
    <definedName function="false" hidden="true" name="IQ_PENSION_LT_LIAB_FOREIGN" vbProcedure="false">"c5755"</definedName>
    <definedName function="false" hidden="true" name="IQ_PENSION_NET_ASSET_RECOG" vbProcedure="false">"c3152"</definedName>
    <definedName function="false" hidden="true" name="IQ_PENSION_NET_ASSET_RECOG_DOM" vbProcedure="false">"c3150"</definedName>
    <definedName function="false" hidden="true" name="IQ_PENSION_NET_ASSET_RECOG_FOREIGN" vbProcedure="false">"c3151"</definedName>
    <definedName function="false" hidden="true" name="IQ_PENSION_OBLIGATION_ACQ" vbProcedure="false">"c3206"</definedName>
    <definedName function="false" hidden="true" name="IQ_PENSION_OBLIGATION_ACQ_DOM" vbProcedure="false">"c3204"</definedName>
    <definedName function="false" hidden="true" name="IQ_PENSION_OBLIGATION_ACQ_FOREIGN" vbProcedure="false">"c3205"</definedName>
    <definedName function="false" hidden="true" name="IQ_PENSION_OBLIGATION_ACTUARIAL_GAIN_LOSS" vbProcedure="false">"c3197"</definedName>
    <definedName function="false" hidden="true" name="IQ_PENSION_OBLIGATION_ACTUARIAL_GAIN_LOSS_DOM" vbProcedure="false">"c3195"</definedName>
    <definedName function="false" hidden="true" name="IQ_PENSION_OBLIGATION_ACTUARIAL_GAIN_LOSS_FOREIGN" vbProcedure="false">"c3196"</definedName>
    <definedName function="false" hidden="true" name="IQ_PENSION_OBLIGATION_BEG" vbProcedure="false">"c3185"</definedName>
    <definedName function="false" hidden="true" name="IQ_PENSION_OBLIGATION_BEG_DOM" vbProcedure="false">"c3183"</definedName>
    <definedName function="false" hidden="true" name="IQ_PENSION_OBLIGATION_BEG_FOREIGN" vbProcedure="false">"c3184"</definedName>
    <definedName function="false" hidden="true" name="IQ_PENSION_OBLIGATION_CURTAIL" vbProcedure="false">"c3209"</definedName>
    <definedName function="false" hidden="true" name="IQ_PENSION_OBLIGATION_CURTAIL_DOM" vbProcedure="false">"c3207"</definedName>
    <definedName function="false" hidden="true" name="IQ_PENSION_OBLIGATION_CURTAIL_FOREIGN" vbProcedure="false">"c3208"</definedName>
    <definedName function="false" hidden="true" name="IQ_PENSION_OBLIGATION_EMPLOYEE_CONTRIBUTIONS" vbProcedure="false">"c3194"</definedName>
    <definedName function="false" hidden="true" name="IQ_PENSION_OBLIGATION_EMPLOYEE_CONTRIBUTIONS_DOM" vbProcedure="false">"c3192"</definedName>
    <definedName function="false" hidden="true" name="IQ_PENSION_OBLIGATION_EMPLOYEE_CONTRIBUTIONS_FOREIGN" vbProcedure="false">"c3193"</definedName>
    <definedName function="false" hidden="true" name="IQ_PENSION_OBLIGATION_FX_ADJ" vbProcedure="false">"c3203"</definedName>
    <definedName function="false" hidden="true" name="IQ_PENSION_OBLIGATION_FX_ADJ_DOM" vbProcedure="false">"c3201"</definedName>
    <definedName function="false" hidden="true" name="IQ_PENSION_OBLIGATION_FX_ADJ_FOREIGN" vbProcedure="false">"c3202"</definedName>
    <definedName function="false" hidden="true" name="IQ_PENSION_OBLIGATION_INTEREST_COST" vbProcedure="false">"c3191"</definedName>
    <definedName function="false" hidden="true" name="IQ_PENSION_OBLIGATION_INTEREST_COST_DOM" vbProcedure="false">"c3189"</definedName>
    <definedName function="false" hidden="true" name="IQ_PENSION_OBLIGATION_INTEREST_COST_FOREIGN" vbProcedure="false">"c3190"</definedName>
    <definedName function="false" hidden="true" name="IQ_PENSION_OBLIGATION_OTHER_COST" vbProcedure="false">"c3555"</definedName>
    <definedName function="false" hidden="true" name="IQ_PENSION_OBLIGATION_OTHER_COST_DOM" vbProcedure="false">"c3553"</definedName>
    <definedName function="false" hidden="true" name="IQ_PENSION_OBLIGATION_OTHER_COST_FOREIGN" vbProcedure="false">"c3554"</definedName>
    <definedName function="false" hidden="true" name="IQ_PENSION_OBLIGATION_OTHER_PLAN_ADJ" vbProcedure="false">"c3212"</definedName>
    <definedName function="false" hidden="true" name="IQ_PENSION_OBLIGATION_OTHER_PLAN_ADJ_DOM" vbProcedure="false">"c3210"</definedName>
    <definedName function="false" hidden="true" name="IQ_PENSION_OBLIGATION_OTHER_PLAN_ADJ_FOREIGN" vbProcedure="false">"c3211"</definedName>
    <definedName function="false" hidden="true" name="IQ_PENSION_OBLIGATION_PAID" vbProcedure="false">"c3200"</definedName>
    <definedName function="false" hidden="true" name="IQ_PENSION_OBLIGATION_PAID_DOM" vbProcedure="false">"c3198"</definedName>
    <definedName function="false" hidden="true" name="IQ_PENSION_OBLIGATION_PAID_FOREIGN" vbProcedure="false">"c3199"</definedName>
    <definedName function="false" hidden="true" name="IQ_PENSION_OBLIGATION_PROJECTED" vbProcedure="false">"c3215"</definedName>
    <definedName function="false" hidden="true" name="IQ_PENSION_OBLIGATION_PROJECTED_DOM" vbProcedure="false">"c3213"</definedName>
    <definedName function="false" hidden="true" name="IQ_PENSION_OBLIGATION_PROJECTED_FOREIGN" vbProcedure="false">"c3214"</definedName>
    <definedName function="false" hidden="true" name="IQ_PENSION_OBLIGATION_ROA" vbProcedure="false">"c3552"</definedName>
    <definedName function="false" hidden="true" name="IQ_PENSION_OBLIGATION_ROA_DOM" vbProcedure="false">"c3550"</definedName>
    <definedName function="false" hidden="true" name="IQ_PENSION_OBLIGATION_ROA_FOREIGN" vbProcedure="false">"c3551"</definedName>
    <definedName function="false" hidden="true" name="IQ_PENSION_OBLIGATION_SERVICE_COST" vbProcedure="false">"c3188"</definedName>
    <definedName function="false" hidden="true" name="IQ_PENSION_OBLIGATION_SERVICE_COST_DOM" vbProcedure="false">"c3186"</definedName>
    <definedName function="false" hidden="true" name="IQ_PENSION_OBLIGATION_SERVICE_COST_FOREIGN" vbProcedure="false">"c3187"</definedName>
    <definedName function="false" hidden="true" name="IQ_PENSION_OBLIGATION_TOTAL_COST" vbProcedure="false">"c3558"</definedName>
    <definedName function="false" hidden="true" name="IQ_PENSION_OBLIGATION_TOTAL_COST_DOM" vbProcedure="false">"c3556"</definedName>
    <definedName function="false" hidden="true" name="IQ_PENSION_OBLIGATION_TOTAL_COST_FOREIGN" vbProcedure="false">"c3557"</definedName>
    <definedName function="false" hidden="true" name="IQ_PENSION_OTHER" vbProcedure="false">"c3143"</definedName>
    <definedName function="false" hidden="true" name="IQ_PENSION_OTHER_ADJ" vbProcedure="false">"c3149"</definedName>
    <definedName function="false" hidden="true" name="IQ_PENSION_OTHER_ADJ_DOM" vbProcedure="false">"c3147"</definedName>
    <definedName function="false" hidden="true" name="IQ_PENSION_OTHER_ADJ_FOREIGN" vbProcedure="false">"c3148"</definedName>
    <definedName function="false" hidden="true" name="IQ_PENSION_OTHER_DOM" vbProcedure="false">"c3141"</definedName>
    <definedName function="false" hidden="true" name="IQ_PENSION_OTHER_FOREIGN" vbProcedure="false">"c3142"</definedName>
    <definedName function="false" hidden="true" name="IQ_PENSION_PBO_ASSUMED_RATE_RET_MAX" vbProcedure="false">"c3254"</definedName>
    <definedName function="false" hidden="true" name="IQ_PENSION_PBO_ASSUMED_RATE_RET_MAX_DOM" vbProcedure="false">"c3252"</definedName>
    <definedName function="false" hidden="true" name="IQ_PENSION_PBO_ASSUMED_RATE_RET_MAX_FOREIGN" vbProcedure="false">"c3253"</definedName>
    <definedName function="false" hidden="true" name="IQ_PENSION_PBO_ASSUMED_RATE_RET_MIN" vbProcedure="false">"c3251"</definedName>
    <definedName function="false" hidden="true" name="IQ_PENSION_PBO_ASSUMED_RATE_RET_MIN_DOM" vbProcedure="false">"c3249"</definedName>
    <definedName function="false" hidden="true" name="IQ_PENSION_PBO_ASSUMED_RATE_RET_MIN_FOREIGN" vbProcedure="false">"c3250"</definedName>
    <definedName function="false" hidden="true" name="IQ_PENSION_PBO_RATE_COMP_INCREASE_MAX" vbProcedure="false">"c3260"</definedName>
    <definedName function="false" hidden="true" name="IQ_PENSION_PBO_RATE_COMP_INCREASE_MAX_DOM" vbProcedure="false">"c3258"</definedName>
    <definedName function="false" hidden="true" name="IQ_PENSION_PBO_RATE_COMP_INCREASE_MAX_FOREIGN" vbProcedure="false">"c3259"</definedName>
    <definedName function="false" hidden="true" name="IQ_PENSION_PBO_RATE_COMP_INCREASE_MIN" vbProcedure="false">"c3257"</definedName>
    <definedName function="false" hidden="true" name="IQ_PENSION_PBO_RATE_COMP_INCREASE_MIN_DOM" vbProcedure="false">"c3255"</definedName>
    <definedName function="false" hidden="true" name="IQ_PENSION_PBO_RATE_COMP_INCREASE_MIN_FOREIGN" vbProcedure="false">"c3256"</definedName>
    <definedName function="false" hidden="true" name="IQ_PENSION_PREPAID_COST" vbProcedure="false">"c3131"</definedName>
    <definedName function="false" hidden="true" name="IQ_PENSION_PREPAID_COST_DOM" vbProcedure="false">"c3129"</definedName>
    <definedName function="false" hidden="true" name="IQ_PENSION_PREPAID_COST_FOREIGN" vbProcedure="false">"c3130"</definedName>
    <definedName function="false" hidden="true" name="IQ_PENSION_PRIOR_SERVICE_NEXT" vbProcedure="false">"c5741"</definedName>
    <definedName function="false" hidden="true" name="IQ_PENSION_PRIOR_SERVICE_NEXT_DOM" vbProcedure="false">"c5739"</definedName>
    <definedName function="false" hidden="true" name="IQ_PENSION_PRIOR_SERVICE_NEXT_FOREIGN" vbProcedure="false">"c5740"</definedName>
    <definedName function="false" hidden="true" name="IQ_PENSION_PROJECTED_OBLIGATION" vbProcedure="false">"c3566"</definedName>
    <definedName function="false" hidden="true" name="IQ_PENSION_PROJECTED_OBLIGATION_DOMESTIC" vbProcedure="false">"c3564"</definedName>
    <definedName function="false" hidden="true" name="IQ_PENSION_PROJECTED_OBLIGATION_FOREIGN" vbProcedure="false">"c3565"</definedName>
    <definedName function="false" hidden="true" name="IQ_PENSION_QUART_ADDL_CONTRIBUTIONS_EXP" vbProcedure="false">"c3224"</definedName>
    <definedName function="false" hidden="true" name="IQ_PENSION_QUART_ADDL_CONTRIBUTIONS_EXP_DOM" vbProcedure="false">"c3222"</definedName>
    <definedName function="false" hidden="true" name="IQ_PENSION_QUART_ADDL_CONTRIBUTIONS_EXP_FOREIGN" vbProcedure="false">"c3223"</definedName>
    <definedName function="false" hidden="true" name="IQ_PENSION_QUART_EMPLOYER_CONTRIBUTIONS" vbProcedure="false">"c3221"</definedName>
    <definedName function="false" hidden="true" name="IQ_PENSION_QUART_EMPLOYER_CONTRIBUTIONS_DOM" vbProcedure="false">"c3219"</definedName>
    <definedName function="false" hidden="true" name="IQ_PENSION_QUART_EMPLOYER_CONTRIBUTIONS_FOREIGN" vbProcedure="false">"c3220"</definedName>
    <definedName function="false" hidden="true" name="IQ_PENSION_RATE_COMP_GROWTH_DOMESTIC" vbProcedure="false">"c3575"</definedName>
    <definedName function="false" hidden="true" name="IQ_PENSION_RATE_COMP_GROWTH_FOREIGN" vbProcedure="false">"c3576"</definedName>
    <definedName function="false" hidden="true" name="IQ_PENSION_RATE_COMP_INCREASE_MAX" vbProcedure="false">"c3242"</definedName>
    <definedName function="false" hidden="true" name="IQ_PENSION_RATE_COMP_INCREASE_MAX_DOM" vbProcedure="false">"c3240"</definedName>
    <definedName function="false" hidden="true" name="IQ_PENSION_RATE_COMP_INCREASE_MAX_FOREIGN" vbProcedure="false">"c3241"</definedName>
    <definedName function="false" hidden="true" name="IQ_PENSION_RATE_COMP_INCREASE_MIN" vbProcedure="false">"c3239"</definedName>
    <definedName function="false" hidden="true" name="IQ_PENSION_RATE_COMP_INCREASE_MIN_DOM" vbProcedure="false">"c3237"</definedName>
    <definedName function="false" hidden="true" name="IQ_PENSION_RATE_COMP_INCREASE_MIN_FOREIGN" vbProcedure="false">"c3238"</definedName>
    <definedName function="false" hidden="true" name="IQ_PENSION_SERVICE_COST" vbProcedure="false">"c3579"</definedName>
    <definedName function="false" hidden="true" name="IQ_PENSION_SERVICE_COST_DOM" vbProcedure="false">"c3577"</definedName>
    <definedName function="false" hidden="true" name="IQ_PENSION_SERVICE_COST_FOREIGN" vbProcedure="false">"c3578"</definedName>
    <definedName function="false" hidden="true" name="IQ_PENSION_TOTAL_ASSETS" vbProcedure="false">"c3563"</definedName>
    <definedName function="false" hidden="true" name="IQ_PENSION_TOTAL_ASSETS_DOMESTIC" vbProcedure="false">"c3561"</definedName>
    <definedName function="false" hidden="true" name="IQ_PENSION_TOTAL_ASSETS_FOREIGN" vbProcedure="false">"c3562"</definedName>
    <definedName function="false" hidden="true" name="IQ_PENSION_TOTAL_EXP" vbProcedure="false">"c3560"</definedName>
    <definedName function="false" hidden="true" name="IQ_PENSION_TRANSITION_NEXT" vbProcedure="false">"c5744"</definedName>
    <definedName function="false" hidden="true" name="IQ_PENSION_TRANSITION_NEXT_DOM" vbProcedure="false">"c5742"</definedName>
    <definedName function="false" hidden="true" name="IQ_PENSION_TRANSITION_NEXT_FOREIGN" vbProcedure="false">"c5743"</definedName>
    <definedName function="false" hidden="true" name="IQ_PENSION_UNFUNDED_ADDL_MIN_LIAB" vbProcedure="false">"c3227"</definedName>
    <definedName function="false" hidden="true" name="IQ_PENSION_UNFUNDED_ADDL_MIN_LIAB_DOM" vbProcedure="false">"c3225"</definedName>
    <definedName function="false" hidden="true" name="IQ_PENSION_UNFUNDED_ADDL_MIN_LIAB_FOREIGN" vbProcedure="false">"c3226"</definedName>
    <definedName function="false" hidden="true" name="IQ_PENSION_UNRECOG_PRIOR" vbProcedure="false">"c3146"</definedName>
    <definedName function="false" hidden="true" name="IQ_PENSION_UNRECOG_PRIOR_DOM" vbProcedure="false">"c3144"</definedName>
    <definedName function="false" hidden="true" name="IQ_PENSION_UNRECOG_PRIOR_FOREIGN" vbProcedure="false">"c3145"</definedName>
    <definedName function="false" hidden="true" name="IQ_PENSION_UV_LIAB" vbProcedure="false">"c3567"</definedName>
    <definedName function="false" hidden="true" name="IQ_PERCENTAGE_RENT" vbProcedure="false">"c16018"</definedName>
    <definedName function="false" hidden="true" name="IQ_PERCENTAGE_RENT_RENTAL_REVENUE" vbProcedure="false">"c16063"</definedName>
    <definedName function="false" hidden="true" name="IQ_PERCENT_CHANGE_EST_5YR_GROWTH_RATE_12MONTHS" vbProcedure="false">"c1852"</definedName>
    <definedName function="false" hidden="true" name="IQ_PERCENT_CHANGE_EST_5YR_GROWTH_RATE_12MONTHS_CIQ" vbProcedure="false">"c3790"</definedName>
    <definedName function="false" hidden="true" name="IQ_PERCENT_CHANGE_EST_5YR_GROWTH_RATE_12MONTHS_REUT" vbProcedure="false">"c3959"</definedName>
    <definedName function="false" hidden="true" name="IQ_PERCENT_CHANGE_EST_5YR_GROWTH_RATE_12MONTHS_THOM" vbProcedure="false">"c5269"</definedName>
    <definedName function="false" hidden="true" name="IQ_PERCENT_CHANGE_EST_5YR_GROWTH_RATE_18MONTHS" vbProcedure="false">"c1853"</definedName>
    <definedName function="false" hidden="true" name="IQ_PERCENT_CHANGE_EST_5YR_GROWTH_RATE_18MONTHS_CIQ" vbProcedure="false">"c3791"</definedName>
    <definedName function="false" hidden="true" name="IQ_PERCENT_CHANGE_EST_5YR_GROWTH_RATE_18MONTHS_REUT" vbProcedure="false">"c3960"</definedName>
    <definedName function="false" hidden="true" name="IQ_PERCENT_CHANGE_EST_5YR_GROWTH_RATE_18MONTHS_THOM" vbProcedure="false">"c5270"</definedName>
    <definedName function="false" hidden="true" name="IQ_PERCENT_CHANGE_EST_5YR_GROWTH_RATE_3MONTHS" vbProcedure="false">"c1849"</definedName>
    <definedName function="false" hidden="true" name="IQ_PERCENT_CHANGE_EST_5YR_GROWTH_RATE_3MONTHS_CIQ" vbProcedure="false">"c3787"</definedName>
    <definedName function="false" hidden="true" name="IQ_PERCENT_CHANGE_EST_5YR_GROWTH_RATE_3MONTHS_REUT" vbProcedure="false">"c3956"</definedName>
    <definedName function="false" hidden="true" name="IQ_PERCENT_CHANGE_EST_5YR_GROWTH_RATE_3MONTHS_THOM" vbProcedure="false">"c5266"</definedName>
    <definedName function="false" hidden="true" name="IQ_PERCENT_CHANGE_EST_5YR_GROWTH_RATE_6MONTHS" vbProcedure="false">"c1850"</definedName>
    <definedName function="false" hidden="true" name="IQ_PERCENT_CHANGE_EST_5YR_GROWTH_RATE_6MONTHS_CIQ" vbProcedure="false">"c3788"</definedName>
    <definedName function="false" hidden="true" name="IQ_PERCENT_CHANGE_EST_5YR_GROWTH_RATE_6MONTHS_REUT" vbProcedure="false">"c3957"</definedName>
    <definedName function="false" hidden="true" name="IQ_PERCENT_CHANGE_EST_5YR_GROWTH_RATE_6MONTHS_THOM" vbProcedure="false">"c5267"</definedName>
    <definedName function="false" hidden="true" name="IQ_PERCENT_CHANGE_EST_5YR_GROWTH_RATE_9MONTHS" vbProcedure="false">"c1851"</definedName>
    <definedName function="false" hidden="true" name="IQ_PERCENT_CHANGE_EST_5YR_GROWTH_RATE_9MONTHS_CIQ" vbProcedure="false">"c3789"</definedName>
    <definedName function="false" hidden="true" name="IQ_PERCENT_CHANGE_EST_5YR_GROWTH_RATE_9MONTHS_REUT" vbProcedure="false">"c3958"</definedName>
    <definedName function="false" hidden="true" name="IQ_PERCENT_CHANGE_EST_5YR_GROWTH_RATE_9MONTHS_THOM" vbProcedure="false">"c5268"</definedName>
    <definedName function="false" hidden="true" name="IQ_PERCENT_CHANGE_EST_5YR_GROWTH_RATE_DAY" vbProcedure="false">"c1846"</definedName>
    <definedName function="false" hidden="true" name="IQ_PERCENT_CHANGE_EST_5YR_GROWTH_RATE_DAY_CIQ" vbProcedure="false">"c3785"</definedName>
    <definedName function="false" hidden="true" name="IQ_PERCENT_CHANGE_EST_5YR_GROWTH_RATE_DAY_REUT" vbProcedure="false">"c3954"</definedName>
    <definedName function="false" hidden="true" name="IQ_PERCENT_CHANGE_EST_5YR_GROWTH_RATE_DAY_THOM" vbProcedure="false">"c5264"</definedName>
    <definedName function="false" hidden="true" name="IQ_PERCENT_CHANGE_EST_5YR_GROWTH_RATE_MONTH" vbProcedure="false">"c1848"</definedName>
    <definedName function="false" hidden="true" name="IQ_PERCENT_CHANGE_EST_5YR_GROWTH_RATE_MONTH_CIQ" vbProcedure="false">"c3786"</definedName>
    <definedName function="false" hidden="true" name="IQ_PERCENT_CHANGE_EST_5YR_GROWTH_RATE_MONTH_REUT" vbProcedure="false">"c3955"</definedName>
    <definedName function="false" hidden="true" name="IQ_PERCENT_CHANGE_EST_5YR_GROWTH_RATE_MONTH_THOM" vbProcedure="false">"c5265"</definedName>
    <definedName function="false" hidden="true" name="IQ_PERCENT_CHANGE_EST_5YR_GROWTH_RATE_WEEK" vbProcedure="false">"c1847"</definedName>
    <definedName function="false" hidden="true" name="IQ_PERCENT_CHANGE_EST_5YR_GROWTH_RATE_WEEK_CIQ" vbProcedure="false">"c3797"</definedName>
    <definedName function="false" hidden="true" name="IQ_PERCENT_CHANGE_EST_5YR_GROWTH_RATE_WEEK_REUT" vbProcedure="false">"c5435"</definedName>
    <definedName function="false" hidden="true" name="IQ_PERCENT_CHANGE_EST_5YR_GROWTH_RATE_WEEK_THOM" vbProcedure="false">"c5277"</definedName>
    <definedName function="false" hidden="true" name="IQ_PERCENT_CHANGE_EST_CFPS_12MONTHS" vbProcedure="false">"c1812"</definedName>
    <definedName function="false" hidden="true" name="IQ_PERCENT_CHANGE_EST_CFPS_12MONTHS_REUT" vbProcedure="false">"c3924"</definedName>
    <definedName function="false" hidden="true" name="IQ_PERCENT_CHANGE_EST_CFPS_12MONTHS_THOM" vbProcedure="false">"c5234"</definedName>
    <definedName function="false" hidden="true" name="IQ_PERCENT_CHANGE_EST_CFPS_18MONTHS" vbProcedure="false">"c1813"</definedName>
    <definedName function="false" hidden="true" name="IQ_PERCENT_CHANGE_EST_CFPS_18MONTHS_REUT" vbProcedure="false">"c3925"</definedName>
    <definedName function="false" hidden="true" name="IQ_PERCENT_CHANGE_EST_CFPS_18MONTHS_THOM" vbProcedure="false">"c5235"</definedName>
    <definedName function="false" hidden="true" name="IQ_PERCENT_CHANGE_EST_CFPS_3MONTHS" vbProcedure="false">"c1809"</definedName>
    <definedName function="false" hidden="true" name="IQ_PERCENT_CHANGE_EST_CFPS_3MONTHS_REUT" vbProcedure="false">"c3921"</definedName>
    <definedName function="false" hidden="true" name="IQ_PERCENT_CHANGE_EST_CFPS_3MONTHS_THOM" vbProcedure="false">"c5231"</definedName>
    <definedName function="false" hidden="true" name="IQ_PERCENT_CHANGE_EST_CFPS_6MONTHS" vbProcedure="false">"c1810"</definedName>
    <definedName function="false" hidden="true" name="IQ_PERCENT_CHANGE_EST_CFPS_6MONTHS_REUT" vbProcedure="false">"c3922"</definedName>
    <definedName function="false" hidden="true" name="IQ_PERCENT_CHANGE_EST_CFPS_6MONTHS_THOM" vbProcedure="false">"c5232"</definedName>
    <definedName function="false" hidden="true" name="IQ_PERCENT_CHANGE_EST_CFPS_9MONTHS" vbProcedure="false">"c1811"</definedName>
    <definedName function="false" hidden="true" name="IQ_PERCENT_CHANGE_EST_CFPS_9MONTHS_REUT" vbProcedure="false">"c3923"</definedName>
    <definedName function="false" hidden="true" name="IQ_PERCENT_CHANGE_EST_CFPS_9MONTHS_THOM" vbProcedure="false">"c5233"</definedName>
    <definedName function="false" hidden="true" name="IQ_PERCENT_CHANGE_EST_CFPS_DAY" vbProcedure="false">"c1806"</definedName>
    <definedName function="false" hidden="true" name="IQ_PERCENT_CHANGE_EST_CFPS_DAY_REUT" vbProcedure="false">"c3919"</definedName>
    <definedName function="false" hidden="true" name="IQ_PERCENT_CHANGE_EST_CFPS_DAY_THOM" vbProcedure="false">"c5229"</definedName>
    <definedName function="false" hidden="true" name="IQ_PERCENT_CHANGE_EST_CFPS_MONTH" vbProcedure="false">"c1808"</definedName>
    <definedName function="false" hidden="true" name="IQ_PERCENT_CHANGE_EST_CFPS_MONTH_REUT" vbProcedure="false">"c3920"</definedName>
    <definedName function="false" hidden="true" name="IQ_PERCENT_CHANGE_EST_CFPS_MONTH_THOM" vbProcedure="false">"c5230"</definedName>
    <definedName function="false" hidden="true" name="IQ_PERCENT_CHANGE_EST_CFPS_WEEK" vbProcedure="false">"c1807"</definedName>
    <definedName function="false" hidden="true" name="IQ_PERCENT_CHANGE_EST_CFPS_WEEK_REUT" vbProcedure="false">"c3962"</definedName>
    <definedName function="false" hidden="true" name="IQ_PERCENT_CHANGE_EST_CFPS_WEEK_THOM" vbProcedure="false">"c5272"</definedName>
    <definedName function="false" hidden="true" name="IQ_PERCENT_CHANGE_EST_DPS_12MONTHS" vbProcedure="false">"c1820"</definedName>
    <definedName function="false" hidden="true" name="IQ_PERCENT_CHANGE_EST_DPS_12MONTHS_REUT" vbProcedure="false">"c3931"</definedName>
    <definedName function="false" hidden="true" name="IQ_PERCENT_CHANGE_EST_DPS_12MONTHS_THOM" vbProcedure="false">"c5241"</definedName>
    <definedName function="false" hidden="true" name="IQ_PERCENT_CHANGE_EST_DPS_18MONTHS" vbProcedure="false">"c1821"</definedName>
    <definedName function="false" hidden="true" name="IQ_PERCENT_CHANGE_EST_DPS_18MONTHS_REUT" vbProcedure="false">"c3932"</definedName>
    <definedName function="false" hidden="true" name="IQ_PERCENT_CHANGE_EST_DPS_18MONTHS_THOM" vbProcedure="false">"c5242"</definedName>
    <definedName function="false" hidden="true" name="IQ_PERCENT_CHANGE_EST_DPS_3MONTHS" vbProcedure="false">"c1817"</definedName>
    <definedName function="false" hidden="true" name="IQ_PERCENT_CHANGE_EST_DPS_3MONTHS_REUT" vbProcedure="false">"c3928"</definedName>
    <definedName function="false" hidden="true" name="IQ_PERCENT_CHANGE_EST_DPS_3MONTHS_THOM" vbProcedure="false">"c5238"</definedName>
    <definedName function="false" hidden="true" name="IQ_PERCENT_CHANGE_EST_DPS_6MONTHS" vbProcedure="false">"c1818"</definedName>
    <definedName function="false" hidden="true" name="IQ_PERCENT_CHANGE_EST_DPS_6MONTHS_REUT" vbProcedure="false">"c3929"</definedName>
    <definedName function="false" hidden="true" name="IQ_PERCENT_CHANGE_EST_DPS_6MONTHS_THOM" vbProcedure="false">"c5239"</definedName>
    <definedName function="false" hidden="true" name="IQ_PERCENT_CHANGE_EST_DPS_9MONTHS" vbProcedure="false">"c1819"</definedName>
    <definedName function="false" hidden="true" name="IQ_PERCENT_CHANGE_EST_DPS_9MONTHS_REUT" vbProcedure="false">"c3930"</definedName>
    <definedName function="false" hidden="true" name="IQ_PERCENT_CHANGE_EST_DPS_9MONTHS_THOM" vbProcedure="false">"c5240"</definedName>
    <definedName function="false" hidden="true" name="IQ_PERCENT_CHANGE_EST_DPS_DAY" vbProcedure="false">"c1814"</definedName>
    <definedName function="false" hidden="true" name="IQ_PERCENT_CHANGE_EST_DPS_DAY_REUT" vbProcedure="false">"c3926"</definedName>
    <definedName function="false" hidden="true" name="IQ_PERCENT_CHANGE_EST_DPS_DAY_THOM" vbProcedure="false">"c5236"</definedName>
    <definedName function="false" hidden="true" name="IQ_PERCENT_CHANGE_EST_DPS_MONTH" vbProcedure="false">"c1816"</definedName>
    <definedName function="false" hidden="true" name="IQ_PERCENT_CHANGE_EST_DPS_MONTH_REUT" vbProcedure="false">"c3927"</definedName>
    <definedName function="false" hidden="true" name="IQ_PERCENT_CHANGE_EST_DPS_MONTH_THOM" vbProcedure="false">"c5237"</definedName>
    <definedName function="false" hidden="true" name="IQ_PERCENT_CHANGE_EST_DPS_WEEK" vbProcedure="false">"c1815"</definedName>
    <definedName function="false" hidden="true" name="IQ_PERCENT_CHANGE_EST_DPS_WEEK_REUT" vbProcedure="false">"c3963"</definedName>
    <definedName function="false" hidden="true" name="IQ_PERCENT_CHANGE_EST_DPS_WEEK_THOM" vbProcedure="false">"c5273"</definedName>
    <definedName function="false" hidden="true" name="IQ_PERCENT_CHANGE_EST_EBITDA_12MONTHS" vbProcedure="false">"c1804"</definedName>
    <definedName function="false" hidden="true" name="IQ_PERCENT_CHANGE_EST_EBITDA_12MONTHS_CIQ" vbProcedure="false">"c3748"</definedName>
    <definedName function="false" hidden="true" name="IQ_PERCENT_CHANGE_EST_EBITDA_12MONTHS_REUT" vbProcedure="false">"c3917"</definedName>
    <definedName function="false" hidden="true" name="IQ_PERCENT_CHANGE_EST_EBITDA_12MONTHS_THOM" vbProcedure="false">"c5227"</definedName>
    <definedName function="false" hidden="true" name="IQ_PERCENT_CHANGE_EST_EBITDA_18MONTHS" vbProcedure="false">"c1805"</definedName>
    <definedName function="false" hidden="true" name="IQ_PERCENT_CHANGE_EST_EBITDA_18MONTHS_CIQ" vbProcedure="false">"c3749"</definedName>
    <definedName function="false" hidden="true" name="IQ_PERCENT_CHANGE_EST_EBITDA_18MONTHS_REUT" vbProcedure="false">"c3918"</definedName>
    <definedName function="false" hidden="true" name="IQ_PERCENT_CHANGE_EST_EBITDA_18MONTHS_THOM" vbProcedure="false">"c5228"</definedName>
    <definedName function="false" hidden="true" name="IQ_PERCENT_CHANGE_EST_EBITDA_3MONTHS" vbProcedure="false">"c1801"</definedName>
    <definedName function="false" hidden="true" name="IQ_PERCENT_CHANGE_EST_EBITDA_3MONTHS_CIQ" vbProcedure="false">"c3745"</definedName>
    <definedName function="false" hidden="true" name="IQ_PERCENT_CHANGE_EST_EBITDA_3MONTHS_REUT" vbProcedure="false">"c3914"</definedName>
    <definedName function="false" hidden="true" name="IQ_PERCENT_CHANGE_EST_EBITDA_3MONTHS_THOM" vbProcedure="false">"c5224"</definedName>
    <definedName function="false" hidden="true" name="IQ_PERCENT_CHANGE_EST_EBITDA_6MONTHS" vbProcedure="false">"c1802"</definedName>
    <definedName function="false" hidden="true" name="IQ_PERCENT_CHANGE_EST_EBITDA_6MONTHS_CIQ" vbProcedure="false">"c3746"</definedName>
    <definedName function="false" hidden="true" name="IQ_PERCENT_CHANGE_EST_EBITDA_6MONTHS_REUT" vbProcedure="false">"c3915"</definedName>
    <definedName function="false" hidden="true" name="IQ_PERCENT_CHANGE_EST_EBITDA_6MONTHS_THOM" vbProcedure="false">"c5225"</definedName>
    <definedName function="false" hidden="true" name="IQ_PERCENT_CHANGE_EST_EBITDA_9MONTHS" vbProcedure="false">"c1803"</definedName>
    <definedName function="false" hidden="true" name="IQ_PERCENT_CHANGE_EST_EBITDA_9MONTHS_CIQ" vbProcedure="false">"c3747"</definedName>
    <definedName function="false" hidden="true" name="IQ_PERCENT_CHANGE_EST_EBITDA_9MONTHS_REUT" vbProcedure="false">"c3916"</definedName>
    <definedName function="false" hidden="true" name="IQ_PERCENT_CHANGE_EST_EBITDA_9MONTHS_THOM" vbProcedure="false">"c5226"</definedName>
    <definedName function="false" hidden="true" name="IQ_PERCENT_CHANGE_EST_EBITDA_DAY" vbProcedure="false">"c1798"</definedName>
    <definedName function="false" hidden="true" name="IQ_PERCENT_CHANGE_EST_EBITDA_DAY_CIQ" vbProcedure="false">"c3743"</definedName>
    <definedName function="false" hidden="true" name="IQ_PERCENT_CHANGE_EST_EBITDA_DAY_REUT" vbProcedure="false">"c3912"</definedName>
    <definedName function="false" hidden="true" name="IQ_PERCENT_CHANGE_EST_EBITDA_DAY_THOM" vbProcedure="false">"c5222"</definedName>
    <definedName function="false" hidden="true" name="IQ_PERCENT_CHANGE_EST_EBITDA_MONTH" vbProcedure="false">"c1800"</definedName>
    <definedName function="false" hidden="true" name="IQ_PERCENT_CHANGE_EST_EBITDA_MONTH_CIQ" vbProcedure="false">"c3744"</definedName>
    <definedName function="false" hidden="true" name="IQ_PERCENT_CHANGE_EST_EBITDA_MONTH_REUT" vbProcedure="false">"c3913"</definedName>
    <definedName function="false" hidden="true" name="IQ_PERCENT_CHANGE_EST_EBITDA_MONTH_THOM" vbProcedure="false">"c5223"</definedName>
    <definedName function="false" hidden="true" name="IQ_PERCENT_CHANGE_EST_EBITDA_WEEK" vbProcedure="false">"c1799"</definedName>
    <definedName function="false" hidden="true" name="IQ_PERCENT_CHANGE_EST_EBITDA_WEEK_CIQ" vbProcedure="false">"c3792"</definedName>
    <definedName function="false" hidden="true" name="IQ_PERCENT_CHANGE_EST_EBITDA_WEEK_REUT" vbProcedure="false">"c3961"</definedName>
    <definedName function="false" hidden="true" name="IQ_PERCENT_CHANGE_EST_EBITDA_WEEK_THOM" vbProcedure="false">"c5271"</definedName>
    <definedName function="false" hidden="true" name="IQ_PERCENT_CHANGE_EST_EPS_12MONTHS" vbProcedure="false">"c1788"</definedName>
    <definedName function="false" hidden="true" name="IQ_PERCENT_CHANGE_EST_EPS_12MONTHS_CIQ" vbProcedure="false">"c3733"</definedName>
    <definedName function="false" hidden="true" name="IQ_PERCENT_CHANGE_EST_EPS_12MONTHS_REUT" vbProcedure="false">"c3902"</definedName>
    <definedName function="false" hidden="true" name="IQ_PERCENT_CHANGE_EST_EPS_12MONTHS_THOM" vbProcedure="false">"c5212"</definedName>
    <definedName function="false" hidden="true" name="IQ_PERCENT_CHANGE_EST_EPS_18MONTHS" vbProcedure="false">"c1789"</definedName>
    <definedName function="false" hidden="true" name="IQ_PERCENT_CHANGE_EST_EPS_18MONTHS_CIQ" vbProcedure="false">"c3734"</definedName>
    <definedName function="false" hidden="true" name="IQ_PERCENT_CHANGE_EST_EPS_18MONTHS_REUT" vbProcedure="false">"c3903"</definedName>
    <definedName function="false" hidden="true" name="IQ_PERCENT_CHANGE_EST_EPS_18MONTHS_THOM" vbProcedure="false">"c5213"</definedName>
    <definedName function="false" hidden="true" name="IQ_PERCENT_CHANGE_EST_EPS_3MONTHS" vbProcedure="false">"c1785"</definedName>
    <definedName function="false" hidden="true" name="IQ_PERCENT_CHANGE_EST_EPS_3MONTHS_CIQ" vbProcedure="false">"c3730"</definedName>
    <definedName function="false" hidden="true" name="IQ_PERCENT_CHANGE_EST_EPS_3MONTHS_REUT" vbProcedure="false">"c3899"</definedName>
    <definedName function="false" hidden="true" name="IQ_PERCENT_CHANGE_EST_EPS_3MONTHS_THOM" vbProcedure="false">"c5209"</definedName>
    <definedName function="false" hidden="true" name="IQ_PERCENT_CHANGE_EST_EPS_6MONTHS" vbProcedure="false">"c1786"</definedName>
    <definedName function="false" hidden="true" name="IQ_PERCENT_CHANGE_EST_EPS_6MONTHS_CIQ" vbProcedure="false">"c3731"</definedName>
    <definedName function="false" hidden="true" name="IQ_PERCENT_CHANGE_EST_EPS_6MONTHS_REUT" vbProcedure="false">"c3900"</definedName>
    <definedName function="false" hidden="true" name="IQ_PERCENT_CHANGE_EST_EPS_6MONTHS_THOM" vbProcedure="false">"c5210"</definedName>
    <definedName function="false" hidden="true" name="IQ_PERCENT_CHANGE_EST_EPS_9MONTHS" vbProcedure="false">"c1787"</definedName>
    <definedName function="false" hidden="true" name="IQ_PERCENT_CHANGE_EST_EPS_9MONTHS_CIQ" vbProcedure="false">"c3732"</definedName>
    <definedName function="false" hidden="true" name="IQ_PERCENT_CHANGE_EST_EPS_9MONTHS_REUT" vbProcedure="false">"c3901"</definedName>
    <definedName function="false" hidden="true" name="IQ_PERCENT_CHANGE_EST_EPS_9MONTHS_THOM" vbProcedure="false">"c5211"</definedName>
    <definedName function="false" hidden="true" name="IQ_PERCENT_CHANGE_EST_EPS_DAY" vbProcedure="false">"c1782"</definedName>
    <definedName function="false" hidden="true" name="IQ_PERCENT_CHANGE_EST_EPS_DAY_CIQ" vbProcedure="false">"c3727"</definedName>
    <definedName function="false" hidden="true" name="IQ_PERCENT_CHANGE_EST_EPS_DAY_REUT" vbProcedure="false">"c3896"</definedName>
    <definedName function="false" hidden="true" name="IQ_PERCENT_CHANGE_EST_EPS_DAY_THOM" vbProcedure="false">"c5206"</definedName>
    <definedName function="false" hidden="true" name="IQ_PERCENT_CHANGE_EST_EPS_MONTH" vbProcedure="false">"c1784"</definedName>
    <definedName function="false" hidden="true" name="IQ_PERCENT_CHANGE_EST_EPS_MONTH_CIQ" vbProcedure="false">"c3729"</definedName>
    <definedName function="false" hidden="true" name="IQ_PERCENT_CHANGE_EST_EPS_MONTH_REUT" vbProcedure="false">"c3898"</definedName>
    <definedName function="false" hidden="true" name="IQ_PERCENT_CHANGE_EST_EPS_MONTH_THOM" vbProcedure="false">"c5208"</definedName>
    <definedName function="false" hidden="true" name="IQ_PERCENT_CHANGE_EST_EPS_WEEK" vbProcedure="false">"c1783"</definedName>
    <definedName function="false" hidden="true" name="IQ_PERCENT_CHANGE_EST_EPS_WEEK_CIQ" vbProcedure="false">"c3728"</definedName>
    <definedName function="false" hidden="true" name="IQ_PERCENT_CHANGE_EST_EPS_WEEK_REUT" vbProcedure="false">"c3897"</definedName>
    <definedName function="false" hidden="true" name="IQ_PERCENT_CHANGE_EST_EPS_WEEK_THOM" vbProcedure="false">"c5207"</definedName>
    <definedName function="false" hidden="true" name="IQ_PERCENT_CHANGE_EST_FFO_12MONTHS" vbProcedure="false">"c1828"</definedName>
    <definedName function="false" hidden="true" name="IQ_PERCENT_CHANGE_EST_FFO_12MONTHS_REUT" vbProcedure="false">"c3938"</definedName>
    <definedName function="false" hidden="true" name="IQ_PERCENT_CHANGE_EST_FFO_12MONTHS_THOM" vbProcedure="false">"c5248"</definedName>
    <definedName function="false" hidden="true" name="IQ_PERCENT_CHANGE_EST_FFO_18MONTHS" vbProcedure="false">"c1829"</definedName>
    <definedName function="false" hidden="true" name="IQ_PERCENT_CHANGE_EST_FFO_18MONTHS_REUT" vbProcedure="false">"c3939"</definedName>
    <definedName function="false" hidden="true" name="IQ_PERCENT_CHANGE_EST_FFO_18MONTHS_THOM" vbProcedure="false">"c5249"</definedName>
    <definedName function="false" hidden="true" name="IQ_PERCENT_CHANGE_EST_FFO_3MONTHS" vbProcedure="false">"c1825"</definedName>
    <definedName function="false" hidden="true" name="IQ_PERCENT_CHANGE_EST_FFO_3MONTHS_REUT" vbProcedure="false">"c3935"</definedName>
    <definedName function="false" hidden="true" name="IQ_PERCENT_CHANGE_EST_FFO_3MONTHS_THOM" vbProcedure="false">"c5245"</definedName>
    <definedName function="false" hidden="true" name="IQ_PERCENT_CHANGE_EST_FFO_6MONTHS" vbProcedure="false">"c1826"</definedName>
    <definedName function="false" hidden="true" name="IQ_PERCENT_CHANGE_EST_FFO_6MONTHS_REUT" vbProcedure="false">"c3936"</definedName>
    <definedName function="false" hidden="true" name="IQ_PERCENT_CHANGE_EST_FFO_6MONTHS_THOM" vbProcedure="false">"c5246"</definedName>
    <definedName function="false" hidden="true" name="IQ_PERCENT_CHANGE_EST_FFO_9MONTHS" vbProcedure="false">"c1827"</definedName>
    <definedName function="false" hidden="true" name="IQ_PERCENT_CHANGE_EST_FFO_9MONTHS_REUT" vbProcedure="false">"c3937"</definedName>
    <definedName function="false" hidden="true" name="IQ_PERCENT_CHANGE_EST_FFO_9MONTHS_THOM" vbProcedure="false">"c5247"</definedName>
    <definedName function="false" hidden="true" name="IQ_PERCENT_CHANGE_EST_FFO_DAY" vbProcedure="false">"c1822"</definedName>
    <definedName function="false" hidden="true" name="IQ_PERCENT_CHANGE_EST_FFO_DAY_REUT" vbProcedure="false">"c3933"</definedName>
    <definedName function="false" hidden="true" name="IQ_PERCENT_CHANGE_EST_FFO_DAY_THOM" vbProcedure="false">"c5243"</definedName>
    <definedName function="false" hidden="true" name="IQ_PERCENT_CHANGE_EST_FFO_MONTH" vbProcedure="false">"c1824"</definedName>
    <definedName function="false" hidden="true" name="IQ_PERCENT_CHANGE_EST_FFO_MONTH_REUT" vbProcedure="false">"c3934"</definedName>
    <definedName function="false" hidden="true" name="IQ_PERCENT_CHANGE_EST_FFO_MONTH_THOM" vbProcedure="false">"c5244"</definedName>
    <definedName function="false" hidden="true" name="IQ_PERCENT_CHANGE_EST_FFO_SHARE_12MONTHS" vbProcedure="false">"c1828"</definedName>
    <definedName function="false" hidden="true" name="IQ_PERCENT_CHANGE_EST_FFO_SHARE_12MONTHS_THOM" vbProcedure="false">"c5248"</definedName>
    <definedName function="false" hidden="true" name="IQ_PERCENT_CHANGE_EST_FFO_SHARE_18MONTHS" vbProcedure="false">"c1829"</definedName>
    <definedName function="false" hidden="true" name="IQ_PERCENT_CHANGE_EST_FFO_SHARE_18MONTHS_THOM" vbProcedure="false">"c5249"</definedName>
    <definedName function="false" hidden="true" name="IQ_PERCENT_CHANGE_EST_FFO_SHARE_3MONTHS" vbProcedure="false">"c1825"</definedName>
    <definedName function="false" hidden="true" name="IQ_PERCENT_CHANGE_EST_FFO_SHARE_3MONTHS_THOM" vbProcedure="false">"c5245"</definedName>
    <definedName function="false" hidden="true" name="IQ_PERCENT_CHANGE_EST_FFO_SHARE_6MONTHS" vbProcedure="false">"c1826"</definedName>
    <definedName function="false" hidden="true" name="IQ_PERCENT_CHANGE_EST_FFO_SHARE_6MONTHS_THOM" vbProcedure="false">"c5246"</definedName>
    <definedName function="false" hidden="true" name="IQ_PERCENT_CHANGE_EST_FFO_SHARE_9MONTHS" vbProcedure="false">"c1827"</definedName>
    <definedName function="false" hidden="true" name="IQ_PERCENT_CHANGE_EST_FFO_SHARE_9MONTHS_THOM" vbProcedure="false">"c5247"</definedName>
    <definedName function="false" hidden="true" name="IQ_PERCENT_CHANGE_EST_FFO_SHARE_DAY" vbProcedure="false">"c1822"</definedName>
    <definedName function="false" hidden="true" name="IQ_PERCENT_CHANGE_EST_FFO_SHARE_DAY_THOM" vbProcedure="false">"c5243"</definedName>
    <definedName function="false" hidden="true" name="IQ_PERCENT_CHANGE_EST_FFO_SHARE_MONTH" vbProcedure="false">"c1824"</definedName>
    <definedName function="false" hidden="true" name="IQ_PERCENT_CHANGE_EST_FFO_SHARE_MONTH_THOM" vbProcedure="false">"c5244"</definedName>
    <definedName function="false" hidden="true" name="IQ_PERCENT_CHANGE_EST_FFO_SHARE_SHARE_12MONTHS" vbProcedure="false">"c1828"</definedName>
    <definedName function="false" hidden="true" name="IQ_PERCENT_CHANGE_EST_FFO_SHARE_SHARE_12MONTHS_REUT" vbProcedure="false">"c3938"</definedName>
    <definedName function="false" hidden="true" name="IQ_PERCENT_CHANGE_EST_FFO_SHARE_SHARE_12MONTHS_THOM" vbProcedure="false">"c5248"</definedName>
    <definedName function="false" hidden="true" name="IQ_PERCENT_CHANGE_EST_FFO_SHARE_SHARE_18MONTHS" vbProcedure="false">"c1829"</definedName>
    <definedName function="false" hidden="true" name="IQ_PERCENT_CHANGE_EST_FFO_SHARE_SHARE_18MONTHS_REUT" vbProcedure="false">"c3939"</definedName>
    <definedName function="false" hidden="true" name="IQ_PERCENT_CHANGE_EST_FFO_SHARE_SHARE_18MONTHS_THOM" vbProcedure="false">"c5249"</definedName>
    <definedName function="false" hidden="true" name="IQ_PERCENT_CHANGE_EST_FFO_SHARE_SHARE_3MONTHS" vbProcedure="false">"c1825"</definedName>
    <definedName function="false" hidden="true" name="IQ_PERCENT_CHANGE_EST_FFO_SHARE_SHARE_3MONTHS_REUT" vbProcedure="false">"c3935"</definedName>
    <definedName function="false" hidden="true" name="IQ_PERCENT_CHANGE_EST_FFO_SHARE_SHARE_3MONTHS_THOM" vbProcedure="false">"c5245"</definedName>
    <definedName function="false" hidden="true" name="IQ_PERCENT_CHANGE_EST_FFO_SHARE_SHARE_6MONTHS" vbProcedure="false">"c1826"</definedName>
    <definedName function="false" hidden="true" name="IQ_PERCENT_CHANGE_EST_FFO_SHARE_SHARE_6MONTHS_REUT" vbProcedure="false">"c3936"</definedName>
    <definedName function="false" hidden="true" name="IQ_PERCENT_CHANGE_EST_FFO_SHARE_SHARE_6MONTHS_THOM" vbProcedure="false">"c5246"</definedName>
    <definedName function="false" hidden="true" name="IQ_PERCENT_CHANGE_EST_FFO_SHARE_SHARE_9MONTHS" vbProcedure="false">"c1827"</definedName>
    <definedName function="false" hidden="true" name="IQ_PERCENT_CHANGE_EST_FFO_SHARE_SHARE_9MONTHS_REUT" vbProcedure="false">"c3937"</definedName>
    <definedName function="false" hidden="true" name="IQ_PERCENT_CHANGE_EST_FFO_SHARE_SHARE_9MONTHS_THOM" vbProcedure="false">"c5247"</definedName>
    <definedName function="false" hidden="true" name="IQ_PERCENT_CHANGE_EST_FFO_SHARE_SHARE_DAY" vbProcedure="false">"c1822"</definedName>
    <definedName function="false" hidden="true" name="IQ_PERCENT_CHANGE_EST_FFO_SHARE_SHARE_DAY_REUT" vbProcedure="false">"c3933"</definedName>
    <definedName function="false" hidden="true" name="IQ_PERCENT_CHANGE_EST_FFO_SHARE_SHARE_DAY_THOM" vbProcedure="false">"c5243"</definedName>
    <definedName function="false" hidden="true" name="IQ_PERCENT_CHANGE_EST_FFO_SHARE_SHARE_MONTH" vbProcedure="false">"c1824"</definedName>
    <definedName function="false" hidden="true" name="IQ_PERCENT_CHANGE_EST_FFO_SHARE_SHARE_MONTH_REUT" vbProcedure="false">"c3934"</definedName>
    <definedName function="false" hidden="true" name="IQ_PERCENT_CHANGE_EST_FFO_SHARE_SHARE_MONTH_THOM" vbProcedure="false">"c5244"</definedName>
    <definedName function="false" hidden="true" name="IQ_PERCENT_CHANGE_EST_FFO_SHARE_SHARE_WEEK" vbProcedure="false">"c1823"</definedName>
    <definedName function="false" hidden="true" name="IQ_PERCENT_CHANGE_EST_FFO_SHARE_SHARE_WEEK_REUT" vbProcedure="false">"c3964"</definedName>
    <definedName function="false" hidden="true" name="IQ_PERCENT_CHANGE_EST_FFO_SHARE_SHARE_WEEK_THOM" vbProcedure="false">"c5274"</definedName>
    <definedName function="false" hidden="true" name="IQ_PERCENT_CHANGE_EST_FFO_SHARE_WEEK" vbProcedure="false">"c1823"</definedName>
    <definedName function="false" hidden="true" name="IQ_PERCENT_CHANGE_EST_FFO_SHARE_WEEK_THOM" vbProcedure="false">"c5274"</definedName>
    <definedName function="false" hidden="true" name="IQ_PERCENT_CHANGE_EST_FFO_WEEK" vbProcedure="false">"c1823"</definedName>
    <definedName function="false" hidden="true" name="IQ_PERCENT_CHANGE_EST_FFO_WEEK_REUT" vbProcedure="false">"c3964"</definedName>
    <definedName function="false" hidden="true" name="IQ_PERCENT_CHANGE_EST_FFO_WEEK_THOM" vbProcedure="false">"c5274"</definedName>
    <definedName function="false" hidden="true" name="IQ_PERCENT_CHANGE_EST_PRICE_TARGET_12MONTHS" vbProcedure="false">"c1844"</definedName>
    <definedName function="false" hidden="true" name="IQ_PERCENT_CHANGE_EST_PRICE_TARGET_12MONTHS_CIQ" vbProcedure="false">"c3783"</definedName>
    <definedName function="false" hidden="true" name="IQ_PERCENT_CHANGE_EST_PRICE_TARGET_12MONTHS_REUT" vbProcedure="false">"c3952"</definedName>
    <definedName function="false" hidden="true" name="IQ_PERCENT_CHANGE_EST_PRICE_TARGET_12MONTHS_THOM" vbProcedure="false">"c5262"</definedName>
    <definedName function="false" hidden="true" name="IQ_PERCENT_CHANGE_EST_PRICE_TARGET_18MONTHS" vbProcedure="false">"c1845"</definedName>
    <definedName function="false" hidden="true" name="IQ_PERCENT_CHANGE_EST_PRICE_TARGET_18MONTHS_CIQ" vbProcedure="false">"c3784"</definedName>
    <definedName function="false" hidden="true" name="IQ_PERCENT_CHANGE_EST_PRICE_TARGET_18MONTHS_REUT" vbProcedure="false">"c3953"</definedName>
    <definedName function="false" hidden="true" name="IQ_PERCENT_CHANGE_EST_PRICE_TARGET_18MONTHS_THOM" vbProcedure="false">"c5263"</definedName>
    <definedName function="false" hidden="true" name="IQ_PERCENT_CHANGE_EST_PRICE_TARGET_3MONTHS" vbProcedure="false">"c1841"</definedName>
    <definedName function="false" hidden="true" name="IQ_PERCENT_CHANGE_EST_PRICE_TARGET_3MONTHS_CIQ" vbProcedure="false">"c3780"</definedName>
    <definedName function="false" hidden="true" name="IQ_PERCENT_CHANGE_EST_PRICE_TARGET_3MONTHS_REUT" vbProcedure="false">"c3949"</definedName>
    <definedName function="false" hidden="true" name="IQ_PERCENT_CHANGE_EST_PRICE_TARGET_3MONTHS_THOM" vbProcedure="false">"c5259"</definedName>
    <definedName function="false" hidden="true" name="IQ_PERCENT_CHANGE_EST_PRICE_TARGET_6MONTHS" vbProcedure="false">"c1842"</definedName>
    <definedName function="false" hidden="true" name="IQ_PERCENT_CHANGE_EST_PRICE_TARGET_6MONTHS_CIQ" vbProcedure="false">"c3781"</definedName>
    <definedName function="false" hidden="true" name="IQ_PERCENT_CHANGE_EST_PRICE_TARGET_6MONTHS_REUT" vbProcedure="false">"c3950"</definedName>
    <definedName function="false" hidden="true" name="IQ_PERCENT_CHANGE_EST_PRICE_TARGET_6MONTHS_THOM" vbProcedure="false">"c5260"</definedName>
    <definedName function="false" hidden="true" name="IQ_PERCENT_CHANGE_EST_PRICE_TARGET_9MONTHS" vbProcedure="false">"c1843"</definedName>
    <definedName function="false" hidden="true" name="IQ_PERCENT_CHANGE_EST_PRICE_TARGET_9MONTHS_CIQ" vbProcedure="false">"c3782"</definedName>
    <definedName function="false" hidden="true" name="IQ_PERCENT_CHANGE_EST_PRICE_TARGET_9MONTHS_REUT" vbProcedure="false">"c3951"</definedName>
    <definedName function="false" hidden="true" name="IQ_PERCENT_CHANGE_EST_PRICE_TARGET_9MONTHS_THOM" vbProcedure="false">"c5261"</definedName>
    <definedName function="false" hidden="true" name="IQ_PERCENT_CHANGE_EST_PRICE_TARGET_DAY" vbProcedure="false">"c1838"</definedName>
    <definedName function="false" hidden="true" name="IQ_PERCENT_CHANGE_EST_PRICE_TARGET_DAY_CIQ" vbProcedure="false">"c3778"</definedName>
    <definedName function="false" hidden="true" name="IQ_PERCENT_CHANGE_EST_PRICE_TARGET_DAY_REUT" vbProcedure="false">"c3947"</definedName>
    <definedName function="false" hidden="true" name="IQ_PERCENT_CHANGE_EST_PRICE_TARGET_DAY_THOM" vbProcedure="false">"c5257"</definedName>
    <definedName function="false" hidden="true" name="IQ_PERCENT_CHANGE_EST_PRICE_TARGET_MONTH" vbProcedure="false">"c1840"</definedName>
    <definedName function="false" hidden="true" name="IQ_PERCENT_CHANGE_EST_PRICE_TARGET_MONTH_CIQ" vbProcedure="false">"c3779"</definedName>
    <definedName function="false" hidden="true" name="IQ_PERCENT_CHANGE_EST_PRICE_TARGET_MONTH_REUT" vbProcedure="false">"c3948"</definedName>
    <definedName function="false" hidden="true" name="IQ_PERCENT_CHANGE_EST_PRICE_TARGET_MONTH_THOM" vbProcedure="false">"c5258"</definedName>
    <definedName function="false" hidden="true" name="IQ_PERCENT_CHANGE_EST_PRICE_TARGET_WEEK" vbProcedure="false">"c1839"</definedName>
    <definedName function="false" hidden="true" name="IQ_PERCENT_CHANGE_EST_PRICE_TARGET_WEEK_CIQ" vbProcedure="false">"c3798"</definedName>
    <definedName function="false" hidden="true" name="IQ_PERCENT_CHANGE_EST_PRICE_TARGET_WEEK_REUT" vbProcedure="false">"c3967"</definedName>
    <definedName function="false" hidden="true" name="IQ_PERCENT_CHANGE_EST_PRICE_TARGET_WEEK_THOM" vbProcedure="false">"c5276"</definedName>
    <definedName function="false" hidden="true" name="IQ_PERCENT_CHANGE_EST_RECO_12MONTHS" vbProcedure="false">"c1836"</definedName>
    <definedName function="false" hidden="true" name="IQ_PERCENT_CHANGE_EST_RECO_12MONTHS_CIQ" vbProcedure="false">"c3776"</definedName>
    <definedName function="false" hidden="true" name="IQ_PERCENT_CHANGE_EST_RECO_12MONTHS_REUT" vbProcedure="false">"c3945"</definedName>
    <definedName function="false" hidden="true" name="IQ_PERCENT_CHANGE_EST_RECO_12MONTHS_THOM" vbProcedure="false">"c5255"</definedName>
    <definedName function="false" hidden="true" name="IQ_PERCENT_CHANGE_EST_RECO_18MONTHS" vbProcedure="false">"c1837"</definedName>
    <definedName function="false" hidden="true" name="IQ_PERCENT_CHANGE_EST_RECO_18MONTHS_CIQ" vbProcedure="false">"c3777"</definedName>
    <definedName function="false" hidden="true" name="IQ_PERCENT_CHANGE_EST_RECO_18MONTHS_REUT" vbProcedure="false">"c3946"</definedName>
    <definedName function="false" hidden="true" name="IQ_PERCENT_CHANGE_EST_RECO_18MONTHS_THOM" vbProcedure="false">"c5256"</definedName>
    <definedName function="false" hidden="true" name="IQ_PERCENT_CHANGE_EST_RECO_3MONTHS" vbProcedure="false">"c1833"</definedName>
    <definedName function="false" hidden="true" name="IQ_PERCENT_CHANGE_EST_RECO_3MONTHS_CIQ" vbProcedure="false">"c3773"</definedName>
    <definedName function="false" hidden="true" name="IQ_PERCENT_CHANGE_EST_RECO_3MONTHS_REUT" vbProcedure="false">"c3942"</definedName>
    <definedName function="false" hidden="true" name="IQ_PERCENT_CHANGE_EST_RECO_3MONTHS_THOM" vbProcedure="false">"c5252"</definedName>
    <definedName function="false" hidden="true" name="IQ_PERCENT_CHANGE_EST_RECO_6MONTHS" vbProcedure="false">"c1834"</definedName>
    <definedName function="false" hidden="true" name="IQ_PERCENT_CHANGE_EST_RECO_6MONTHS_CIQ" vbProcedure="false">"c3774"</definedName>
    <definedName function="false" hidden="true" name="IQ_PERCENT_CHANGE_EST_RECO_6MONTHS_REUT" vbProcedure="false">"c3943"</definedName>
    <definedName function="false" hidden="true" name="IQ_PERCENT_CHANGE_EST_RECO_6MONTHS_THOM" vbProcedure="false">"c5253"</definedName>
    <definedName function="false" hidden="true" name="IQ_PERCENT_CHANGE_EST_RECO_9MONTHS" vbProcedure="false">"c1835"</definedName>
    <definedName function="false" hidden="true" name="IQ_PERCENT_CHANGE_EST_RECO_9MONTHS_CIQ" vbProcedure="false">"c3775"</definedName>
    <definedName function="false" hidden="true" name="IQ_PERCENT_CHANGE_EST_RECO_9MONTHS_REUT" vbProcedure="false">"c3944"</definedName>
    <definedName function="false" hidden="true" name="IQ_PERCENT_CHANGE_EST_RECO_9MONTHS_THOM" vbProcedure="false">"c5254"</definedName>
    <definedName function="false" hidden="true" name="IQ_PERCENT_CHANGE_EST_RECO_DAY" vbProcedure="false">"c1830"</definedName>
    <definedName function="false" hidden="true" name="IQ_PERCENT_CHANGE_EST_RECO_DAY_CIQ" vbProcedure="false">"c3771"</definedName>
    <definedName function="false" hidden="true" name="IQ_PERCENT_CHANGE_EST_RECO_DAY_REUT" vbProcedure="false">"c3940"</definedName>
    <definedName function="false" hidden="true" name="IQ_PERCENT_CHANGE_EST_RECO_DAY_THOM" vbProcedure="false">"c5250"</definedName>
    <definedName function="false" hidden="true" name="IQ_PERCENT_CHANGE_EST_RECO_MONTH" vbProcedure="false">"c1832"</definedName>
    <definedName function="false" hidden="true" name="IQ_PERCENT_CHANGE_EST_RECO_MONTH_CIQ" vbProcedure="false">"c3772"</definedName>
    <definedName function="false" hidden="true" name="IQ_PERCENT_CHANGE_EST_RECO_MONTH_REUT" vbProcedure="false">"c3941"</definedName>
    <definedName function="false" hidden="true" name="IQ_PERCENT_CHANGE_EST_RECO_MONTH_THOM" vbProcedure="false">"c5251"</definedName>
    <definedName function="false" hidden="true" name="IQ_PERCENT_CHANGE_EST_RECO_WEEK" vbProcedure="false">"c1831"</definedName>
    <definedName function="false" hidden="true" name="IQ_PERCENT_CHANGE_EST_RECO_WEEK_CIQ" vbProcedure="false">"c3796"</definedName>
    <definedName function="false" hidden="true" name="IQ_PERCENT_CHANGE_EST_RECO_WEEK_REUT" vbProcedure="false">"c3966"</definedName>
    <definedName function="false" hidden="true" name="IQ_PERCENT_CHANGE_EST_RECO_WEEK_THOM" vbProcedure="false">"c5275"</definedName>
    <definedName function="false" hidden="true" name="IQ_PERCENT_CHANGE_EST_REV_12MONTHS" vbProcedure="false">"c1796"</definedName>
    <definedName function="false" hidden="true" name="IQ_PERCENT_CHANGE_EST_REV_12MONTHS_CIQ" vbProcedure="false">"c3741"</definedName>
    <definedName function="false" hidden="true" name="IQ_PERCENT_CHANGE_EST_REV_12MONTHS_REUT" vbProcedure="false">"c3910"</definedName>
    <definedName function="false" hidden="true" name="IQ_PERCENT_CHANGE_EST_REV_12MONTHS_THOM" vbProcedure="false">"c5220"</definedName>
    <definedName function="false" hidden="true" name="IQ_PERCENT_CHANGE_EST_REV_18MONTHS" vbProcedure="false">"c1797"</definedName>
    <definedName function="false" hidden="true" name="IQ_PERCENT_CHANGE_EST_REV_18MONTHS_CIQ" vbProcedure="false">"c3742"</definedName>
    <definedName function="false" hidden="true" name="IQ_PERCENT_CHANGE_EST_REV_18MONTHS_REUT" vbProcedure="false">"c3911"</definedName>
    <definedName function="false" hidden="true" name="IQ_PERCENT_CHANGE_EST_REV_18MONTHS_THOM" vbProcedure="false">"c5221"</definedName>
    <definedName function="false" hidden="true" name="IQ_PERCENT_CHANGE_EST_REV_3MONTHS" vbProcedure="false">"c1793"</definedName>
    <definedName function="false" hidden="true" name="IQ_PERCENT_CHANGE_EST_REV_3MONTHS_CIQ" vbProcedure="false">"c3738"</definedName>
    <definedName function="false" hidden="true" name="IQ_PERCENT_CHANGE_EST_REV_3MONTHS_REUT" vbProcedure="false">"c3907"</definedName>
    <definedName function="false" hidden="true" name="IQ_PERCENT_CHANGE_EST_REV_3MONTHS_THOM" vbProcedure="false">"c5217"</definedName>
    <definedName function="false" hidden="true" name="IQ_PERCENT_CHANGE_EST_REV_6MONTHS" vbProcedure="false">"c1794"</definedName>
    <definedName function="false" hidden="true" name="IQ_PERCENT_CHANGE_EST_REV_6MONTHS_CIQ" vbProcedure="false">"c3739"</definedName>
    <definedName function="false" hidden="true" name="IQ_PERCENT_CHANGE_EST_REV_6MONTHS_REUT" vbProcedure="false">"c3908"</definedName>
    <definedName function="false" hidden="true" name="IQ_PERCENT_CHANGE_EST_REV_6MONTHS_THOM" vbProcedure="false">"c5218"</definedName>
    <definedName function="false" hidden="true" name="IQ_PERCENT_CHANGE_EST_REV_9MONTHS" vbProcedure="false">"c1795"</definedName>
    <definedName function="false" hidden="true" name="IQ_PERCENT_CHANGE_EST_REV_9MONTHS_CIQ" vbProcedure="false">"c3740"</definedName>
    <definedName function="false" hidden="true" name="IQ_PERCENT_CHANGE_EST_REV_9MONTHS_REUT" vbProcedure="false">"c3909"</definedName>
    <definedName function="false" hidden="true" name="IQ_PERCENT_CHANGE_EST_REV_9MONTHS_THOM" vbProcedure="false">"c5219"</definedName>
    <definedName function="false" hidden="true" name="IQ_PERCENT_CHANGE_EST_REV_DAY" vbProcedure="false">"c1790"</definedName>
    <definedName function="false" hidden="true" name="IQ_PERCENT_CHANGE_EST_REV_DAY_CIQ" vbProcedure="false">"c3735"</definedName>
    <definedName function="false" hidden="true" name="IQ_PERCENT_CHANGE_EST_REV_DAY_REUT" vbProcedure="false">"c3904"</definedName>
    <definedName function="false" hidden="true" name="IQ_PERCENT_CHANGE_EST_REV_DAY_THOM" vbProcedure="false">"c5214"</definedName>
    <definedName function="false" hidden="true" name="IQ_PERCENT_CHANGE_EST_REV_MONTH" vbProcedure="false">"c1792"</definedName>
    <definedName function="false" hidden="true" name="IQ_PERCENT_CHANGE_EST_REV_MONTH_CIQ" vbProcedure="false">"c3737"</definedName>
    <definedName function="false" hidden="true" name="IQ_PERCENT_CHANGE_EST_REV_MONTH_REUT" vbProcedure="false">"c3906"</definedName>
    <definedName function="false" hidden="true" name="IQ_PERCENT_CHANGE_EST_REV_MONTH_THOM" vbProcedure="false">"c5216"</definedName>
    <definedName function="false" hidden="true" name="IQ_PERCENT_CHANGE_EST_REV_WEEK" vbProcedure="false">"c1791"</definedName>
    <definedName function="false" hidden="true" name="IQ_PERCENT_CHANGE_EST_REV_WEEK_CIQ" vbProcedure="false">"c3736"</definedName>
    <definedName function="false" hidden="true" name="IQ_PERCENT_CHANGE_EST_REV_WEEK_REUT" vbProcedure="false">"c3905"</definedName>
    <definedName function="false" hidden="true" name="IQ_PERCENT_CHANGE_EST_REV_WEEK_THOM" vbProcedure="false">"c5215"</definedName>
    <definedName function="false" hidden="true" name="IQ_PERCENT_INSURED_FDIC" vbProcedure="false">"c6374"</definedName>
    <definedName function="false" hidden="true" name="IQ_PERFORMANCE_LOC_FOREIGN_GUARANTEES_FFIEC" vbProcedure="false">"c13251"</definedName>
    <definedName function="false" hidden="true" name="IQ_PERIODDATE" vbProcedure="false">"c1414"</definedName>
    <definedName function="false" hidden="true" name="IQ_PERIODDATE_AP" vbProcedure="false">"c11745"</definedName>
    <definedName function="false" hidden="true" name="IQ_PERIODDATE_BS" vbProcedure="false">"c1032"</definedName>
    <definedName function="false" hidden="true" name="IQ_PERIODDATE_CF" vbProcedure="false">"c1033"</definedName>
    <definedName function="false" hidden="true" name="IQ_PERIODDATE_FDIC" vbProcedure="false">"c13646"</definedName>
    <definedName function="false" hidden="true" name="IQ_PERIODDATE_FFIEC" vbProcedure="false">"c13645"</definedName>
    <definedName function="false" hidden="true" name="IQ_PERIODDATE_IS" vbProcedure="false">"c1034"</definedName>
    <definedName function="false" hidden="true" name="IQ_PERIODLENGTH_AP" vbProcedure="false">"c11746"</definedName>
    <definedName function="false" hidden="true" name="IQ_PERIODLENGTH_CF" vbProcedure="false">"c1502"</definedName>
    <definedName function="false" hidden="true" name="IQ_PERIODLENGTH_IS" vbProcedure="false">"c1503"</definedName>
    <definedName function="false" hidden="true" name="IQ_PERSONAL_CONSUMER_SPENDING_DURABLE" vbProcedure="false">"c6942"</definedName>
    <definedName function="false" hidden="true" name="IQ_PERSONAL_CONSUMER_SPENDING_DURABLE_APR" vbProcedure="false">"c7602"</definedName>
    <definedName function="false" hidden="true" name="IQ_PERSONAL_CONSUMER_SPENDING_DURABLE_APR_FC" vbProcedure="false">"c8482"</definedName>
    <definedName function="false" hidden="true" name="IQ_PERSONAL_CONSUMER_SPENDING_DURABLE_FC" vbProcedure="false">"c7822"</definedName>
    <definedName function="false" hidden="true" name="IQ_PERSONAL_CONSUMER_SPENDING_DURABLE_POP" vbProcedure="false">"c7162"</definedName>
    <definedName function="false" hidden="true" name="IQ_PERSONAL_CONSUMER_SPENDING_DURABLE_POP_FC" vbProcedure="false">"c8042"</definedName>
    <definedName function="false" hidden="true" name="IQ_PERSONAL_CONSUMER_SPENDING_DURABLE_YOY" vbProcedure="false">"c7382"</definedName>
    <definedName function="false" hidden="true" name="IQ_PERSONAL_CONSUMER_SPENDING_DURABLE_YOY_FC" vbProcedure="false">"c8262"</definedName>
    <definedName function="false" hidden="true" name="IQ_PERSONAL_CONSUMER_SPENDING_NONDURABLE" vbProcedure="false">"c6940"</definedName>
    <definedName function="false" hidden="true" name="IQ_PERSONAL_CONSUMER_SPENDING_NONDURABLE_APR" vbProcedure="false">"c7600"</definedName>
    <definedName function="false" hidden="true" name="IQ_PERSONAL_CONSUMER_SPENDING_NONDURABLE_APR_FC" vbProcedure="false">"c8480"</definedName>
    <definedName function="false" hidden="true" name="IQ_PERSONAL_CONSUMER_SPENDING_NONDURABLE_FC" vbProcedure="false">"c7820"</definedName>
    <definedName function="false" hidden="true" name="IQ_PERSONAL_CONSUMER_SPENDING_NONDURABLE_POP" vbProcedure="false">"c7160"</definedName>
    <definedName function="false" hidden="true" name="IQ_PERSONAL_CONSUMER_SPENDING_NONDURABLE_POP_FC" vbProcedure="false">"c8040"</definedName>
    <definedName function="false" hidden="true" name="IQ_PERSONAL_CONSUMER_SPENDING_NONDURABLE_YOY" vbProcedure="false">"c7380"</definedName>
    <definedName function="false" hidden="true" name="IQ_PERSONAL_CONSUMER_SPENDING_NONDURABLE_YOY_FC" vbProcedure="false">"c8260"</definedName>
    <definedName function="false" hidden="true" name="IQ_PERSONAL_CONSUMER_SPENDING_REAL" vbProcedure="false">"c6994"</definedName>
    <definedName function="false" hidden="true" name="IQ_PERSONAL_CONSUMER_SPENDING_REAL_APR" vbProcedure="false">"c7654"</definedName>
    <definedName function="false" hidden="true" name="IQ_PERSONAL_CONSUMER_SPENDING_REAL_APR_FC" vbProcedure="false">"c8534"</definedName>
    <definedName function="false" hidden="true" name="IQ_PERSONAL_CONSUMER_SPENDING_REAL_FC" vbProcedure="false">"c7874"</definedName>
    <definedName function="false" hidden="true" name="IQ_PERSONAL_CONSUMER_SPENDING_REAL_POP" vbProcedure="false">"c7214"</definedName>
    <definedName function="false" hidden="true" name="IQ_PERSONAL_CONSUMER_SPENDING_REAL_POP_FC" vbProcedure="false">"c8094"</definedName>
    <definedName function="false" hidden="true" name="IQ_PERSONAL_CONSUMER_SPENDING_REAL_YOY" vbProcedure="false">"c7434"</definedName>
    <definedName function="false" hidden="true" name="IQ_PERSONAL_CONSUMER_SPENDING_REAL_YOY_FC" vbProcedure="false">"c8314"</definedName>
    <definedName function="false" hidden="true" name="IQ_PERSONAL_CONSUMER_SPENDING_SERVICES" vbProcedure="false">"c6941"</definedName>
    <definedName function="false" hidden="true" name="IQ_PERSONAL_CONSUMER_SPENDING_SERVICES_APR" vbProcedure="false">"c7601"</definedName>
    <definedName function="false" hidden="true" name="IQ_PERSONAL_CONSUMER_SPENDING_SERVICES_APR_FC" vbProcedure="false">"c8481"</definedName>
    <definedName function="false" hidden="true" name="IQ_PERSONAL_CONSUMER_SPENDING_SERVICES_FC" vbProcedure="false">"c7821"</definedName>
    <definedName function="false" hidden="true" name="IQ_PERSONAL_CONSUMER_SPENDING_SERVICES_POP" vbProcedure="false">"c7161"</definedName>
    <definedName function="false" hidden="true" name="IQ_PERSONAL_CONSUMER_SPENDING_SERVICES_POP_FC" vbProcedure="false">"c8041"</definedName>
    <definedName function="false" hidden="true" name="IQ_PERSONAL_CONSUMER_SPENDING_SERVICES_YOY" vbProcedure="false">"c7381"</definedName>
    <definedName function="false" hidden="true" name="IQ_PERSONAL_CONSUMER_SPENDING_SERVICES_YOY_FC" vbProcedure="false">"c8261"</definedName>
    <definedName function="false" hidden="true" name="IQ_PERSONAL_INCOME" vbProcedure="false">"c6943"</definedName>
    <definedName function="false" hidden="true" name="IQ_PERSONAL_INCOME_APR" vbProcedure="false">"c7603"</definedName>
    <definedName function="false" hidden="true" name="IQ_PERSONAL_INCOME_APR_FC" vbProcedure="false">"c8483"</definedName>
    <definedName function="false" hidden="true" name="IQ_PERSONAL_INCOME_FC" vbProcedure="false">"c7823"</definedName>
    <definedName function="false" hidden="true" name="IQ_PERSONAL_INCOME_POP" vbProcedure="false">"c7163"</definedName>
    <definedName function="false" hidden="true" name="IQ_PERSONAL_INCOME_POP_FC" vbProcedure="false">"c8043"</definedName>
    <definedName function="false" hidden="true" name="IQ_PERSONAL_INCOME_SAAR" vbProcedure="false">"c6944"</definedName>
    <definedName function="false" hidden="true" name="IQ_PERSONAL_INCOME_SAAR_APR" vbProcedure="false">"c7604"</definedName>
    <definedName function="false" hidden="true" name="IQ_PERSONAL_INCOME_SAAR_APR_FC" vbProcedure="false">"c8484"</definedName>
    <definedName function="false" hidden="true" name="IQ_PERSONAL_INCOME_SAAR_FC" vbProcedure="false">"c7824"</definedName>
    <definedName function="false" hidden="true" name="IQ_PERSONAL_INCOME_SAAR_POP" vbProcedure="false">"c7164"</definedName>
    <definedName function="false" hidden="true" name="IQ_PERSONAL_INCOME_SAAR_POP_FC" vbProcedure="false">"c8044"</definedName>
    <definedName function="false" hidden="true" name="IQ_PERSONAL_INCOME_SAAR_YOY" vbProcedure="false">"c7384"</definedName>
    <definedName function="false" hidden="true" name="IQ_PERSONAL_INCOME_SAAR_YOY_FC" vbProcedure="false">"c8264"</definedName>
    <definedName function="false" hidden="true" name="IQ_PERSONAL_INCOME_USD_APR_FC" vbProcedure="false">"c11885"</definedName>
    <definedName function="false" hidden="true" name="IQ_PERSONAL_INCOME_USD_FC" vbProcedure="false">"c11882"</definedName>
    <definedName function="false" hidden="true" name="IQ_PERSONAL_INCOME_USD_POP_FC" vbProcedure="false">"c11883"</definedName>
    <definedName function="false" hidden="true" name="IQ_PERSONAL_INCOME_USD_YOY_FC" vbProcedure="false">"c11884"</definedName>
    <definedName function="false" hidden="true" name="IQ_PERSONAL_INCOME_YOY" vbProcedure="false">"c7383"</definedName>
    <definedName function="false" hidden="true" name="IQ_PERSONAL_INCOME_YOY_FC" vbProcedure="false">"c8263"</definedName>
    <definedName function="false" hidden="true" name="IQ_PERSONNEL_EXP_AVG_ASSETS_FFIEC" vbProcedure="false">"c13371"</definedName>
    <definedName function="false" hidden="true" name="IQ_PERSONNEL_EXP_OPERATING_INC_FFIEC" vbProcedure="false">"c13379"</definedName>
    <definedName function="false" hidden="true" name="IQ_PERTYPE" vbProcedure="false">"c1611"</definedName>
    <definedName function="false" hidden="true" name="IQ_PE_EXCL" vbProcedure="false">"c1028"</definedName>
    <definedName function="false" hidden="true" name="IQ_PE_EXCL_AVG" vbProcedure="false">"c1029"</definedName>
    <definedName function="false" hidden="true" name="IQ_PE_EXCL_FWD" vbProcedure="false">"c1030"</definedName>
    <definedName function="false" hidden="true" name="IQ_PE_EXCL_FWD_CIQ" vbProcedure="false">"c4042"</definedName>
    <definedName function="false" hidden="true" name="IQ_PE_EXCL_FWD_REUT" vbProcedure="false">"c4049"</definedName>
    <definedName function="false" hidden="true" name="IQ_PE_EXCL_FWD_THOM" vbProcedure="false">"c4056"</definedName>
    <definedName function="false" hidden="true" name="IQ_PE_FUND_DATE_EST" vbProcedure="false">"c19174"</definedName>
    <definedName function="false" hidden="true" name="IQ_PE_FUND_DATE_MONTH" vbProcedure="false">"c19172"</definedName>
    <definedName function="false" hidden="true" name="IQ_PE_FUND_DATE_YEAR" vbProcedure="false">"c18925"</definedName>
    <definedName function="false" hidden="true" name="IQ_PE_FUND_FAMILIES" vbProcedure="false">"c18917"</definedName>
    <definedName function="false" hidden="true" name="IQ_PE_FUND_FAMILIES_ID" vbProcedure="false">"c18918"</definedName>
    <definedName function="false" hidden="true" name="IQ_PE_FUND_FAMILIES_REL" vbProcedure="false">"c18919"</definedName>
    <definedName function="false" hidden="true" name="IQ_PE_FUND_ID" vbProcedure="false">"c18923"</definedName>
    <definedName function="false" hidden="true" name="IQ_PE_FUND_INVEST_AMOUNT" vbProcedure="false">"c18933"</definedName>
    <definedName function="false" hidden="true" name="IQ_PE_FUND_INVEST_DATE_MONTH" vbProcedure="false">"c19173"</definedName>
    <definedName function="false" hidden="true" name="IQ_PE_FUND_INVEST_DATE_YEAR" vbProcedure="false">"c18934"</definedName>
    <definedName function="false" hidden="true" name="IQ_PE_FUND_NAME" vbProcedure="false">"c18922"</definedName>
    <definedName function="false" hidden="true" name="IQ_PE_FUND_SIZE" vbProcedure="false">"c18924"</definedName>
    <definedName function="false" hidden="true" name="IQ_PE_FUND_STAGE" vbProcedure="false">"c18928"</definedName>
    <definedName function="false" hidden="true" name="IQ_PE_FUND_TARGET_MAX" vbProcedure="false">"c18927"</definedName>
    <definedName function="false" hidden="true" name="IQ_PE_FUND_TARGET_MIN" vbProcedure="false">"c18926"</definedName>
    <definedName function="false" hidden="true" name="IQ_PE_FUND_TRANSACTION_COMMENTS" vbProcedure="false">"c18931"</definedName>
    <definedName function="false" hidden="true" name="IQ_PE_NORMALIZED" vbProcedure="false">"c2207"</definedName>
    <definedName function="false" hidden="true" name="IQ_PE_RATIO" vbProcedure="false">"c1610"</definedName>
    <definedName function="false" hidden="true" name="IQ_PHARMBIO_NUMBER_LICENSED_PATENTS" vbProcedure="false">"c10017"</definedName>
    <definedName function="false" hidden="true" name="IQ_PHARMBIO_NUMBER_LICENSED_PATENT_APP" vbProcedure="false">"c10018"</definedName>
    <definedName function="false" hidden="true" name="IQ_PHARMBIO_NUMBER_PATENTS" vbProcedure="false">"c10015"</definedName>
    <definedName function="false" hidden="true" name="IQ_PHARMBIO_NUMBER_PROD_APPROVED_DURING_PERIOD" vbProcedure="false">"c10027"</definedName>
    <definedName function="false" hidden="true" name="IQ_PHARMBIO_NUMBER_PROD_CLINICAL_DEV" vbProcedure="false">"c10022"</definedName>
    <definedName function="false" hidden="true" name="IQ_PHARMBIO_NUMBER_PROD_DISCOVERY_RESEARCH" vbProcedure="false">"c10019"</definedName>
    <definedName function="false" hidden="true" name="IQ_PHARMBIO_NUMBER_PROD_LAUNCHED_DURING_PERIOD" vbProcedure="false">"c10028"</definedName>
    <definedName function="false" hidden="true" name="IQ_PHARMBIO_NUMBER_PROD_PHASE_I" vbProcedure="false">"c10023"</definedName>
    <definedName function="false" hidden="true" name="IQ_PHARMBIO_NUMBER_PROD_PHASE_II" vbProcedure="false">"c10024"</definedName>
    <definedName function="false" hidden="true" name="IQ_PHARMBIO_NUMBER_PROD_PHASE_III" vbProcedure="false">"c10025"</definedName>
    <definedName function="false" hidden="true" name="IQ_PHARMBIO_NUMBER_PROD_PRE_CLINICAL_TRIALS" vbProcedure="false">"c10021"</definedName>
    <definedName function="false" hidden="true" name="IQ_PHARMBIO_NUMBER_PROD_PRE_REGISTRATION" vbProcedure="false">"c10026"</definedName>
    <definedName function="false" hidden="true" name="IQ_PHARMBIO_NUMBER_PROD_RESEARCH_DEV" vbProcedure="false">"c10020"</definedName>
    <definedName function="false" hidden="true" name="IQ_PHARMBIO_NUMBER_PROD__APPROVED_DURING_PERIOD" vbProcedure="false">"c12750"</definedName>
    <definedName function="false" hidden="true" name="IQ_PHARMBIO_NUMBER_PROD__CLINICAL_DEV" vbProcedure="false">"c12745"</definedName>
    <definedName function="false" hidden="true" name="IQ_PHARMBIO_NUMBER_PROD__LAUNCHED_DURING_PERIOD" vbProcedure="false">"c12751"</definedName>
    <definedName function="false" hidden="true" name="IQ_PHARMBIO_NUMBER_PROD__PHASE_I" vbProcedure="false">"c12746"</definedName>
    <definedName function="false" hidden="true" name="IQ_PHARMBIO_NUMBER_PROD__PHASE_II" vbProcedure="false">"c12747"</definedName>
    <definedName function="false" hidden="true" name="IQ_PHARMBIO_NUMBER_PROD__PHASE_III" vbProcedure="false">"c12748"</definedName>
    <definedName function="false" hidden="true" name="IQ_PHARMBIO_NUMBER_PROD__PRE_CLINICAL_TRIALS" vbProcedure="false">"c12744"</definedName>
    <definedName function="false" hidden="true" name="IQ_PHARMBIO_NUMBER_PROD__PRE_REGISTRATION" vbProcedure="false">"c12749"</definedName>
    <definedName function="false" hidden="true" name="IQ_PHARMBIO_NUMBER_PROD__RESEARCH_DEV" vbProcedure="false">"c12743"</definedName>
    <definedName function="false" hidden="true" name="IQ_PHARMBIO_PATENT_APP" vbProcedure="false">"c10016"</definedName>
    <definedName function="false" hidden="true" name="IQ_PHILADELPHIA_FED_DIFFUSION_INDEX" vbProcedure="false">"c6945"</definedName>
    <definedName function="false" hidden="true" name="IQ_PHILADELPHIA_FED_DIFFUSION_INDEX_APR" vbProcedure="false">"c7605"</definedName>
    <definedName function="false" hidden="true" name="IQ_PHILADELPHIA_FED_DIFFUSION_INDEX_APR_FC" vbProcedure="false">"c8485"</definedName>
    <definedName function="false" hidden="true" name="IQ_PHILADELPHIA_FED_DIFFUSION_INDEX_FC" vbProcedure="false">"c7825"</definedName>
    <definedName function="false" hidden="true" name="IQ_PHILADELPHIA_FED_DIFFUSION_INDEX_POP" vbProcedure="false">"c7165"</definedName>
    <definedName function="false" hidden="true" name="IQ_PHILADELPHIA_FED_DIFFUSION_INDEX_POP_FC" vbProcedure="false">"c8045"</definedName>
    <definedName function="false" hidden="true" name="IQ_PHILADELPHIA_FED_DIFFUSION_INDEX_YOY" vbProcedure="false">"c7385"</definedName>
    <definedName function="false" hidden="true" name="IQ_PHILADELPHIA_FED_DIFFUSION_INDEX_YOY_FC" vbProcedure="false">"c8265"</definedName>
    <definedName function="false" hidden="true" name="IQ_PLEDGED_SECURITIES_FDIC" vbProcedure="false">"c6401"</definedName>
    <definedName function="false" hidden="true" name="IQ_PLEDGED_SEC_INVEST_SECURITIES_FFIEC" vbProcedure="false">"c13467"</definedName>
    <definedName function="false" hidden="true" name="IQ_PLL" vbProcedure="false">"c2114"</definedName>
    <definedName function="false" hidden="true" name="IQ_PMAC_DIFFUSION_INDEX" vbProcedure="false">"c6946"</definedName>
    <definedName function="false" hidden="true" name="IQ_PMAC_DIFFUSION_INDEX_APR" vbProcedure="false">"c7606"</definedName>
    <definedName function="false" hidden="true" name="IQ_PMAC_DIFFUSION_INDEX_APR_FC" vbProcedure="false">"c8486"</definedName>
    <definedName function="false" hidden="true" name="IQ_PMAC_DIFFUSION_INDEX_FC" vbProcedure="false">"c7826"</definedName>
    <definedName function="false" hidden="true" name="IQ_PMAC_DIFFUSION_INDEX_POP" vbProcedure="false">"c7166"</definedName>
    <definedName function="false" hidden="true" name="IQ_PMAC_DIFFUSION_INDEX_POP_FC" vbProcedure="false">"c8046"</definedName>
    <definedName function="false" hidden="true" name="IQ_PMAC_DIFFUSION_INDEX_YOY" vbProcedure="false">"c7386"</definedName>
    <definedName function="false" hidden="true" name="IQ_PMAC_DIFFUSION_INDEX_YOY_FC" vbProcedure="false">"c8266"</definedName>
    <definedName function="false" hidden="true" name="IQ_PMT_FREQ" vbProcedure="false">"c2236"</definedName>
    <definedName function="false" hidden="true" name="IQ_POISON_PUT_EFFECT_DATE" vbProcedure="false">"c2486"</definedName>
    <definedName function="false" hidden="true" name="IQ_POISON_PUT_EXPIRATION_DATE" vbProcedure="false">"c2487"</definedName>
    <definedName function="false" hidden="true" name="IQ_POISON_PUT_PRICE" vbProcedure="false">"c2488"</definedName>
    <definedName function="false" hidden="true" name="IQ_POLICYHOLDER_BENEFITS_LH_FFIEC" vbProcedure="false">"c13107"</definedName>
    <definedName function="false" hidden="true" name="IQ_POLICY_BENEFITS" vbProcedure="false">"c1036"</definedName>
    <definedName function="false" hidden="true" name="IQ_POLICY_COST" vbProcedure="false">"c1037"</definedName>
    <definedName function="false" hidden="true" name="IQ_POLICY_LIAB" vbProcedure="false">"c1612"</definedName>
    <definedName function="false" hidden="true" name="IQ_POLICY_LOANS" vbProcedure="false">"c1038"</definedName>
    <definedName function="false" hidden="true" name="IQ_POOL_AMT_ORIGINAL" vbProcedure="false">"c8970"</definedName>
    <definedName function="false" hidden="true" name="IQ_POOL_NAME" vbProcedure="false">"c8967"</definedName>
    <definedName function="false" hidden="true" name="IQ_POOL_NUMBER" vbProcedure="false">"c8968"</definedName>
    <definedName function="false" hidden="true" name="IQ_POOL_TYPE" vbProcedure="false">"c8969"</definedName>
    <definedName function="false" hidden="true" name="IQ_POSITIVE_FAIR_VALUE_DERIVATIVES_BENEFICIARY_FFIEC" vbProcedure="false">"c13123"</definedName>
    <definedName function="false" hidden="true" name="IQ_POSITIVE_FAIR_VALUE_DERIVATIVES_GUARANTOR_FFIEC" vbProcedure="false">"c13116"</definedName>
    <definedName function="false" hidden="true" name="IQ_POSTAGE_FFIEC" vbProcedure="false">"c13051"</definedName>
    <definedName function="false" hidden="true" name="IQ_POSTPAID_CHURN" vbProcedure="false">"c2121"</definedName>
    <definedName function="false" hidden="true" name="IQ_POSTPAID_SUBS" vbProcedure="false">"c2118"</definedName>
    <definedName function="false" hidden="true" name="IQ_POST_RETIRE_EXP" vbProcedure="false">"c1039"</definedName>
    <definedName function="false" hidden="true" name="IQ_POTENTIAL_UPSIDE" vbProcedure="false">"c1855"</definedName>
    <definedName function="false" hidden="true" name="IQ_POTENTIAL_UPSIDE_CIQ" vbProcedure="false">"c3799"</definedName>
    <definedName function="false" hidden="true" name="IQ_POTENTIAL_UPSIDE_REUT" vbProcedure="false">"c3968"</definedName>
    <definedName function="false" hidden="true" name="IQ_POTENTIAL_UPSIDE_THOM" vbProcedure="false">"c5279"</definedName>
    <definedName function="false" hidden="true" name="IQ_PPI" vbProcedure="false">"c6810"</definedName>
    <definedName function="false" hidden="true" name="IQ_PPI_APR" vbProcedure="false">"c7470"</definedName>
    <definedName function="false" hidden="true" name="IQ_PPI_APR_FC" vbProcedure="false">"c8350"</definedName>
    <definedName function="false" hidden="true" name="IQ_PPI_CORE" vbProcedure="false">"c6840"</definedName>
    <definedName function="false" hidden="true" name="IQ_PPI_CORE_APR" vbProcedure="false">"c7500"</definedName>
    <definedName function="false" hidden="true" name="IQ_PPI_CORE_APR_FC" vbProcedure="false">"c8380"</definedName>
    <definedName function="false" hidden="true" name="IQ_PPI_CORE_FC" vbProcedure="false">"c7720"</definedName>
    <definedName function="false" hidden="true" name="IQ_PPI_CORE_POP" vbProcedure="false">"c7060"</definedName>
    <definedName function="false" hidden="true" name="IQ_PPI_CORE_POP_FC" vbProcedure="false">"c7940"</definedName>
    <definedName function="false" hidden="true" name="IQ_PPI_CORE_YOY" vbProcedure="false">"c7280"</definedName>
    <definedName function="false" hidden="true" name="IQ_PPI_CORE_YOY_FC" vbProcedure="false">"c8160"</definedName>
    <definedName function="false" hidden="true" name="IQ_PPI_FC" vbProcedure="false">"c7690"</definedName>
    <definedName function="false" hidden="true" name="IQ_PPI_POP" vbProcedure="false">"c7030"</definedName>
    <definedName function="false" hidden="true" name="IQ_PPI_POP_FC" vbProcedure="false">"c7910"</definedName>
    <definedName function="false" hidden="true" name="IQ_PPI_YOY" vbProcedure="false">"c7250"</definedName>
    <definedName function="false" hidden="true" name="IQ_PPI_YOY_FC" vbProcedure="false">"c8130"</definedName>
    <definedName function="false" hidden="true" name="IQ_PP_ATTRIB_ORE_RESERVES_ALUM" vbProcedure="false">"c9218"</definedName>
    <definedName function="false" hidden="true" name="IQ_PP_ATTRIB_ORE_RESERVES_COP" vbProcedure="false">"c9162"</definedName>
    <definedName function="false" hidden="true" name="IQ_PP_ATTRIB_ORE_RESERVES_DIAM" vbProcedure="false">"c9642"</definedName>
    <definedName function="false" hidden="true" name="IQ_PP_ATTRIB_ORE_RESERVES_GOLD" vbProcedure="false">"c9003"</definedName>
    <definedName function="false" hidden="true" name="IQ_PP_ATTRIB_ORE_RESERVES_IRON" vbProcedure="false">"c9377"</definedName>
    <definedName function="false" hidden="true" name="IQ_PP_ATTRIB_ORE_RESERVES_LEAD" vbProcedure="false">"c9430"</definedName>
    <definedName function="false" hidden="true" name="IQ_PP_ATTRIB_ORE_RESERVES_MANG" vbProcedure="false">"c9483"</definedName>
    <definedName function="false" hidden="true" name="IQ_PP_ATTRIB_ORE_RESERVES_MOLYB" vbProcedure="false">"c9695"</definedName>
    <definedName function="false" hidden="true" name="IQ_PP_ATTRIB_ORE_RESERVES_NICK" vbProcedure="false">"c9271"</definedName>
    <definedName function="false" hidden="true" name="IQ_PP_ATTRIB_ORE_RESERVES_PLAT" vbProcedure="false">"c9109"</definedName>
    <definedName function="false" hidden="true" name="IQ_PP_ATTRIB_ORE_RESERVES_SILVER" vbProcedure="false">"c9056"</definedName>
    <definedName function="false" hidden="true" name="IQ_PP_ATTRIB_ORE_RESERVES_TITAN" vbProcedure="false">"c9536"</definedName>
    <definedName function="false" hidden="true" name="IQ_PP_ATTRIB_ORE_RESERVES_URAN" vbProcedure="false">"c9589"</definedName>
    <definedName function="false" hidden="true" name="IQ_PP_ATTRIB_ORE_RESERVES_ZINC" vbProcedure="false">"c9324"</definedName>
    <definedName function="false" hidden="true" name="IQ_PP_ORE_RESERVES_ALUM" vbProcedure="false">"c9211"</definedName>
    <definedName function="false" hidden="true" name="IQ_PP_ORE_RESERVES_COP" vbProcedure="false">"c9155"</definedName>
    <definedName function="false" hidden="true" name="IQ_PP_ORE_RESERVES_DIAM" vbProcedure="false">"c9635"</definedName>
    <definedName function="false" hidden="true" name="IQ_PP_ORE_RESERVES_GOLD" vbProcedure="false">"c8996"</definedName>
    <definedName function="false" hidden="true" name="IQ_PP_ORE_RESERVES_IRON" vbProcedure="false">"c9370"</definedName>
    <definedName function="false" hidden="true" name="IQ_PP_ORE_RESERVES_LEAD" vbProcedure="false">"c9423"</definedName>
    <definedName function="false" hidden="true" name="IQ_PP_ORE_RESERVES_MANG" vbProcedure="false">"c9476"</definedName>
    <definedName function="false" hidden="true" name="IQ_PP_ORE_RESERVES_MOLYB" vbProcedure="false">"c9688"</definedName>
    <definedName function="false" hidden="true" name="IQ_PP_ORE_RESERVES_NICK" vbProcedure="false">"c9264"</definedName>
    <definedName function="false" hidden="true" name="IQ_PP_ORE_RESERVES_PLAT" vbProcedure="false">"c9102"</definedName>
    <definedName function="false" hidden="true" name="IQ_PP_ORE_RESERVES_SILVER" vbProcedure="false">"c9049"</definedName>
    <definedName function="false" hidden="true" name="IQ_PP_ORE_RESERVES_TITAN" vbProcedure="false">"c9529"</definedName>
    <definedName function="false" hidden="true" name="IQ_PP_ORE_RESERVES_URAN" vbProcedure="false">"c9582"</definedName>
    <definedName function="false" hidden="true" name="IQ_PP_ORE_RESERVES_ZINC" vbProcedure="false">"c9317"</definedName>
    <definedName function="false" hidden="true" name="IQ_PP_RECOV_ATTRIB_RESERVES_ALUM" vbProcedure="false">"c9221"</definedName>
    <definedName function="false" hidden="true" name="IQ_PP_RECOV_ATTRIB_RESERVES_COAL" vbProcedure="false">"c9805"</definedName>
    <definedName function="false" hidden="true" name="IQ_PP_RECOV_ATTRIB_RESERVES_COP" vbProcedure="false">"c9165"</definedName>
    <definedName function="false" hidden="true" name="IQ_PP_RECOV_ATTRIB_RESERVES_DIAM" vbProcedure="false">"c9645"</definedName>
    <definedName function="false" hidden="true" name="IQ_PP_RECOV_ATTRIB_RESERVES_GOLD" vbProcedure="false">"c9006"</definedName>
    <definedName function="false" hidden="true" name="IQ_PP_RECOV_ATTRIB_RESERVES_IRON" vbProcedure="false">"c9380"</definedName>
    <definedName function="false" hidden="true" name="IQ_PP_RECOV_ATTRIB_RESERVES_LEAD" vbProcedure="false">"c9433"</definedName>
    <definedName function="false" hidden="true" name="IQ_PP_RECOV_ATTRIB_RESERVES_MANG" vbProcedure="false">"c9486"</definedName>
    <definedName function="false" hidden="true" name="IQ_PP_RECOV_ATTRIB_RESERVES_MET_COAL" vbProcedure="false">"c9745"</definedName>
    <definedName function="false" hidden="true" name="IQ_PP_RECOV_ATTRIB_RESERVES_MOLYB" vbProcedure="false">"c9698"</definedName>
    <definedName function="false" hidden="true" name="IQ_PP_RECOV_ATTRIB_RESERVES_NICK" vbProcedure="false">"c9274"</definedName>
    <definedName function="false" hidden="true" name="IQ_PP_RECOV_ATTRIB_RESERVES_PLAT" vbProcedure="false">"c9112"</definedName>
    <definedName function="false" hidden="true" name="IQ_PP_RECOV_ATTRIB_RESERVES_SILVER" vbProcedure="false">"c9059"</definedName>
    <definedName function="false" hidden="true" name="IQ_PP_RECOV_ATTRIB_RESERVES_STEAM" vbProcedure="false">"c9775"</definedName>
    <definedName function="false" hidden="true" name="IQ_PP_RECOV_ATTRIB_RESERVES_TITAN" vbProcedure="false">"c9539"</definedName>
    <definedName function="false" hidden="true" name="IQ_PP_RECOV_ATTRIB_RESERVES_URAN" vbProcedure="false">"c9592"</definedName>
    <definedName function="false" hidden="true" name="IQ_PP_RECOV_ATTRIB_RESERVES_ZINC" vbProcedure="false">"c9327"</definedName>
    <definedName function="false" hidden="true" name="IQ_PP_RECOV_RESERVES_ALUM" vbProcedure="false">"c9215"</definedName>
    <definedName function="false" hidden="true" name="IQ_PP_RECOV_RESERVES_COAL" vbProcedure="false">"c9802"</definedName>
    <definedName function="false" hidden="true" name="IQ_PP_RECOV_RESERVES_COP" vbProcedure="false">"c9159"</definedName>
    <definedName function="false" hidden="true" name="IQ_PP_RECOV_RESERVES_DIAM" vbProcedure="false">"c9639"</definedName>
    <definedName function="false" hidden="true" name="IQ_PP_RECOV_RESERVES_GOLD" vbProcedure="false">"c9000"</definedName>
    <definedName function="false" hidden="true" name="IQ_PP_RECOV_RESERVES_IRON" vbProcedure="false">"c9374"</definedName>
    <definedName function="false" hidden="true" name="IQ_PP_RECOV_RESERVES_LEAD" vbProcedure="false">"c9427"</definedName>
    <definedName function="false" hidden="true" name="IQ_PP_RECOV_RESERVES_MANG" vbProcedure="false">"c9480"</definedName>
    <definedName function="false" hidden="true" name="IQ_PP_RECOV_RESERVES_MET_COAL" vbProcedure="false">"c9742"</definedName>
    <definedName function="false" hidden="true" name="IQ_PP_RECOV_RESERVES_MOLYB" vbProcedure="false">"c9692"</definedName>
    <definedName function="false" hidden="true" name="IQ_PP_RECOV_RESERVES_NICK" vbProcedure="false">"c9268"</definedName>
    <definedName function="false" hidden="true" name="IQ_PP_RECOV_RESERVES_PLAT" vbProcedure="false">"c9106"</definedName>
    <definedName function="false" hidden="true" name="IQ_PP_RECOV_RESERVES_SILVER" vbProcedure="false">"c9053"</definedName>
    <definedName function="false" hidden="true" name="IQ_PP_RECOV_RESERVES_STEAM" vbProcedure="false">"c9772"</definedName>
    <definedName function="false" hidden="true" name="IQ_PP_RECOV_RESERVES_TITAN" vbProcedure="false">"c9533"</definedName>
    <definedName function="false" hidden="true" name="IQ_PP_RECOV_RESERVES_URAN" vbProcedure="false">"c9586"</definedName>
    <definedName function="false" hidden="true" name="IQ_PP_RECOV_RESERVES_ZINC" vbProcedure="false">"c9321"</definedName>
    <definedName function="false" hidden="true" name="IQ_PP_RESERVES_CALORIFIC_VALUE_COAL" vbProcedure="false">"c9799"</definedName>
    <definedName function="false" hidden="true" name="IQ_PP_RESERVES_CALORIFIC_VALUE_MET_COAL" vbProcedure="false">"c9739"</definedName>
    <definedName function="false" hidden="true" name="IQ_PP_RESERVES_CALORIFIC_VALUE_STEAM" vbProcedure="false">"c9769"</definedName>
    <definedName function="false" hidden="true" name="IQ_PP_RESERVES_GRADE_ALUM" vbProcedure="false">"c9212"</definedName>
    <definedName function="false" hidden="true" name="IQ_PP_RESERVES_GRADE_COP" vbProcedure="false">"c9156"</definedName>
    <definedName function="false" hidden="true" name="IQ_PP_RESERVES_GRADE_DIAM" vbProcedure="false">"c9636"</definedName>
    <definedName function="false" hidden="true" name="IQ_PP_RESERVES_GRADE_GOLD" vbProcedure="false">"c8997"</definedName>
    <definedName function="false" hidden="true" name="IQ_PP_RESERVES_GRADE_IRON" vbProcedure="false">"c9371"</definedName>
    <definedName function="false" hidden="true" name="IQ_PP_RESERVES_GRADE_LEAD" vbProcedure="false">"c9424"</definedName>
    <definedName function="false" hidden="true" name="IQ_PP_RESERVES_GRADE_MANG" vbProcedure="false">"c9477"</definedName>
    <definedName function="false" hidden="true" name="IQ_PP_RESERVES_GRADE_MOLYB" vbProcedure="false">"c9689"</definedName>
    <definedName function="false" hidden="true" name="IQ_PP_RESERVES_GRADE_NICK" vbProcedure="false">"c9265"</definedName>
    <definedName function="false" hidden="true" name="IQ_PP_RESERVES_GRADE_PLAT" vbProcedure="false">"c9103"</definedName>
    <definedName function="false" hidden="true" name="IQ_PP_RESERVES_GRADE_SILVER" vbProcedure="false">"c9050"</definedName>
    <definedName function="false" hidden="true" name="IQ_PP_RESERVES_GRADE_TITAN" vbProcedure="false">"c9530"</definedName>
    <definedName function="false" hidden="true" name="IQ_PP_RESERVES_GRADE_URAN" vbProcedure="false">"c9583"</definedName>
    <definedName function="false" hidden="true" name="IQ_PP_RESERVES_GRADE_ZINC" vbProcedure="false">"c9318"</definedName>
    <definedName function="false" hidden="true" name="IQ_PREFERRED_DEPOSITS_FFIEC" vbProcedure="false">"c15312"</definedName>
    <definedName function="false" hidden="true" name="IQ_PREFERRED_FDIC" vbProcedure="false">"c6349"</definedName>
    <definedName function="false" hidden="true" name="IQ_PREFERRED_LIST" vbProcedure="false">"c13506"</definedName>
    <definedName function="false" hidden="true" name="IQ_PREF_CONVERT" vbProcedure="false">"c1041"</definedName>
    <definedName function="false" hidden="true" name="IQ_PREF_DIVID" vbProcedure="false">"c1461"</definedName>
    <definedName function="false" hidden="true" name="IQ_PREF_DIV_CF" vbProcedure="false">"c1042"</definedName>
    <definedName function="false" hidden="true" name="IQ_PREF_DIV_OTHER" vbProcedure="false">"c1043"</definedName>
    <definedName function="false" hidden="true" name="IQ_PREF_EQUITY" vbProcedure="false">"c1044"</definedName>
    <definedName function="false" hidden="true" name="IQ_PREF_ISSUED" vbProcedure="false">"c1045"</definedName>
    <definedName function="false" hidden="true" name="IQ_PREF_ISSUED_BNK" vbProcedure="false">"c1046"</definedName>
    <definedName function="false" hidden="true" name="IQ_PREF_ISSUED_BR" vbProcedure="false">"c1047"</definedName>
    <definedName function="false" hidden="true" name="IQ_PREF_ISSUED_FIN" vbProcedure="false">"c1048"</definedName>
    <definedName function="false" hidden="true" name="IQ_PREF_ISSUED_INS" vbProcedure="false">"c1049"</definedName>
    <definedName function="false" hidden="true" name="IQ_PREF_ISSUED_RE" vbProcedure="false">"c6261"</definedName>
    <definedName function="false" hidden="true" name="IQ_PREF_ISSUED_REIT" vbProcedure="false">"c1050"</definedName>
    <definedName function="false" hidden="true" name="IQ_PREF_ISSUED_UTI" vbProcedure="false">"c1051"</definedName>
    <definedName function="false" hidden="true" name="IQ_PREF_NON_REDEEM" vbProcedure="false">"c1052"</definedName>
    <definedName function="false" hidden="true" name="IQ_PREF_OTHER" vbProcedure="false">"c1053"</definedName>
    <definedName function="false" hidden="true" name="IQ_PREF_OTHER_BNK" vbProcedure="false">"c1054"</definedName>
    <definedName function="false" hidden="true" name="IQ_PREF_OTHER_BR" vbProcedure="false">"c1055"</definedName>
    <definedName function="false" hidden="true" name="IQ_PREF_OTHER_FIN" vbProcedure="false">"c1056"</definedName>
    <definedName function="false" hidden="true" name="IQ_PREF_OTHER_INS" vbProcedure="false">"c1057"</definedName>
    <definedName function="false" hidden="true" name="IQ_PREF_OTHER_RE" vbProcedure="false">"c6262"</definedName>
    <definedName function="false" hidden="true" name="IQ_PREF_OTHER_REIT" vbProcedure="false">"c1058"</definedName>
    <definedName function="false" hidden="true" name="IQ_PREF_OTHER_UTI" vbProcedure="false">"c6022"</definedName>
    <definedName function="false" hidden="true" name="IQ_PREF_REDEEM" vbProcedure="false">"c1059"</definedName>
    <definedName function="false" hidden="true" name="IQ_PREF_REP" vbProcedure="false">"c1060"</definedName>
    <definedName function="false" hidden="true" name="IQ_PREF_REP_BNK" vbProcedure="false">"c1061"</definedName>
    <definedName function="false" hidden="true" name="IQ_PREF_REP_BR" vbProcedure="false">"c1062"</definedName>
    <definedName function="false" hidden="true" name="IQ_PREF_REP_FIN" vbProcedure="false">"c1063"</definedName>
    <definedName function="false" hidden="true" name="IQ_PREF_REP_INS" vbProcedure="false">"c1064"</definedName>
    <definedName function="false" hidden="true" name="IQ_PREF_REP_RE" vbProcedure="false">"c6263"</definedName>
    <definedName function="false" hidden="true" name="IQ_PREF_REP_REIT" vbProcedure="false">"c1065"</definedName>
    <definedName function="false" hidden="true" name="IQ_PREF_REP_UTI" vbProcedure="false">"c1066"</definedName>
    <definedName function="false" hidden="true" name="IQ_PREF_STOCK" vbProcedure="false">"c1416"</definedName>
    <definedName function="false" hidden="true" name="IQ_PREF_STOCK_FFIEC" vbProcedure="false">"c12875"</definedName>
    <definedName function="false" hidden="true" name="IQ_PREF_TOT" vbProcedure="false">"c1415"</definedName>
    <definedName function="false" hidden="true" name="IQ_PREMISES_EQUIPMENT_FDIC" vbProcedure="false">"c6577"</definedName>
    <definedName function="false" hidden="true" name="IQ_PREMISES_FIXED_ASSETS_CAP_LEASES_FFIEC" vbProcedure="false">"c12830"</definedName>
    <definedName function="false" hidden="true" name="IQ_PREMIUMS_ANNUITY_REV" vbProcedure="false">"c1067"</definedName>
    <definedName function="false" hidden="true" name="IQ_PREMIUM_INSURANCE_CREDIT_FFIEC" vbProcedure="false">"c13070"</definedName>
    <definedName function="false" hidden="true" name="IQ_PREPAID_CHURN" vbProcedure="false">"c2120"</definedName>
    <definedName function="false" hidden="true" name="IQ_PREPAID_EXP" vbProcedure="false">"c1068"</definedName>
    <definedName function="false" hidden="true" name="IQ_PREPAID_EXPEN" vbProcedure="false">"c1418"</definedName>
    <definedName function="false" hidden="true" name="IQ_PREPAID_SUBS" vbProcedure="false">"c2117"</definedName>
    <definedName function="false" hidden="true" name="IQ_PRESIDENT_ID" vbProcedure="false">"c15216"</definedName>
    <definedName function="false" hidden="true" name="IQ_PRESIDENT_NAME" vbProcedure="false">"c15215"</definedName>
    <definedName function="false" hidden="true" name="IQ_PRETAX_GW_INC_DET_EST_CURRENCY_REUT" vbProcedure="false">"c12531"</definedName>
    <definedName function="false" hidden="true" name="IQ_PRETAX_GW_INC_DET_EST_DATE_REUT" vbProcedure="false">"c12290"</definedName>
    <definedName function="false" hidden="true" name="IQ_PRETAX_GW_INC_DET_EST_INCL_REUT" vbProcedure="false">"c12414"</definedName>
    <definedName function="false" hidden="true" name="IQ_PRETAX_GW_INC_DET_EST_ORIGIN_REUT" vbProcedure="false">"c12658"</definedName>
    <definedName function="false" hidden="true" name="IQ_PRETAX_GW_INC_DET_EST_REUT" vbProcedure="false">"c12148"</definedName>
    <definedName function="false" hidden="true" name="IQ_PRETAX_GW_INC_EST" vbProcedure="false">"c1702"</definedName>
    <definedName function="false" hidden="true" name="IQ_PRETAX_GW_INC_EST_REUT" vbProcedure="false">"c5354"</definedName>
    <definedName function="false" hidden="true" name="IQ_PRETAX_GW_INC_HIGH_EST" vbProcedure="false">"c1704"</definedName>
    <definedName function="false" hidden="true" name="IQ_PRETAX_GW_INC_HIGH_EST_REUT" vbProcedure="false">"c5356"</definedName>
    <definedName function="false" hidden="true" name="IQ_PRETAX_GW_INC_LOW_EST" vbProcedure="false">"c1705"</definedName>
    <definedName function="false" hidden="true" name="IQ_PRETAX_GW_INC_LOW_EST_REUT" vbProcedure="false">"c5357"</definedName>
    <definedName function="false" hidden="true" name="IQ_PRETAX_GW_INC_MEDIAN_EST" vbProcedure="false">"c1703"</definedName>
    <definedName function="false" hidden="true" name="IQ_PRETAX_GW_INC_MEDIAN_EST_REUT" vbProcedure="false">"c5355"</definedName>
    <definedName function="false" hidden="true" name="IQ_PRETAX_GW_INC_NUM_EST" vbProcedure="false">"c1706"</definedName>
    <definedName function="false" hidden="true" name="IQ_PRETAX_GW_INC_NUM_EST_REUT" vbProcedure="false">"c5358"</definedName>
    <definedName function="false" hidden="true" name="IQ_PRETAX_GW_INC_STDDEV_EST" vbProcedure="false">"c1707"</definedName>
    <definedName function="false" hidden="true" name="IQ_PRETAX_GW_INC_STDDEV_EST_REUT" vbProcedure="false">"c5359"</definedName>
    <definedName function="false" hidden="true" name="IQ_PRETAX_INC" vbProcedure="false">"IQ_PRETAX_INC"</definedName>
    <definedName function="false" hidden="true" name="IQ_PRETAX_INC_10K" vbProcedure="false">"IQ_PRETAX_INC_10K"</definedName>
    <definedName function="false" hidden="true" name="IQ_PRETAX_INC_10Q" vbProcedure="false">"IQ_PRETAX_INC_10Q"</definedName>
    <definedName function="false" hidden="true" name="IQ_PRETAX_INC_10Q1" vbProcedure="false">"IQ_PRETAX_INC_10Q1"</definedName>
    <definedName function="false" hidden="true" name="IQ_PRETAX_INC_AFTER_CAP_ALLOCATION_FOREIGN_FFIEC" vbProcedure="false">"c15390"</definedName>
    <definedName function="false" hidden="true" name="IQ_PRETAX_INC_BEFORE_CAP_ALLOCATION_FOREIGN_FFIEC" vbProcedure="false">"c15388"</definedName>
    <definedName function="false" hidden="true" name="IQ_PRETAX_INC_DET_EST" vbProcedure="false">"c12055"</definedName>
    <definedName function="false" hidden="true" name="IQ_PRETAX_INC_DET_EST_CURRENCY" vbProcedure="false">"c12462"</definedName>
    <definedName function="false" hidden="true" name="IQ_PRETAX_INC_DET_EST_CURRENCY_REUT" vbProcedure="false">"c12530"</definedName>
    <definedName function="false" hidden="true" name="IQ_PRETAX_INC_DET_EST_CURRENCY_THOM" vbProcedure="false">"c12483"</definedName>
    <definedName function="false" hidden="true" name="IQ_PRETAX_INC_DET_EST_DATE" vbProcedure="false">"c12208"</definedName>
    <definedName function="false" hidden="true" name="IQ_PRETAX_INC_DET_EST_DATE_REUT" vbProcedure="false">"c12289"</definedName>
    <definedName function="false" hidden="true" name="IQ_PRETAX_INC_DET_EST_DATE_THOM" vbProcedure="false">"c12234"</definedName>
    <definedName function="false" hidden="true" name="IQ_PRETAX_INC_DET_EST_INCL" vbProcedure="false">"c12345"</definedName>
    <definedName function="false" hidden="true" name="IQ_PRETAX_INC_DET_EST_INCL_REUT" vbProcedure="false">"c12413"</definedName>
    <definedName function="false" hidden="true" name="IQ_PRETAX_INC_DET_EST_INCL_THOM" vbProcedure="false">"c12366"</definedName>
    <definedName function="false" hidden="true" name="IQ_PRETAX_INC_DET_EST_ORIGIN" vbProcedure="false">"c12771"</definedName>
    <definedName function="false" hidden="true" name="IQ_PRETAX_INC_DET_EST_ORIGIN_REUT" vbProcedure="false">"c12657"</definedName>
    <definedName function="false" hidden="true" name="IQ_PRETAX_INC_DET_EST_ORIGIN_THOM" vbProcedure="false">"c12604"</definedName>
    <definedName function="false" hidden="true" name="IQ_PRETAX_INC_DET_EST_REUT" vbProcedure="false">"c12147"</definedName>
    <definedName function="false" hidden="true" name="IQ_PRETAX_INC_DET_EST_THOM" vbProcedure="false">"c12084"</definedName>
    <definedName function="false" hidden="true" name="IQ_PRETAX_INC_EST" vbProcedure="false">"c1695"</definedName>
    <definedName function="false" hidden="true" name="IQ_PRETAX_INC_EST_REUT" vbProcedure="false">"c5347"</definedName>
    <definedName function="false" hidden="true" name="IQ_PRETAX_INC_EST_THOM" vbProcedure="false">"c5119"</definedName>
    <definedName function="false" hidden="true" name="IQ_PRETAX_INC_HIGH_EST" vbProcedure="false">"c1697"</definedName>
    <definedName function="false" hidden="true" name="IQ_PRETAX_INC_HIGH_EST_REUT" vbProcedure="false">"c5349"</definedName>
    <definedName function="false" hidden="true" name="IQ_PRETAX_INC_HIGH_EST_THOM" vbProcedure="false">"c5121"</definedName>
    <definedName function="false" hidden="true" name="IQ_PRETAX_INC_LOW_EST" vbProcedure="false">"c1698"</definedName>
    <definedName function="false" hidden="true" name="IQ_PRETAX_INC_LOW_EST_REUT" vbProcedure="false">"c5350"</definedName>
    <definedName function="false" hidden="true" name="IQ_PRETAX_INC_LOW_EST_THOM" vbProcedure="false">"c5122"</definedName>
    <definedName function="false" hidden="true" name="IQ_PRETAX_INC_MEDIAN_EST" vbProcedure="false">"c1696"</definedName>
    <definedName function="false" hidden="true" name="IQ_PRETAX_INC_MEDIAN_EST_REUT" vbProcedure="false">"c5348"</definedName>
    <definedName function="false" hidden="true" name="IQ_PRETAX_INC_MEDIAN_EST_THOM" vbProcedure="false">"c5120"</definedName>
    <definedName function="false" hidden="true" name="IQ_PRETAX_INC_NUM_EST" vbProcedure="false">"c1699"</definedName>
    <definedName function="false" hidden="true" name="IQ_PRETAX_INC_NUM_EST_REUT" vbProcedure="false">"c5351"</definedName>
    <definedName function="false" hidden="true" name="IQ_PRETAX_INC_NUM_EST_THOM" vbProcedure="false">"c5123"</definedName>
    <definedName function="false" hidden="true" name="IQ_PRETAX_INC_STDDEV_EST" vbProcedure="false">"c1700"</definedName>
    <definedName function="false" hidden="true" name="IQ_PRETAX_INC_STDDEV_EST_REUT" vbProcedure="false">"c5352"</definedName>
    <definedName function="false" hidden="true" name="IQ_PRETAX_INC_STDDEV_EST_THOM" vbProcedure="false">"c5124"</definedName>
    <definedName function="false" hidden="true" name="IQ_PRETAX_OPERATING_INC_AVG_ASSETS_FFIEC" vbProcedure="false">"c13365"</definedName>
    <definedName function="false" hidden="true" name="IQ_PRETAX_REPORT_INC_DET_EST_CURRENCY_REUT" vbProcedure="false">"c12532"</definedName>
    <definedName function="false" hidden="true" name="IQ_PRETAX_REPORT_INC_DET_EST_DATE_REUT" vbProcedure="false">"c12291"</definedName>
    <definedName function="false" hidden="true" name="IQ_PRETAX_REPORT_INC_DET_EST_INCL_REUT" vbProcedure="false">"c12415"</definedName>
    <definedName function="false" hidden="true" name="IQ_PRETAX_REPORT_INC_DET_EST_ORIGIN_REUT" vbProcedure="false">"c12769"</definedName>
    <definedName function="false" hidden="true" name="IQ_PRETAX_REPORT_INC_DET_EST_REUT" vbProcedure="false">"c12149"</definedName>
    <definedName function="false" hidden="true" name="IQ_PRETAX_REPORT_INC_EST" vbProcedure="false">"c1709"</definedName>
    <definedName function="false" hidden="true" name="IQ_PRETAX_REPORT_INC_EST_REUT" vbProcedure="false">"c5361"</definedName>
    <definedName function="false" hidden="true" name="IQ_PRETAX_REPORT_INC_HIGH_EST" vbProcedure="false">"c1711"</definedName>
    <definedName function="false" hidden="true" name="IQ_PRETAX_REPORT_INC_HIGH_EST_REUT" vbProcedure="false">"c5363"</definedName>
    <definedName function="false" hidden="true" name="IQ_PRETAX_REPORT_INC_LOW_EST" vbProcedure="false">"c1712"</definedName>
    <definedName function="false" hidden="true" name="IQ_PRETAX_REPORT_INC_LOW_EST_REUT" vbProcedure="false">"c5364"</definedName>
    <definedName function="false" hidden="true" name="IQ_PRETAX_REPORT_INC_MEDIAN_EST" vbProcedure="false">"c1710"</definedName>
    <definedName function="false" hidden="true" name="IQ_PRETAX_REPORT_INC_MEDIAN_EST_REUT" vbProcedure="false">"c5362"</definedName>
    <definedName function="false" hidden="true" name="IQ_PRETAX_REPORT_INC_NUM_EST" vbProcedure="false">"c1713"</definedName>
    <definedName function="false" hidden="true" name="IQ_PRETAX_REPORT_INC_NUM_EST_REUT" vbProcedure="false">"c5365"</definedName>
    <definedName function="false" hidden="true" name="IQ_PRETAX_REPORT_INC_STDDEV_EST" vbProcedure="false">"c1714"</definedName>
    <definedName function="false" hidden="true" name="IQ_PRETAX_REPORT_INC_STDDEV_EST_REUT" vbProcedure="false">"c5366"</definedName>
    <definedName function="false" hidden="true" name="IQ_PRETAX_RETURN_ASSETS_FDIC" vbProcedure="false">"c6731"</definedName>
    <definedName function="false" hidden="true" name="IQ_PREVIOUS_TIME_RT" vbProcedure="false">"PREVIOUSLASTTIME"</definedName>
    <definedName function="false" hidden="true" name="IQ_PREV_MONTHLY_FACTOR" vbProcedure="false">"c8973"</definedName>
    <definedName function="false" hidden="true" name="IQ_PREV_MONTHLY_FACTOR_DATE" vbProcedure="false">"c8974"</definedName>
    <definedName function="false" hidden="true" name="IQ_PRE_OPEN_COST" vbProcedure="false">"c1040"</definedName>
    <definedName function="false" hidden="true" name="IQ_PRE_TAX_ACT_OR_EST" vbProcedure="false">"c2221"</definedName>
    <definedName function="false" hidden="true" name="IQ_PRE_TAX_ACT_OR_EST_REUT" vbProcedure="false">"c5467"</definedName>
    <definedName function="false" hidden="true" name="IQ_PRE_TAX_ACT_OR_EST_THOM" vbProcedure="false">"c5305"</definedName>
    <definedName function="false" hidden="true" name="IQ_PRE_TAX_INCOME_FDIC" vbProcedure="false">"c6581"</definedName>
    <definedName function="false" hidden="true" name="IQ_PRICEDATE" vbProcedure="false">"c1069"</definedName>
    <definedName function="false" hidden="true" name="IQ_PRICEDATETIME" vbProcedure="false">"IQ_PRICEDATETIME"</definedName>
    <definedName function="false" hidden="true" name="IQ_PRICE_CFPS_FWD" vbProcedure="false">"c2237"</definedName>
    <definedName function="false" hidden="true" name="IQ_PRICE_CFPS_FWD_REUT" vbProcedure="false">"c4053"</definedName>
    <definedName function="false" hidden="true" name="IQ_PRICE_CFPS_FWD_THOM" vbProcedure="false">"c4060"</definedName>
    <definedName function="false" hidden="true" name="IQ_PRICE_OVER_BVPS" vbProcedure="false">"c1412"</definedName>
    <definedName function="false" hidden="true" name="IQ_PRICE_OVER_EPS_EST" vbProcedure="false">"IQ_PRICE_OVER_EPS_EST"</definedName>
    <definedName function="false" hidden="true" name="IQ_PRICE_OVER_EPS_EST_1" vbProcedure="false">"IQ_PRICE_OVER_EPS_EST_1"</definedName>
    <definedName function="false" hidden="true" name="IQ_PRICE_OVER_LTM_EPS" vbProcedure="false">"c1413"</definedName>
    <definedName function="false" hidden="true" name="IQ_PRICE_PAID_FARM_INDEX" vbProcedure="false">"c6948"</definedName>
    <definedName function="false" hidden="true" name="IQ_PRICE_PAID_FARM_INDEX_APR" vbProcedure="false">"c7608"</definedName>
    <definedName function="false" hidden="true" name="IQ_PRICE_PAID_FARM_INDEX_APR_FC" vbProcedure="false">"c8488"</definedName>
    <definedName function="false" hidden="true" name="IQ_PRICE_PAID_FARM_INDEX_FC" vbProcedure="false">"c7828"</definedName>
    <definedName function="false" hidden="true" name="IQ_PRICE_PAID_FARM_INDEX_POP" vbProcedure="false">"c7168"</definedName>
    <definedName function="false" hidden="true" name="IQ_PRICE_PAID_FARM_INDEX_POP_FC" vbProcedure="false">"c8048"</definedName>
    <definedName function="false" hidden="true" name="IQ_PRICE_PAID_FARM_INDEX_YOY" vbProcedure="false">"c7388"</definedName>
    <definedName function="false" hidden="true" name="IQ_PRICE_PAID_FARM_INDEX_YOY_FC" vbProcedure="false">"c8268"</definedName>
    <definedName function="false" hidden="true" name="IQ_PRICE_TARGET" vbProcedure="false">"c82"</definedName>
    <definedName function="false" hidden="true" name="IQ_PRICE_TARGET_BOTTOM_UP" vbProcedure="false">"c5486"</definedName>
    <definedName function="false" hidden="true" name="IQ_PRICE_TARGET_BOTTOM_UP_CIQ" vbProcedure="false">"c12023"</definedName>
    <definedName function="false" hidden="true" name="IQ_PRICE_TARGET_BOTTOM_UP_REUT" vbProcedure="false">"c5494"</definedName>
    <definedName function="false" hidden="true" name="IQ_PRICE_TARGET_CIQ" vbProcedure="false">"c3613"</definedName>
    <definedName function="false" hidden="true" name="IQ_PRICE_TARGET_REUT" vbProcedure="false">"c3631"</definedName>
    <definedName function="false" hidden="true" name="IQ_PRICE_TARGET_THOM" vbProcedure="false">"c3649"</definedName>
    <definedName function="false" hidden="true" name="IQ_PRICE_VOLATILITY_EST" vbProcedure="false">"c4492"</definedName>
    <definedName function="false" hidden="true" name="IQ_PRICE_VOLATILITY_HIGH" vbProcedure="false">"c4493"</definedName>
    <definedName function="false" hidden="true" name="IQ_PRICE_VOLATILITY_LOW" vbProcedure="false">"c4494"</definedName>
    <definedName function="false" hidden="true" name="IQ_PRICE_VOLATILITY_MEDIAN" vbProcedure="false">"c4495"</definedName>
    <definedName function="false" hidden="true" name="IQ_PRICE_VOLATILITY_NUM" vbProcedure="false">"c4496"</definedName>
    <definedName function="false" hidden="true" name="IQ_PRICE_VOLATILITY_STDDEV" vbProcedure="false">"c4497"</definedName>
    <definedName function="false" hidden="true" name="IQ_PRICE_VOL_HIST_2YR" vbProcedure="false">"c15637"</definedName>
    <definedName function="false" hidden="true" name="IQ_PRICE_VOL_HIST_3MTH" vbProcedure="false">"c15634"</definedName>
    <definedName function="false" hidden="true" name="IQ_PRICE_VOL_HIST_5YR" vbProcedure="false">"c15638"</definedName>
    <definedName function="false" hidden="true" name="IQ_PRICE_VOL_HIST_6MTH" vbProcedure="false">"c15635"</definedName>
    <definedName function="false" hidden="true" name="IQ_PRICE_VOL_HIST_YR" vbProcedure="false">"c15636"</definedName>
    <definedName function="false" hidden="true" name="IQ_PRICING_DATE" vbProcedure="false">"c1613"</definedName>
    <definedName function="false" hidden="true" name="IQ_PRIMARY_EPS_TYPE" vbProcedure="false">"c4498"</definedName>
    <definedName function="false" hidden="true" name="IQ_PRIMARY_EPS_TYPE_CIQ" vbProcedure="false">"c5036"</definedName>
    <definedName function="false" hidden="true" name="IQ_PRIMARY_EPS_TYPE_REUT" vbProcedure="false">"c5481"</definedName>
    <definedName function="false" hidden="true" name="IQ_PRIMARY_INDUSTRY" vbProcedure="false">"c1070"</definedName>
    <definedName function="false" hidden="true" name="IQ_PRIMARY_SIC_CODE" vbProcedure="false">"c16218"</definedName>
    <definedName function="false" hidden="true" name="IQ_PRIMARY_SIC_INDUSTRY" vbProcedure="false">"c16217"</definedName>
    <definedName function="false" hidden="true" name="IQ_PRINCIPAL_AMT" vbProcedure="false">"c2157"</definedName>
    <definedName function="false" hidden="true" name="IQ_PRIVATELY_ISSUED_MORTGAGE_BACKED_SECURITIES_FDIC" vbProcedure="false">"c6407"</definedName>
    <definedName function="false" hidden="true" name="IQ_PRIVATELY_ISSUED_MORTGAGE_PASS_THROUGHS_FDIC" vbProcedure="false">"c6405"</definedName>
    <definedName function="false" hidden="true" name="IQ_PRIVATE_CONST_TOTAL_APR_FC_UNUSED" vbProcedure="false">"c8559"</definedName>
    <definedName function="false" hidden="true" name="IQ_PRIVATE_CONST_TOTAL_APR_UNUSED" vbProcedure="false">"c7679"</definedName>
    <definedName function="false" hidden="true" name="IQ_PRIVATE_CONST_TOTAL_FC_UNUSED" vbProcedure="false">"c7899"</definedName>
    <definedName function="false" hidden="true" name="IQ_PRIVATE_CONST_TOTAL_POP_FC_UNUSED" vbProcedure="false">"c8119"</definedName>
    <definedName function="false" hidden="true" name="IQ_PRIVATE_CONST_TOTAL_POP_UNUSED" vbProcedure="false">"c7239"</definedName>
    <definedName function="false" hidden="true" name="IQ_PRIVATE_CONST_TOTAL_UNUSED" vbProcedure="false">"c7019"</definedName>
    <definedName function="false" hidden="true" name="IQ_PRIVATE_CONST_TOTAL_YOY_FC_UNUSED" vbProcedure="false">"c8339"</definedName>
    <definedName function="false" hidden="true" name="IQ_PRIVATE_CONST_TOTAL_YOY_UNUSED" vbProcedure="false">"c7459"</definedName>
    <definedName function="false" hidden="true" name="IQ_PRIVATE_FIXED_INVEST_TOTAL" vbProcedure="false">"c12006"</definedName>
    <definedName function="false" hidden="true" name="IQ_PRIVATE_FIXED_INVEST_TOTAL_APR" vbProcedure="false">"c12009"</definedName>
    <definedName function="false" hidden="true" name="IQ_PRIVATE_FIXED_INVEST_TOTAL_POP" vbProcedure="false">"c12007"</definedName>
    <definedName function="false" hidden="true" name="IQ_PRIVATE_FIXED_INVEST_TOTAL_YOY" vbProcedure="false">"c12008"</definedName>
    <definedName function="false" hidden="true" name="IQ_PRIVATE_NONRES_CONST_IMPROV" vbProcedure="false">"c6949"</definedName>
    <definedName function="false" hidden="true" name="IQ_PRIVATE_NONRES_CONST_IMPROV_APR" vbProcedure="false">"c7609"</definedName>
    <definedName function="false" hidden="true" name="IQ_PRIVATE_NONRES_CONST_IMPROV_APR_FC" vbProcedure="false">"c8489"</definedName>
    <definedName function="false" hidden="true" name="IQ_PRIVATE_NONRES_CONST_IMPROV_FC" vbProcedure="false">"c7829"</definedName>
    <definedName function="false" hidden="true" name="IQ_PRIVATE_NONRES_CONST_IMPROV_POP" vbProcedure="false">"c7169"</definedName>
    <definedName function="false" hidden="true" name="IQ_PRIVATE_NONRES_CONST_IMPROV_POP_FC" vbProcedure="false">"c8049"</definedName>
    <definedName function="false" hidden="true" name="IQ_PRIVATE_NONRES_CONST_IMPROV_YOY" vbProcedure="false">"c7389"</definedName>
    <definedName function="false" hidden="true" name="IQ_PRIVATE_NONRES_CONST_IMPROV_YOY_FC" vbProcedure="false">"c8269"</definedName>
    <definedName function="false" hidden="true" name="IQ_PRIVATE_RES_CONST_IMPROV" vbProcedure="false">"c6950"</definedName>
    <definedName function="false" hidden="true" name="IQ_PRIVATE_RES_CONST_IMPROV_APR" vbProcedure="false">"c7610"</definedName>
    <definedName function="false" hidden="true" name="IQ_PRIVATE_RES_CONST_IMPROV_APR_FC" vbProcedure="false">"c8490"</definedName>
    <definedName function="false" hidden="true" name="IQ_PRIVATE_RES_CONST_IMPROV_FC" vbProcedure="false">"c7830"</definedName>
    <definedName function="false" hidden="true" name="IQ_PRIVATE_RES_CONST_IMPROV_POP" vbProcedure="false">"c7170"</definedName>
    <definedName function="false" hidden="true" name="IQ_PRIVATE_RES_CONST_IMPROV_POP_FC" vbProcedure="false">"c8050"</definedName>
    <definedName function="false" hidden="true" name="IQ_PRIVATE_RES_CONST_IMPROV_YOY" vbProcedure="false">"c7390"</definedName>
    <definedName function="false" hidden="true" name="IQ_PRIVATE_RES_CONST_IMPROV_YOY_FC" vbProcedure="false">"c8270"</definedName>
    <definedName function="false" hidden="true" name="IQ_PRIVATE_RES_CONST_REAL_APR_FC_UNUSED" vbProcedure="false">"c8535"</definedName>
    <definedName function="false" hidden="true" name="IQ_PRIVATE_RES_CONST_REAL_APR_UNUSED" vbProcedure="false">"c7655"</definedName>
    <definedName function="false" hidden="true" name="IQ_PRIVATE_RES_CONST_REAL_FC_UNUSED" vbProcedure="false">"c7875"</definedName>
    <definedName function="false" hidden="true" name="IQ_PRIVATE_RES_CONST_REAL_POP_FC_UNUSED" vbProcedure="false">"c8095"</definedName>
    <definedName function="false" hidden="true" name="IQ_PRIVATE_RES_CONST_REAL_POP_UNUSED" vbProcedure="false">"c7215"</definedName>
    <definedName function="false" hidden="true" name="IQ_PRIVATE_RES_CONST_REAL_UNUSED" vbProcedure="false">"c6995"</definedName>
    <definedName function="false" hidden="true" name="IQ_PRIVATE_RES_CONST_REAL_YOY_FC_UNUSED" vbProcedure="false">"c8315"</definedName>
    <definedName function="false" hidden="true" name="IQ_PRIVATE_RES_CONST_REAL_YOY_UNUSED" vbProcedure="false">"c7435"</definedName>
    <definedName function="false" hidden="true" name="IQ_PRIVATE_RES_FIXED_INVEST_REAL" vbProcedure="false">"c11986"</definedName>
    <definedName function="false" hidden="true" name="IQ_PRIVATE_RES_FIXED_INVEST_REAL_APR" vbProcedure="false">"c11989"</definedName>
    <definedName function="false" hidden="true" name="IQ_PRIVATE_RES_FIXED_INVEST_REAL_POP" vbProcedure="false">"c11987"</definedName>
    <definedName function="false" hidden="true" name="IQ_PRIVATE_RES_FIXED_INVEST_REAL_YOY" vbProcedure="false">"c11988"</definedName>
    <definedName function="false" hidden="true" name="IQ_PROBABLE_ATTRIB_ORE_RESERVES_ALUM" vbProcedure="false">"c9217"</definedName>
    <definedName function="false" hidden="true" name="IQ_PROBABLE_ATTRIB_ORE_RESERVES_COP" vbProcedure="false">"c9161"</definedName>
    <definedName function="false" hidden="true" name="IQ_PROBABLE_ATTRIB_ORE_RESERVES_DIAM" vbProcedure="false">"c9641"</definedName>
    <definedName function="false" hidden="true" name="IQ_PROBABLE_ATTRIB_ORE_RESERVES_GOLD" vbProcedure="false">"c9002"</definedName>
    <definedName function="false" hidden="true" name="IQ_PROBABLE_ATTRIB_ORE_RESERVES_IRON" vbProcedure="false">"c9376"</definedName>
    <definedName function="false" hidden="true" name="IQ_PROBABLE_ATTRIB_ORE_RESERVES_LEAD" vbProcedure="false">"c9429"</definedName>
    <definedName function="false" hidden="true" name="IQ_PROBABLE_ATTRIB_ORE_RESERVES_MANG" vbProcedure="false">"c9482"</definedName>
    <definedName function="false" hidden="true" name="IQ_PROBABLE_ATTRIB_ORE_RESERVES_MOLYB" vbProcedure="false">"c9694"</definedName>
    <definedName function="false" hidden="true" name="IQ_PROBABLE_ATTRIB_ORE_RESERVES_NICK" vbProcedure="false">"c9270"</definedName>
    <definedName function="false" hidden="true" name="IQ_PROBABLE_ATTRIB_ORE_RESERVES_PLAT" vbProcedure="false">"c9108"</definedName>
    <definedName function="false" hidden="true" name="IQ_PROBABLE_ATTRIB_ORE_RESERVES_SILVER" vbProcedure="false">"c9055"</definedName>
    <definedName function="false" hidden="true" name="IQ_PROBABLE_ATTRIB_ORE_RESERVES_TITAN" vbProcedure="false">"c9535"</definedName>
    <definedName function="false" hidden="true" name="IQ_PROBABLE_ATTRIB_ORE_RESERVES_URAN" vbProcedure="false">"c9588"</definedName>
    <definedName function="false" hidden="true" name="IQ_PROBABLE_ATTRIB_ORE_RESERVES_ZINC" vbProcedure="false">"c9323"</definedName>
    <definedName function="false" hidden="true" name="IQ_PROBABLE_ORE_RESERVES_ALUM" vbProcedure="false">"c9209"</definedName>
    <definedName function="false" hidden="true" name="IQ_PROBABLE_ORE_RESERVES_COP" vbProcedure="false">"c9153"</definedName>
    <definedName function="false" hidden="true" name="IQ_PROBABLE_ORE_RESERVES_DIAM" vbProcedure="false">"c9633"</definedName>
    <definedName function="false" hidden="true" name="IQ_PROBABLE_ORE_RESERVES_GOLD" vbProcedure="false">"c8994"</definedName>
    <definedName function="false" hidden="true" name="IQ_PROBABLE_ORE_RESERVES_IRON" vbProcedure="false">"c9368"</definedName>
    <definedName function="false" hidden="true" name="IQ_PROBABLE_ORE_RESERVES_LEAD" vbProcedure="false">"c9421"</definedName>
    <definedName function="false" hidden="true" name="IQ_PROBABLE_ORE_RESERVES_MANG" vbProcedure="false">"c9474"</definedName>
    <definedName function="false" hidden="true" name="IQ_PROBABLE_ORE_RESERVES_MOLYB" vbProcedure="false">"c9686"</definedName>
    <definedName function="false" hidden="true" name="IQ_PROBABLE_ORE_RESERVES_NICK" vbProcedure="false">"c9262"</definedName>
    <definedName function="false" hidden="true" name="IQ_PROBABLE_ORE_RESERVES_PLAT" vbProcedure="false">"c9100"</definedName>
    <definedName function="false" hidden="true" name="IQ_PROBABLE_ORE_RESERVES_SILVER" vbProcedure="false">"c9047"</definedName>
    <definedName function="false" hidden="true" name="IQ_PROBABLE_ORE_RESERVES_TITAN" vbProcedure="false">"c9527"</definedName>
    <definedName function="false" hidden="true" name="IQ_PROBABLE_ORE_RESERVES_URAN" vbProcedure="false">"c9580"</definedName>
    <definedName function="false" hidden="true" name="IQ_PROBABLE_ORE_RESERVES_ZINC" vbProcedure="false">"c9315"</definedName>
    <definedName function="false" hidden="true" name="IQ_PROBABLE_RECOV_ATTRIB_RESERVES_ALUM" vbProcedure="false">"c9220"</definedName>
    <definedName function="false" hidden="true" name="IQ_PROBABLE_RECOV_ATTRIB_RESERVES_COAL" vbProcedure="false">"c9804"</definedName>
    <definedName function="false" hidden="true" name="IQ_PROBABLE_RECOV_ATTRIB_RESERVES_COP" vbProcedure="false">"c9164"</definedName>
    <definedName function="false" hidden="true" name="IQ_PROBABLE_RECOV_ATTRIB_RESERVES_DIAM" vbProcedure="false">"c9644"</definedName>
    <definedName function="false" hidden="true" name="IQ_PROBABLE_RECOV_ATTRIB_RESERVES_GOLD" vbProcedure="false">"c9005"</definedName>
    <definedName function="false" hidden="true" name="IQ_PROBABLE_RECOV_ATTRIB_RESERVES_IRON" vbProcedure="false">"c9379"</definedName>
    <definedName function="false" hidden="true" name="IQ_PROBABLE_RECOV_ATTRIB_RESERVES_LEAD" vbProcedure="false">"c9432"</definedName>
    <definedName function="false" hidden="true" name="IQ_PROBABLE_RECOV_ATTRIB_RESERVES_MANG" vbProcedure="false">"c9485"</definedName>
    <definedName function="false" hidden="true" name="IQ_PROBABLE_RECOV_ATTRIB_RESERVES_MET_COAL" vbProcedure="false">"c9744"</definedName>
    <definedName function="false" hidden="true" name="IQ_PROBABLE_RECOV_ATTRIB_RESERVES_MOLYB" vbProcedure="false">"c9697"</definedName>
    <definedName function="false" hidden="true" name="IQ_PROBABLE_RECOV_ATTRIB_RESERVES_NICK" vbProcedure="false">"c9273"</definedName>
    <definedName function="false" hidden="true" name="IQ_PROBABLE_RECOV_ATTRIB_RESERVES_PLAT" vbProcedure="false">"c9111"</definedName>
    <definedName function="false" hidden="true" name="IQ_PROBABLE_RECOV_ATTRIB_RESERVES_SILVER" vbProcedure="false">"c9058"</definedName>
    <definedName function="false" hidden="true" name="IQ_PROBABLE_RECOV_ATTRIB_RESERVES_STEAM" vbProcedure="false">"c9774"</definedName>
    <definedName function="false" hidden="true" name="IQ_PROBABLE_RECOV_ATTRIB_RESERVES_TITAN" vbProcedure="false">"c9538"</definedName>
    <definedName function="false" hidden="true" name="IQ_PROBABLE_RECOV_ATTRIB_RESERVES_URAN" vbProcedure="false">"c9591"</definedName>
    <definedName function="false" hidden="true" name="IQ_PROBABLE_RECOV_ATTRIB_RESERVES_ZINC" vbProcedure="false">"c9326"</definedName>
    <definedName function="false" hidden="true" name="IQ_PROBABLE_RECOV_RESERVES_ALUM" vbProcedure="false">"c9214"</definedName>
    <definedName function="false" hidden="true" name="IQ_PROBABLE_RECOV_RESERVES_COAL" vbProcedure="false">"c9801"</definedName>
    <definedName function="false" hidden="true" name="IQ_PROBABLE_RECOV_RESERVES_COP" vbProcedure="false">"c9158"</definedName>
    <definedName function="false" hidden="true" name="IQ_PROBABLE_RECOV_RESERVES_DIAM" vbProcedure="false">"c9638"</definedName>
    <definedName function="false" hidden="true" name="IQ_PROBABLE_RECOV_RESERVES_GOLD" vbProcedure="false">"c8999"</definedName>
    <definedName function="false" hidden="true" name="IQ_PROBABLE_RECOV_RESERVES_IRON" vbProcedure="false">"c9373"</definedName>
    <definedName function="false" hidden="true" name="IQ_PROBABLE_RECOV_RESERVES_LEAD" vbProcedure="false">"c9426"</definedName>
    <definedName function="false" hidden="true" name="IQ_PROBABLE_RECOV_RESERVES_MANG" vbProcedure="false">"c9479"</definedName>
    <definedName function="false" hidden="true" name="IQ_PROBABLE_RECOV_RESERVES_MET_COAL" vbProcedure="false">"c9741"</definedName>
    <definedName function="false" hidden="true" name="IQ_PROBABLE_RECOV_RESERVES_MOLYB" vbProcedure="false">"c9691"</definedName>
    <definedName function="false" hidden="true" name="IQ_PROBABLE_RECOV_RESERVES_NICK" vbProcedure="false">"c9267"</definedName>
    <definedName function="false" hidden="true" name="IQ_PROBABLE_RECOV_RESERVES_PLAT" vbProcedure="false">"c9105"</definedName>
    <definedName function="false" hidden="true" name="IQ_PROBABLE_RECOV_RESERVES_SILVER" vbProcedure="false">"c9052"</definedName>
    <definedName function="false" hidden="true" name="IQ_PROBABLE_RECOV_RESERVES_STEAM" vbProcedure="false">"c9771"</definedName>
    <definedName function="false" hidden="true" name="IQ_PROBABLE_RECOV_RESERVES_TITAN" vbProcedure="false">"c9532"</definedName>
    <definedName function="false" hidden="true" name="IQ_PROBABLE_RECOV_RESERVES_URAN" vbProcedure="false">"c9585"</definedName>
    <definedName function="false" hidden="true" name="IQ_PROBABLE_RECOV_RESERVES_ZINC" vbProcedure="false">"c9320"</definedName>
    <definedName function="false" hidden="true" name="IQ_PROBABLE_RESERVES_CALORIFIC_VALUE_COAL" vbProcedure="false">"c9798"</definedName>
    <definedName function="false" hidden="true" name="IQ_PROBABLE_RESERVES_CALORIFIC_VALUE_MET_COAL" vbProcedure="false">"c9738"</definedName>
    <definedName function="false" hidden="true" name="IQ_PROBABLE_RESERVES_CALORIFIC_VALUE_STEAM" vbProcedure="false">"c9768"</definedName>
    <definedName function="false" hidden="true" name="IQ_PROBABLE_RESERVES_GRADE_ALUM" vbProcedure="false">"c9210"</definedName>
    <definedName function="false" hidden="true" name="IQ_PROBABLE_RESERVES_GRADE_COP" vbProcedure="false">"c9154"</definedName>
    <definedName function="false" hidden="true" name="IQ_PROBABLE_RESERVES_GRADE_DIAM" vbProcedure="false">"c9634"</definedName>
    <definedName function="false" hidden="true" name="IQ_PROBABLE_RESERVES_GRADE_GOLD" vbProcedure="false">"c8995"</definedName>
    <definedName function="false" hidden="true" name="IQ_PROBABLE_RESERVES_GRADE_IRON" vbProcedure="false">"c9369"</definedName>
    <definedName function="false" hidden="true" name="IQ_PROBABLE_RESERVES_GRADE_LEAD" vbProcedure="false">"c9422"</definedName>
    <definedName function="false" hidden="true" name="IQ_PROBABLE_RESERVES_GRADE_MANG" vbProcedure="false">"c9475"</definedName>
    <definedName function="false" hidden="true" name="IQ_PROBABLE_RESERVES_GRADE_MOLYB" vbProcedure="false">"c9687"</definedName>
    <definedName function="false" hidden="true" name="IQ_PROBABLE_RESERVES_GRADE_NICK" vbProcedure="false">"c9263"</definedName>
    <definedName function="false" hidden="true" name="IQ_PROBABLE_RESERVES_GRADE_PLAT" vbProcedure="false">"c9101"</definedName>
    <definedName function="false" hidden="true" name="IQ_PROBABLE_RESERVES_GRADE_SILVER" vbProcedure="false">"c9048"</definedName>
    <definedName function="false" hidden="true" name="IQ_PROBABLE_RESERVES_GRADE_TITAN" vbProcedure="false">"c9528"</definedName>
    <definedName function="false" hidden="true" name="IQ_PROBABLE_RESERVES_GRADE_URAN" vbProcedure="false">"c9581"</definedName>
    <definedName function="false" hidden="true" name="IQ_PROBABLE_RESERVES_GRADE_ZINC" vbProcedure="false">"c9316"</definedName>
    <definedName function="false" hidden="true" name="IQ_PROBABLE_RESERVES_TO_TOTAL_RESERVES_COAL" vbProcedure="false">"c15953"</definedName>
    <definedName function="false" hidden="true" name="IQ_PRODUCTION_COST_ALUM" vbProcedure="false">"c9253"</definedName>
    <definedName function="false" hidden="true" name="IQ_PRODUCTION_COST_COAL" vbProcedure="false">"c9826"</definedName>
    <definedName function="false" hidden="true" name="IQ_PRODUCTION_COST_COP" vbProcedure="false">"c9200"</definedName>
    <definedName function="false" hidden="true" name="IQ_PRODUCTION_COST_DIAM" vbProcedure="false">"c9677"</definedName>
    <definedName function="false" hidden="true" name="IQ_PRODUCTION_COST_GOLD" vbProcedure="false">"c9038"</definedName>
    <definedName function="false" hidden="true" name="IQ_PRODUCTION_COST_IRON" vbProcedure="false">"c9412"</definedName>
    <definedName function="false" hidden="true" name="IQ_PRODUCTION_COST_LEAD" vbProcedure="false">"c9465"</definedName>
    <definedName function="false" hidden="true" name="IQ_PRODUCTION_COST_MANG" vbProcedure="false">"c9518"</definedName>
    <definedName function="false" hidden="true" name="IQ_PRODUCTION_COST_MET_COAL" vbProcedure="false">"c9763"</definedName>
    <definedName function="false" hidden="true" name="IQ_PRODUCTION_COST_MOLYB" vbProcedure="false">"c9730"</definedName>
    <definedName function="false" hidden="true" name="IQ_PRODUCTION_COST_NICK" vbProcedure="false">"c9306"</definedName>
    <definedName function="false" hidden="true" name="IQ_PRODUCTION_COST_PLAT" vbProcedure="false">"c9144"</definedName>
    <definedName function="false" hidden="true" name="IQ_PRODUCTION_COST_SILVER" vbProcedure="false">"c9091"</definedName>
    <definedName function="false" hidden="true" name="IQ_PRODUCTION_COST_STEAM" vbProcedure="false">"c9793"</definedName>
    <definedName function="false" hidden="true" name="IQ_PRODUCTION_COST_TITAN" vbProcedure="false">"c9571"</definedName>
    <definedName function="false" hidden="true" name="IQ_PRODUCTION_COST_URAN" vbProcedure="false">"c9624"</definedName>
    <definedName function="false" hidden="true" name="IQ_PRODUCTION_COST_ZINC" vbProcedure="false">"c9359"</definedName>
    <definedName function="false" hidden="true" name="IQ_PRODUCTION_TO_SOLD_COAL" vbProcedure="false">"c15945"</definedName>
    <definedName function="false" hidden="true" name="IQ_PROFESSIONAL" vbProcedure="false">"c1071"</definedName>
    <definedName function="false" hidden="true" name="IQ_PROFESSIONAL_ALL_OTHER_COMP" vbProcedure="false">"c18944"</definedName>
    <definedName function="false" hidden="true" name="IQ_PROFESSIONAL_ANNUAL_CASH_COMP" vbProcedure="false">"c18945"</definedName>
    <definedName function="false" hidden="true" name="IQ_PROFESSIONAL_ASSISTANT_EMAIL" vbProcedure="false">"c15169"</definedName>
    <definedName function="false" hidden="true" name="IQ_PROFESSIONAL_ASSISTANT_FAX" vbProcedure="false">"c15171"</definedName>
    <definedName function="false" hidden="true" name="IQ_PROFESSIONAL_ASSISTANT_NAME" vbProcedure="false">"c15168"</definedName>
    <definedName function="false" hidden="true" name="IQ_PROFESSIONAL_ASSISTANT_PHONE" vbProcedure="false">"c15170"</definedName>
    <definedName function="false" hidden="true" name="IQ_PROFESSIONAL_AS_REPORTED_COMP" vbProcedure="false">"c18949"</definedName>
    <definedName function="false" hidden="true" name="IQ_PROFESSIONAL_AS_REPORTED_DIRECTOR_COMP" vbProcedure="false">"c18961"</definedName>
    <definedName function="false" hidden="true" name="IQ_PROFESSIONAL_BACKGROUND" vbProcedure="false">"c15161"</definedName>
    <definedName function="false" hidden="true" name="IQ_PROFESSIONAL_BONUS" vbProcedure="false">"c18940"</definedName>
    <definedName function="false" hidden="true" name="IQ_PROFESSIONAL_CALCULATED_COMP" vbProcedure="false">"c18947"</definedName>
    <definedName function="false" hidden="true" name="IQ_PROFESSIONAL_CHANGE_PENSION" vbProcedure="false">"c18962"</definedName>
    <definedName function="false" hidden="true" name="IQ_PROFESSIONAL_DIRECTOR_BONUS" vbProcedure="false">"c18956"</definedName>
    <definedName function="false" hidden="true" name="IQ_PROFESSIONAL_DIRECTOR_CHANGE_PENSION" vbProcedure="false">"c18957"</definedName>
    <definedName function="false" hidden="true" name="IQ_PROFESSIONAL_DIRECTOR_FEE" vbProcedure="false">"c18953"</definedName>
    <definedName function="false" hidden="true" name="IQ_PROFESSIONAL_DIRECTOR_NON_EQUITY_COMP" vbProcedure="false">"c18958"</definedName>
    <definedName function="false" hidden="true" name="IQ_PROFESSIONAL_DIRECTOR_OPTION_AWARDS" vbProcedure="false">"c18954"</definedName>
    <definedName function="false" hidden="true" name="IQ_PROFESSIONAL_DIRECTOR_OTHER" vbProcedure="false">"c18955"</definedName>
    <definedName function="false" hidden="true" name="IQ_PROFESSIONAL_DIRECTOR_STOCK_AWARDS" vbProcedure="false">"c18959"</definedName>
    <definedName function="false" hidden="true" name="IQ_PROFESSIONAL_DIRECTOR_STOCK_GRANTS" vbProcedure="false">"c18986"</definedName>
    <definedName function="false" hidden="true" name="IQ_PROFESSIONAL_DIRECTOR_STOCK_OPTIONS" vbProcedure="false">"c18960"</definedName>
    <definedName function="false" hidden="true" name="IQ_PROFESSIONAL_DIRECT_FAX" vbProcedure="false">"c15166"</definedName>
    <definedName function="false" hidden="true" name="IQ_PROFESSIONAL_DIRECT_PHONE" vbProcedure="false">"c15165"</definedName>
    <definedName function="false" hidden="true" name="IQ_PROFESSIONAL_EMAIL" vbProcedure="false">"c15167"</definedName>
    <definedName function="false" hidden="true" name="IQ_PROFESSIONAL_EQUITY_INCENTIVE" vbProcedure="false">"c18982"</definedName>
    <definedName function="false" hidden="true" name="IQ_PROFESSIONAL_EST_PAYMENTS_CHANGE_CONTROL" vbProcedure="false">"c18951"</definedName>
    <definedName function="false" hidden="true" name="IQ_PROFESSIONAL_EST_PAYMENTS_TERMINATION" vbProcedure="false">"c18963"</definedName>
    <definedName function="false" hidden="true" name="IQ_PROFESSIONAL_EXERCISABLE_OPTIONS" vbProcedure="false">"c18966"</definedName>
    <definedName function="false" hidden="true" name="IQ_PROFESSIONAL_EXERCISABLE_VALUES" vbProcedure="false">"c18967"</definedName>
    <definedName function="false" hidden="true" name="IQ_PROFESSIONAL_EXERCISED_OPTIONS" vbProcedure="false">"c18964"</definedName>
    <definedName function="false" hidden="true" name="IQ_PROFESSIONAL_EXERCISED_VALUES" vbProcedure="false">"c18965"</definedName>
    <definedName function="false" hidden="true" name="IQ_PROFESSIONAL_ID" vbProcedure="false">"c13755"</definedName>
    <definedName function="false" hidden="true" name="IQ_PROFESSIONAL_LT_INCENTIVE" vbProcedure="false">"c18943"</definedName>
    <definedName function="false" hidden="true" name="IQ_PROFESSIONAL_MAIN_FAX" vbProcedure="false">"c15164"</definedName>
    <definedName function="false" hidden="true" name="IQ_PROFESSIONAL_MAIN_PHONE" vbProcedure="false">"c15163"</definedName>
    <definedName function="false" hidden="true" name="IQ_PROFESSIONAL_MARKET_VALUE_SHARES_NOT_VESTED" vbProcedure="false">"c18981"</definedName>
    <definedName function="false" hidden="true" name="IQ_PROFESSIONAL_NON_EQUITY_INCENTIVE" vbProcedure="false">"c18952"</definedName>
    <definedName function="false" hidden="true" name="IQ_PROFESSIONAL_NUM_SHARED_NOT_VESTED" vbProcedure="false">"c18980"</definedName>
    <definedName function="false" hidden="true" name="IQ_PROFESSIONAL_NUM_SHARES_ACQUIRED" vbProcedure="false">"c18978"</definedName>
    <definedName function="false" hidden="true" name="IQ_PROFESSIONAL_OFFICE_ADDRESS" vbProcedure="false">"c15162"</definedName>
    <definedName function="false" hidden="true" name="IQ_PROFESSIONAL_OPTION_AWARDS" vbProcedure="false">"c18948"</definedName>
    <definedName function="false" hidden="true" name="IQ_PROFESSIONAL_OPTION_MARKET_PRICE" vbProcedure="false">"c18977"</definedName>
    <definedName function="false" hidden="true" name="IQ_PROFESSIONAL_OPTION_PRICE" vbProcedure="false">"c18976"</definedName>
    <definedName function="false" hidden="true" name="IQ_PROFESSIONAL_OTHER_ANNUAL_COMP" vbProcedure="false">"c18941"</definedName>
    <definedName function="false" hidden="true" name="IQ_PROFESSIONAL_OTHER_COMP" vbProcedure="false">"c18950"</definedName>
    <definedName function="false" hidden="true" name="IQ_PROFESSIONAL_RESTRICTED_STOCK_COMP" vbProcedure="false">"c18942"</definedName>
    <definedName function="false" hidden="true" name="IQ_PROFESSIONAL_SALARY" vbProcedure="false">"c18939"</definedName>
    <definedName function="false" hidden="true" name="IQ_PROFESSIONAL_ST_COMP" vbProcedure="false">"c18946"</definedName>
    <definedName function="false" hidden="true" name="IQ_PROFESSIONAL_TITLE" vbProcedure="false">"c1072"</definedName>
    <definedName function="false" hidden="true" name="IQ_PROFESSIONAL_TOTAL_NUM_STOCK_AWARDS" vbProcedure="false">"c18985"</definedName>
    <definedName function="false" hidden="true" name="IQ_PROFESSIONAL_TOTAL_OPTIONS" vbProcedure="false">"c18974"</definedName>
    <definedName function="false" hidden="true" name="IQ_PROFESSIONAL_TOTAL_STOCK_VALUE" vbProcedure="false">"c18984"</definedName>
    <definedName function="false" hidden="true" name="IQ_PROFESSIONAL_TOTAL_VALUE_OPTIONS" vbProcedure="false">"c18975"</definedName>
    <definedName function="false" hidden="true" name="IQ_PROFESSIONAL_UNCLASSIFIED_OPTIONS" vbProcedure="false">"c18970"</definedName>
    <definedName function="false" hidden="true" name="IQ_PROFESSIONAL_UNCLASSIFIED_OPTIONS_VALUE" vbProcedure="false">"c18971"</definedName>
    <definedName function="false" hidden="true" name="IQ_PROFESSIONAL_UNEARNED_STOCK_VALUE" vbProcedure="false">"c18983"</definedName>
    <definedName function="false" hidden="true" name="IQ_PROFESSIONAL_UNEXERCISABLE_OPTIONS" vbProcedure="false">"c18968"</definedName>
    <definedName function="false" hidden="true" name="IQ_PROFESSIONAL_UNEXERCISABLE_VALUES" vbProcedure="false">"c18969"</definedName>
    <definedName function="false" hidden="true" name="IQ_PROFESSIONAL_UNEXERCISED_UNEARNED_OPTIONS" vbProcedure="false">"c18972"</definedName>
    <definedName function="false" hidden="true" name="IQ_PROFESSIONAL_UNEXERCISED_UNEARNED_OPTIONS_VALUE" vbProcedure="false">"c18973"</definedName>
    <definedName function="false" hidden="true" name="IQ_PROFESSIONAL_VALUE_VESTING" vbProcedure="false">"c18979"</definedName>
    <definedName function="false" hidden="true" name="IQ_PROFIT_AFTER_COST_CAPITAL_NEW_BUSINESS" vbProcedure="false">"c9969"</definedName>
    <definedName function="false" hidden="true" name="IQ_PROFIT_BEFORE_COST_CAPITAL_NEW_BUSINESS" vbProcedure="false">"c9967"</definedName>
    <definedName function="false" hidden="true" name="IQ_PROGRAMMING_COSTS" vbProcedure="false">"c2884"</definedName>
    <definedName function="false" hidden="true" name="IQ_PROJECTED_PENSION_OBLIGATION" vbProcedure="false">"c1292"</definedName>
    <definedName function="false" hidden="true" name="IQ_PROJECTED_PENSION_OBLIGATION_DOMESTIC" vbProcedure="false">"c2656"</definedName>
    <definedName function="false" hidden="true" name="IQ_PROJECTED_PENSION_OBLIGATION_FOREIGN" vbProcedure="false">"c2664"</definedName>
    <definedName function="false" hidden="true" name="IQ_PROPERTY_EXP" vbProcedure="false">"c1073"</definedName>
    <definedName function="false" hidden="true" name="IQ_PROPERTY_GROSS" vbProcedure="false">"c1379"</definedName>
    <definedName function="false" hidden="true" name="IQ_PROPERTY_MGMT_FEE" vbProcedure="false">"c1074"</definedName>
    <definedName function="false" hidden="true" name="IQ_PROPERTY_NET" vbProcedure="false">"c1402"</definedName>
    <definedName function="false" hidden="true" name="IQ_PROPERTY_TAX_INSURANCE" vbProcedure="false">"c16033"</definedName>
    <definedName function="false" hidden="true" name="IQ_PROP_MGMT_EXPENSE" vbProcedure="false">"c16038"</definedName>
    <definedName function="false" hidden="true" name="IQ_PROP_MGMT_INCOME" vbProcedure="false">"c16028"</definedName>
    <definedName function="false" hidden="true" name="IQ_PROP_OPERATING_EXPENSE" vbProcedure="false">"c16037"</definedName>
    <definedName function="false" hidden="true" name="IQ_PROP_RENTAL_REVENUE" vbProcedure="false">"c16019"</definedName>
    <definedName function="false" hidden="true" name="IQ_PROP_SALES_EXPENSE" vbProcedure="false">"c16044"</definedName>
    <definedName function="false" hidden="true" name="IQ_PROVED_ATTRIB_ORE_RESERVES_ALUM" vbProcedure="false">"c9216"</definedName>
    <definedName function="false" hidden="true" name="IQ_PROVED_ATTRIB_ORE_RESERVES_COP" vbProcedure="false">"c9160"</definedName>
    <definedName function="false" hidden="true" name="IQ_PROVED_ATTRIB_ORE_RESERVES_DIAM" vbProcedure="false">"c9640"</definedName>
    <definedName function="false" hidden="true" name="IQ_PROVED_ATTRIB_ORE_RESERVES_GOLD" vbProcedure="false">"c9001"</definedName>
    <definedName function="false" hidden="true" name="IQ_PROVED_ATTRIB_ORE_RESERVES_IRON" vbProcedure="false">"c9375"</definedName>
    <definedName function="false" hidden="true" name="IQ_PROVED_ATTRIB_ORE_RESERVES_LEAD" vbProcedure="false">"c9428"</definedName>
    <definedName function="false" hidden="true" name="IQ_PROVED_ATTRIB_ORE_RESERVES_MANG" vbProcedure="false">"c9481"</definedName>
    <definedName function="false" hidden="true" name="IQ_PROVED_ATTRIB_ORE_RESERVES_MOLYB" vbProcedure="false">"c9693"</definedName>
    <definedName function="false" hidden="true" name="IQ_PROVED_ATTRIB_ORE_RESERVES_NICK" vbProcedure="false">"c9269"</definedName>
    <definedName function="false" hidden="true" name="IQ_PROVED_ATTRIB_ORE_RESERVES_PLAT" vbProcedure="false">"c9107"</definedName>
    <definedName function="false" hidden="true" name="IQ_PROVED_ATTRIB_ORE_RESERVES_SILVER" vbProcedure="false">"c9054"</definedName>
    <definedName function="false" hidden="true" name="IQ_PROVED_ATTRIB_ORE_RESERVES_TITAN" vbProcedure="false">"c9534"</definedName>
    <definedName function="false" hidden="true" name="IQ_PROVED_ATTRIB_ORE_RESERVES_URAN" vbProcedure="false">"c9587"</definedName>
    <definedName function="false" hidden="true" name="IQ_PROVED_ATTRIB_ORE_RESERVES_ZINC" vbProcedure="false">"c9322"</definedName>
    <definedName function="false" hidden="true" name="IQ_PROVED_ORE_RESERVES_ALUM" vbProcedure="false">"c9207"</definedName>
    <definedName function="false" hidden="true" name="IQ_PROVED_ORE_RESERVES_COP" vbProcedure="false">"c9151"</definedName>
    <definedName function="false" hidden="true" name="IQ_PROVED_ORE_RESERVES_DIAM" vbProcedure="false">"c9631"</definedName>
    <definedName function="false" hidden="true" name="IQ_PROVED_ORE_RESERVES_GOLD" vbProcedure="false">"c8992"</definedName>
    <definedName function="false" hidden="true" name="IQ_PROVED_ORE_RESERVES_IRON" vbProcedure="false">"c9366"</definedName>
    <definedName function="false" hidden="true" name="IQ_PROVED_ORE_RESERVES_LEAD" vbProcedure="false">"c9419"</definedName>
    <definedName function="false" hidden="true" name="IQ_PROVED_ORE_RESERVES_MANG" vbProcedure="false">"c9472"</definedName>
    <definedName function="false" hidden="true" name="IQ_PROVED_ORE_RESERVES_MOLYB" vbProcedure="false">"c9684"</definedName>
    <definedName function="false" hidden="true" name="IQ_PROVED_ORE_RESERVES_NICK" vbProcedure="false">"c9260"</definedName>
    <definedName function="false" hidden="true" name="IQ_PROVED_ORE_RESERVES_PLAT" vbProcedure="false">"c9098"</definedName>
    <definedName function="false" hidden="true" name="IQ_PROVED_ORE_RESERVES_SILVER" vbProcedure="false">"c9045"</definedName>
    <definedName function="false" hidden="true" name="IQ_PROVED_ORE_RESERVES_TITAN" vbProcedure="false">"c9525"</definedName>
    <definedName function="false" hidden="true" name="IQ_PROVED_ORE_RESERVES_URAN" vbProcedure="false">"c9578"</definedName>
    <definedName function="false" hidden="true" name="IQ_PROVED_ORE_RESERVES_ZINC" vbProcedure="false">"c9313"</definedName>
    <definedName function="false" hidden="true" name="IQ_PROVED_RECOV_ATTRIB_RESERVES_ALUM" vbProcedure="false">"c9219"</definedName>
    <definedName function="false" hidden="true" name="IQ_PROVED_RECOV_ATTRIB_RESERVES_COAL" vbProcedure="false">"c9803"</definedName>
    <definedName function="false" hidden="true" name="IQ_PROVED_RECOV_ATTRIB_RESERVES_COP" vbProcedure="false">"c9163"</definedName>
    <definedName function="false" hidden="true" name="IQ_PROVED_RECOV_ATTRIB_RESERVES_DIAM" vbProcedure="false">"c9643"</definedName>
    <definedName function="false" hidden="true" name="IQ_PROVED_RECOV_ATTRIB_RESERVES_GOLD" vbProcedure="false">"c9004"</definedName>
    <definedName function="false" hidden="true" name="IQ_PROVED_RECOV_ATTRIB_RESERVES_IRON" vbProcedure="false">"c9378"</definedName>
    <definedName function="false" hidden="true" name="IQ_PROVED_RECOV_ATTRIB_RESERVES_LEAD" vbProcedure="false">"c9431"</definedName>
    <definedName function="false" hidden="true" name="IQ_PROVED_RECOV_ATTRIB_RESERVES_MANG" vbProcedure="false">"c9484"</definedName>
    <definedName function="false" hidden="true" name="IQ_PROVED_RECOV_ATTRIB_RESERVES_MET_COAL" vbProcedure="false">"c9743"</definedName>
    <definedName function="false" hidden="true" name="IQ_PROVED_RECOV_ATTRIB_RESERVES_MOLYB" vbProcedure="false">"c9696"</definedName>
    <definedName function="false" hidden="true" name="IQ_PROVED_RECOV_ATTRIB_RESERVES_NICK" vbProcedure="false">"c9272"</definedName>
    <definedName function="false" hidden="true" name="IQ_PROVED_RECOV_ATTRIB_RESERVES_PLAT" vbProcedure="false">"c9110"</definedName>
    <definedName function="false" hidden="true" name="IQ_PROVED_RECOV_ATTRIB_RESERVES_SILVER" vbProcedure="false">"c9057"</definedName>
    <definedName function="false" hidden="true" name="IQ_PROVED_RECOV_ATTRIB_RESERVES_STEAM" vbProcedure="false">"c9773"</definedName>
    <definedName function="false" hidden="true" name="IQ_PROVED_RECOV_ATTRIB_RESERVES_TITAN" vbProcedure="false">"c9537"</definedName>
    <definedName function="false" hidden="true" name="IQ_PROVED_RECOV_ATTRIB_RESERVES_URAN" vbProcedure="false">"c9590"</definedName>
    <definedName function="false" hidden="true" name="IQ_PROVED_RECOV_ATTRIB_RESERVES_ZINC" vbProcedure="false">"c9325"</definedName>
    <definedName function="false" hidden="true" name="IQ_PROVED_RECOV_RESERVES_ALUM" vbProcedure="false">"c9213"</definedName>
    <definedName function="false" hidden="true" name="IQ_PROVED_RECOV_RESERVES_COAL" vbProcedure="false">"c9800"</definedName>
    <definedName function="false" hidden="true" name="IQ_PROVED_RECOV_RESERVES_COP" vbProcedure="false">"c9157"</definedName>
    <definedName function="false" hidden="true" name="IQ_PROVED_RECOV_RESERVES_DIAM" vbProcedure="false">"c9637"</definedName>
    <definedName function="false" hidden="true" name="IQ_PROVED_RECOV_RESERVES_GOLD" vbProcedure="false">"c8998"</definedName>
    <definedName function="false" hidden="true" name="IQ_PROVED_RECOV_RESERVES_IRON" vbProcedure="false">"c9372"</definedName>
    <definedName function="false" hidden="true" name="IQ_PROVED_RECOV_RESERVES_LEAD" vbProcedure="false">"c9425"</definedName>
    <definedName function="false" hidden="true" name="IQ_PROVED_RECOV_RESERVES_MANG" vbProcedure="false">"c9478"</definedName>
    <definedName function="false" hidden="true" name="IQ_PROVED_RECOV_RESERVES_MET_COAL" vbProcedure="false">"c9740"</definedName>
    <definedName function="false" hidden="true" name="IQ_PROVED_RECOV_RESERVES_MOLYB" vbProcedure="false">"c9690"</definedName>
    <definedName function="false" hidden="true" name="IQ_PROVED_RECOV_RESERVES_NICK" vbProcedure="false">"c9266"</definedName>
    <definedName function="false" hidden="true" name="IQ_PROVED_RECOV_RESERVES_PLAT" vbProcedure="false">"c9104"</definedName>
    <definedName function="false" hidden="true" name="IQ_PROVED_RECOV_RESERVES_SILVER" vbProcedure="false">"c9051"</definedName>
    <definedName function="false" hidden="true" name="IQ_PROVED_RECOV_RESERVES_STEAM" vbProcedure="false">"c9770"</definedName>
    <definedName function="false" hidden="true" name="IQ_PROVED_RECOV_RESERVES_TITAN" vbProcedure="false">"c9531"</definedName>
    <definedName function="false" hidden="true" name="IQ_PROVED_RECOV_RESERVES_URAN" vbProcedure="false">"c9584"</definedName>
    <definedName function="false" hidden="true" name="IQ_PROVED_RECOV_RESERVES_ZINC" vbProcedure="false">"c9319"</definedName>
    <definedName function="false" hidden="true" name="IQ_PROVED_RESERVES_CALORIFIC_VALUE_COAL" vbProcedure="false">"c9797"</definedName>
    <definedName function="false" hidden="true" name="IQ_PROVED_RESERVES_CALORIFIC_VALUE_MET_COAL" vbProcedure="false">"c9737"</definedName>
    <definedName function="false" hidden="true" name="IQ_PROVED_RESERVES_CALORIFIC_VALUE_STEAM" vbProcedure="false">"c9767"</definedName>
    <definedName function="false" hidden="true" name="IQ_PROVED_RESERVES_GRADE_ALUM" vbProcedure="false">"c9208"</definedName>
    <definedName function="false" hidden="true" name="IQ_PROVED_RESERVES_GRADE_COP" vbProcedure="false">"c9152"</definedName>
    <definedName function="false" hidden="true" name="IQ_PROVED_RESERVES_GRADE_DIAM" vbProcedure="false">"c9632"</definedName>
    <definedName function="false" hidden="true" name="IQ_PROVED_RESERVES_GRADE_GOLD" vbProcedure="false">"c8993"</definedName>
    <definedName function="false" hidden="true" name="IQ_PROVED_RESERVES_GRADE_IRON" vbProcedure="false">"c9367"</definedName>
    <definedName function="false" hidden="true" name="IQ_PROVED_RESERVES_GRADE_LEAD" vbProcedure="false">"c9420"</definedName>
    <definedName function="false" hidden="true" name="IQ_PROVED_RESERVES_GRADE_MANG" vbProcedure="false">"c9473"</definedName>
    <definedName function="false" hidden="true" name="IQ_PROVED_RESERVES_GRADE_MOLYB" vbProcedure="false">"c9685"</definedName>
    <definedName function="false" hidden="true" name="IQ_PROVED_RESERVES_GRADE_NICK" vbProcedure="false">"c9261"</definedName>
    <definedName function="false" hidden="true" name="IQ_PROVED_RESERVES_GRADE_PLAT" vbProcedure="false">"c9099"</definedName>
    <definedName function="false" hidden="true" name="IQ_PROVED_RESERVES_GRADE_SILVER" vbProcedure="false">"c9046"</definedName>
    <definedName function="false" hidden="true" name="IQ_PROVED_RESERVES_GRADE_TITAN" vbProcedure="false">"c9526"</definedName>
    <definedName function="false" hidden="true" name="IQ_PROVED_RESERVES_GRADE_URAN" vbProcedure="false">"c9579"</definedName>
    <definedName function="false" hidden="true" name="IQ_PROVED_RESERVES_GRADE_ZINC" vbProcedure="false">"c9314"</definedName>
    <definedName function="false" hidden="true" name="IQ_PROVEN_RESERVES_TO_TOTAL_RESERVES_COAL" vbProcedure="false">"c15952"</definedName>
    <definedName function="false" hidden="true" name="IQ_PROVISION_10YR_ANN_CAGR" vbProcedure="false">"c6135"</definedName>
    <definedName function="false" hidden="true" name="IQ_PROVISION_10YR_ANN_GROWTH" vbProcedure="false">"c1077"</definedName>
    <definedName function="false" hidden="true" name="IQ_PROVISION_1YR_ANN_GROWTH" vbProcedure="false">"c1078"</definedName>
    <definedName function="false" hidden="true" name="IQ_PROVISION_2YR_ANN_CAGR" vbProcedure="false">"c6136"</definedName>
    <definedName function="false" hidden="true" name="IQ_PROVISION_2YR_ANN_GROWTH" vbProcedure="false">"c1079"</definedName>
    <definedName function="false" hidden="true" name="IQ_PROVISION_3YR_ANN_CAGR" vbProcedure="false">"c6137"</definedName>
    <definedName function="false" hidden="true" name="IQ_PROVISION_3YR_ANN_GROWTH" vbProcedure="false">"c1080"</definedName>
    <definedName function="false" hidden="true" name="IQ_PROVISION_5YR_ANN_CAGR" vbProcedure="false">"c6138"</definedName>
    <definedName function="false" hidden="true" name="IQ_PROVISION_5YR_ANN_GROWTH" vbProcedure="false">"c1081"</definedName>
    <definedName function="false" hidden="true" name="IQ_PROVISION_7YR_ANN_CAGR" vbProcedure="false">"c6139"</definedName>
    <definedName function="false" hidden="true" name="IQ_PROVISION_7YR_ANN_GROWTH" vbProcedure="false">"c1082"</definedName>
    <definedName function="false" hidden="true" name="IQ_PROVISION_AVG_LOANS" vbProcedure="false">"c15717"</definedName>
    <definedName function="false" hidden="true" name="IQ_PROVISION_CHARGE_OFFS" vbProcedure="false">"c1083"</definedName>
    <definedName function="false" hidden="true" name="IQ_PROVISION_LL_FFIEC" vbProcedure="false">"c13019"</definedName>
    <definedName function="false" hidden="true" name="IQ_PROVISION_LOAN_LOSS_AVG_ASSETS_FFIEC" vbProcedure="false">"c18879"</definedName>
    <definedName function="false" hidden="true" name="IQ_PROVISION_LOSSES_AVG_ASSETS_FFIEC" vbProcedure="false">"c13362"</definedName>
    <definedName function="false" hidden="true" name="IQ_PROVISION_LOSSES_AVG_LOANS_FFIEC" vbProcedure="false">"c13470"</definedName>
    <definedName function="false" hidden="true" name="IQ_PROVISION_LOSSES_NET_LOSSES_FFIEC" vbProcedure="false">"c13471"</definedName>
    <definedName function="false" hidden="true" name="IQ_PROV_BAD_DEBTS" vbProcedure="false">"c1075"</definedName>
    <definedName function="false" hidden="true" name="IQ_PROV_BAD_DEBTS_CF" vbProcedure="false">"c1076"</definedName>
    <definedName function="false" hidden="true" name="IQ_PRO_FORMA_BASIC_EPS" vbProcedure="false">"c1614"</definedName>
    <definedName function="false" hidden="true" name="IQ_PRO_FORMA_DILUT_EPS" vbProcedure="false">"c1615"</definedName>
    <definedName function="false" hidden="true" name="IQ_PRO_FORMA_NET_INC" vbProcedure="false">"c1452"</definedName>
    <definedName function="false" hidden="true" name="IQ_PSGR_REV" vbProcedure="false">"c19125"</definedName>
    <definedName function="false" hidden="true" name="IQ_PTBV" vbProcedure="false">"c1084"</definedName>
    <definedName function="false" hidden="true" name="IQ_PTBV_AVG" vbProcedure="false">"c1085"</definedName>
    <definedName function="false" hidden="true" name="IQ_PURCHASED_COAL" vbProcedure="false">"c15934"</definedName>
    <definedName function="false" hidden="true" name="IQ_PURCHASED_CREDIT_RELS_SERVICING_ASSETS_FFIEC" vbProcedure="false">"c12839"</definedName>
    <definedName function="false" hidden="true" name="IQ_PURCHASED_OPTION_CONTRACTS_FDIC" vbProcedure="false">"c6510"</definedName>
    <definedName function="false" hidden="true" name="IQ_PURCHASED_OPTION_CONTRACTS_FX_RISK_FDIC" vbProcedure="false">"c6515"</definedName>
    <definedName function="false" hidden="true" name="IQ_PURCHASED_OPTION_CONTRACTS_NON_FX_IR_FDIC" vbProcedure="false">"c6520"</definedName>
    <definedName function="false" hidden="true" name="IQ_PURCHASED_PRODUCTION_TO_SOLD_COAL" vbProcedure="false">"c15947"</definedName>
    <definedName function="false" hidden="true" name="IQ_PURCHASED_TO_PRODUCTION_COAL" vbProcedure="false">"c15948"</definedName>
    <definedName function="false" hidden="true" name="IQ_PURCHASED_TO_SOLD_COAL" vbProcedure="false">"c15946"</definedName>
    <definedName function="false" hidden="true" name="IQ_PURCHASES_EQUIP_NONRES_SAAR_APR_FC_UNUSED" vbProcedure="false">"c8491"</definedName>
    <definedName function="false" hidden="true" name="IQ_PURCHASES_EQUIP_NONRES_SAAR_APR_UNUSED" vbProcedure="false">"c7611"</definedName>
    <definedName function="false" hidden="true" name="IQ_PURCHASES_EQUIP_NONRES_SAAR_FC_UNUSED" vbProcedure="false">"c7831"</definedName>
    <definedName function="false" hidden="true" name="IQ_PURCHASES_EQUIP_NONRES_SAAR_POP_FC_UNUSED" vbProcedure="false">"c8051"</definedName>
    <definedName function="false" hidden="true" name="IQ_PURCHASES_EQUIP_NONRES_SAAR_POP_UNUSED" vbProcedure="false">"c7171"</definedName>
    <definedName function="false" hidden="true" name="IQ_PURCHASES_EQUIP_NONRES_SAAR_UNUSED" vbProcedure="false">"c6951"</definedName>
    <definedName function="false" hidden="true" name="IQ_PURCHASES_EQUIP_NONRES_SAAR_YOY_FC_UNUSED" vbProcedure="false">"c8271"</definedName>
    <definedName function="false" hidden="true" name="IQ_PURCHASES_EQUIP_NONRES_SAAR_YOY_UNUSED" vbProcedure="false">"c7391"</definedName>
    <definedName function="false" hidden="true" name="IQ_PURCHASE_FOREIGN_CURRENCIES_FDIC" vbProcedure="false">"c6513"</definedName>
    <definedName function="false" hidden="true" name="IQ_PURCHASE_TREASURY_FFIEC" vbProcedure="false">"c12966"</definedName>
    <definedName function="false" hidden="true" name="IQ_PURCHASING_SECURITIES_LL_REC_FFIEC" vbProcedure="false">"c12893"</definedName>
    <definedName function="false" hidden="true" name="IQ_PUT_DATE_SCHEDULE" vbProcedure="false">"c2483"</definedName>
    <definedName function="false" hidden="true" name="IQ_PUT_NOTIFICATION" vbProcedure="false">"c2485"</definedName>
    <definedName function="false" hidden="true" name="IQ_PUT_PRICE_SCHEDULE" vbProcedure="false">"c2484"</definedName>
    <definedName function="false" hidden="true" name="IQ_PV_PREMIUMS_NEW_BUSINESS" vbProcedure="false">"c9973"</definedName>
    <definedName function="false" hidden="true" name="IQ_QTD" vbProcedure="false">750000</definedName>
    <definedName function="false" hidden="true" name="IQ_QUALIFYING_MINORITY_INT_T1_FFIEC" vbProcedure="false">"c13135"</definedName>
    <definedName function="false" hidden="true" name="IQ_QUALIFYING_SUB_DEBT_REDEEM_PREF_T2_FFIEC" vbProcedure="false">"c13144"</definedName>
    <definedName function="false" hidden="true" name="IQ_QUALIFYING_TRUST_PREFERRED_T1_FFIEC" vbProcedure="false">"c13136"</definedName>
    <definedName function="false" hidden="true" name="IQ_QUICK_COMP" vbProcedure="false">"c13750"</definedName>
    <definedName function="false" hidden="true" name="IQ_QUICK_RATIO" vbProcedure="false">"c1086"</definedName>
    <definedName function="false" hidden="true" name="IQ_RATE_COMP_GROWTH_DOMESTIC" vbProcedure="false">"c1087"</definedName>
    <definedName function="false" hidden="true" name="IQ_RATE_COMP_GROWTH_FOREIGN" vbProcedure="false">"c1088"</definedName>
    <definedName function="false" hidden="true" name="IQ_RAW_INV" vbProcedure="false">"c1089"</definedName>
    <definedName function="false" hidden="true" name="IQ_RAW_SALEABLE_INVENTORY_COAL" vbProcedure="false">"c15941"</definedName>
    <definedName function="false" hidden="true" name="IQ_RC" vbProcedure="false">"c2497"</definedName>
    <definedName function="false" hidden="true" name="IQ_RC_PCT" vbProcedure="false">"c2498"</definedName>
    <definedName function="false" hidden="true" name="IQ_RD_EXP" vbProcedure="false">"c1090"</definedName>
    <definedName function="false" hidden="true" name="IQ_RD_EXP_FN" vbProcedure="false">"c1091"</definedName>
    <definedName function="false" hidden="true" name="IQ_RE" vbProcedure="false">"c1092"</definedName>
    <definedName function="false" hidden="true" name="IQ_REALIZED_GAINS_AVAIL_SALE_SEC_FFIEC" vbProcedure="false">"c13022"</definedName>
    <definedName function="false" hidden="true" name="IQ_REALIZED_GAINS_HELD_MATURITY_SEC_FFIEC" vbProcedure="false">"c13021"</definedName>
    <definedName function="false" hidden="true" name="IQ_REALIZED_GAINS_SEC_TOT_FFIEC" vbProcedure="false">"c13517"</definedName>
    <definedName function="false" hidden="true" name="IQ_REAL_ESTATE" vbProcedure="false">"c1093"</definedName>
    <definedName function="false" hidden="true" name="IQ_REAL_ESTATE_ASSETS" vbProcedure="false">"c1094"</definedName>
    <definedName function="false" hidden="true" name="IQ_RECENT_FUNDS" vbProcedure="false">"c18908"</definedName>
    <definedName function="false" hidden="true" name="IQ_RECENT_FUNDS_ID" vbProcedure="false">"c18909"</definedName>
    <definedName function="false" hidden="true" name="IQ_RECOVERIES_1_4_FAMILY_LOANS_FDIC" vbProcedure="false">"c6707"</definedName>
    <definedName function="false" hidden="true" name="IQ_RECOVERIES_AUTO_LOANS_FDIC" vbProcedure="false">"c6701"</definedName>
    <definedName function="false" hidden="true" name="IQ_RECOVERIES_AVG_LOANS_FFIEC" vbProcedure="false">"c13476"</definedName>
    <definedName function="false" hidden="true" name="IQ_RECOVERIES_CL_LOANS_FDIC" vbProcedure="false">"c6702"</definedName>
    <definedName function="false" hidden="true" name="IQ_RECOVERIES_CREDIT_CARDS_RECEIVABLES_FDIC" vbProcedure="false">"c6704"</definedName>
    <definedName function="false" hidden="true" name="IQ_RECOVERIES_HOME_EQUITY_LINES_FDIC" vbProcedure="false">"c6705"</definedName>
    <definedName function="false" hidden="true" name="IQ_RECOVERIES_OTHER_CONSUMER_LOANS_FDIC" vbProcedure="false">"c6703"</definedName>
    <definedName function="false" hidden="true" name="IQ_RECOVERIES_OTHER_LOANS_FDIC" vbProcedure="false">"c6706"</definedName>
    <definedName function="false" hidden="true" name="IQ_RECURRING_PROFIT_ACT_OR_EST" vbProcedure="false">"c4507"</definedName>
    <definedName function="false" hidden="true" name="IQ_RECURRING_PROFIT_ACT_OR_EST_CIQ" vbProcedure="false">"c5045"</definedName>
    <definedName function="false" hidden="true" name="IQ_RECURRING_PROFIT_EST" vbProcedure="false">"c4499"</definedName>
    <definedName function="false" hidden="true" name="IQ_RECURRING_PROFIT_GUIDANCE" vbProcedure="false">"c4500"</definedName>
    <definedName function="false" hidden="true" name="IQ_RECURRING_PROFIT_GUIDANCE_CIQ" vbProcedure="false">"c5038"</definedName>
    <definedName function="false" hidden="true" name="IQ_RECURRING_PROFIT_GUIDANCE_CIQ_COL" vbProcedure="false">"c11685"</definedName>
    <definedName function="false" hidden="true" name="IQ_RECURRING_PROFIT_HIGH_EST" vbProcedure="false">"c4501"</definedName>
    <definedName function="false" hidden="true" name="IQ_RECURRING_PROFIT_HIGH_GUIDANCE" vbProcedure="false">"c4179"</definedName>
    <definedName function="false" hidden="true" name="IQ_RECURRING_PROFIT_HIGH_GUIDANCE_CIQ" vbProcedure="false">"c4591"</definedName>
    <definedName function="false" hidden="true" name="IQ_RECURRING_PROFIT_HIGH_GUIDANCE_CIQ_COL" vbProcedure="false">"c11240"</definedName>
    <definedName function="false" hidden="true" name="IQ_RECURRING_PROFIT_LOW_EST" vbProcedure="false">"c4502"</definedName>
    <definedName function="false" hidden="true" name="IQ_RECURRING_PROFIT_LOW_GUIDANCE" vbProcedure="false">"c4219"</definedName>
    <definedName function="false" hidden="true" name="IQ_RECURRING_PROFIT_LOW_GUIDANCE_CIQ" vbProcedure="false">"c4631"</definedName>
    <definedName function="false" hidden="true" name="IQ_RECURRING_PROFIT_LOW_GUIDANCE_CIQ_COL" vbProcedure="false">"c11280"</definedName>
    <definedName function="false" hidden="true" name="IQ_RECURRING_PROFIT_MEDIAN_EST" vbProcedure="false">"c4503"</definedName>
    <definedName function="false" hidden="true" name="IQ_RECURRING_PROFIT_NUM_EST" vbProcedure="false">"c4504"</definedName>
    <definedName function="false" hidden="true" name="IQ_RECURRING_PROFIT_SHARE_ACT_OR_EST" vbProcedure="false">"c4508"</definedName>
    <definedName function="false" hidden="true" name="IQ_RECURRING_PROFIT_SHARE_ACT_OR_EST_CIQ" vbProcedure="false">"c5046"</definedName>
    <definedName function="false" hidden="true" name="IQ_RECURRING_PROFIT_SHARE_EST" vbProcedure="false">"c4506"</definedName>
    <definedName function="false" hidden="true" name="IQ_RECURRING_PROFIT_SHARE_GUIDANCE" vbProcedure="false">"c4509"</definedName>
    <definedName function="false" hidden="true" name="IQ_RECURRING_PROFIT_SHARE_GUIDANCE_CIQ" vbProcedure="false">"c5047"</definedName>
    <definedName function="false" hidden="true" name="IQ_RECURRING_PROFIT_SHARE_GUIDANCE_CIQ_COL" vbProcedure="false">"c11694"</definedName>
    <definedName function="false" hidden="true" name="IQ_RECURRING_PROFIT_SHARE_HIGH_EST" vbProcedure="false">"c4510"</definedName>
    <definedName function="false" hidden="true" name="IQ_RECURRING_PROFIT_SHARE_HIGH_GUIDANCE" vbProcedure="false">"c4200"</definedName>
    <definedName function="false" hidden="true" name="IQ_RECURRING_PROFIT_SHARE_HIGH_GUIDANCE_CIQ" vbProcedure="false">"c4612"</definedName>
    <definedName function="false" hidden="true" name="IQ_RECURRING_PROFIT_SHARE_HIGH_GUIDANCE_CIQ_COL" vbProcedure="false">"c11261"</definedName>
    <definedName function="false" hidden="true" name="IQ_RECURRING_PROFIT_SHARE_LOW_EST" vbProcedure="false">"c4511"</definedName>
    <definedName function="false" hidden="true" name="IQ_RECURRING_PROFIT_SHARE_LOW_GUIDANCE" vbProcedure="false">"c4240"</definedName>
    <definedName function="false" hidden="true" name="IQ_RECURRING_PROFIT_SHARE_LOW_GUIDANCE_CIQ" vbProcedure="false">"c4652"</definedName>
    <definedName function="false" hidden="true" name="IQ_RECURRING_PROFIT_SHARE_LOW_GUIDANCE_CIQ_COL" vbProcedure="false">"c11301"</definedName>
    <definedName function="false" hidden="true" name="IQ_RECURRING_PROFIT_SHARE_MEDIAN_EST" vbProcedure="false">"c4512"</definedName>
    <definedName function="false" hidden="true" name="IQ_RECURRING_PROFIT_SHARE_NUM_EST" vbProcedure="false">"c4513"</definedName>
    <definedName function="false" hidden="true" name="IQ_RECURRING_PROFIT_SHARE_STDDEV_EST" vbProcedure="false">"c4514"</definedName>
    <definedName function="false" hidden="true" name="IQ_RECURRING_PROFIT_STDDEV_EST" vbProcedure="false">"c4516"</definedName>
    <definedName function="false" hidden="true" name="IQ_REDEEM_PREF_STOCK" vbProcedure="false">"c1417"</definedName>
    <definedName function="false" hidden="true" name="IQ_REDUCTION_TAX_POSITION_CURRENT_YR" vbProcedure="false">"c15734"</definedName>
    <definedName function="false" hidden="true" name="IQ_REDUCTION_TAX_POSITION_PRIOR_YRS" vbProcedure="false">"c15736"</definedName>
    <definedName function="false" hidden="true" name="IQ_REF_ENTITY" vbProcedure="false">"c6033"</definedName>
    <definedName function="false" hidden="true" name="IQ_REF_ENTITY_CIQID" vbProcedure="false">"c6024"</definedName>
    <definedName function="false" hidden="true" name="IQ_REF_ENTITY_TICKER" vbProcedure="false">"c6023"</definedName>
    <definedName function="false" hidden="true" name="IQ_REG_ASSETS" vbProcedure="false">"c1095"</definedName>
    <definedName function="false" hidden="true" name="IQ_REINSTATED" vbProcedure="false">"c16221"</definedName>
    <definedName function="false" hidden="true" name="IQ_REINSTATEMENT_DATE" vbProcedure="false">"c16222"</definedName>
    <definedName function="false" hidden="true" name="IQ_REINSURANCE" vbProcedure="false">"c1100"</definedName>
    <definedName function="false" hidden="true" name="IQ_REINSURANCE_RECOVERABLE_ASSETS_LH_FFIEC" vbProcedure="false">"c13104"</definedName>
    <definedName function="false" hidden="true" name="IQ_REINSURANCE_RECOVERABLE_ASSETS_PC_FFIEC" vbProcedure="false">"c13098"</definedName>
    <definedName function="false" hidden="true" name="IQ_REINSUR_PAY" vbProcedure="false">"c1096"</definedName>
    <definedName function="false" hidden="true" name="IQ_REINSUR_PAY_CF" vbProcedure="false">"c1097"</definedName>
    <definedName function="false" hidden="true" name="IQ_REINSUR_RECOVER" vbProcedure="false">"c1098"</definedName>
    <definedName function="false" hidden="true" name="IQ_REINSUR_RECOVER_CF" vbProcedure="false">"c1099"</definedName>
    <definedName function="false" hidden="true" name="IQ_RELATED_PLANS_FDIC" vbProcedure="false">"c6320"</definedName>
    <definedName function="false" hidden="true" name="IQ_RENTAL_NOI" vbProcedure="false">"c16065"</definedName>
    <definedName function="false" hidden="true" name="IQ_RENTAL_NOI_AVG_GROSS_PROP" vbProcedure="false">"c16057"</definedName>
    <definedName function="false" hidden="true" name="IQ_RENTAL_NOI_TOTAL_RENT_REVENUE" vbProcedure="false">"c16061"</definedName>
    <definedName function="false" hidden="true" name="IQ_RENTAL_REV" vbProcedure="false">"c1101"</definedName>
    <definedName function="false" hidden="true" name="IQ_RENT_AVG_PROP" vbProcedure="false">"c16056"</definedName>
    <definedName function="false" hidden="true" name="IQ_RENT_OTHER_INC_FROM_OREO_FFIEC" vbProcedure="false">"c13043"</definedName>
    <definedName function="false" hidden="true" name="IQ_RENT_PER_SQ_FT_AVG_CONSOL" vbProcedure="false">"c8846"</definedName>
    <definedName function="false" hidden="true" name="IQ_RENT_PER_SQ_FT_AVG_MANAGED" vbProcedure="false">"c8848"</definedName>
    <definedName function="false" hidden="true" name="IQ_RENT_PER_SQ_FT_AVG_OTHER" vbProcedure="false">"c8849"</definedName>
    <definedName function="false" hidden="true" name="IQ_RENT_PER_SQ_FT_AVG_TOTAL" vbProcedure="false">"c8850"</definedName>
    <definedName function="false" hidden="true" name="IQ_RENT_PER_SQ_FT_AVG_UNCONSOL" vbProcedure="false">"c8847"</definedName>
    <definedName function="false" hidden="true" name="IQ_RENT_PER_SQ_METER_AVG_CONSOL" vbProcedure="false">"c8851"</definedName>
    <definedName function="false" hidden="true" name="IQ_RENT_PER_SQ_METER_AVG_MANAGED" vbProcedure="false">"c8853"</definedName>
    <definedName function="false" hidden="true" name="IQ_RENT_PER_SQ_METER_AVG_OTHER" vbProcedure="false">"c8854"</definedName>
    <definedName function="false" hidden="true" name="IQ_RENT_PER_SQ_METER_AVG_TOTAL" vbProcedure="false">"c8855"</definedName>
    <definedName function="false" hidden="true" name="IQ_RENT_PER_SQ_METER_AVG_UNCONSOL" vbProcedure="false">"c8852"</definedName>
    <definedName function="false" hidden="true" name="IQ_RENT_SAFE_DEPOSIT_FFIEC" vbProcedure="false">"c13044"</definedName>
    <definedName function="false" hidden="true" name="IQ_REPAIRS_MAINTENANCE" vbProcedure="false">"c16032"</definedName>
    <definedName function="false" hidden="true" name="IQ_REPO" vbProcedure="false">"c19133"</definedName>
    <definedName function="false" hidden="true" name="IQ_REPRICEABLE_EARNING_ASSETS_INT_SENSITIVITY_FFIEC" vbProcedure="false">"c13093"</definedName>
    <definedName function="false" hidden="true" name="IQ_REPRICEABLE_INT_DEPOSITS_INT_SENSITIVITY_FFIEC" vbProcedure="false">"c13094"</definedName>
    <definedName function="false" hidden="true" name="IQ_REPURCHASED_REBOOKED_GNMA_DUE_30_89_FFIEC" vbProcedure="false">"c13283"</definedName>
    <definedName function="false" hidden="true" name="IQ_REPURCHASED_REBOOKED_GNMA_DUE_90_FFIEC" vbProcedure="false">"c13309"</definedName>
    <definedName function="false" hidden="true" name="IQ_REPURCHASED_REBOOKED_GNMA_NON_ACCRUAL_FFIEC" vbProcedure="false">"c13334"</definedName>
    <definedName function="false" hidden="true" name="IQ_RESEARCH_DEV" vbProcedure="false">"c1419"</definedName>
    <definedName function="false" hidden="true" name="IQ_RESIDENTIAL_LOANS" vbProcedure="false">"c1102"</definedName>
    <definedName function="false" hidden="true" name="IQ_RESTATEMENTS_FFIEC" vbProcedure="false">"c12958"</definedName>
    <definedName function="false" hidden="true" name="IQ_RESTATEMENTS_NET_FDIC" vbProcedure="false">"c6500"</definedName>
    <definedName function="false" hidden="true" name="IQ_RESTATEMENT_BS" vbProcedure="false">"c1643"</definedName>
    <definedName function="false" hidden="true" name="IQ_RESTATEMENT_CF" vbProcedure="false">"c1644"</definedName>
    <definedName function="false" hidden="true" name="IQ_RESTATEMENT_IS" vbProcedure="false">"c1642"</definedName>
    <definedName function="false" hidden="true" name="IQ_RESTRICTED_CASH" vbProcedure="false">"c1103"</definedName>
    <definedName function="false" hidden="true" name="IQ_RESTRICTED_CASH_NON_CURRENT" vbProcedure="false">"c6192"</definedName>
    <definedName function="false" hidden="true" name="IQ_RESTRICTED_CASH_TOTAL" vbProcedure="false">"c6193"</definedName>
    <definedName function="false" hidden="true" name="IQ_RESTRUCTURE" vbProcedure="false">"c1104"</definedName>
    <definedName function="false" hidden="true" name="IQ_RESTRUCTURED_LOANS" vbProcedure="false">"c1112"</definedName>
    <definedName function="false" hidden="true" name="IQ_RESTRUCTURED_LOANS_1_4_RESIDENTIAL_FDIC" vbProcedure="false">"c6378"</definedName>
    <definedName function="false" hidden="true" name="IQ_RESTRUCTURED_LOANS_LEASES_FDIC" vbProcedure="false">"c6377"</definedName>
    <definedName function="false" hidden="true" name="IQ_RESTRUCTURED_LOANS_NON_1_4_FDIC" vbProcedure="false">"c6379"</definedName>
    <definedName function="false" hidden="true" name="IQ_RESTRUCTURE_BNK" vbProcedure="false">"c1105"</definedName>
    <definedName function="false" hidden="true" name="IQ_RESTRUCTURE_BR" vbProcedure="false">"c1106"</definedName>
    <definedName function="false" hidden="true" name="IQ_RESTRUCTURE_CF" vbProcedure="false">"c1107"</definedName>
    <definedName function="false" hidden="true" name="IQ_RESTRUCTURE_FIN" vbProcedure="false">"c1108"</definedName>
    <definedName function="false" hidden="true" name="IQ_RESTRUCTURE_INS" vbProcedure="false">"c1109"</definedName>
    <definedName function="false" hidden="true" name="IQ_RESTRUCTURE_RE" vbProcedure="false">"c6264"</definedName>
    <definedName function="false" hidden="true" name="IQ_RESTRUCTURE_REIT" vbProcedure="false">"c1110"</definedName>
    <definedName function="false" hidden="true" name="IQ_RESTRUCTURE_SUPPLE" vbProcedure="false">"c13809"</definedName>
    <definedName function="false" hidden="true" name="IQ_RESTRUCTURE_UTI" vbProcedure="false">"c1111"</definedName>
    <definedName function="false" hidden="true" name="IQ_RESTR_STOCK_COMP" vbProcedure="false">"c3506"</definedName>
    <definedName function="false" hidden="true" name="IQ_RESTR_STOCK_COMP_PRETAX" vbProcedure="false">"c3504"</definedName>
    <definedName function="false" hidden="true" name="IQ_RESTR_STOCK_COMP_TAX" vbProcedure="false">"c3505"</definedName>
    <definedName function="false" hidden="true" name="IQ_REST_ACQUIRED_AFFILIATED_OTHER_RESTAURANTS" vbProcedure="false">"c9873"</definedName>
    <definedName function="false" hidden="true" name="IQ_REST_ACQUIRED_FRANCHISE_RESTAURANTS" vbProcedure="false">"c9867"</definedName>
    <definedName function="false" hidden="true" name="IQ_REST_ACQUIRED_OWNED_RESTAURANTS" vbProcedure="false">"c9861"</definedName>
    <definedName function="false" hidden="true" name="IQ_REST_ACQUIRED_RESTAURANTS" vbProcedure="false">"c9855"</definedName>
    <definedName function="false" hidden="true" name="IQ_REST_AFFILIATED_OTHER_RESTAURANTS_BEG" vbProcedure="false">"c9871"</definedName>
    <definedName function="false" hidden="true" name="IQ_REST_AVG_VALUE_TRANSACTION" vbProcedure="false">"c9887"</definedName>
    <definedName function="false" hidden="true" name="IQ_REST_AVG_VALUE_TRANSACTION_GROWTH" vbProcedure="false">"c9888"</definedName>
    <definedName function="false" hidden="true" name="IQ_REST_AVG_WEEKLY_SALES" vbProcedure="false">"c9879"</definedName>
    <definedName function="false" hidden="true" name="IQ_REST_AVG_WEEKLY_SALES_FRANCHISE" vbProcedure="false">"c9877"</definedName>
    <definedName function="false" hidden="true" name="IQ_REST_AVG_WEEKLY_SALES_OWNED" vbProcedure="false">"c9878"</definedName>
    <definedName function="false" hidden="true" name="IQ_REST_CLOSED_AFFILIATED_OTHER_RESTAURANTS" vbProcedure="false">"c9874"</definedName>
    <definedName function="false" hidden="true" name="IQ_REST_CLOSED_FRANCHISE_RESTAURANTS" vbProcedure="false">"c9868"</definedName>
    <definedName function="false" hidden="true" name="IQ_REST_CLOSED_OWNED_RESTAURANTS" vbProcedure="false">"c9862"</definedName>
    <definedName function="false" hidden="true" name="IQ_REST_CLOSED_RESTAURANTS" vbProcedure="false">"c9856"</definedName>
    <definedName function="false" hidden="true" name="IQ_REST_FRANCHISE_RESTAURANTS_BEG" vbProcedure="false">"c9865"</definedName>
    <definedName function="false" hidden="true" name="IQ_REST_GUEST_COUNT_GROWTH" vbProcedure="false">"c9889"</definedName>
    <definedName function="false" hidden="true" name="IQ_REST_OPENED_AFFILIATED_OTHER_RESTAURANTS" vbProcedure="false">"c9872"</definedName>
    <definedName function="false" hidden="true" name="IQ_REST_OPENED_FRANCHISE_RESTAURANTS" vbProcedure="false">"c9866"</definedName>
    <definedName function="false" hidden="true" name="IQ_REST_OPENED_OWNED_RESTAURANTS" vbProcedure="false">"c9860"</definedName>
    <definedName function="false" hidden="true" name="IQ_REST_OPENED_RESTAURANTS" vbProcedure="false">"c9854"</definedName>
    <definedName function="false" hidden="true" name="IQ_REST_OPERATING_MARGIN" vbProcedure="false">"c9886"</definedName>
    <definedName function="false" hidden="true" name="IQ_REST_OWNED_RESTAURANTS_BEG" vbProcedure="false">"c9859"</definedName>
    <definedName function="false" hidden="true" name="IQ_REST_RESTAURANTS_BEG" vbProcedure="false">"c9853"</definedName>
    <definedName function="false" hidden="true" name="IQ_REST_SAME_RESTAURANT_SALES" vbProcedure="false">"c9885"</definedName>
    <definedName function="false" hidden="true" name="IQ_REST_SAME_RESTAURANT_SALES_FRANCHISE" vbProcedure="false">"c9883"</definedName>
    <definedName function="false" hidden="true" name="IQ_REST_SAME_RESTAURANT_SALES_GROWTH" vbProcedure="false">"c9882"</definedName>
    <definedName function="false" hidden="true" name="IQ_REST_SAME_RESTAURANT_SALES_GROWTH_FRANCHISE" vbProcedure="false">"c9880"</definedName>
    <definedName function="false" hidden="true" name="IQ_REST_SAME_RESTAURANT_SALES_GROWTH_OWNED" vbProcedure="false">"c9881"</definedName>
    <definedName function="false" hidden="true" name="IQ_REST_SAME_RESTAURANT_SALES_OWNED" vbProcedure="false">"c9884"</definedName>
    <definedName function="false" hidden="true" name="IQ_REST_SOLD_AFFILIATED_OTHER_RESTAURANTS" vbProcedure="false">"c9875"</definedName>
    <definedName function="false" hidden="true" name="IQ_REST_SOLD_FRANCHISE_RESTAURANTS" vbProcedure="false">"c9869"</definedName>
    <definedName function="false" hidden="true" name="IQ_REST_SOLD_OWNED_RESTAURANTS" vbProcedure="false">"c9863"</definedName>
    <definedName function="false" hidden="true" name="IQ_REST_SOLD_RESTAURANTS" vbProcedure="false">"c9857"</definedName>
    <definedName function="false" hidden="true" name="IQ_REST_TOTAL_AFFILIATED_OTHER_RESTAURANTS" vbProcedure="false">"c9876"</definedName>
    <definedName function="false" hidden="true" name="IQ_REST_TOTAL_FRANCHISE_RESTAURANTS" vbProcedure="false">"c9870"</definedName>
    <definedName function="false" hidden="true" name="IQ_REST_TOTAL_OWNED_RESTAURANTS" vbProcedure="false">"c9864"</definedName>
    <definedName function="false" hidden="true" name="IQ_REST_TOTAL_RESTAURANTS" vbProcedure="false">"c9858"</definedName>
    <definedName function="false" hidden="true" name="IQ_RES_CONST_REAL_APR_FC_UNUSED" vbProcedure="false">"c8536"</definedName>
    <definedName function="false" hidden="true" name="IQ_RES_CONST_REAL_APR_UNUSED" vbProcedure="false">"c7656"</definedName>
    <definedName function="false" hidden="true" name="IQ_RES_CONST_REAL_FC_UNUSED" vbProcedure="false">"c7876"</definedName>
    <definedName function="false" hidden="true" name="IQ_RES_CONST_REAL_POP_FC_UNUSED" vbProcedure="false">"c8096"</definedName>
    <definedName function="false" hidden="true" name="IQ_RES_CONST_REAL_POP_UNUSED" vbProcedure="false">"c7216"</definedName>
    <definedName function="false" hidden="true" name="IQ_RES_CONST_REAL_SAAR_APR_FC_UNUSED" vbProcedure="false">"c8537"</definedName>
    <definedName function="false" hidden="true" name="IQ_RES_CONST_REAL_SAAR_APR_UNUSED" vbProcedure="false">"c7657"</definedName>
    <definedName function="false" hidden="true" name="IQ_RES_CONST_REAL_SAAR_FC_UNUSED" vbProcedure="false">"c7877"</definedName>
    <definedName function="false" hidden="true" name="IQ_RES_CONST_REAL_SAAR_POP_FC_UNUSED" vbProcedure="false">"c8097"</definedName>
    <definedName function="false" hidden="true" name="IQ_RES_CONST_REAL_SAAR_POP_UNUSED" vbProcedure="false">"c7217"</definedName>
    <definedName function="false" hidden="true" name="IQ_RES_CONST_REAL_SAAR_UNUSED" vbProcedure="false">"c6997"</definedName>
    <definedName function="false" hidden="true" name="IQ_RES_CONST_REAL_SAAR_YOY_FC_UNUSED" vbProcedure="false">"c8317"</definedName>
    <definedName function="false" hidden="true" name="IQ_RES_CONST_REAL_SAAR_YOY_UNUSED" vbProcedure="false">"c7437"</definedName>
    <definedName function="false" hidden="true" name="IQ_RES_CONST_REAL_UNUSED" vbProcedure="false">"c6996"</definedName>
    <definedName function="false" hidden="true" name="IQ_RES_CONST_REAL_YOY_FC_UNUSED" vbProcedure="false">"c8316"</definedName>
    <definedName function="false" hidden="true" name="IQ_RES_CONST_REAL_YOY_UNUSED" vbProcedure="false">"c7436"</definedName>
    <definedName function="false" hidden="true" name="IQ_RES_CONST_SAAR_APR_FC_UNUSED" vbProcedure="false">"c8540"</definedName>
    <definedName function="false" hidden="true" name="IQ_RES_CONST_SAAR_APR_UNUSED" vbProcedure="false">"c7660"</definedName>
    <definedName function="false" hidden="true" name="IQ_RES_CONST_SAAR_FC_UNUSED" vbProcedure="false">"c7880"</definedName>
    <definedName function="false" hidden="true" name="IQ_RES_CONST_SAAR_POP_FC_UNUSED" vbProcedure="false">"c8100"</definedName>
    <definedName function="false" hidden="true" name="IQ_RES_CONST_SAAR_POP_UNUSED" vbProcedure="false">"c7220"</definedName>
    <definedName function="false" hidden="true" name="IQ_RES_CONST_SAAR_UNUSED" vbProcedure="false">"c7000"</definedName>
    <definedName function="false" hidden="true" name="IQ_RES_CONST_SAAR_YOY_FC_UNUSED" vbProcedure="false">"c8320"</definedName>
    <definedName function="false" hidden="true" name="IQ_RES_CONST_SAAR_YOY_UNUSED" vbProcedure="false">"c7440"</definedName>
    <definedName function="false" hidden="true" name="IQ_RES_FIXED_INVEST" vbProcedure="false">"c7001"</definedName>
    <definedName function="false" hidden="true" name="IQ_RES_FIXED_INVEST_APR" vbProcedure="false">"c7661"</definedName>
    <definedName function="false" hidden="true" name="IQ_RES_FIXED_INVEST_APR_FC" vbProcedure="false">"c8541"</definedName>
    <definedName function="false" hidden="true" name="IQ_RES_FIXED_INVEST_FC" vbProcedure="false">"c7881"</definedName>
    <definedName function="false" hidden="true" name="IQ_RES_FIXED_INVEST_POP" vbProcedure="false">"c7221"</definedName>
    <definedName function="false" hidden="true" name="IQ_RES_FIXED_INVEST_POP_FC" vbProcedure="false">"c8101"</definedName>
    <definedName function="false" hidden="true" name="IQ_RES_FIXED_INVEST_REAL" vbProcedure="false">"c6998"</definedName>
    <definedName function="false" hidden="true" name="IQ_RES_FIXED_INVEST_REAL_APR" vbProcedure="false">"c7658"</definedName>
    <definedName function="false" hidden="true" name="IQ_RES_FIXED_INVEST_REAL_APR_FC" vbProcedure="false">"c8538"</definedName>
    <definedName function="false" hidden="true" name="IQ_RES_FIXED_INVEST_REAL_FC" vbProcedure="false">"c7878"</definedName>
    <definedName function="false" hidden="true" name="IQ_RES_FIXED_INVEST_REAL_POP" vbProcedure="false">"c7218"</definedName>
    <definedName function="false" hidden="true" name="IQ_RES_FIXED_INVEST_REAL_POP_FC" vbProcedure="false">"c8098"</definedName>
    <definedName function="false" hidden="true" name="IQ_RES_FIXED_INVEST_REAL_YOY" vbProcedure="false">"c7438"</definedName>
    <definedName function="false" hidden="true" name="IQ_RES_FIXED_INVEST_REAL_YOY_FC" vbProcedure="false">"c8318"</definedName>
    <definedName function="false" hidden="true" name="IQ_RES_FIXED_INVEST_SAAR" vbProcedure="false">"c11994"</definedName>
    <definedName function="false" hidden="true" name="IQ_RES_FIXED_INVEST_SAAR_APR" vbProcedure="false">"c11997"</definedName>
    <definedName function="false" hidden="true" name="IQ_RES_FIXED_INVEST_SAAR_POP" vbProcedure="false">"c11995"</definedName>
    <definedName function="false" hidden="true" name="IQ_RES_FIXED_INVEST_SAAR_REAL" vbProcedure="false">"c11990"</definedName>
    <definedName function="false" hidden="true" name="IQ_RES_FIXED_INVEST_SAAR_REAL_APR" vbProcedure="false">"c11993"</definedName>
    <definedName function="false" hidden="true" name="IQ_RES_FIXED_INVEST_SAAR_REAL_POP" vbProcedure="false">"c11991"</definedName>
    <definedName function="false" hidden="true" name="IQ_RES_FIXED_INVEST_SAAR_REAL_YOY" vbProcedure="false">"c11992"</definedName>
    <definedName function="false" hidden="true" name="IQ_RES_FIXED_INVEST_SAAR_YOY" vbProcedure="false">"c11996"</definedName>
    <definedName function="false" hidden="true" name="IQ_RES_FIXED_INVEST_YOY" vbProcedure="false">"c7441"</definedName>
    <definedName function="false" hidden="true" name="IQ_RES_FIXED_INVEST_YOY_FC" vbProcedure="false">"c8321"</definedName>
    <definedName function="false" hidden="true" name="IQ_RETAIL_ACQUIRED_AFFILIATED_OTHER_STORES" vbProcedure="false">"c9892"</definedName>
    <definedName function="false" hidden="true" name="IQ_RETAIL_ACQUIRED_FRANCHISE_STORES" vbProcedure="false">"c2895"</definedName>
    <definedName function="false" hidden="true" name="IQ_RETAIL_ACQUIRED_OWNED_STORES" vbProcedure="false">"c2903"</definedName>
    <definedName function="false" hidden="true" name="IQ_RETAIL_ACQUIRED_STORES" vbProcedure="false">"c2887"</definedName>
    <definedName function="false" hidden="true" name="IQ_RETAIL_AFFILIATED_OTHER_STORES_BEG" vbProcedure="false">"c9890"</definedName>
    <definedName function="false" hidden="true" name="IQ_RETAIL_AVG_SQ_METERS_GROSS" vbProcedure="false">"c9908"</definedName>
    <definedName function="false" hidden="true" name="IQ_RETAIL_AVG_SQ_METERS_NET" vbProcedure="false">"c9907"</definedName>
    <definedName function="false" hidden="true" name="IQ_RETAIL_AVG_STORE_SIZE_GROSS" vbProcedure="false">"c2066"</definedName>
    <definedName function="false" hidden="true" name="IQ_RETAIL_AVG_STORE_SIZE_NET" vbProcedure="false">"c2067"</definedName>
    <definedName function="false" hidden="true" name="IQ_RETAIL_AVG_VALUE_TRANSACTION" vbProcedure="false">"c9915"</definedName>
    <definedName function="false" hidden="true" name="IQ_RETAIL_AVG_VALUE_TRANSACTION_GROWTH" vbProcedure="false">"c9916"</definedName>
    <definedName function="false" hidden="true" name="IQ_RETAIL_AVG_WK_SALES" vbProcedure="false">"c2891"</definedName>
    <definedName function="false" hidden="true" name="IQ_RETAIL_AVG_WK_SALES_FRANCHISE" vbProcedure="false">"c2899"</definedName>
    <definedName function="false" hidden="true" name="IQ_RETAIL_AVG_WK_SALES_OWNED" vbProcedure="false">"c2907"</definedName>
    <definedName function="false" hidden="true" name="IQ_RETAIL_CATALOG_REVENUES" vbProcedure="false">"c9903"</definedName>
    <definedName function="false" hidden="true" name="IQ_RETAIL_CLOSED_AFFILIATED_OTHER_STORES" vbProcedure="false">"c9893"</definedName>
    <definedName function="false" hidden="true" name="IQ_RETAIL_CLOSED_FRANCHISE_STORES" vbProcedure="false">"c2896"</definedName>
    <definedName function="false" hidden="true" name="IQ_RETAIL_CLOSED_OWNED_STORES" vbProcedure="false">"c2904"</definedName>
    <definedName function="false" hidden="true" name="IQ_RETAIL_CLOSED_STORES" vbProcedure="false">"c2063"</definedName>
    <definedName function="false" hidden="true" name="IQ_RETAIL_DEPOSITS_FDIC" vbProcedure="false">"c6488"</definedName>
    <definedName function="false" hidden="true" name="IQ_RETAIL_FRANCHISE_STORES_BEG" vbProcedure="false">"c2893"</definedName>
    <definedName function="false" hidden="true" name="IQ_RETAIL_GROSS_MARGIN" vbProcedure="false">"c9899"</definedName>
    <definedName function="false" hidden="true" name="IQ_RETAIL_IS_RATIO" vbProcedure="false">"c7002"</definedName>
    <definedName function="false" hidden="true" name="IQ_RETAIL_IS_RATIO_FC" vbProcedure="false">"c7882"</definedName>
    <definedName function="false" hidden="true" name="IQ_RETAIL_IS_RATIO_POP" vbProcedure="false">"c7222"</definedName>
    <definedName function="false" hidden="true" name="IQ_RETAIL_IS_RATIO_POP_FC" vbProcedure="false">"c8102"</definedName>
    <definedName function="false" hidden="true" name="IQ_RETAIL_IS_RATIO_YOY" vbProcedure="false">"c7442"</definedName>
    <definedName function="false" hidden="true" name="IQ_RETAIL_IS_RATIO_YOY_FC" vbProcedure="false">"c8322"</definedName>
    <definedName function="false" hidden="true" name="IQ_RETAIL_MERCHANDISE_MARGIN" vbProcedure="false">"c9901"</definedName>
    <definedName function="false" hidden="true" name="IQ_RETAIL_ONLINE_REVENUES" vbProcedure="false">"c9904"</definedName>
    <definedName function="false" hidden="true" name="IQ_RETAIL_OPENED_AFFILIATED_OTHER_STORES" vbProcedure="false">"c9891"</definedName>
    <definedName function="false" hidden="true" name="IQ_RETAIL_OPENED_FRANCHISE_STORES" vbProcedure="false">"c2894"</definedName>
    <definedName function="false" hidden="true" name="IQ_RETAIL_OPENED_OWNED_STORES" vbProcedure="false">"c2902"</definedName>
    <definedName function="false" hidden="true" name="IQ_RETAIL_OPENED_STORES" vbProcedure="false">"c2062"</definedName>
    <definedName function="false" hidden="true" name="IQ_RETAIL_OPERATING_MARGIN" vbProcedure="false">"c9900"</definedName>
    <definedName function="false" hidden="true" name="IQ_RETAIL_OWNED_STORES_BEG" vbProcedure="false">"c2901"</definedName>
    <definedName function="false" hidden="true" name="IQ_RETAIL_REVENUES" vbProcedure="false">"c9902"</definedName>
    <definedName function="false" hidden="true" name="IQ_RETAIL_SALES" vbProcedure="false">"c7003"</definedName>
    <definedName function="false" hidden="true" name="IQ_RETAIL_SALES_APR" vbProcedure="false">"c7663"</definedName>
    <definedName function="false" hidden="true" name="IQ_RETAIL_SALES_APR_FC" vbProcedure="false">"c8543"</definedName>
    <definedName function="false" hidden="true" name="IQ_RETAIL_SALES_CATALOG" vbProcedure="false">"c9903"</definedName>
    <definedName function="false" hidden="true" name="IQ_RETAIL_SALES_FC" vbProcedure="false">"c7883"</definedName>
    <definedName function="false" hidden="true" name="IQ_RETAIL_SALES_FOOD" vbProcedure="false">"c7004"</definedName>
    <definedName function="false" hidden="true" name="IQ_RETAIL_SALES_FOOD_APR" vbProcedure="false">"c7664"</definedName>
    <definedName function="false" hidden="true" name="IQ_RETAIL_SALES_FOOD_APR_FC" vbProcedure="false">"c8544"</definedName>
    <definedName function="false" hidden="true" name="IQ_RETAIL_SALES_FOOD_EXCL_VEHICLE" vbProcedure="false">"c7005"</definedName>
    <definedName function="false" hidden="true" name="IQ_RETAIL_SALES_FOOD_EXCL_VEHICLE_APR" vbProcedure="false">"c7665"</definedName>
    <definedName function="false" hidden="true" name="IQ_RETAIL_SALES_FOOD_EXCL_VEHICLE_APR_FC" vbProcedure="false">"c8545"</definedName>
    <definedName function="false" hidden="true" name="IQ_RETAIL_SALES_FOOD_EXCL_VEHICLE_FC" vbProcedure="false">"c7885"</definedName>
    <definedName function="false" hidden="true" name="IQ_RETAIL_SALES_FOOD_EXCL_VEHICLE_POP" vbProcedure="false">"c7225"</definedName>
    <definedName function="false" hidden="true" name="IQ_RETAIL_SALES_FOOD_EXCL_VEHICLE_POP_FC" vbProcedure="false">"c8105"</definedName>
    <definedName function="false" hidden="true" name="IQ_RETAIL_SALES_FOOD_EXCL_VEHICLE_YOY" vbProcedure="false">"c7445"</definedName>
    <definedName function="false" hidden="true" name="IQ_RETAIL_SALES_FOOD_EXCL_VEHICLE_YOY_FC" vbProcedure="false">"c8325"</definedName>
    <definedName function="false" hidden="true" name="IQ_RETAIL_SALES_FOOD_FC" vbProcedure="false">"c7884"</definedName>
    <definedName function="false" hidden="true" name="IQ_RETAIL_SALES_FOOD_POP" vbProcedure="false">"c7224"</definedName>
    <definedName function="false" hidden="true" name="IQ_RETAIL_SALES_FOOD_POP_FC" vbProcedure="false">"c8104"</definedName>
    <definedName function="false" hidden="true" name="IQ_RETAIL_SALES_FOOD_YOY" vbProcedure="false">"c7444"</definedName>
    <definedName function="false" hidden="true" name="IQ_RETAIL_SALES_FOOD_YOY_FC" vbProcedure="false">"c8324"</definedName>
    <definedName function="false" hidden="true" name="IQ_RETAIL_SALES_ONLINE" vbProcedure="false">"c9904"</definedName>
    <definedName function="false" hidden="true" name="IQ_RETAIL_SALES_POP" vbProcedure="false">"c7223"</definedName>
    <definedName function="false" hidden="true" name="IQ_RETAIL_SALES_POP_FC" vbProcedure="false">"c8103"</definedName>
    <definedName function="false" hidden="true" name="IQ_RETAIL_SALES_RETAIL" vbProcedure="false">"c9902"</definedName>
    <definedName function="false" hidden="true" name="IQ_RETAIL_SALES_SAAR" vbProcedure="false">"c7009"</definedName>
    <definedName function="false" hidden="true" name="IQ_RETAIL_SALES_SAAR_APR" vbProcedure="false">"c7669"</definedName>
    <definedName function="false" hidden="true" name="IQ_RETAIL_SALES_SAAR_APR_FC" vbProcedure="false">"c8549"</definedName>
    <definedName function="false" hidden="true" name="IQ_RETAIL_SALES_SAAR_FC" vbProcedure="false">"c7889"</definedName>
    <definedName function="false" hidden="true" name="IQ_RETAIL_SALES_SAAR_POP" vbProcedure="false">"c7229"</definedName>
    <definedName function="false" hidden="true" name="IQ_RETAIL_SALES_SAAR_POP_FC" vbProcedure="false">"c8109"</definedName>
    <definedName function="false" hidden="true" name="IQ_RETAIL_SALES_SAAR_YOY" vbProcedure="false">"c7449"</definedName>
    <definedName function="false" hidden="true" name="IQ_RETAIL_SALES_SAAR_YOY_FC" vbProcedure="false">"c8329"</definedName>
    <definedName function="false" hidden="true" name="IQ_RETAIL_SALES_SQFT_ALL_GROSS" vbProcedure="false">"c2138"</definedName>
    <definedName function="false" hidden="true" name="IQ_RETAIL_SALES_SQFT_ALL_NET" vbProcedure="false">"c2139"</definedName>
    <definedName function="false" hidden="true" name="IQ_RETAIL_SALES_SQFT_COMPARABLE_GROSS" vbProcedure="false">"c2136"</definedName>
    <definedName function="false" hidden="true" name="IQ_RETAIL_SALES_SQFT_COMPARABLE_NET" vbProcedure="false">"c2137"</definedName>
    <definedName function="false" hidden="true" name="IQ_RETAIL_SALES_SQFT_OWNED_GROSS" vbProcedure="false">"c2134"</definedName>
    <definedName function="false" hidden="true" name="IQ_RETAIL_SALES_SQFT_OWNED_NET" vbProcedure="false">"c2135"</definedName>
    <definedName function="false" hidden="true" name="IQ_RETAIL_SALES_SQ_METER_COMPARABLE_GROSS" vbProcedure="false">"c9914"</definedName>
    <definedName function="false" hidden="true" name="IQ_RETAIL_SALES_SQ_METER_COMPARABLE_NET" vbProcedure="false">"c9913"</definedName>
    <definedName function="false" hidden="true" name="IQ_RETAIL_SALES_SQ_METER_GROSS" vbProcedure="false">"c9910"</definedName>
    <definedName function="false" hidden="true" name="IQ_RETAIL_SALES_SQ_METER_NET" vbProcedure="false">"c9909"</definedName>
    <definedName function="false" hidden="true" name="IQ_RETAIL_SALES_SQ_METER_OWNED_GROSS" vbProcedure="false">"c9912"</definedName>
    <definedName function="false" hidden="true" name="IQ_RETAIL_SALES_SQ_METER_OWNED_NET" vbProcedure="false">"c9911"</definedName>
    <definedName function="false" hidden="true" name="IQ_RETAIL_SALES_VALUE_INDEX" vbProcedure="false">"c7006"</definedName>
    <definedName function="false" hidden="true" name="IQ_RETAIL_SALES_VALUE_INDEX_APR" vbProcedure="false">"c7666"</definedName>
    <definedName function="false" hidden="true" name="IQ_RETAIL_SALES_VALUE_INDEX_APR_FC" vbProcedure="false">"c8546"</definedName>
    <definedName function="false" hidden="true" name="IQ_RETAIL_SALES_VALUE_INDEX_FC" vbProcedure="false">"c7886"</definedName>
    <definedName function="false" hidden="true" name="IQ_RETAIL_SALES_VALUE_INDEX_POP" vbProcedure="false">"c7226"</definedName>
    <definedName function="false" hidden="true" name="IQ_RETAIL_SALES_VALUE_INDEX_POP_FC" vbProcedure="false">"c8106"</definedName>
    <definedName function="false" hidden="true" name="IQ_RETAIL_SALES_VALUE_INDEX_YOY" vbProcedure="false">"c7446"</definedName>
    <definedName function="false" hidden="true" name="IQ_RETAIL_SALES_VALUE_INDEX_YOY_FC" vbProcedure="false">"c8326"</definedName>
    <definedName function="false" hidden="true" name="IQ_RETAIL_SALES_VOL_INDEX" vbProcedure="false">"c7007"</definedName>
    <definedName function="false" hidden="true" name="IQ_RETAIL_SALES_VOL_INDEX_APR" vbProcedure="false">"c7667"</definedName>
    <definedName function="false" hidden="true" name="IQ_RETAIL_SALES_VOL_INDEX_APR_FC" vbProcedure="false">"c8547"</definedName>
    <definedName function="false" hidden="true" name="IQ_RETAIL_SALES_VOL_INDEX_EXCL_MOTOR" vbProcedure="false">"c7008"</definedName>
    <definedName function="false" hidden="true" name="IQ_RETAIL_SALES_VOL_INDEX_EXCL_MOTOR_APR" vbProcedure="false">"c7668"</definedName>
    <definedName function="false" hidden="true" name="IQ_RETAIL_SALES_VOL_INDEX_EXCL_MOTOR_APR_FC" vbProcedure="false">"c8548"</definedName>
    <definedName function="false" hidden="true" name="IQ_RETAIL_SALES_VOL_INDEX_EXCL_MOTOR_FC" vbProcedure="false">"c7888"</definedName>
    <definedName function="false" hidden="true" name="IQ_RETAIL_SALES_VOL_INDEX_EXCL_MOTOR_POP" vbProcedure="false">"c7228"</definedName>
    <definedName function="false" hidden="true" name="IQ_RETAIL_SALES_VOL_INDEX_EXCL_MOTOR_POP_FC" vbProcedure="false">"c8108"</definedName>
    <definedName function="false" hidden="true" name="IQ_RETAIL_SALES_VOL_INDEX_EXCL_MOTOR_YOY" vbProcedure="false">"c7448"</definedName>
    <definedName function="false" hidden="true" name="IQ_RETAIL_SALES_VOL_INDEX_EXCL_MOTOR_YOY_FC" vbProcedure="false">"c8328"</definedName>
    <definedName function="false" hidden="true" name="IQ_RETAIL_SALES_VOL_INDEX_FC" vbProcedure="false">"c7887"</definedName>
    <definedName function="false" hidden="true" name="IQ_RETAIL_SALES_VOL_INDEX_POP" vbProcedure="false">"c7227"</definedName>
    <definedName function="false" hidden="true" name="IQ_RETAIL_SALES_VOL_INDEX_POP_FC" vbProcedure="false">"c8107"</definedName>
    <definedName function="false" hidden="true" name="IQ_RETAIL_SALES_VOL_INDEX_YOY" vbProcedure="false">"c7447"</definedName>
    <definedName function="false" hidden="true" name="IQ_RETAIL_SALES_VOL_INDEX_YOY_FC" vbProcedure="false">"c8327"</definedName>
    <definedName function="false" hidden="true" name="IQ_RETAIL_SALES_YOY" vbProcedure="false">"c7443"</definedName>
    <definedName function="false" hidden="true" name="IQ_RETAIL_SALES_YOY_FC" vbProcedure="false">"c8323"</definedName>
    <definedName function="false" hidden="true" name="IQ_RETAIL_SAME_STORE_SALES" vbProcedure="false">"c9898"</definedName>
    <definedName function="false" hidden="true" name="IQ_RETAIL_SAME_STORE_SALES_FRANCHISE" vbProcedure="false">"c9896"</definedName>
    <definedName function="false" hidden="true" name="IQ_RETAIL_SAME_STORE_SALES_OWNED" vbProcedure="false">"c9897"</definedName>
    <definedName function="false" hidden="true" name="IQ_RETAIL_SOLD_AFFILIATED_OTHER_STORES" vbProcedure="false">"c9894"</definedName>
    <definedName function="false" hidden="true" name="IQ_RETAIL_SOLD_FRANCHISE_STORES" vbProcedure="false">"c2897"</definedName>
    <definedName function="false" hidden="true" name="IQ_RETAIL_SOLD_OWNED_STORES" vbProcedure="false">"c2905"</definedName>
    <definedName function="false" hidden="true" name="IQ_RETAIL_SOLD_STORES" vbProcedure="false">"c2889"</definedName>
    <definedName function="false" hidden="true" name="IQ_RETAIL_SQ_FOOTAGE" vbProcedure="false">"c2064"</definedName>
    <definedName function="false" hidden="true" name="IQ_RETAIL_STORES_BEG" vbProcedure="false">"c2885"</definedName>
    <definedName function="false" hidden="true" name="IQ_RETAIL_STORE_SELLING_AREA" vbProcedure="false">"c2065"</definedName>
    <definedName function="false" hidden="true" name="IQ_RETAIL_TOTAL_AFFILIATED_OTHER_STORES" vbProcedure="false">"c9895"</definedName>
    <definedName function="false" hidden="true" name="IQ_RETAIL_TOTAL_FRANCHISE_STORES" vbProcedure="false">"c2898"</definedName>
    <definedName function="false" hidden="true" name="IQ_RETAIL_TOTAL_OWNED_STORES" vbProcedure="false">"c2906"</definedName>
    <definedName function="false" hidden="true" name="IQ_RETAIL_TOTAL_SQ_METERS_GROSS" vbProcedure="false">"c9906"</definedName>
    <definedName function="false" hidden="true" name="IQ_RETAIL_TOTAL_SQ_METERS_NET" vbProcedure="false">"c9905"</definedName>
    <definedName function="false" hidden="true" name="IQ_RETAIL_TOTAL_STORES" vbProcedure="false">"c2061"</definedName>
    <definedName function="false" hidden="true" name="IQ_RETAIL_WHOLESALE_REVENUES" vbProcedure="false">"c15895"</definedName>
    <definedName function="false" hidden="true" name="IQ_RETAINED_EARN" vbProcedure="false">"c1420"</definedName>
    <definedName function="false" hidden="true" name="IQ_RETAINED_EARNINGS_AVERAGE_EQUITY_FDIC" vbProcedure="false">"c6733"</definedName>
    <definedName function="false" hidden="true" name="IQ_RETAINED_EARNINGS_EQUITY_FFIEC" vbProcedure="false">"c13348"</definedName>
    <definedName function="false" hidden="true" name="IQ_RETAINED_EARNINGS_FFIEC" vbProcedure="false">"c12878"</definedName>
    <definedName function="false" hidden="true" name="IQ_RETURN_ASSETS" vbProcedure="false">"c1113"</definedName>
    <definedName function="false" hidden="true" name="IQ_RETURN_ASSETS_ACT_OR_EST" vbProcedure="false">"c3585"</definedName>
    <definedName function="false" hidden="true" name="IQ_RETURN_ASSETS_ACT_OR_EST_REUT" vbProcedure="false">"c5475"</definedName>
    <definedName function="false" hidden="true" name="IQ_RETURN_ASSETS_ACT_OR_EST_THOM" vbProcedure="false">"c5310"</definedName>
    <definedName function="false" hidden="true" name="IQ_RETURN_ASSETS_BANK" vbProcedure="false">"c1114"</definedName>
    <definedName function="false" hidden="true" name="IQ_RETURN_ASSETS_BROK" vbProcedure="false">"c1115"</definedName>
    <definedName function="false" hidden="true" name="IQ_RETURN_ASSETS_DET_EST" vbProcedure="false">"c12066"</definedName>
    <definedName function="false" hidden="true" name="IQ_RETURN_ASSETS_DET_EST_DATE" vbProcedure="false">"c12219"</definedName>
    <definedName function="false" hidden="true" name="IQ_RETURN_ASSETS_DET_EST_DATE_REUT" vbProcedure="false">"c12304"</definedName>
    <definedName function="false" hidden="true" name="IQ_RETURN_ASSETS_DET_EST_DATE_THOM" vbProcedure="false">"c12247"</definedName>
    <definedName function="false" hidden="true" name="IQ_RETURN_ASSETS_DET_EST_INCL" vbProcedure="false">"c12356"</definedName>
    <definedName function="false" hidden="true" name="IQ_RETURN_ASSETS_DET_EST_INCL_REUT" vbProcedure="false">"c12428"</definedName>
    <definedName function="false" hidden="true" name="IQ_RETURN_ASSETS_DET_EST_INCL_THOM" vbProcedure="false">"c12379"</definedName>
    <definedName function="false" hidden="true" name="IQ_RETURN_ASSETS_DET_EST_ORIGIN" vbProcedure="false">"c12591"</definedName>
    <definedName function="false" hidden="true" name="IQ_RETURN_ASSETS_DET_EST_ORIGIN_REUT" vbProcedure="false">"c12672"</definedName>
    <definedName function="false" hidden="true" name="IQ_RETURN_ASSETS_DET_EST_ORIGIN_THOM" vbProcedure="false">"c12617"</definedName>
    <definedName function="false" hidden="true" name="IQ_RETURN_ASSETS_DET_EST_REUT" vbProcedure="false">"c12162"</definedName>
    <definedName function="false" hidden="true" name="IQ_RETURN_ASSETS_DET_EST_THOM" vbProcedure="false">"c12097"</definedName>
    <definedName function="false" hidden="true" name="IQ_RETURN_ASSETS_EST" vbProcedure="false">"c3529"</definedName>
    <definedName function="false" hidden="true" name="IQ_RETURN_ASSETS_EST_REUT" vbProcedure="false">"c3990"</definedName>
    <definedName function="false" hidden="true" name="IQ_RETURN_ASSETS_EST_THOM" vbProcedure="false">"c4034"</definedName>
    <definedName function="false" hidden="true" name="IQ_RETURN_ASSETS_FDIC" vbProcedure="false">"c6730"</definedName>
    <definedName function="false" hidden="true" name="IQ_RETURN_ASSETS_FS" vbProcedure="false">"c1116"</definedName>
    <definedName function="false" hidden="true" name="IQ_RETURN_ASSETS_GUIDANCE" vbProcedure="false">"c4517"</definedName>
    <definedName function="false" hidden="true" name="IQ_RETURN_ASSETS_GUIDANCE_CIQ" vbProcedure="false">"c5055"</definedName>
    <definedName function="false" hidden="true" name="IQ_RETURN_ASSETS_GUIDANCE_CIQ_COL" vbProcedure="false">"c11702"</definedName>
    <definedName function="false" hidden="true" name="IQ_RETURN_ASSETS_HIGH_EST" vbProcedure="false">"c3530"</definedName>
    <definedName function="false" hidden="true" name="IQ_RETURN_ASSETS_HIGH_EST_REUT" vbProcedure="false">"c3992"</definedName>
    <definedName function="false" hidden="true" name="IQ_RETURN_ASSETS_HIGH_EST_THOM" vbProcedure="false">"c4036"</definedName>
    <definedName function="false" hidden="true" name="IQ_RETURN_ASSETS_HIGH_GUIDANCE" vbProcedure="false">"c4183"</definedName>
    <definedName function="false" hidden="true" name="IQ_RETURN_ASSETS_HIGH_GUIDANCE_CIQ" vbProcedure="false">"c4595"</definedName>
    <definedName function="false" hidden="true" name="IQ_RETURN_ASSETS_HIGH_GUIDANCE_CIQ_COL" vbProcedure="false">"c11244"</definedName>
    <definedName function="false" hidden="true" name="IQ_RETURN_ASSETS_LOW_EST" vbProcedure="false">"c3531"</definedName>
    <definedName function="false" hidden="true" name="IQ_RETURN_ASSETS_LOW_EST_REUT" vbProcedure="false">"c3993"</definedName>
    <definedName function="false" hidden="true" name="IQ_RETURN_ASSETS_LOW_EST_THOM" vbProcedure="false">"c4037"</definedName>
    <definedName function="false" hidden="true" name="IQ_RETURN_ASSETS_LOW_GUIDANCE" vbProcedure="false">"c4223"</definedName>
    <definedName function="false" hidden="true" name="IQ_RETURN_ASSETS_LOW_GUIDANCE_CIQ" vbProcedure="false">"c4635"</definedName>
    <definedName function="false" hidden="true" name="IQ_RETURN_ASSETS_LOW_GUIDANCE_CIQ_COL" vbProcedure="false">"c11284"</definedName>
    <definedName function="false" hidden="true" name="IQ_RETURN_ASSETS_MEDIAN_EST" vbProcedure="false">"c3532"</definedName>
    <definedName function="false" hidden="true" name="IQ_RETURN_ASSETS_MEDIAN_EST_REUT" vbProcedure="false">"c3991"</definedName>
    <definedName function="false" hidden="true" name="IQ_RETURN_ASSETS_MEDIAN_EST_THOM" vbProcedure="false">"c4035"</definedName>
    <definedName function="false" hidden="true" name="IQ_RETURN_ASSETS_NUM_EST" vbProcedure="false">"c3527"</definedName>
    <definedName function="false" hidden="true" name="IQ_RETURN_ASSETS_NUM_EST_REUT" vbProcedure="false">"c3994"</definedName>
    <definedName function="false" hidden="true" name="IQ_RETURN_ASSETS_NUM_EST_THOM" vbProcedure="false">"c4038"</definedName>
    <definedName function="false" hidden="true" name="IQ_RETURN_ASSETS_STDDEV_EST" vbProcedure="false">"c3528"</definedName>
    <definedName function="false" hidden="true" name="IQ_RETURN_ASSETS_STDDEV_EST_REUT" vbProcedure="false">"c3995"</definedName>
    <definedName function="false" hidden="true" name="IQ_RETURN_ASSETS_STDDEV_EST_THOM" vbProcedure="false">"c4039"</definedName>
    <definedName function="false" hidden="true" name="IQ_RETURN_CAPITAL" vbProcedure="false">"c1117"</definedName>
    <definedName function="false" hidden="true" name="IQ_RETURN_COMMON_EQUITY" vbProcedure="false">"c13838"</definedName>
    <definedName function="false" hidden="true" name="IQ_RETURN_EMBEDDED_VALUE" vbProcedure="false">"c9974"</definedName>
    <definedName function="false" hidden="true" name="IQ_RETURN_EQUITY" vbProcedure="false">"c1118"</definedName>
    <definedName function="false" hidden="true" name="IQ_RETURN_EQUITY_ACT_OR_EST" vbProcedure="false">"c3586"</definedName>
    <definedName function="false" hidden="true" name="IQ_RETURN_EQUITY_ACT_OR_EST_REUT" vbProcedure="false">"c5476"</definedName>
    <definedName function="false" hidden="true" name="IQ_RETURN_EQUITY_ACT_OR_EST_THOM" vbProcedure="false">"c5311"</definedName>
    <definedName function="false" hidden="true" name="IQ_RETURN_EQUITY_BANK" vbProcedure="false">"c1119"</definedName>
    <definedName function="false" hidden="true" name="IQ_RETURN_EQUITY_BROK" vbProcedure="false">"c1120"</definedName>
    <definedName function="false" hidden="true" name="IQ_RETURN_EQUITY_DET_EST" vbProcedure="false">"c12067"</definedName>
    <definedName function="false" hidden="true" name="IQ_RETURN_EQUITY_DET_EST_DATE" vbProcedure="false">"c12220"</definedName>
    <definedName function="false" hidden="true" name="IQ_RETURN_EQUITY_DET_EST_DATE_REUT" vbProcedure="false">"c12305"</definedName>
    <definedName function="false" hidden="true" name="IQ_RETURN_EQUITY_DET_EST_DATE_THOM" vbProcedure="false">"c12248"</definedName>
    <definedName function="false" hidden="true" name="IQ_RETURN_EQUITY_DET_EST_INCL" vbProcedure="false">"c12357"</definedName>
    <definedName function="false" hidden="true" name="IQ_RETURN_EQUITY_DET_EST_INCL_REUT" vbProcedure="false">"c12429"</definedName>
    <definedName function="false" hidden="true" name="IQ_RETURN_EQUITY_DET_EST_INCL_THOM" vbProcedure="false">"c12380"</definedName>
    <definedName function="false" hidden="true" name="IQ_RETURN_EQUITY_DET_EST_ORIGIN" vbProcedure="false">"c12592"</definedName>
    <definedName function="false" hidden="true" name="IQ_RETURN_EQUITY_DET_EST_ORIGIN_REUT" vbProcedure="false">"c12673"</definedName>
    <definedName function="false" hidden="true" name="IQ_RETURN_EQUITY_DET_EST_ORIGIN_THOM" vbProcedure="false">"c12618"</definedName>
    <definedName function="false" hidden="true" name="IQ_RETURN_EQUITY_DET_EST_REUT" vbProcedure="false">"c12163"</definedName>
    <definedName function="false" hidden="true" name="IQ_RETURN_EQUITY_DET_EST_THOM" vbProcedure="false">"c12098"</definedName>
    <definedName function="false" hidden="true" name="IQ_RETURN_EQUITY_EST" vbProcedure="false">"c3535"</definedName>
    <definedName function="false" hidden="true" name="IQ_RETURN_EQUITY_EST_REUT" vbProcedure="false">"c3983"</definedName>
    <definedName function="false" hidden="true" name="IQ_RETURN_EQUITY_EST_THOM" vbProcedure="false">"c5479"</definedName>
    <definedName function="false" hidden="true" name="IQ_RETURN_EQUITY_FDIC" vbProcedure="false">"c6732"</definedName>
    <definedName function="false" hidden="true" name="IQ_RETURN_EQUITY_FS" vbProcedure="false">"c1121"</definedName>
    <definedName function="false" hidden="true" name="IQ_RETURN_EQUITY_GUIDANCE" vbProcedure="false">"c4518"</definedName>
    <definedName function="false" hidden="true" name="IQ_RETURN_EQUITY_GUIDANCE_CIQ" vbProcedure="false">"c5056"</definedName>
    <definedName function="false" hidden="true" name="IQ_RETURN_EQUITY_GUIDANCE_CIQ_COL" vbProcedure="false">"c11703"</definedName>
    <definedName function="false" hidden="true" name="IQ_RETURN_EQUITY_HIGH_EST" vbProcedure="false">"c3536"</definedName>
    <definedName function="false" hidden="true" name="IQ_RETURN_EQUITY_HIGH_EST_REUT" vbProcedure="false">"c3985"</definedName>
    <definedName function="false" hidden="true" name="IQ_RETURN_EQUITY_HIGH_EST_THOM" vbProcedure="false">"c5283"</definedName>
    <definedName function="false" hidden="true" name="IQ_RETURN_EQUITY_HIGH_GUIDANCE" vbProcedure="false">"c4182"</definedName>
    <definedName function="false" hidden="true" name="IQ_RETURN_EQUITY_HIGH_GUIDANCE_CIQ" vbProcedure="false">"c4594"</definedName>
    <definedName function="false" hidden="true" name="IQ_RETURN_EQUITY_HIGH_GUIDANCE_CIQ_COL" vbProcedure="false">"c11243"</definedName>
    <definedName function="false" hidden="true" name="IQ_RETURN_EQUITY_LOW_EST" vbProcedure="false">"c3537"</definedName>
    <definedName function="false" hidden="true" name="IQ_RETURN_EQUITY_LOW_EST_REUT" vbProcedure="false">"c3986"</definedName>
    <definedName function="false" hidden="true" name="IQ_RETURN_EQUITY_LOW_EST_THOM" vbProcedure="false">"c5284"</definedName>
    <definedName function="false" hidden="true" name="IQ_RETURN_EQUITY_LOW_GUIDANCE" vbProcedure="false">"c4222"</definedName>
    <definedName function="false" hidden="true" name="IQ_RETURN_EQUITY_LOW_GUIDANCE_CIQ" vbProcedure="false">"c4634"</definedName>
    <definedName function="false" hidden="true" name="IQ_RETURN_EQUITY_LOW_GUIDANCE_CIQ_COL" vbProcedure="false">"c11283"</definedName>
    <definedName function="false" hidden="true" name="IQ_RETURN_EQUITY_MEDIAN_EST" vbProcedure="false">"c3538"</definedName>
    <definedName function="false" hidden="true" name="IQ_RETURN_EQUITY_MEDIAN_EST_REUT" vbProcedure="false">"c3984"</definedName>
    <definedName function="false" hidden="true" name="IQ_RETURN_EQUITY_MEDIAN_EST_THOM" vbProcedure="false">"c5282"</definedName>
    <definedName function="false" hidden="true" name="IQ_RETURN_EQUITY_NUM_EST" vbProcedure="false">"c3533"</definedName>
    <definedName function="false" hidden="true" name="IQ_RETURN_EQUITY_NUM_EST_REUT" vbProcedure="false">"c3987"</definedName>
    <definedName function="false" hidden="true" name="IQ_RETURN_EQUITY_NUM_EST_THOM" vbProcedure="false">"c5285"</definedName>
    <definedName function="false" hidden="true" name="IQ_RETURN_EQUITY_STDDEV_EST" vbProcedure="false">"c3534"</definedName>
    <definedName function="false" hidden="true" name="IQ_RETURN_EQUITY_STDDEV_EST_REUT" vbProcedure="false">"c3988"</definedName>
    <definedName function="false" hidden="true" name="IQ_RETURN_EQUITY_STDDEV_EST_THOM" vbProcedure="false">"c5286"</definedName>
    <definedName function="false" hidden="true" name="IQ_RETURN_INVESTMENT" vbProcedure="false">"c1421"</definedName>
    <definedName function="false" hidden="true" name="IQ_REV" vbProcedure="false">"c1122"</definedName>
    <definedName function="false" hidden="true" name="IQ_REVALUATION_GAINS_DERIVATIVE_DOM_FFIEC" vbProcedure="false">"c12828"</definedName>
    <definedName function="false" hidden="true" name="IQ_REVALUATION_GAINS_DERIVATIVE_FOREIGN_FFIEC" vbProcedure="false">"c12829"</definedName>
    <definedName function="false" hidden="true" name="IQ_REVALUATION_GAINS_FDIC" vbProcedure="false">"c6428"</definedName>
    <definedName function="false" hidden="true" name="IQ_REVALUATION_LOSSES_FDIC" vbProcedure="false">"c6429"</definedName>
    <definedName function="false" hidden="true" name="IQ_REVALUATION_NON_TRADING_PROP" vbProcedure="false">"c15999"</definedName>
    <definedName function="false" hidden="true" name="IQ_REVENUE" vbProcedure="false">"c1422"</definedName>
    <definedName function="false" hidden="true" name="IQ_REVENUES_SATELLITE" vbProcedure="false">"c15792"</definedName>
    <definedName function="false" hidden="true" name="IQ_REVENUES_WIRELESS" vbProcedure="false">"c15793"</definedName>
    <definedName function="false" hidden="true" name="IQ_REVENUE_10K" vbProcedure="false">"IQ_REVENUE_10K"</definedName>
    <definedName function="false" hidden="true" name="IQ_REVENUE_10Q" vbProcedure="false">"IQ_REVENUE_10Q"</definedName>
    <definedName function="false" hidden="true" name="IQ_REVENUE_10Q1" vbProcedure="false">"IQ_REVENUE_10Q1"</definedName>
    <definedName function="false" hidden="true" name="IQ_REVENUE_ACT_OR_EST" vbProcedure="false">"c2214"</definedName>
    <definedName function="false" hidden="true" name="IQ_REVENUE_ACT_OR_EST_CIQ" vbProcedure="false">"c5059"</definedName>
    <definedName function="false" hidden="true" name="IQ_REVENUE_ACT_OR_EST_REUT" vbProcedure="false">"c5461"</definedName>
    <definedName function="false" hidden="true" name="IQ_REVENUE_ACT_OR_EST_THOM" vbProcedure="false">"c5299"</definedName>
    <definedName function="false" hidden="true" name="IQ_REVENUE_ADVERTISING" vbProcedure="false">"c2880"</definedName>
    <definedName function="false" hidden="true" name="IQ_REVENUE_ANALOG_CABLE" vbProcedure="false">"c2875"</definedName>
    <definedName function="false" hidden="true" name="IQ_REVENUE_BASIC_CABLE" vbProcedure="false">"c2877"</definedName>
    <definedName function="false" hidden="true" name="IQ_REVENUE_BBAND" vbProcedure="false">"c2878"</definedName>
    <definedName function="false" hidden="true" name="IQ_REVENUE_BEFORE_LL_FFIEC" vbProcedure="false">"c13018"</definedName>
    <definedName function="false" hidden="true" name="IQ_REVENUE_COMMERCIAL" vbProcedure="false">"c2881"</definedName>
    <definedName function="false" hidden="true" name="IQ_REVENUE_DIGITAL_CABLE" vbProcedure="false">"c2876"</definedName>
    <definedName function="false" hidden="true" name="IQ_REVENUE_EST" vbProcedure="false">"c1126"</definedName>
    <definedName function="false" hidden="true" name="IQ_REVENUE_EST_1" vbProcedure="false">"IQ_REVENUE_EST_1"</definedName>
    <definedName function="false" hidden="true" name="IQ_REVENUE_EST_BOTTOM_UP" vbProcedure="false">"c5488"</definedName>
    <definedName function="false" hidden="true" name="IQ_REVENUE_EST_BOTTOM_UP_CIQ" vbProcedure="false">"c12025"</definedName>
    <definedName function="false" hidden="true" name="IQ_REVENUE_EST_BOTTOM_UP_REUT" vbProcedure="false">"c5496"</definedName>
    <definedName function="false" hidden="true" name="IQ_REVENUE_EST_CIQ" vbProcedure="false">"c3616"</definedName>
    <definedName function="false" hidden="true" name="IQ_REVENUE_EST_REUT" vbProcedure="false">"c3634"</definedName>
    <definedName function="false" hidden="true" name="IQ_REVENUE_EST_THOM" vbProcedure="false">"c3652"</definedName>
    <definedName function="false" hidden="true" name="IQ_REVENUE_GROWTH_1" vbProcedure="false">"IQ_REVENUE_GROWTH_1"</definedName>
    <definedName function="false" hidden="true" name="IQ_REVENUE_GROWTH_2" vbProcedure="false">"IQ_REVENUE_GROWTH_2"</definedName>
    <definedName function="false" hidden="true" name="IQ_REVENUE_GUIDANCE" vbProcedure="false">"c4519"</definedName>
    <definedName function="false" hidden="true" name="IQ_REVENUE_GUIDANCE_CIQ" vbProcedure="false">"c5057"</definedName>
    <definedName function="false" hidden="true" name="IQ_REVENUE_GUIDANCE_CIQ_COL" vbProcedure="false">"c11704"</definedName>
    <definedName function="false" hidden="true" name="IQ_REVENUE_HIGH_EST" vbProcedure="false">"c1127"</definedName>
    <definedName function="false" hidden="true" name="IQ_REVENUE_HIGH_EST_CIQ" vbProcedure="false">"c3618"</definedName>
    <definedName function="false" hidden="true" name="IQ_REVENUE_HIGH_EST_REUT" vbProcedure="false">"c3636"</definedName>
    <definedName function="false" hidden="true" name="IQ_REVENUE_HIGH_EST_THOM" vbProcedure="false">"c3654"</definedName>
    <definedName function="false" hidden="true" name="IQ_REVENUE_HIGH_GUIDANCE" vbProcedure="false">"c4169"</definedName>
    <definedName function="false" hidden="true" name="IQ_REVENUE_HIGH_GUIDANCE_CIQ" vbProcedure="false">"c4581"</definedName>
    <definedName function="false" hidden="true" name="IQ_REVENUE_HIGH_GUIDANCE_CIQ_COL" vbProcedure="false">"c11230"</definedName>
    <definedName function="false" hidden="true" name="IQ_REVENUE_LOW_EST" vbProcedure="false">"c1128"</definedName>
    <definedName function="false" hidden="true" name="IQ_REVENUE_LOW_EST_CIQ" vbProcedure="false">"c3619"</definedName>
    <definedName function="false" hidden="true" name="IQ_REVENUE_LOW_EST_REUT" vbProcedure="false">"c3637"</definedName>
    <definedName function="false" hidden="true" name="IQ_REVENUE_LOW_EST_THOM" vbProcedure="false">"c3655"</definedName>
    <definedName function="false" hidden="true" name="IQ_REVENUE_LOW_GUIDANCE" vbProcedure="false">"c4209"</definedName>
    <definedName function="false" hidden="true" name="IQ_REVENUE_LOW_GUIDANCE_CIQ" vbProcedure="false">"c4621"</definedName>
    <definedName function="false" hidden="true" name="IQ_REVENUE_LOW_GUIDANCE_CIQ_COL" vbProcedure="false">"c11270"</definedName>
    <definedName function="false" hidden="true" name="IQ_REVENUE_MEDIAN_EST" vbProcedure="false">"c1662"</definedName>
    <definedName function="false" hidden="true" name="IQ_REVENUE_MEDIAN_EST_CIQ" vbProcedure="false">"c3617"</definedName>
    <definedName function="false" hidden="true" name="IQ_REVENUE_MEDIAN_EST_REUT" vbProcedure="false">"c3635"</definedName>
    <definedName function="false" hidden="true" name="IQ_REVENUE_MEDIAN_EST_THOM" vbProcedure="false">"c3653"</definedName>
    <definedName function="false" hidden="true" name="IQ_REVENUE_NUM_EST" vbProcedure="false">"c1129"</definedName>
    <definedName function="false" hidden="true" name="IQ_REVENUE_NUM_EST_CIQ" vbProcedure="false">"c3620"</definedName>
    <definedName function="false" hidden="true" name="IQ_REVENUE_NUM_EST_REUT" vbProcedure="false">"c3638"</definedName>
    <definedName function="false" hidden="true" name="IQ_REVENUE_NUM_EST_THOM" vbProcedure="false">"c3656"</definedName>
    <definedName function="false" hidden="true" name="IQ_REVENUE_OTHER" vbProcedure="false">"c2882"</definedName>
    <definedName function="false" hidden="true" name="IQ_REVENUE_PHONE" vbProcedure="false">"c2879"</definedName>
    <definedName function="false" hidden="true" name="IQ_REVENUE_TOTAL" vbProcedure="false">"c2883"</definedName>
    <definedName function="false" hidden="true" name="IQ_REVERSE_REPO" vbProcedure="false">"c19131"</definedName>
    <definedName function="false" hidden="true" name="IQ_REVISION_DATE_" vbProcedure="false">39996.5952546296</definedName>
    <definedName function="false" hidden="true" name="IQ_REVOLVING_HOME_EQUITY_LINES_UNUSED_FFIEC" vbProcedure="false">"c13241"</definedName>
    <definedName function="false" hidden="true" name="IQ_REVOLVING_LOANS_GROSS_LOANS_FFIEC" vbProcedure="false">"c13398"</definedName>
    <definedName function="false" hidden="true" name="IQ_REVOLVING_LOANS_RISK_BASED_FFIEC" vbProcedure="false">"c13419"</definedName>
    <definedName function="false" hidden="true" name="IQ_REVOLVING_LOANS_SEC_1_4_DOM_CHARGE_OFFS_FFIEC" vbProcedure="false">"c13168"</definedName>
    <definedName function="false" hidden="true" name="IQ_REVOLVING_LOANS_SEC_1_4_DOM_RECOV_FFIEC" vbProcedure="false">"c13190"</definedName>
    <definedName function="false" hidden="true" name="IQ_REVOLVING_OPEN_END_1_4_TRADING_DOM_FFIEC" vbProcedure="false">"c12927"</definedName>
    <definedName function="false" hidden="true" name="IQ_REVOLVING_SECURED_1_4_DUE_30_89_FFIEC" vbProcedure="false">"c13260"</definedName>
    <definedName function="false" hidden="true" name="IQ_REVOLVING_SECURED_1_4_DUE_90_FFIEC" vbProcedure="false">"c13288"</definedName>
    <definedName function="false" hidden="true" name="IQ_REVOLVING_SECURED_1_4_NON_ACCRUAL_FFIEC" vbProcedure="false">"c13314"</definedName>
    <definedName function="false" hidden="true" name="IQ_REVOLV_OPEN_SECURED_1_4_LL_REC_DOM_FFIEC" vbProcedure="false">"c12902"</definedName>
    <definedName function="false" hidden="true" name="IQ_REV_AP" vbProcedure="false">"c8873"</definedName>
    <definedName function="false" hidden="true" name="IQ_REV_AP_ABS" vbProcedure="false">"c8892"</definedName>
    <definedName function="false" hidden="true" name="IQ_REV_BEFORE_LL" vbProcedure="false">"c1123"</definedName>
    <definedName function="false" hidden="true" name="IQ_REV_BEFORE_LOAN_LOSS_FOREIGN_FFIEC" vbProcedure="false">"c15381"</definedName>
    <definedName function="false" hidden="true" name="IQ_REV_DET_EST" vbProcedure="false">"c12065"</definedName>
    <definedName function="false" hidden="true" name="IQ_REV_DET_EST_CURRENCY" vbProcedure="false">"c12472"</definedName>
    <definedName function="false" hidden="true" name="IQ_REV_DET_EST_CURRENCY_REUT" vbProcedure="false">"c12544"</definedName>
    <definedName function="false" hidden="true" name="IQ_REV_DET_EST_CURRENCY_THOM" vbProcedure="false">"c12495"</definedName>
    <definedName function="false" hidden="true" name="IQ_REV_DET_EST_DATE" vbProcedure="false">"c12218"</definedName>
    <definedName function="false" hidden="true" name="IQ_REV_DET_EST_DATE_REUT" vbProcedure="false">"c12303"</definedName>
    <definedName function="false" hidden="true" name="IQ_REV_DET_EST_DATE_THOM" vbProcedure="false">"c12246"</definedName>
    <definedName function="false" hidden="true" name="IQ_REV_DET_EST_INCL" vbProcedure="false">"c12355"</definedName>
    <definedName function="false" hidden="true" name="IQ_REV_DET_EST_INCL_REUT" vbProcedure="false">"c12427"</definedName>
    <definedName function="false" hidden="true" name="IQ_REV_DET_EST_INCL_THOM" vbProcedure="false">"c12378"</definedName>
    <definedName function="false" hidden="true" name="IQ_REV_DET_EST_ORIGIN" vbProcedure="false">"c12590"</definedName>
    <definedName function="false" hidden="true" name="IQ_REV_DET_EST_ORIGIN_REUT" vbProcedure="false">"c12671"</definedName>
    <definedName function="false" hidden="true" name="IQ_REV_DET_EST_ORIGIN_THOM" vbProcedure="false">"c12616"</definedName>
    <definedName function="false" hidden="true" name="IQ_REV_DET_EST_REUT" vbProcedure="false">"c12161"</definedName>
    <definedName function="false" hidden="true" name="IQ_REV_DET_EST_THOM" vbProcedure="false">"c12096"</definedName>
    <definedName function="false" hidden="true" name="IQ_REV_NAME_AP" vbProcedure="false">"c8911"</definedName>
    <definedName function="false" hidden="true" name="IQ_REV_NAME_AP_ABS" vbProcedure="false">"c8930"</definedName>
    <definedName function="false" hidden="true" name="IQ_REV_STDDEV_EST" vbProcedure="false">"c1124"</definedName>
    <definedName function="false" hidden="true" name="IQ_REV_STDDEV_EST_CIQ" vbProcedure="false">"c3621"</definedName>
    <definedName function="false" hidden="true" name="IQ_REV_STDDEV_EST_REUT" vbProcedure="false">"c3639"</definedName>
    <definedName function="false" hidden="true" name="IQ_REV_STDDEV_EST_THOM" vbProcedure="false">"c3657"</definedName>
    <definedName function="false" hidden="true" name="IQ_REV_UTI" vbProcedure="false">"c1125"</definedName>
    <definedName function="false" hidden="true" name="IQ_RE_1_4_RISK_BASED_FFIEC" vbProcedure="false">"c13418"</definedName>
    <definedName function="false" hidden="true" name="IQ_RE_ACQ_SATISFACTION_DEBTS_FFIEC" vbProcedure="false">"c12832"</definedName>
    <definedName function="false" hidden="true" name="IQ_RE_ASSET_DEVELOPMENT_PROP" vbProcedure="false">"c19136"</definedName>
    <definedName function="false" hidden="true" name="IQ_RE_ASSET_INVESTMENT_PROP" vbProcedure="false">"c19135"</definedName>
    <definedName function="false" hidden="true" name="IQ_RE_ASSET_OTHER_PROP" vbProcedure="false">"c19137"</definedName>
    <definedName function="false" hidden="true" name="IQ_RE_ASSET_TOTAL_PROP" vbProcedure="false">"c19138"</definedName>
    <definedName function="false" hidden="true" name="IQ_RE_DEPRECIATION" vbProcedure="false">"c16045"</definedName>
    <definedName function="false" hidden="true" name="IQ_RE_DEPR_AMORT" vbProcedure="false">"c8750"</definedName>
    <definedName function="false" hidden="true" name="IQ_RE_FARMLAND_GROSS_LOANS_FFIEC" vbProcedure="false">"c13408"</definedName>
    <definedName function="false" hidden="true" name="IQ_RE_FARMLAND_RISK_BASED_FFIEC" vbProcedure="false">"c13429"</definedName>
    <definedName function="false" hidden="true" name="IQ_RE_FCCR" vbProcedure="false">"c8858"</definedName>
    <definedName function="false" hidden="true" name="IQ_RE_FCCR_CONT_OPS" vbProcedure="false">"c8859"</definedName>
    <definedName function="false" hidden="true" name="IQ_RE_FCCR_INCL_DISC_OPS" vbProcedure="false">"c8860"</definedName>
    <definedName function="false" hidden="true" name="IQ_RE_FCCR_INCL_PREF_DIV" vbProcedure="false">"c8861"</definedName>
    <definedName function="false" hidden="true" name="IQ_RE_FCCR_INCL_PREF_DIV_CONT_OPS" vbProcedure="false">"c8862"</definedName>
    <definedName function="false" hidden="true" name="IQ_RE_FCCR_INCL_PREF_DIV_INCL_DISC_OPS" vbProcedure="false">"c8863"</definedName>
    <definedName function="false" hidden="true" name="IQ_RE_FIXED_CHARGES" vbProcedure="false">"c8856"</definedName>
    <definedName function="false" hidden="true" name="IQ_RE_FIXED_CHARGES_INCL_PREF_DIV" vbProcedure="false">"c8857"</definedName>
    <definedName function="false" hidden="true" name="IQ_RE_FORECLOSURE_FDIC" vbProcedure="false">"c6332"</definedName>
    <definedName function="false" hidden="true" name="IQ_RE_FOREIGN_FFIEC" vbProcedure="false">"c13479"</definedName>
    <definedName function="false" hidden="true" name="IQ_RE_GAIN_LOSS_SALE_ASSETS" vbProcedure="false">"c8751"</definedName>
    <definedName function="false" hidden="true" name="IQ_RE_INVEST_FDIC" vbProcedure="false">"c6331"</definedName>
    <definedName function="false" hidden="true" name="IQ_RE_LOANS_1_4_GROSS_LOANS_FFIEC" vbProcedure="false">"c13397"</definedName>
    <definedName function="false" hidden="true" name="IQ_RE_LOANS_DOMESTIC_CHARGE_OFFS_FDIC" vbProcedure="false">"c6589"</definedName>
    <definedName function="false" hidden="true" name="IQ_RE_LOANS_DOMESTIC_FDIC" vbProcedure="false">"c6309"</definedName>
    <definedName function="false" hidden="true" name="IQ_RE_LOANS_DOMESTIC_NET_CHARGE_OFFS_FDIC" vbProcedure="false">"c6627"</definedName>
    <definedName function="false" hidden="true" name="IQ_RE_LOANS_DOMESTIC_RECOVERIES_FDIC" vbProcedure="false">"c6608"</definedName>
    <definedName function="false" hidden="true" name="IQ_RE_LOANS_DOM_QUARTERLY_AVG_FFIEC" vbProcedure="false">"c15476"</definedName>
    <definedName function="false" hidden="true" name="IQ_RE_LOANS_FDIC" vbProcedure="false">"c6308"</definedName>
    <definedName function="false" hidden="true" name="IQ_RE_LOANS_FOREIGN_CHARGE_OFFS_FDIC" vbProcedure="false">"c6595"</definedName>
    <definedName function="false" hidden="true" name="IQ_RE_LOANS_FOREIGN_NET_CHARGE_OFFS_FDIC" vbProcedure="false">"c6633"</definedName>
    <definedName function="false" hidden="true" name="IQ_RE_LOANS_FOREIGN_RECOVERIES_FDIC" vbProcedure="false">"c6614"</definedName>
    <definedName function="false" hidden="true" name="IQ_RE_LOANS_GROSS_LOANS_FFIEC" vbProcedure="false">"c13396"</definedName>
    <definedName function="false" hidden="true" name="IQ_RE_MAINT_CAPEX" vbProcedure="false">"c8755"</definedName>
    <definedName function="false" hidden="true" name="IQ_RE_MINORITY_INTEREST" vbProcedure="false">"c8752"</definedName>
    <definedName function="false" hidden="true" name="IQ_RE_NET_INCOME" vbProcedure="false">"c8749"</definedName>
    <definedName function="false" hidden="true" name="IQ_RE_NOI" vbProcedure="false">"c8864"</definedName>
    <definedName function="false" hidden="true" name="IQ_RE_NOI_GROWTH_SAME_PROP" vbProcedure="false">"c8866"</definedName>
    <definedName function="false" hidden="true" name="IQ_RE_NOI_SAME_PROP" vbProcedure="false">"c8865"</definedName>
    <definedName function="false" hidden="true" name="IQ_RE_OTHER_ITEMS" vbProcedure="false">"c8753"</definedName>
    <definedName function="false" hidden="true" name="IQ_RE_RENTAL_EXPENSE" vbProcedure="false">"c16036"</definedName>
    <definedName function="false" hidden="true" name="IQ_RE_RISK_BASED_FFIEC" vbProcedure="false">"c13417"</definedName>
    <definedName function="false" hidden="true" name="IQ_RGU" vbProcedure="false">"c2863"</definedName>
    <definedName function="false" hidden="true" name="IQ_RISK_ADJ_BANK_ASSETS" vbProcedure="false">"c2670"</definedName>
    <definedName function="false" hidden="true" name="IQ_RISK_WEIGHTED_ASSETS_0_PCT_FFIEC" vbProcedure="false">"c18874"</definedName>
    <definedName function="false" hidden="true" name="IQ_RISK_WEIGHTED_ASSETS_100_PCT_FFIEC" vbProcedure="false">"c18877"</definedName>
    <definedName function="false" hidden="true" name="IQ_RISK_WEIGHTED_ASSETS_20_PCT_FFIEC" vbProcedure="false">"c18875"</definedName>
    <definedName function="false" hidden="true" name="IQ_RISK_WEIGHTED_ASSETS_50_PCT_FFIEC" vbProcedure="false">"c18876"</definedName>
    <definedName function="false" hidden="true" name="IQ_RISK_WEIGHTED_ASSETS_FDIC" vbProcedure="false">"c6370"</definedName>
    <definedName function="false" hidden="true" name="IQ_ROAM_MIN_USE_OTHER_CARRIERS" vbProcedure="false">"c15765"</definedName>
    <definedName function="false" hidden="true" name="IQ_ROYALTIES_DUE_AFTER_FIVE" vbProcedure="false">"c15969"</definedName>
    <definedName function="false" hidden="true" name="IQ_ROYALTIES_DUE_CY" vbProcedure="false">"c15964"</definedName>
    <definedName function="false" hidden="true" name="IQ_ROYALTIES_DUE_CY1" vbProcedure="false">"c15965"</definedName>
    <definedName function="false" hidden="true" name="IQ_ROYALTIES_DUE_CY2" vbProcedure="false">"c15966"</definedName>
    <definedName function="false" hidden="true" name="IQ_ROYALTIES_DUE_CY3" vbProcedure="false">"c15967"</definedName>
    <definedName function="false" hidden="true" name="IQ_ROYALTIES_DUE_CY4" vbProcedure="false">"c15968"</definedName>
    <definedName function="false" hidden="true" name="IQ_ROYALTY_REVENUE_COAL" vbProcedure="false">"c15932"</definedName>
    <definedName function="false" hidden="true" name="IQ_RSI" vbProcedure="false">"c12704"</definedName>
    <definedName function="false" hidden="true" name="IQ_RSI_ADJ" vbProcedure="false">"c12705"</definedName>
    <definedName function="false" hidden="true" name="IQ_SALARIED_WORKFORCE" vbProcedure="false">"c7010"</definedName>
    <definedName function="false" hidden="true" name="IQ_SALARIED_WORKFORCE_APR" vbProcedure="false">"c7670"</definedName>
    <definedName function="false" hidden="true" name="IQ_SALARIED_WORKFORCE_APR_FC" vbProcedure="false">"c8550"</definedName>
    <definedName function="false" hidden="true" name="IQ_SALARIED_WORKFORCE_FC" vbProcedure="false">"c7890"</definedName>
    <definedName function="false" hidden="true" name="IQ_SALARIED_WORKFORCE_POP" vbProcedure="false">"c7230"</definedName>
    <definedName function="false" hidden="true" name="IQ_SALARIED_WORKFORCE_POP_FC" vbProcedure="false">"c8110"</definedName>
    <definedName function="false" hidden="true" name="IQ_SALARIED_WORKFORCE_YOY" vbProcedure="false">"c7450"</definedName>
    <definedName function="false" hidden="true" name="IQ_SALARIED_WORKFORCE_YOY_FC" vbProcedure="false">"c8330"</definedName>
    <definedName function="false" hidden="true" name="IQ_SALARIES_EMPLOYEE_BENEFITS_FFIEC" vbProcedure="false">"c13023"</definedName>
    <definedName function="false" hidden="true" name="IQ_SALARIES_OTHER_BENEFITS" vbProcedure="false">"c16176"</definedName>
    <definedName function="false" hidden="true" name="IQ_SALARY" vbProcedure="false">"c1130"</definedName>
    <definedName function="false" hidden="true" name="IQ_SALARY_FDIC" vbProcedure="false">"c6576"</definedName>
    <definedName function="false" hidden="true" name="IQ_SALES_COAL" vbProcedure="false">"c15930"</definedName>
    <definedName function="false" hidden="true" name="IQ_SALES_MARKETING" vbProcedure="false">"c2240"</definedName>
    <definedName function="false" hidden="true" name="IQ_SALES_TO_TOTAL_REVENUE_COAL" vbProcedure="false">"c15943"</definedName>
    <definedName function="false" hidden="true" name="IQ_SALE_COMMON_GROSS_FFIEC" vbProcedure="false">"c12963"</definedName>
    <definedName function="false" hidden="true" name="IQ_SALE_CONVERSION_ACQUISITION_NET_COMMON_FFIEC" vbProcedure="false">"c15351"</definedName>
    <definedName function="false" hidden="true" name="IQ_SALE_CONVERSION_RETIREMENT_STOCK_FDIC" vbProcedure="false">"c6661"</definedName>
    <definedName function="false" hidden="true" name="IQ_SALE_INTAN_CF" vbProcedure="false">"c1131"</definedName>
    <definedName function="false" hidden="true" name="IQ_SALE_INTAN_CF_BNK" vbProcedure="false">"c1132"</definedName>
    <definedName function="false" hidden="true" name="IQ_SALE_INTAN_CF_BR" vbProcedure="false">"c1133"</definedName>
    <definedName function="false" hidden="true" name="IQ_SALE_INTAN_CF_FIN" vbProcedure="false">"c1134"</definedName>
    <definedName function="false" hidden="true" name="IQ_SALE_INTAN_CF_INS" vbProcedure="false">"c1135"</definedName>
    <definedName function="false" hidden="true" name="IQ_SALE_INTAN_CF_RE" vbProcedure="false">"c6284"</definedName>
    <definedName function="false" hidden="true" name="IQ_SALE_INTAN_CF_REIT" vbProcedure="false">"c1627"</definedName>
    <definedName function="false" hidden="true" name="IQ_SALE_INTAN_CF_UTI" vbProcedure="false">"c1136"</definedName>
    <definedName function="false" hidden="true" name="IQ_SALE_PPE_CF" vbProcedure="false">"c1137"</definedName>
    <definedName function="false" hidden="true" name="IQ_SALE_PPE_CF_BNK" vbProcedure="false">"c1138"</definedName>
    <definedName function="false" hidden="true" name="IQ_SALE_PPE_CF_BR" vbProcedure="false">"c1139"</definedName>
    <definedName function="false" hidden="true" name="IQ_SALE_PPE_CF_FIN" vbProcedure="false">"c1140"</definedName>
    <definedName function="false" hidden="true" name="IQ_SALE_PPE_CF_INS" vbProcedure="false">"c1141"</definedName>
    <definedName function="false" hidden="true" name="IQ_SALE_PPE_CF_UTI" vbProcedure="false">"c1142"</definedName>
    <definedName function="false" hidden="true" name="IQ_SALE_PREF_FFIEC" vbProcedure="false">"c12961"</definedName>
    <definedName function="false" hidden="true" name="IQ_SALE_PROP" vbProcedure="false">"c16029"</definedName>
    <definedName function="false" hidden="true" name="IQ_SALE_REAL_ESTATE_CF" vbProcedure="false">"c1143"</definedName>
    <definedName function="false" hidden="true" name="IQ_SALE_REAL_ESTATE_CF_BNK" vbProcedure="false">"c1144"</definedName>
    <definedName function="false" hidden="true" name="IQ_SALE_REAL_ESTATE_CF_BR" vbProcedure="false">"c1145"</definedName>
    <definedName function="false" hidden="true" name="IQ_SALE_REAL_ESTATE_CF_FIN" vbProcedure="false">"c1146"</definedName>
    <definedName function="false" hidden="true" name="IQ_SALE_REAL_ESTATE_CF_INS" vbProcedure="false">"c1147"</definedName>
    <definedName function="false" hidden="true" name="IQ_SALE_REAL_ESTATE_CF_UTI" vbProcedure="false">"c1148"</definedName>
    <definedName function="false" hidden="true" name="IQ_SALE_RE_ASSETS" vbProcedure="false">"c1629"</definedName>
    <definedName function="false" hidden="true" name="IQ_SALE_TREASURY_FFIEC" vbProcedure="false">"c12965"</definedName>
    <definedName function="false" hidden="true" name="IQ_SAME_PROP_AGG_GLA" vbProcedure="false">"c16055"</definedName>
    <definedName function="false" hidden="true" name="IQ_SAME_PROP_AGG_UNITS" vbProcedure="false">"c16053"</definedName>
    <definedName function="false" hidden="true" name="IQ_SAME_PROP_EXPENSE" vbProcedure="false">"c16050"</definedName>
    <definedName function="false" hidden="true" name="IQ_SAME_PROP_EXPENSE_GROWTH" vbProcedure="false">"c16051"</definedName>
    <definedName function="false" hidden="true" name="IQ_SAME_PROP_NUMBER_PROP" vbProcedure="false">"c16052"</definedName>
    <definedName function="false" hidden="true" name="IQ_SAME_PROP_PORTFOLIO_AREA" vbProcedure="false">"c16054"</definedName>
    <definedName function="false" hidden="true" name="IQ_SAME_PROP_REVENUE" vbProcedure="false">"c16048"</definedName>
    <definedName function="false" hidden="true" name="IQ_SAME_PROP_REV_GROWTH" vbProcedure="false">"c16049"</definedName>
    <definedName function="false" hidden="true" name="IQ_SAME_STORE" vbProcedure="false">"c1149"</definedName>
    <definedName function="false" hidden="true" name="IQ_SAME_STORE_FRANCHISE" vbProcedure="false">"c2900"</definedName>
    <definedName function="false" hidden="true" name="IQ_SAME_STORE_OWNED" vbProcedure="false">"c2908"</definedName>
    <definedName function="false" hidden="true" name="IQ_SAME_STORE_TOTAL" vbProcedure="false">"c2892"</definedName>
    <definedName function="false" hidden="true" name="IQ_SAVINGS_ACCT_DEPOSITS_TOTAL_DEPOSITS" vbProcedure="false">"c15721"</definedName>
    <definedName function="false" hidden="true" name="IQ_SAVINGS_DEPOSITS_NON_TRANS_ACCTS_FFIEC" vbProcedure="false">"c15329"</definedName>
    <definedName function="false" hidden="true" name="IQ_SAVINGS_DEPOSITS_QUARTERLY_AVG_FFIEC" vbProcedure="false">"c15485"</definedName>
    <definedName function="false" hidden="true" name="IQ_SAVINGS_RATE_DISP_INC_PCT" vbProcedure="false">"c7011"</definedName>
    <definedName function="false" hidden="true" name="IQ_SAVINGS_RATE_DISP_INC_PCT_FC" vbProcedure="false">"c7891"</definedName>
    <definedName function="false" hidden="true" name="IQ_SAVINGS_RATE_DISP_INC_PCT_POP" vbProcedure="false">"c7231"</definedName>
    <definedName function="false" hidden="true" name="IQ_SAVINGS_RATE_DISP_INC_PCT_POP_FC" vbProcedure="false">"c8111"</definedName>
    <definedName function="false" hidden="true" name="IQ_SAVINGS_RATE_DISP_INC_PCT_YOY" vbProcedure="false">"c7451"</definedName>
    <definedName function="false" hidden="true" name="IQ_SAVINGS_RATE_DISP_INC_PCT_YOY_FC" vbProcedure="false">"c8331"</definedName>
    <definedName function="false" hidden="true" name="IQ_SAVINGS_RATE_GDP_PCT" vbProcedure="false">"c7012"</definedName>
    <definedName function="false" hidden="true" name="IQ_SAVINGS_RATE_GDP_PCT_FC" vbProcedure="false">"c7892"</definedName>
    <definedName function="false" hidden="true" name="IQ_SAVINGS_RATE_GDP_PCT_POP" vbProcedure="false">"c7232"</definedName>
    <definedName function="false" hidden="true" name="IQ_SAVINGS_RATE_GDP_PCT_POP_FC" vbProcedure="false">"c8112"</definedName>
    <definedName function="false" hidden="true" name="IQ_SAVINGS_RATE_GDP_PCT_YOY" vbProcedure="false">"c7452"</definedName>
    <definedName function="false" hidden="true" name="IQ_SAVINGS_RATE_GDP_PCT_YOY_FC" vbProcedure="false">"c8332"</definedName>
    <definedName function="false" hidden="true" name="IQ_SAVINGS_RATE_PERSONAL_INC_PCT" vbProcedure="false">"c7013"</definedName>
    <definedName function="false" hidden="true" name="IQ_SAVINGS_RATE_PERSONAL_INC_PCT_FC" vbProcedure="false">"c7893"</definedName>
    <definedName function="false" hidden="true" name="IQ_SAVINGS_RATE_PERSONAL_INC_PCT_POP" vbProcedure="false">"c7233"</definedName>
    <definedName function="false" hidden="true" name="IQ_SAVINGS_RATE_PERSONAL_INC_PCT_POP_FC" vbProcedure="false">"c8113"</definedName>
    <definedName function="false" hidden="true" name="IQ_SAVINGS_RATE_PERSONAL_INC_PCT_YOY" vbProcedure="false">"c7453"</definedName>
    <definedName function="false" hidden="true" name="IQ_SAVINGS_RATE_PERSONAL_INC_PCT_YOY_FC" vbProcedure="false">"c8333"</definedName>
    <definedName function="false" hidden="true" name="IQ_SAVING_DEP" vbProcedure="false">"c1150"</definedName>
    <definedName function="false" hidden="true" name="IQ_SBC_EXPENSE_FFIEC" vbProcedure="false">"c13077"</definedName>
    <definedName function="false" hidden="true" name="IQ_SCALABLE_INFRASTRUCTURE_CABLE_INVEST" vbProcedure="false">"c15802"</definedName>
    <definedName function="false" hidden="true" name="IQ_SECURED_1_4_FAMILY_RESIDENTIAL_CHARGE_OFFS_FDIC" vbProcedure="false">"c6590"</definedName>
    <definedName function="false" hidden="true" name="IQ_SECURED_1_4_FAMILY_RESIDENTIAL_NET_CHARGE_OFFS_FDIC" vbProcedure="false">"c6628"</definedName>
    <definedName function="false" hidden="true" name="IQ_SECURED_1_4_FAMILY_RESIDENTIAL_RECOVERIES_FDIC" vbProcedure="false">"c6609"</definedName>
    <definedName function="false" hidden="true" name="IQ_SECURED_DEBT" vbProcedure="false">"c2546"</definedName>
    <definedName function="false" hidden="true" name="IQ_SECURED_DEBT_PCT" vbProcedure="false">"c2547"</definedName>
    <definedName function="false" hidden="true" name="IQ_SECURED_FARMLAND_CHARGE_OFFS_FDIC" vbProcedure="false">"c6593"</definedName>
    <definedName function="false" hidden="true" name="IQ_SECURED_FARMLAND_DOM_DUE_30_89_FFIEC" vbProcedure="false">"c13259"</definedName>
    <definedName function="false" hidden="true" name="IQ_SECURED_FARMLAND_DOM_DUE_90_FFIEC" vbProcedure="false">"c13287"</definedName>
    <definedName function="false" hidden="true" name="IQ_SECURED_FARMLAND_DOM_NON_ACCRUAL_FFIEC" vbProcedure="false">"c13313"</definedName>
    <definedName function="false" hidden="true" name="IQ_SECURED_FARMLAND_LL_REC_DOM_FFIEC" vbProcedure="false">"c12901"</definedName>
    <definedName function="false" hidden="true" name="IQ_SECURED_FARMLAND_NET_CHARGE_OFFS_FDIC" vbProcedure="false">"c6631"</definedName>
    <definedName function="false" hidden="true" name="IQ_SECURED_FARMLAND_RECOVERIES_FDIC" vbProcedure="false">"c6612"</definedName>
    <definedName function="false" hidden="true" name="IQ_SECURED_MULTIFAMILY_RESIDENTIAL_CHARGE_OFFS_FDIC" vbProcedure="false">"c6591"</definedName>
    <definedName function="false" hidden="true" name="IQ_SECURED_MULTIFAMILY_RESIDENTIAL_NET_CHARGE_OFFS_FDIC" vbProcedure="false">"c6629"</definedName>
    <definedName function="false" hidden="true" name="IQ_SECURED_MULTIFAMILY_RESIDENTIAL_RECOVERIES_FDIC" vbProcedure="false">"c6610"</definedName>
    <definedName function="false" hidden="true" name="IQ_SECURED_MULTI_RES_LL_REC_DOM_FFIEC" vbProcedure="false">"c12905"</definedName>
    <definedName function="false" hidden="true" name="IQ_SECURED_NONFARM_NONRESIDENTIAL_CHARGE_OFFS_FDIC" vbProcedure="false">"c6592"</definedName>
    <definedName function="false" hidden="true" name="IQ_SECURED_NONFARM_NONRESIDENTIAL_NET_CHARGE_OFFS_FDIC" vbProcedure="false">"c6630"</definedName>
    <definedName function="false" hidden="true" name="IQ_SECURED_NONFARM_NONRESIDENTIAL_RECOVERIES_FDIC" vbProcedure="false">"c6611"</definedName>
    <definedName function="false" hidden="true" name="IQ_SECURITIES_GAINS_FDIC" vbProcedure="false">"c6584"</definedName>
    <definedName function="false" hidden="true" name="IQ_SECURITIES_HELD_MATURITY_FFIEC" vbProcedure="false">"c12777"</definedName>
    <definedName function="false" hidden="true" name="IQ_SECURITIES_ISSUED_STATES_FDIC" vbProcedure="false">"c6300"</definedName>
    <definedName function="false" hidden="true" name="IQ_SECURITIES_ISSUED_US_FFIEC" vbProcedure="false">"c12781"</definedName>
    <definedName function="false" hidden="true" name="IQ_SECURITIES_LENT_FDIC" vbProcedure="false">"c6532"</definedName>
    <definedName function="false" hidden="true" name="IQ_SECURITIES_LENT_FFIEC" vbProcedure="false">"c13255"</definedName>
    <definedName function="false" hidden="true" name="IQ_SECURITIES_QUARTERLY_AVG_FFIEC" vbProcedure="false">"c13079"</definedName>
    <definedName function="false" hidden="true" name="IQ_SECURITIES_STATE_POLI_SUBD_QUARTERLY_AVG_FFIEC" vbProcedure="false">"c15470"</definedName>
    <definedName function="false" hidden="true" name="IQ_SECURITIES_UNDERWRITING_FDIC" vbProcedure="false">"c6529"</definedName>
    <definedName function="false" hidden="true" name="IQ_SECURITIES_UNDERWRITING_UNUSED_FFIEC" vbProcedure="false">"c13247"</definedName>
    <definedName function="false" hidden="true" name="IQ_SECURITIZATION_INCOME_FFIEC" vbProcedure="false">"c13012"</definedName>
    <definedName function="false" hidden="true" name="IQ_SECURITIZATION_INC_OPERATING_INC_FFIEC" vbProcedure="false">"c13390"</definedName>
    <definedName function="false" hidden="true" name="IQ_SECURITY_ACTIVE_STATUS" vbProcedure="false">"c15160"</definedName>
    <definedName function="false" hidden="true" name="IQ_SECURITY_BORROW" vbProcedure="false">"c1152"</definedName>
    <definedName function="false" hidden="true" name="IQ_SECURITY_LEVEL" vbProcedure="false">"c2159"</definedName>
    <definedName function="false" hidden="true" name="IQ_SECURITY_NAME" vbProcedure="false">"c15159"</definedName>
    <definedName function="false" hidden="true" name="IQ_SECURITY_NOTES" vbProcedure="false">"c2202"</definedName>
    <definedName function="false" hidden="true" name="IQ_SECURITY_OWN" vbProcedure="false">"c1153"</definedName>
    <definedName function="false" hidden="true" name="IQ_SECURITY_RESELL" vbProcedure="false">"c1154"</definedName>
    <definedName function="false" hidden="true" name="IQ_SECURITY_TYPE" vbProcedure="false">"c2158"</definedName>
    <definedName function="false" hidden="true" name="IQ_SECUR_RECEIV" vbProcedure="false">"c1151"</definedName>
    <definedName function="false" hidden="true" name="IQ_SEC_1_4_CONSTRUCTION_DOM_CHARGE_OFFS_FFIEC" vbProcedure="false">"c13165"</definedName>
    <definedName function="false" hidden="true" name="IQ_SEC_1_4_CONSTRUCTION_DOM_RECOV_FFIEC" vbProcedure="false">"c13187"</definedName>
    <definedName function="false" hidden="true" name="IQ_SEC_BORROWED_OFF_BS_FFIEC" vbProcedure="false">"c13127"</definedName>
    <definedName function="false" hidden="true" name="IQ_SEC_FARMLAND_DOM_CHARGE_OFFS_FFIEC" vbProcedure="false">"c13167"</definedName>
    <definedName function="false" hidden="true" name="IQ_SEC_FARMLAND_DOM_RECOV_FFIEC" vbProcedure="false">"c13189"</definedName>
    <definedName function="false" hidden="true" name="IQ_SEC_FUNDS_PURCHASED_ASSETS_TOT_FFIEC" vbProcedure="false">"c13447"</definedName>
    <definedName function="false" hidden="true" name="IQ_SEC_ISSUED_US_AVAIL_SALE_FFIEC" vbProcedure="false">"c12795"</definedName>
    <definedName function="false" hidden="true" name="IQ_SEC_ISSUED_US_TRADING_DOM_FFIEC" vbProcedure="false">"c12920"</definedName>
    <definedName function="false" hidden="true" name="IQ_SEC_ISSUED_US_TRADING_FFIEC" vbProcedure="false">"c12815"</definedName>
    <definedName function="false" hidden="true" name="IQ_SEC_MULTIFAM_DOM_CHARGE_OFFS_FFIEC" vbProcedure="false">"c13171"</definedName>
    <definedName function="false" hidden="true" name="IQ_SEC_MULTIFAM_DOM_DUE_30_89_FFIEC" vbProcedure="false">"c13263"</definedName>
    <definedName function="false" hidden="true" name="IQ_SEC_MULTIFAM_DOM_DUE_90_FFIEC" vbProcedure="false">"c13291"</definedName>
    <definedName function="false" hidden="true" name="IQ_SEC_MULTIFAM_DOM_NON_ACCRUAL_FFIEC" vbProcedure="false">"c13317"</definedName>
    <definedName function="false" hidden="true" name="IQ_SEC_MULTIFAM_DOM_RECOV_FFIEC" vbProcedure="false">"c13193"</definedName>
    <definedName function="false" hidden="true" name="IQ_SEC_NONFARM_NONRES_CHARGE_OFFS_FFIEC" vbProcedure="false">"c13629"</definedName>
    <definedName function="false" hidden="true" name="IQ_SEC_NONFARM_NONRES_DOM_OFFICES_DUE_30_89_FFIEC" vbProcedure="false">"c13264"</definedName>
    <definedName function="false" hidden="true" name="IQ_SEC_NONFARM_NONRES_DOM_OFFICES_DUE_90_FFIEC" vbProcedure="false">"c13292"</definedName>
    <definedName function="false" hidden="true" name="IQ_SEC_NONFARM_NONRES_DOM_OFFICES_NON_ACCRUAL_FFIEC" vbProcedure="false">"c13318"</definedName>
    <definedName function="false" hidden="true" name="IQ_SEC_NONFARM_NONRES_RECOV_FFIEC" vbProcedure="false">"c13633"</definedName>
    <definedName function="false" hidden="true" name="IQ_SEC_OTHER_CONSTRUCTION_DOM_CHARGE_OFFS_FFIEC" vbProcedure="false">"c13166"</definedName>
    <definedName function="false" hidden="true" name="IQ_SEC_OTHER_CONSTRUCTION_DOM_RECOV_FFIEC" vbProcedure="false">"c13188"</definedName>
    <definedName function="false" hidden="true" name="IQ_SEC_OTHER_NONFARM_NONRES_CHARGE_OFFS_FFIEC" vbProcedure="false">"c13173"</definedName>
    <definedName function="false" hidden="true" name="IQ_SEC_OTHER_NONFARM_NONRES_DUE_30_89_FFIEC" vbProcedure="false">"c13266"</definedName>
    <definedName function="false" hidden="true" name="IQ_SEC_OTHER_NONFARM_NONRES_DUE_90_FFIEC" vbProcedure="false">"c13637"</definedName>
    <definedName function="false" hidden="true" name="IQ_SEC_OTHER_NONFARM_NONRES_NON_ACCRUAL_FFIEC" vbProcedure="false">"c15462"</definedName>
    <definedName function="false" hidden="true" name="IQ_SEC_OTHER_NONFARM_NONRES_RECOV_FFIEC" vbProcedure="false">"c13195"</definedName>
    <definedName function="false" hidden="true" name="IQ_SEC_OWNER_NONFARM_NONRES_CHARGE_OFFS_FFIEC" vbProcedure="false">"c13172"</definedName>
    <definedName function="false" hidden="true" name="IQ_SEC_OWNER_NONFARM_NONRES_DUE_30_89_FFIEC" vbProcedure="false">"c13265"</definedName>
    <definedName function="false" hidden="true" name="IQ_SEC_OWNER_NONFARM_NONRES_DUE_90_FFIEC" vbProcedure="false">"c13636"</definedName>
    <definedName function="false" hidden="true" name="IQ_SEC_OWNER_NONFARM_NONRES_NON_ACCRUAL_FFIEC" vbProcedure="false">"c15461"</definedName>
    <definedName function="false" hidden="true" name="IQ_SEC_OWNER_NONFARM_NONRES_RECOV_FFIEC" vbProcedure="false">"c13194"</definedName>
    <definedName function="false" hidden="true" name="IQ_SEC_PURCHASED_RESELL" vbProcedure="false">"c5513"</definedName>
    <definedName function="false" hidden="true" name="IQ_SEC_PURCHASED_RESELL_FFIEC" vbProcedure="false">"c12807"</definedName>
    <definedName function="false" hidden="true" name="IQ_SEC_RE_FOREIGN_DUE_30_89_FFIEC" vbProcedure="false">"c13267"</definedName>
    <definedName function="false" hidden="true" name="IQ_SEC_RE_FOREIGN_DUE_90_FFIEC" vbProcedure="false">"c13293"</definedName>
    <definedName function="false" hidden="true" name="IQ_SEC_RE_FOREIGN_NON_ACCRUAL_FFIEC" vbProcedure="false">"c13319"</definedName>
    <definedName function="false" hidden="true" name="IQ_SEC_SOLD_REPURCHASE_FFIEC" vbProcedure="false">"c12857"</definedName>
    <definedName function="false" hidden="true" name="IQ_SEDOL" vbProcedure="false">"c12042"</definedName>
    <definedName function="false" hidden="true" name="IQ_SELECTED_FOREIGN_ASSETS_FFIEC" vbProcedure="false">"c13485"</definedName>
    <definedName function="false" hidden="true" name="IQ_SEMI_BACKLOG" vbProcedure="false">"c10005"</definedName>
    <definedName function="false" hidden="true" name="IQ_SEMI_BACKLOG_AVG_PRICE" vbProcedure="false">"c10006"</definedName>
    <definedName function="false" hidden="true" name="IQ_SEMI_BACKLOG_VALUE" vbProcedure="false">"c10007"</definedName>
    <definedName function="false" hidden="true" name="IQ_SEMI_BOOK_TO_BILL_RATIO" vbProcedure="false">"c10008"</definedName>
    <definedName function="false" hidden="true" name="IQ_SEMI_ORDERS" vbProcedure="false">"c10001"</definedName>
    <definedName function="false" hidden="true" name="IQ_SEMI_ORDER_AVG_PRICE" vbProcedure="false">"c10002"</definedName>
    <definedName function="false" hidden="true" name="IQ_SEMI_ORDER_VALUE" vbProcedure="false">"c10003"</definedName>
    <definedName function="false" hidden="true" name="IQ_SEMI_ORDER_VALUE_CHANGE" vbProcedure="false">"c10004"</definedName>
    <definedName function="false" hidden="true" name="IQ_SEMI_WARRANTY_RES_ACQ" vbProcedure="false">"c10011"</definedName>
    <definedName function="false" hidden="true" name="IQ_SEMI_WARRANTY_RES_BEG" vbProcedure="false">"c10009"</definedName>
    <definedName function="false" hidden="true" name="IQ_SEMI_WARRANTY_RES_END" vbProcedure="false">"c10014"</definedName>
    <definedName function="false" hidden="true" name="IQ_SEMI_WARRANTY_RES_ISS" vbProcedure="false">"c10010"</definedName>
    <definedName function="false" hidden="true" name="IQ_SEMI_WARRANTY_RES_OTHER" vbProcedure="false">"c10013"</definedName>
    <definedName function="false" hidden="true" name="IQ_SEMI_WARRANTY_RES_PAY" vbProcedure="false">"c10012"</definedName>
    <definedName function="false" hidden="true" name="IQ_SEPARATE_ACCOUNT_LIAB_LH_FFIEC" vbProcedure="false">"c13108"</definedName>
    <definedName function="false" hidden="true" name="IQ_SEPARATE_ACCT_ASSETS" vbProcedure="false">"c1155"</definedName>
    <definedName function="false" hidden="true" name="IQ_SEPARATE_ACCT_LIAB" vbProcedure="false">"c1156"</definedName>
    <definedName function="false" hidden="true" name="IQ_SEP_ACCOUNT_ASSETS_LH_FFIEC" vbProcedure="false">"c13105"</definedName>
    <definedName function="false" hidden="true" name="IQ_SERVICE_CHARGES_DEPOSIT_ACCOUNTS_DOM_FFIEC" vbProcedure="false">"c13003"</definedName>
    <definedName function="false" hidden="true" name="IQ_SERVICE_CHARGES_FDIC" vbProcedure="false">"c6572"</definedName>
    <definedName function="false" hidden="true" name="IQ_SERVICE_CHARGES_OPERATING_INC_FFIEC" vbProcedure="false">"c13384"</definedName>
    <definedName function="false" hidden="true" name="IQ_SERVICE_FEE" vbProcedure="false">"c8951"</definedName>
    <definedName function="false" hidden="true" name="IQ_SERVICING_FEES_FFIEC" vbProcedure="false">"c13011"</definedName>
    <definedName function="false" hidden="true" name="IQ_SERVICING_FEES_OPERATING_INC_FFIEC" vbProcedure="false">"c13389"</definedName>
    <definedName function="false" hidden="true" name="IQ_SERV_CHARGE_DEPOSITS" vbProcedure="false">"c1157"</definedName>
    <definedName function="false" hidden="true" name="IQ_SETTLEMENTS_TAX_AUTHORITIES" vbProcedure="false">"c15737"</definedName>
    <definedName function="false" hidden="true" name="IQ_SGA" vbProcedure="false">"c1158"</definedName>
    <definedName function="false" hidden="true" name="IQ_SGA_BNK" vbProcedure="false">"c1159"</definedName>
    <definedName function="false" hidden="true" name="IQ_SGA_INS" vbProcedure="false">"c1160"</definedName>
    <definedName function="false" hidden="true" name="IQ_SGA_MARGIN" vbProcedure="false">"c1898"</definedName>
    <definedName function="false" hidden="true" name="IQ_SGA_RE" vbProcedure="false">"c6265"</definedName>
    <definedName function="false" hidden="true" name="IQ_SGA_REIT" vbProcedure="false">"c1161"</definedName>
    <definedName function="false" hidden="true" name="IQ_SGA_SUPPL" vbProcedure="false">"c1162"</definedName>
    <definedName function="false" hidden="true" name="IQ_SGA_UTI" vbProcedure="false">"c1163"</definedName>
    <definedName function="false" hidden="true" name="IQ_SHAREOUTSTANDING" vbProcedure="false">"c1347"</definedName>
    <definedName function="false" hidden="true" name="IQ_SHARESOUTSTANDING" vbProcedure="false">"c1164"</definedName>
    <definedName function="false" hidden="true" name="IQ_SHARES_PER_DR" vbProcedure="false">"c204"</definedName>
    <definedName function="false" hidden="true" name="IQ_SHARES_PURCHASED_AVERAGE_PRICE" vbProcedure="false">"c5821"</definedName>
    <definedName function="false" hidden="true" name="IQ_SHARES_PURCHASED_QUARTER" vbProcedure="false">"c5820"</definedName>
    <definedName function="false" hidden="true" name="IQ_SHARE_PARTNERSHIP_ASSETS" vbProcedure="false">"c16071"</definedName>
    <definedName function="false" hidden="true" name="IQ_SHARE_PARTNERSHIP_CONSOL_JV_DEBT" vbProcedure="false">"c19139"</definedName>
    <definedName function="false" hidden="true" name="IQ_SHARE_PARTNERSHIP_CURRENT_ASSETS" vbProcedure="false">"c16069"</definedName>
    <definedName function="false" hidden="true" name="IQ_SHARE_PARTNERSHIP_CURRENT_LIAB" vbProcedure="false">"c16073"</definedName>
    <definedName function="false" hidden="true" name="IQ_SHARE_PARTNERSHIP_CURRENT_TAX" vbProcedure="false">"c16091"</definedName>
    <definedName function="false" hidden="true" name="IQ_SHARE_PARTNERSHIP_DEBT" vbProcedure="false">"c16078"</definedName>
    <definedName function="false" hidden="true" name="IQ_SHARE_PARTNERSHIP_DEFERRED_TAX" vbProcedure="false">"c16092"</definedName>
    <definedName function="false" hidden="true" name="IQ_SHARE_PARTNERSHIP_DEPRECIATION" vbProcedure="false">"c16089"</definedName>
    <definedName function="false" hidden="true" name="IQ_SHARE_PARTNERSHIP_FLOAT_DEBT" vbProcedure="false">"c16077"</definedName>
    <definedName function="false" hidden="true" name="IQ_SHARE_PARTNERSHIP_FR_DEBT" vbProcedure="false">"c16076"</definedName>
    <definedName function="false" hidden="true" name="IQ_SHARE_PARTNERSHIP_INT_EXPENSE" vbProcedure="false">"c16088"</definedName>
    <definedName function="false" hidden="true" name="IQ_SHARE_PARTNERSHIP_INT_INCOME" vbProcedure="false">"c16090"</definedName>
    <definedName function="false" hidden="true" name="IQ_SHARE_PARTNERSHIP_LIAB" vbProcedure="false">"c16075"</definedName>
    <definedName function="false" hidden="true" name="IQ_SHARE_PARTNERSHIP_LT_ASSETS" vbProcedure="false">"c16070"</definedName>
    <definedName function="false" hidden="true" name="IQ_SHARE_PARTNERSHIP_NOI" vbProcedure="false">"c16084"</definedName>
    <definedName function="false" hidden="true" name="IQ_SHARE_PARTNERSHIP_NON_CURRENT_LIAB" vbProcedure="false">"c16074"</definedName>
    <definedName function="false" hidden="true" name="IQ_SHARE_PARTNERSHIP_OPEX" vbProcedure="false">"c16086"</definedName>
    <definedName function="false" hidden="true" name="IQ_SHARE_PARTNERSHIP_OTHER_EXPENSE" vbProcedure="false">"c16087"</definedName>
    <definedName function="false" hidden="true" name="IQ_SHARE_PARTNERSHIP_OTHER_INCOME" vbProcedure="false">"c16085"</definedName>
    <definedName function="false" hidden="true" name="IQ_SHARE_PARTNERSHIP_REVENUE" vbProcedure="false">"c16083"</definedName>
    <definedName function="false" hidden="true" name="IQ_SHARE_RE_ASSET" vbProcedure="false">"c16082"</definedName>
    <definedName function="false" hidden="true" name="IQ_SHARE_RE_ASSET_DEVELOP_PROP" vbProcedure="false">"c16080"</definedName>
    <definedName function="false" hidden="true" name="IQ_SHARE_RE_ASSET_INV_PROP" vbProcedure="false">"c16079"</definedName>
    <definedName function="false" hidden="true" name="IQ_SHARE_RE_ASSET_OTHER" vbProcedure="false">"c16081"</definedName>
    <definedName function="false" hidden="true" name="IQ_SHORT_INTEREST" vbProcedure="false">"c1165"</definedName>
    <definedName function="false" hidden="true" name="IQ_SHORT_INTEREST_OVER_FLOAT" vbProcedure="false">"c1577"</definedName>
    <definedName function="false" hidden="true" name="IQ_SHORT_INTEREST_PERCENT" vbProcedure="false">"c1576"</definedName>
    <definedName function="false" hidden="true" name="IQ_SHORT_POSITIONS_FFIEC" vbProcedure="false">"c12859"</definedName>
    <definedName function="false" hidden="true" name="IQ_SHORT_TERM_INVEST" vbProcedure="false">"c1425"</definedName>
    <definedName function="false" hidden="true" name="IQ_SMALL_INT_BEAR_CD" vbProcedure="false">"c11748"</definedName>
    <definedName function="false" hidden="true" name="IQ_SOCIAL_SEC_RECEIPTS" vbProcedure="false">"c7015"</definedName>
    <definedName function="false" hidden="true" name="IQ_SOCIAL_SEC_RECEIPTS_APR" vbProcedure="false">"c7675"</definedName>
    <definedName function="false" hidden="true" name="IQ_SOCIAL_SEC_RECEIPTS_APR_FC" vbProcedure="false">"c8555"</definedName>
    <definedName function="false" hidden="true" name="IQ_SOCIAL_SEC_RECEIPTS_FC" vbProcedure="false">"c7895"</definedName>
    <definedName function="false" hidden="true" name="IQ_SOCIAL_SEC_RECEIPTS_POP" vbProcedure="false">"c7235"</definedName>
    <definedName function="false" hidden="true" name="IQ_SOCIAL_SEC_RECEIPTS_POP_FC" vbProcedure="false">"c8115"</definedName>
    <definedName function="false" hidden="true" name="IQ_SOCIAL_SEC_RECEIPTS_SAAR" vbProcedure="false">"c7016"</definedName>
    <definedName function="false" hidden="true" name="IQ_SOCIAL_SEC_RECEIPTS_SAAR_APR" vbProcedure="false">"c7676"</definedName>
    <definedName function="false" hidden="true" name="IQ_SOCIAL_SEC_RECEIPTS_SAAR_APR_FC" vbProcedure="false">"c8556"</definedName>
    <definedName function="false" hidden="true" name="IQ_SOCIAL_SEC_RECEIPTS_SAAR_FC" vbProcedure="false">"c7896"</definedName>
    <definedName function="false" hidden="true" name="IQ_SOCIAL_SEC_RECEIPTS_SAAR_POP" vbProcedure="false">"c7236"</definedName>
    <definedName function="false" hidden="true" name="IQ_SOCIAL_SEC_RECEIPTS_SAAR_POP_FC" vbProcedure="false">"c8116"</definedName>
    <definedName function="false" hidden="true" name="IQ_SOCIAL_SEC_RECEIPTS_SAAR_YOY" vbProcedure="false">"c7456"</definedName>
    <definedName function="false" hidden="true" name="IQ_SOCIAL_SEC_RECEIPTS_SAAR_YOY_FC" vbProcedure="false">"c8336"</definedName>
    <definedName function="false" hidden="true" name="IQ_SOCIAL_SEC_RECEIPTS_YOY" vbProcedure="false">"c7455"</definedName>
    <definedName function="false" hidden="true" name="IQ_SOCIAL_SEC_RECEIPTS_YOY_FC" vbProcedure="false">"c8335"</definedName>
    <definedName function="false" hidden="true" name="IQ_SOC_SEC_RECEIPTS_SAAR_USD_APR_FC" vbProcedure="false">"c12005"</definedName>
    <definedName function="false" hidden="true" name="IQ_SOC_SEC_RECEIPTS_SAAR_USD_FC" vbProcedure="false">"c12002"</definedName>
    <definedName function="false" hidden="true" name="IQ_SOC_SEC_RECEIPTS_SAAR_USD_POP_FC" vbProcedure="false">"c12003"</definedName>
    <definedName function="false" hidden="true" name="IQ_SOC_SEC_RECEIPTS_SAAR_USD_YOY_FC" vbProcedure="false">"c12004"</definedName>
    <definedName function="false" hidden="true" name="IQ_SOC_SEC_RECEIPTS_USD_APR_FC" vbProcedure="false">"c12001"</definedName>
    <definedName function="false" hidden="true" name="IQ_SOC_SEC_RECEIPTS_USD_FC" vbProcedure="false">"c11998"</definedName>
    <definedName function="false" hidden="true" name="IQ_SOC_SEC_RECEIPTS_USD_POP_FC" vbProcedure="false">"c11999"</definedName>
    <definedName function="false" hidden="true" name="IQ_SOC_SEC_RECEIPTS_USD_YOY_FC" vbProcedure="false">"c12000"</definedName>
    <definedName function="false" hidden="true" name="IQ_SOFTWARE" vbProcedure="false">"c1167"</definedName>
    <definedName function="false" hidden="true" name="IQ_SOLD_COAL" vbProcedure="false">"c15936"</definedName>
    <definedName function="false" hidden="true" name="IQ_SOURCE" vbProcedure="false">"c1168"</definedName>
    <definedName function="false" hidden="true" name="IQ_SP" vbProcedure="false">"c2171"</definedName>
    <definedName function="false" hidden="true" name="IQ_SPECIALTIES" vbProcedure="false">"c18932"</definedName>
    <definedName function="false" hidden="true" name="IQ_SPECIAL_DIV_CF" vbProcedure="false">"c1169"</definedName>
    <definedName function="false" hidden="true" name="IQ_SPECIAL_DIV_CF_BNK" vbProcedure="false">"c1170"</definedName>
    <definedName function="false" hidden="true" name="IQ_SPECIAL_DIV_CF_BR" vbProcedure="false">"c1171"</definedName>
    <definedName function="false" hidden="true" name="IQ_SPECIAL_DIV_CF_FIN" vbProcedure="false">"c1172"</definedName>
    <definedName function="false" hidden="true" name="IQ_SPECIAL_DIV_CF_INS" vbProcedure="false">"c1173"</definedName>
    <definedName function="false" hidden="true" name="IQ_SPECIAL_DIV_CF_RE" vbProcedure="false">"c6266"</definedName>
    <definedName function="false" hidden="true" name="IQ_SPECIAL_DIV_CF_REIT" vbProcedure="false">"c1174"</definedName>
    <definedName function="false" hidden="true" name="IQ_SPECIAL_DIV_CF_UTI" vbProcedure="false">"c1175"</definedName>
    <definedName function="false" hidden="true" name="IQ_SPECIAL_DIV_SHARE" vbProcedure="false">"c3007"</definedName>
    <definedName function="false" hidden="true" name="IQ_SPECIFIC_ALLOWANCE" vbProcedure="false">"c15247"</definedName>
    <definedName function="false" hidden="true" name="IQ_SPONSORS" vbProcedure="false">"c18920"</definedName>
    <definedName function="false" hidden="true" name="IQ_SPONSORS_ID" vbProcedure="false">"c18921"</definedName>
    <definedName function="false" hidden="true" name="IQ_SP_BANK" vbProcedure="false">"c2637"</definedName>
    <definedName function="false" hidden="true" name="IQ_SP_BANK_ACTION" vbProcedure="false">"c2636"</definedName>
    <definedName function="false" hidden="true" name="IQ_SP_BANK_DATE" vbProcedure="false">"c2635"</definedName>
    <definedName function="false" hidden="true" name="IQ_SP_DATE" vbProcedure="false">"c2172"</definedName>
    <definedName function="false" hidden="true" name="IQ_SP_FIN_ENHANCE_FX" vbProcedure="false">"c2631"</definedName>
    <definedName function="false" hidden="true" name="IQ_SP_FIN_ENHANCE_FX_ACTION" vbProcedure="false">"c2630"</definedName>
    <definedName function="false" hidden="true" name="IQ_SP_FIN_ENHANCE_FX_DATE" vbProcedure="false">"c2629"</definedName>
    <definedName function="false" hidden="true" name="IQ_SP_FIN_ENHANCE_LC" vbProcedure="false">"c2634"</definedName>
    <definedName function="false" hidden="true" name="IQ_SP_FIN_ENHANCE_LC_ACTION" vbProcedure="false">"c2633"</definedName>
    <definedName function="false" hidden="true" name="IQ_SP_FIN_ENHANCE_LC_DATE" vbProcedure="false">"c2632"</definedName>
    <definedName function="false" hidden="true" name="IQ_SP_FIN_STRENGTH_LC_ACTION_LT" vbProcedure="false">"c2625"</definedName>
    <definedName function="false" hidden="true" name="IQ_SP_FIN_STRENGTH_LC_ACTION_ST" vbProcedure="false">"c2626"</definedName>
    <definedName function="false" hidden="true" name="IQ_SP_FIN_STRENGTH_LC_DATE_LT" vbProcedure="false">"c2623"</definedName>
    <definedName function="false" hidden="true" name="IQ_SP_FIN_STRENGTH_LC_DATE_ST" vbProcedure="false">"c2624"</definedName>
    <definedName function="false" hidden="true" name="IQ_SP_FIN_STRENGTH_LC_LT" vbProcedure="false">"c2627"</definedName>
    <definedName function="false" hidden="true" name="IQ_SP_FIN_STRENGTH_LC_ST" vbProcedure="false">"c2628"</definedName>
    <definedName function="false" hidden="true" name="IQ_SP_FX_ACTION_LT" vbProcedure="false">"c2613"</definedName>
    <definedName function="false" hidden="true" name="IQ_SP_FX_ACTION_ST" vbProcedure="false">"c2614"</definedName>
    <definedName function="false" hidden="true" name="IQ_SP_FX_DATE_LT" vbProcedure="false">"c2611"</definedName>
    <definedName function="false" hidden="true" name="IQ_SP_FX_DATE_ST" vbProcedure="false">"c2612"</definedName>
    <definedName function="false" hidden="true" name="IQ_SP_FX_LT" vbProcedure="false">"c2615"</definedName>
    <definedName function="false" hidden="true" name="IQ_SP_FX_ST" vbProcedure="false">"c2616"</definedName>
    <definedName function="false" hidden="true" name="IQ_SP_ISSUE_ACTION" vbProcedure="false">"c2644"</definedName>
    <definedName function="false" hidden="true" name="IQ_SP_ISSUE_DATE" vbProcedure="false">"c2643"</definedName>
    <definedName function="false" hidden="true" name="IQ_SP_ISSUE_LT" vbProcedure="false">"c2645"</definedName>
    <definedName function="false" hidden="true" name="IQ_SP_ISSUE_NSR_ACTION_LT" vbProcedure="false">"c13616"</definedName>
    <definedName function="false" hidden="true" name="IQ_SP_ISSUE_NSR_ACTION_ST" vbProcedure="false">"c13622"</definedName>
    <definedName function="false" hidden="true" name="IQ_SP_ISSUE_NSR_DATE_LT" vbProcedure="false">"c13615"</definedName>
    <definedName function="false" hidden="true" name="IQ_SP_ISSUE_NSR_DATE_ST" vbProcedure="false">"c13621"</definedName>
    <definedName function="false" hidden="true" name="IQ_SP_ISSUE_NSR_LT" vbProcedure="false">"c13614"</definedName>
    <definedName function="false" hidden="true" name="IQ_SP_ISSUE_NSR_ST" vbProcedure="false">"c13620"</definedName>
    <definedName function="false" hidden="true" name="IQ_SP_ISSUE_OUTLOOK_WATCH" vbProcedure="false">"c2650"</definedName>
    <definedName function="false" hidden="true" name="IQ_SP_ISSUE_OUTLOOK_WATCH_DATE" vbProcedure="false">"c2649"</definedName>
    <definedName function="false" hidden="true" name="IQ_SP_ISSUE_RECOVER" vbProcedure="false">"c2648"</definedName>
    <definedName function="false" hidden="true" name="IQ_SP_ISSUE_RECOVER_ACTION" vbProcedure="false">"c2647"</definedName>
    <definedName function="false" hidden="true" name="IQ_SP_ISSUE_RECOVER_DATE" vbProcedure="false">"c2646"</definedName>
    <definedName function="false" hidden="true" name="IQ_SP_LC_ACTION_LT" vbProcedure="false">"c2619"</definedName>
    <definedName function="false" hidden="true" name="IQ_SP_LC_ACTION_ST" vbProcedure="false">"c2620"</definedName>
    <definedName function="false" hidden="true" name="IQ_SP_LC_DATE_LT" vbProcedure="false">"c2617"</definedName>
    <definedName function="false" hidden="true" name="IQ_SP_LC_DATE_ST" vbProcedure="false">"c2618"</definedName>
    <definedName function="false" hidden="true" name="IQ_SP_LC_LT" vbProcedure="false">"c2621"</definedName>
    <definedName function="false" hidden="true" name="IQ_SP_LC_ST" vbProcedure="false">"c2622"</definedName>
    <definedName function="false" hidden="true" name="IQ_SP_NSR_ACTION_LT" vbProcedure="false">"c13613"</definedName>
    <definedName function="false" hidden="true" name="IQ_SP_NSR_ACTION_ST" vbProcedure="false">"c13619"</definedName>
    <definedName function="false" hidden="true" name="IQ_SP_NSR_DATE_LT" vbProcedure="false">"c13612"</definedName>
    <definedName function="false" hidden="true" name="IQ_SP_NSR_DATE_ST" vbProcedure="false">"c13618"</definedName>
    <definedName function="false" hidden="true" name="IQ_SP_NSR_LT" vbProcedure="false">"c13611"</definedName>
    <definedName function="false" hidden="true" name="IQ_SP_NSR_ST" vbProcedure="false">"c13617"</definedName>
    <definedName function="false" hidden="true" name="IQ_SP_OUTLOOK_WATCH" vbProcedure="false">"c2639"</definedName>
    <definedName function="false" hidden="true" name="IQ_SP_OUTLOOK_WATCH_DATE" vbProcedure="false">"c2638"</definedName>
    <definedName function="false" hidden="true" name="IQ_SP_REASON" vbProcedure="false">"c2174"</definedName>
    <definedName function="false" hidden="true" name="IQ_SP_STATUS" vbProcedure="false">"c2173"</definedName>
    <definedName function="false" hidden="true" name="IQ_SQ_FT_LEASED_GROSS_CONSOL" vbProcedure="false">"c8820"</definedName>
    <definedName function="false" hidden="true" name="IQ_SQ_FT_LEASED_GROSS_MANAGED" vbProcedure="false">"c8822"</definedName>
    <definedName function="false" hidden="true" name="IQ_SQ_FT_LEASED_GROSS_OTHER" vbProcedure="false">"c8823"</definedName>
    <definedName function="false" hidden="true" name="IQ_SQ_FT_LEASED_GROSS_TOTAL" vbProcedure="false">"c8824"</definedName>
    <definedName function="false" hidden="true" name="IQ_SQ_FT_LEASED_GROSS_UNCONSOL" vbProcedure="false">"c8821"</definedName>
    <definedName function="false" hidden="true" name="IQ_SQ_FT_LEASED_NET_CONSOL" vbProcedure="false">"c8825"</definedName>
    <definedName function="false" hidden="true" name="IQ_SQ_FT_LEASED_NET_MANAGED" vbProcedure="false">"c8827"</definedName>
    <definedName function="false" hidden="true" name="IQ_SQ_FT_LEASED_NET_OTHER" vbProcedure="false">"c8828"</definedName>
    <definedName function="false" hidden="true" name="IQ_SQ_FT_LEASED_NET_TOTAL" vbProcedure="false">"c8829"</definedName>
    <definedName function="false" hidden="true" name="IQ_SQ_FT_LEASED_NET_UNCONSOL" vbProcedure="false">"c8826"</definedName>
    <definedName function="false" hidden="true" name="IQ_SQ_METER_LEASED_GROSS_CONSOL" vbProcedure="false">"c8830"</definedName>
    <definedName function="false" hidden="true" name="IQ_SQ_METER_LEASED_GROSS_MANAGED" vbProcedure="false">"c8832"</definedName>
    <definedName function="false" hidden="true" name="IQ_SQ_METER_LEASED_GROSS_OTHER" vbProcedure="false">"c8833"</definedName>
    <definedName function="false" hidden="true" name="IQ_SQ_METER_LEASED_GROSS_TOTAL" vbProcedure="false">"c8834"</definedName>
    <definedName function="false" hidden="true" name="IQ_SQ_METER_LEASED_GROSS_UNCONSOL" vbProcedure="false">"c8831"</definedName>
    <definedName function="false" hidden="true" name="IQ_SQ_METER_LEASED_NET_CONSOL" vbProcedure="false">"c8835"</definedName>
    <definedName function="false" hidden="true" name="IQ_SQ_METER_LEASED_NET_MANAGED" vbProcedure="false">"c8837"</definedName>
    <definedName function="false" hidden="true" name="IQ_SQ_METER_LEASED_NET_OTHER" vbProcedure="false">"c8838"</definedName>
    <definedName function="false" hidden="true" name="IQ_SQ_METER_LEASED_NET_TOTAL" vbProcedure="false">"c8839"</definedName>
    <definedName function="false" hidden="true" name="IQ_SQ_METER_LEASED_NET_UNCONSOL" vbProcedure="false">"c8836"</definedName>
    <definedName function="false" hidden="true" name="IQ_SR_BONDS_NOTES" vbProcedure="false">"c2501"</definedName>
    <definedName function="false" hidden="true" name="IQ_SR_BONDS_NOTES_PCT" vbProcedure="false">"c2502"</definedName>
    <definedName function="false" hidden="true" name="IQ_SR_DEBT" vbProcedure="false">"c2526"</definedName>
    <definedName function="false" hidden="true" name="IQ_SR_DEBT_EBITDA" vbProcedure="false">"c2552"</definedName>
    <definedName function="false" hidden="true" name="IQ_SR_DEBT_EBITDA_CAPEX" vbProcedure="false">"c2553"</definedName>
    <definedName function="false" hidden="true" name="IQ_SR_DEBT_PCT" vbProcedure="false">"c2527"</definedName>
    <definedName function="false" hidden="true" name="IQ_SR_SUB_DEBT" vbProcedure="false">"c2530"</definedName>
    <definedName function="false" hidden="true" name="IQ_SR_SUB_DEBT_EBITDA" vbProcedure="false">"c2556"</definedName>
    <definedName function="false" hidden="true" name="IQ_SR_SUB_DEBT_EBITDA_CAPEX" vbProcedure="false">"c2557"</definedName>
    <definedName function="false" hidden="true" name="IQ_SR_SUB_DEBT_PCT" vbProcedure="false">"c2531"</definedName>
    <definedName function="false" hidden="true" name="IQ_STANDBY_LOC_FHLB_BANK_BEHALF_OFF_BS_FFIEC" vbProcedure="false">"c15412"</definedName>
    <definedName function="false" hidden="true" name="IQ_STAND_REC_DET_EST" vbProcedure="false">"c12069"</definedName>
    <definedName function="false" hidden="true" name="IQ_STAND_REC_DET_EST_DATE" vbProcedure="false">"c12222"</definedName>
    <definedName function="false" hidden="true" name="IQ_STAND_REC_DET_EST_DATE_REUT" vbProcedure="false">"c12307"</definedName>
    <definedName function="false" hidden="true" name="IQ_STAND_REC_DET_EST_DATE_THOM" vbProcedure="false">"c12250"</definedName>
    <definedName function="false" hidden="true" name="IQ_STAND_REC_DET_EST_ORIGIN" vbProcedure="false">"c12594"</definedName>
    <definedName function="false" hidden="true" name="IQ_STAND_REC_DET_EST_ORIGIN_REUT" vbProcedure="false">"c12675"</definedName>
    <definedName function="false" hidden="true" name="IQ_STAND_REC_DET_EST_ORIGIN_THOM" vbProcedure="false">"c12620"</definedName>
    <definedName function="false" hidden="true" name="IQ_STAND_REC_DET_EST_REUT" vbProcedure="false">"c12165"</definedName>
    <definedName function="false" hidden="true" name="IQ_STAND_REC_DET_EST_THOM" vbProcedure="false">"c12100"</definedName>
    <definedName function="false" hidden="true" name="IQ_STAND_REC_NUM_DET_EST" vbProcedure="false">"c12068"</definedName>
    <definedName function="false" hidden="true" name="IQ_STAND_REC_NUM_DET_EST_DATE" vbProcedure="false">"c12221"</definedName>
    <definedName function="false" hidden="true" name="IQ_STAND_REC_NUM_DET_EST_DATE_REUT" vbProcedure="false">"c12306"</definedName>
    <definedName function="false" hidden="true" name="IQ_STAND_REC_NUM_DET_EST_DATE_THOM" vbProcedure="false">"c12249"</definedName>
    <definedName function="false" hidden="true" name="IQ_STAND_REC_NUM_DET_EST_ORIGIN" vbProcedure="false">"c12593"</definedName>
    <definedName function="false" hidden="true" name="IQ_STAND_REC_NUM_DET_EST_ORIGIN_REUT" vbProcedure="false">"c12674"</definedName>
    <definedName function="false" hidden="true" name="IQ_STAND_REC_NUM_DET_EST_ORIGIN_THOM" vbProcedure="false">"c12619"</definedName>
    <definedName function="false" hidden="true" name="IQ_STAND_REC_NUM_DET_EST_REUT" vbProcedure="false">"c12164"</definedName>
    <definedName function="false" hidden="true" name="IQ_STAND_REC_NUM_DET_EST_THOM" vbProcedure="false">"c12099"</definedName>
    <definedName function="false" hidden="true" name="IQ_STATE" vbProcedure="false">"c1200"</definedName>
    <definedName function="false" hidden="true" name="IQ_STATES_NONTRANSACTION_ACCOUNTS_FDIC" vbProcedure="false">"c6547"</definedName>
    <definedName function="false" hidden="true" name="IQ_STATES_POLI_SUBD_US_NON_TRANS_ACCTS_FFIEC" vbProcedure="false">"c15324"</definedName>
    <definedName function="false" hidden="true" name="IQ_STATES_POLI_SUBD_US_TRANS_ACCTS_FFIEC" vbProcedure="false">"c15316"</definedName>
    <definedName function="false" hidden="true" name="IQ_STATES_TOTAL_DEPOSITS_FDIC" vbProcedure="false">"c6473"</definedName>
    <definedName function="false" hidden="true" name="IQ_STATES_TRANSACTION_ACCOUNTS_FDIC" vbProcedure="false">"c6539"</definedName>
    <definedName function="false" hidden="true" name="IQ_STATE_LOCAL_SPENDING_SAAR" vbProcedure="false">"c7017"</definedName>
    <definedName function="false" hidden="true" name="IQ_STATE_LOCAL_SPENDING_SAAR_APR" vbProcedure="false">"c7677"</definedName>
    <definedName function="false" hidden="true" name="IQ_STATE_LOCAL_SPENDING_SAAR_APR_FC" vbProcedure="false">"c8557"</definedName>
    <definedName function="false" hidden="true" name="IQ_STATE_LOCAL_SPENDING_SAAR_FC" vbProcedure="false">"c7897"</definedName>
    <definedName function="false" hidden="true" name="IQ_STATE_LOCAL_SPENDING_SAAR_POP" vbProcedure="false">"c7237"</definedName>
    <definedName function="false" hidden="true" name="IQ_STATE_LOCAL_SPENDING_SAAR_POP_FC" vbProcedure="false">"c8117"</definedName>
    <definedName function="false" hidden="true" name="IQ_STATE_LOCAL_SPENDING_SAAR_YOY" vbProcedure="false">"c7457"</definedName>
    <definedName function="false" hidden="true" name="IQ_STATE_LOCAL_SPENDING_SAAR_YOY_FC" vbProcedure="false">"c8337"</definedName>
    <definedName function="false" hidden="true" name="IQ_STATUTORY_SURPLUS" vbProcedure="false">"c1201"</definedName>
    <definedName function="false" hidden="true" name="IQ_STATUTORY_SURPLUS_GAAP_EQUITY" vbProcedure="false">"c15883"</definedName>
    <definedName function="false" hidden="true" name="IQ_STOCK_BASED" vbProcedure="false">"c1202"</definedName>
    <definedName function="false" hidden="true" name="IQ_STOCK_BASED_AT" vbProcedure="false">"c2999"</definedName>
    <definedName function="false" hidden="true" name="IQ_STOCK_BASED_CF" vbProcedure="false">"c1203"</definedName>
    <definedName function="false" hidden="true" name="IQ_STOCK_BASED_COGS" vbProcedure="false">"c2990"</definedName>
    <definedName function="false" hidden="true" name="IQ_STOCK_BASED_COMP" vbProcedure="false">"c3512"</definedName>
    <definedName function="false" hidden="true" name="IQ_STOCK_BASED_COMP_PRETAX" vbProcedure="false">"c3510"</definedName>
    <definedName function="false" hidden="true" name="IQ_STOCK_BASED_COMP_TAX" vbProcedure="false">"c3511"</definedName>
    <definedName function="false" hidden="true" name="IQ_STOCK_BASED_EST" vbProcedure="false">"c4520"</definedName>
    <definedName function="false" hidden="true" name="IQ_STOCK_BASED_EXPLORE_DRILL" vbProcedure="false">"c13851"</definedName>
    <definedName function="false" hidden="true" name="IQ_STOCK_BASED_GA" vbProcedure="false">"c2993"</definedName>
    <definedName function="false" hidden="true" name="IQ_STOCK_BASED_HIGH_EST" vbProcedure="false">"c4521"</definedName>
    <definedName function="false" hidden="true" name="IQ_STOCK_BASED_LOW_EST" vbProcedure="false">"c4522"</definedName>
    <definedName function="false" hidden="true" name="IQ_STOCK_BASED_MEDIAN_EST" vbProcedure="false">"c4523"</definedName>
    <definedName function="false" hidden="true" name="IQ_STOCK_BASED_NUM_EST" vbProcedure="false">"c4524"</definedName>
    <definedName function="false" hidden="true" name="IQ_STOCK_BASED_OTHER" vbProcedure="false">"c2995"</definedName>
    <definedName function="false" hidden="true" name="IQ_STOCK_BASED_RD" vbProcedure="false">"c2991"</definedName>
    <definedName function="false" hidden="true" name="IQ_STOCK_BASED_SGA" vbProcedure="false">"c2994"</definedName>
    <definedName function="false" hidden="true" name="IQ_STOCK_BASED_SM" vbProcedure="false">"c2992"</definedName>
    <definedName function="false" hidden="true" name="IQ_STOCK_BASED_STDDEV_EST" vbProcedure="false">"c4525"</definedName>
    <definedName function="false" hidden="true" name="IQ_STOCK_BASED_TOTAL" vbProcedure="false">"c3040"</definedName>
    <definedName function="false" hidden="true" name="IQ_STOCK_OPTIONS_COMP" vbProcedure="false">"c3509"</definedName>
    <definedName function="false" hidden="true" name="IQ_STOCK_OPTIONS_COMP_PRETAX" vbProcedure="false">"c3507"</definedName>
    <definedName function="false" hidden="true" name="IQ_STOCK_OPTIONS_COMP_TAX" vbProcedure="false">"c3508"</definedName>
    <definedName function="false" hidden="true" name="IQ_STRAIGHT_LINE_RENT_ADJ" vbProcedure="false">"c16178"</definedName>
    <definedName function="false" hidden="true" name="IQ_STRATEGY_NOTE" vbProcedure="false">"c6791"</definedName>
    <definedName function="false" hidden="true" name="IQ_STRIKE_PRICE_ISSUED" vbProcedure="false">"c1645"</definedName>
    <definedName function="false" hidden="true" name="IQ_STRIKE_PRICE_OS" vbProcedure="false">"c1646"</definedName>
    <definedName function="false" hidden="true" name="IQ_STRIPS_RECEIVABLE_MORTGAGE_LOANS_FFIEC" vbProcedure="false">"c12844"</definedName>
    <definedName function="false" hidden="true" name="IQ_STRIPS_RECEIVABLE_OTHER_FFIEC" vbProcedure="false">"c12845"</definedName>
    <definedName function="false" hidden="true" name="IQ_STRUCTURED_NOTES_INVEST_SECURITIES_FFIEC" vbProcedure="false">"c13468"</definedName>
    <definedName function="false" hidden="true" name="IQ_STRUCTURING_NOTES_TIER_1_FFIEC" vbProcedure="false">"c13344"</definedName>
    <definedName function="false" hidden="true" name="IQ_STRUCT_FIN_CLASS" vbProcedure="false">"c8950"</definedName>
    <definedName function="false" hidden="true" name="IQ_STRUCT_FIN_SERIES" vbProcedure="false">"c8956"</definedName>
    <definedName function="false" hidden="true" name="IQ_STW" vbProcedure="false">"c2166"</definedName>
    <definedName function="false" hidden="true" name="IQ_ST_DEBT" vbProcedure="false">"c1176"</definedName>
    <definedName function="false" hidden="true" name="IQ_ST_DEBT_BNK" vbProcedure="false">"c1177"</definedName>
    <definedName function="false" hidden="true" name="IQ_ST_DEBT_BR" vbProcedure="false">"c1178"</definedName>
    <definedName function="false" hidden="true" name="IQ_ST_DEBT_FIN" vbProcedure="false">"c1179"</definedName>
    <definedName function="false" hidden="true" name="IQ_ST_DEBT_INS" vbProcedure="false">"c1180"</definedName>
    <definedName function="false" hidden="true" name="IQ_ST_DEBT_ISSUED" vbProcedure="false">"c1181"</definedName>
    <definedName function="false" hidden="true" name="IQ_ST_DEBT_ISSUED_BNK" vbProcedure="false">"c1182"</definedName>
    <definedName function="false" hidden="true" name="IQ_ST_DEBT_ISSUED_BR" vbProcedure="false">"c1183"</definedName>
    <definedName function="false" hidden="true" name="IQ_ST_DEBT_ISSUED_FIN" vbProcedure="false">"c1184"</definedName>
    <definedName function="false" hidden="true" name="IQ_ST_DEBT_ISSUED_INS" vbProcedure="false">"c1185"</definedName>
    <definedName function="false" hidden="true" name="IQ_ST_DEBT_ISSUED_RE" vbProcedure="false">"c6267"</definedName>
    <definedName function="false" hidden="true" name="IQ_ST_DEBT_ISSUED_REIT" vbProcedure="false">"c1186"</definedName>
    <definedName function="false" hidden="true" name="IQ_ST_DEBT_ISSUED_UTI" vbProcedure="false">"c1187"</definedName>
    <definedName function="false" hidden="true" name="IQ_ST_DEBT_PCT" vbProcedure="false">"c2539"</definedName>
    <definedName function="false" hidden="true" name="IQ_ST_DEBT_RE" vbProcedure="false">"c6268"</definedName>
    <definedName function="false" hidden="true" name="IQ_ST_DEBT_REIT" vbProcedure="false">"c1188"</definedName>
    <definedName function="false" hidden="true" name="IQ_ST_DEBT_REPAID" vbProcedure="false">"c1189"</definedName>
    <definedName function="false" hidden="true" name="IQ_ST_DEBT_REPAID_BNK" vbProcedure="false">"c1190"</definedName>
    <definedName function="false" hidden="true" name="IQ_ST_DEBT_REPAID_BR" vbProcedure="false">"c1191"</definedName>
    <definedName function="false" hidden="true" name="IQ_ST_DEBT_REPAID_FIN" vbProcedure="false">"c1192"</definedName>
    <definedName function="false" hidden="true" name="IQ_ST_DEBT_REPAID_INS" vbProcedure="false">"c1193"</definedName>
    <definedName function="false" hidden="true" name="IQ_ST_DEBT_REPAID_RE" vbProcedure="false">"c6269"</definedName>
    <definedName function="false" hidden="true" name="IQ_ST_DEBT_REPAID_REIT" vbProcedure="false">"c1194"</definedName>
    <definedName function="false" hidden="true" name="IQ_ST_DEBT_REPAID_UTI" vbProcedure="false">"c1195"</definedName>
    <definedName function="false" hidden="true" name="IQ_ST_DEBT_UTI" vbProcedure="false">"c1196"</definedName>
    <definedName function="false" hidden="true" name="IQ_ST_FHLB_DEBT" vbProcedure="false">"c5658"</definedName>
    <definedName function="false" hidden="true" name="IQ_ST_INVEST" vbProcedure="false">"c1197"</definedName>
    <definedName function="false" hidden="true" name="IQ_ST_INVEST_ASSETS_TOT_FFIEC" vbProcedure="false">"c13438"</definedName>
    <definedName function="false" hidden="true" name="IQ_ST_INVEST_ST_NONCORE_FUNDING_FFIEC" vbProcedure="false">"c13338"</definedName>
    <definedName function="false" hidden="true" name="IQ_ST_INVEST_UTI" vbProcedure="false">"c1198"</definedName>
    <definedName function="false" hidden="true" name="IQ_ST_NOTE_RECEIV" vbProcedure="false">"c1199"</definedName>
    <definedName function="false" hidden="true" name="IQ_SUBS_ANALOG_CABLE" vbProcedure="false">"c2855"</definedName>
    <definedName function="false" hidden="true" name="IQ_SUBS_BASIC_CABLE" vbProcedure="false">"c16205"</definedName>
    <definedName function="false" hidden="true" name="IQ_SUBS_BBAND" vbProcedure="false">"c2858"</definedName>
    <definedName function="false" hidden="true" name="IQ_SUBS_BUNDLED" vbProcedure="false">"c2861"</definedName>
    <definedName function="false" hidden="true" name="IQ_SUBS_DIG_CABLE" vbProcedure="false">"c2856"</definedName>
    <definedName function="false" hidden="true" name="IQ_SUBS_NON_VIDEO" vbProcedure="false">"c2860"</definedName>
    <definedName function="false" hidden="true" name="IQ_SUBS_PHONE" vbProcedure="false">"c2859"</definedName>
    <definedName function="false" hidden="true" name="IQ_SUBS_POSTPAID_WIRELESS" vbProcedure="false">"c2118"</definedName>
    <definedName function="false" hidden="true" name="IQ_SUBS_PREPAID_WIRELESS" vbProcedure="false">"c2117"</definedName>
    <definedName function="false" hidden="true" name="IQ_SUBS_RESELL_WHOLESALE_WIRELESS" vbProcedure="false">"c15749"</definedName>
    <definedName function="false" hidden="true" name="IQ_SUBS_TOTAL" vbProcedure="false">"c2862"</definedName>
    <definedName function="false" hidden="true" name="IQ_SUBS_TOTAL_WIRELESS" vbProcedure="false">"c2119"</definedName>
    <definedName function="false" hidden="true" name="IQ_SUBS_VIDEO" vbProcedure="false">"c2857"</definedName>
    <definedName function="false" hidden="true" name="IQ_SUB_BONDS_NOTES" vbProcedure="false">"c2503"</definedName>
    <definedName function="false" hidden="true" name="IQ_SUB_BONDS_NOTES_PCT" vbProcedure="false">"c2504"</definedName>
    <definedName function="false" hidden="true" name="IQ_SUB_DEBT" vbProcedure="false">"c2532"</definedName>
    <definedName function="false" hidden="true" name="IQ_SUB_DEBT_EBITDA" vbProcedure="false">"c2558"</definedName>
    <definedName function="false" hidden="true" name="IQ_SUB_DEBT_EBITDA_CAPEX" vbProcedure="false">"c2559"</definedName>
    <definedName function="false" hidden="true" name="IQ_SUB_DEBT_FDIC" vbProcedure="false">"c6346"</definedName>
    <definedName function="false" hidden="true" name="IQ_SUB_DEBT_PCT" vbProcedure="false">"c2533"</definedName>
    <definedName function="false" hidden="true" name="IQ_SUB_LEASE_AFTER_FIVE" vbProcedure="false">"c1207"</definedName>
    <definedName function="false" hidden="true" name="IQ_SUB_LEASE_INC_CY" vbProcedure="false">"c1208"</definedName>
    <definedName function="false" hidden="true" name="IQ_SUB_LEASE_INC_CY1" vbProcedure="false">"c1209"</definedName>
    <definedName function="false" hidden="true" name="IQ_SUB_LEASE_INC_CY2" vbProcedure="false">"c1210"</definedName>
    <definedName function="false" hidden="true" name="IQ_SUB_LEASE_INC_CY3" vbProcedure="false">"c1211"</definedName>
    <definedName function="false" hidden="true" name="IQ_SUB_LEASE_INC_CY4" vbProcedure="false">"c1212"</definedName>
    <definedName function="false" hidden="true" name="IQ_SUB_LEASE_NEXT_FIVE" vbProcedure="false">"c1213"</definedName>
    <definedName function="false" hidden="true" name="IQ_SUB_NOTES_DEBENTURES_FAIR_VALUE_TOT_FFIEC" vbProcedure="false">"c15410"</definedName>
    <definedName function="false" hidden="true" name="IQ_SUB_NOTES_DEBENTURES_FFIEC" vbProcedure="false">"c12867"</definedName>
    <definedName function="false" hidden="true" name="IQ_SUB_NOTES_DEBENTURES_LEVEL_1_FFIEC" vbProcedure="false">"c15432"</definedName>
    <definedName function="false" hidden="true" name="IQ_SUB_NOTES_DEBENTURES_LEVEL_2_FFIEC" vbProcedure="false">"c15445"</definedName>
    <definedName function="false" hidden="true" name="IQ_SUB_NOTES_DEBENTURES_LEVEL_3_FFIEC" vbProcedure="false">"c15458"</definedName>
    <definedName function="false" hidden="true" name="IQ_SUB_NOTES_PAYABLE_UNCONSOLIDATED_TRUSTS_FFIEC" vbProcedure="false">"c12868"</definedName>
    <definedName function="false" hidden="true" name="IQ_SUPPLIES_FFIEC" vbProcedure="false">"c13050"</definedName>
    <definedName function="false" hidden="true" name="IQ_SUPPORT_INFRASTRUCTURE_CABLE_INVEST" vbProcedure="false">"c15805"</definedName>
    <definedName function="false" hidden="true" name="IQ_SURFACE_RESERVES_COAL" vbProcedure="false">"c15920"</definedName>
    <definedName function="false" hidden="true" name="IQ_SURFACE_RESERVES_TO_TOTAL_RESERVES_COAL" vbProcedure="false">"c15959"</definedName>
    <definedName function="false" hidden="true" name="IQ_SURPLUS_FDIC" vbProcedure="false">"c6351"</definedName>
    <definedName function="false" hidden="true" name="IQ_SURPLUS_FFIEC" vbProcedure="false">"c12877"</definedName>
    <definedName function="false" hidden="true" name="IQ_SVA" vbProcedure="false">"c1214"</definedName>
    <definedName function="false" hidden="true" name="IQ_SYMBOL_RT" vbProcedure="false">"SYMBOL"</definedName>
    <definedName function="false" hidden="true" name="IQ_SYNTHETIC_STRUCTURED_PRODUCTS_AVAIL_SALE_FFIEC" vbProcedure="false">"c15264"</definedName>
    <definedName function="false" hidden="true" name="IQ_SYNTHETIC_STRUCTURED_PRODUCTS_FFIEC" vbProcedure="false">"c15261"</definedName>
    <definedName function="false" hidden="true" name="IQ_TANGIBLE_ASSETS_FFIEC" vbProcedure="false">"c13916"</definedName>
    <definedName function="false" hidden="true" name="IQ_TANGIBLE_COMMON_EQUITY_FFIEC" vbProcedure="false">"c13914"</definedName>
    <definedName function="false" hidden="true" name="IQ_TANGIBLE_EQUITY_ASSETS_FFIEC" vbProcedure="false">"c13346"</definedName>
    <definedName function="false" hidden="true" name="IQ_TANGIBLE_EQUITY_FFIEC" vbProcedure="false">"c13915"</definedName>
    <definedName function="false" hidden="true" name="IQ_TANGIBLE_TIER_1_LEVERAGE_FFIEC" vbProcedure="false">"c13345"</definedName>
    <definedName function="false" hidden="true" name="IQ_TARGET_PRICE_DET_EST" vbProcedure="false">"c12070"</definedName>
    <definedName function="false" hidden="true" name="IQ_TARGET_PRICE_DET_EST_CURRENCY" vbProcedure="false">"c12475"</definedName>
    <definedName function="false" hidden="true" name="IQ_TARGET_PRICE_DET_EST_CURRENCY_REUT" vbProcedure="false">"c12547"</definedName>
    <definedName function="false" hidden="true" name="IQ_TARGET_PRICE_DET_EST_CURRENCY_THOM" vbProcedure="false">"c12498"</definedName>
    <definedName function="false" hidden="true" name="IQ_TARGET_PRICE_DET_EST_DATE" vbProcedure="false">"c12223"</definedName>
    <definedName function="false" hidden="true" name="IQ_TARGET_PRICE_DET_EST_DATE_REUT" vbProcedure="false">"c12308"</definedName>
    <definedName function="false" hidden="true" name="IQ_TARGET_PRICE_DET_EST_DATE_THOM" vbProcedure="false">"c12251"</definedName>
    <definedName function="false" hidden="true" name="IQ_TARGET_PRICE_DET_EST_INCL" vbProcedure="false">"c12358"</definedName>
    <definedName function="false" hidden="true" name="IQ_TARGET_PRICE_DET_EST_INCL_REUT" vbProcedure="false">"c12430"</definedName>
    <definedName function="false" hidden="true" name="IQ_TARGET_PRICE_DET_EST_INCL_THOM" vbProcedure="false">"c12381"</definedName>
    <definedName function="false" hidden="true" name="IQ_TARGET_PRICE_DET_EST_ORIGIN" vbProcedure="false">"c12729"</definedName>
    <definedName function="false" hidden="true" name="IQ_TARGET_PRICE_DET_EST_ORIGIN_REUT" vbProcedure="false">"c12731"</definedName>
    <definedName function="false" hidden="true" name="IQ_TARGET_PRICE_DET_EST_ORIGIN_THOM" vbProcedure="false">"c12621"</definedName>
    <definedName function="false" hidden="true" name="IQ_TARGET_PRICE_DET_EST_REUT" vbProcedure="false">"c12166"</definedName>
    <definedName function="false" hidden="true" name="IQ_TARGET_PRICE_DET_EST_THOM" vbProcedure="false">"c12101"</definedName>
    <definedName function="false" hidden="true" name="IQ_TARGET_PRICE_NUM" vbProcedure="false">"c1653"</definedName>
    <definedName function="false" hidden="true" name="IQ_TARGET_PRICE_NUM_CIQ" vbProcedure="false">"c4661"</definedName>
    <definedName function="false" hidden="true" name="IQ_TARGET_PRICE_NUM_REUT" vbProcedure="false">"c5319"</definedName>
    <definedName function="false" hidden="true" name="IQ_TARGET_PRICE_NUM_THOM" vbProcedure="false">"c5098"</definedName>
    <definedName function="false" hidden="true" name="IQ_TARGET_PRICE_STDDEV" vbProcedure="false">"c1654"</definedName>
    <definedName function="false" hidden="true" name="IQ_TARGET_PRICE_STDDEV_CIQ" vbProcedure="false">"c4662"</definedName>
    <definedName function="false" hidden="true" name="IQ_TARGET_PRICE_STDDEV_REUT" vbProcedure="false">"c5320"</definedName>
    <definedName function="false" hidden="true" name="IQ_TARGET_PRICE_STDDEV_THOM" vbProcedure="false">"c5099"</definedName>
    <definedName function="false" hidden="true" name="IQ_TAXES_ADJ_NOI_FFIEC" vbProcedure="false">"c13395"</definedName>
    <definedName function="false" hidden="true" name="IQ_TAXES_NOI_FFIEC" vbProcedure="false">"c13394"</definedName>
    <definedName function="false" hidden="true" name="IQ_TAXES_TE_AVG_ASSETS_FFIEC" vbProcedure="false">"c13366"</definedName>
    <definedName function="false" hidden="true" name="IQ_TAX_BENEFIT_CF_1YR" vbProcedure="false">"c3483"</definedName>
    <definedName function="false" hidden="true" name="IQ_TAX_BENEFIT_CF_2YR" vbProcedure="false">"c3484"</definedName>
    <definedName function="false" hidden="true" name="IQ_TAX_BENEFIT_CF_3YR" vbProcedure="false">"c3485"</definedName>
    <definedName function="false" hidden="true" name="IQ_TAX_BENEFIT_CF_4YR" vbProcedure="false">"c3486"</definedName>
    <definedName function="false" hidden="true" name="IQ_TAX_BENEFIT_CF_5YR" vbProcedure="false">"c3487"</definedName>
    <definedName function="false" hidden="true" name="IQ_TAX_BENEFIT_CF_AFTER_FIVE" vbProcedure="false">"c3488"</definedName>
    <definedName function="false" hidden="true" name="IQ_TAX_BENEFIT_CF_MAX_YEAR" vbProcedure="false">"c3491"</definedName>
    <definedName function="false" hidden="true" name="IQ_TAX_BENEFIT_CF_NO_EXP" vbProcedure="false">"c3489"</definedName>
    <definedName function="false" hidden="true" name="IQ_TAX_BENEFIT_CF_TOTAL" vbProcedure="false">"c3490"</definedName>
    <definedName function="false" hidden="true" name="IQ_TAX_BENEFIT_OPTIONS" vbProcedure="false">"c1215"</definedName>
    <definedName function="false" hidden="true" name="IQ_TAX_EQUIVALENT_ADJUSTMENTS_FFIEC" vbProcedure="false">"c13854"</definedName>
    <definedName function="false" hidden="true" name="IQ_TAX_EQUIV_NET_INT_INC" vbProcedure="false">"c1216"</definedName>
    <definedName function="false" hidden="true" name="IQ_TAX_OTHER_EXP_AP" vbProcedure="false">"c8878"</definedName>
    <definedName function="false" hidden="true" name="IQ_TAX_OTHER_EXP_AP_ABS" vbProcedure="false">"c8897"</definedName>
    <definedName function="false" hidden="true" name="IQ_TAX_OTHER_EXP_NAME_AP" vbProcedure="false">"c8916"</definedName>
    <definedName function="false" hidden="true" name="IQ_TAX_OTHER_EXP_NAME_AP_ABS" vbProcedure="false">"c8935"</definedName>
    <definedName function="false" hidden="true" name="IQ_TBV" vbProcedure="false">"c1906"</definedName>
    <definedName function="false" hidden="true" name="IQ_TBV_10YR_ANN_CAGR" vbProcedure="false">"c6169"</definedName>
    <definedName function="false" hidden="true" name="IQ_TBV_10YR_ANN_GROWTH" vbProcedure="false">"c1936"</definedName>
    <definedName function="false" hidden="true" name="IQ_TBV_1YR_ANN_GROWTH" vbProcedure="false">"c1931"</definedName>
    <definedName function="false" hidden="true" name="IQ_TBV_2YR_ANN_CAGR" vbProcedure="false">"c6165"</definedName>
    <definedName function="false" hidden="true" name="IQ_TBV_2YR_ANN_GROWTH" vbProcedure="false">"c1932"</definedName>
    <definedName function="false" hidden="true" name="IQ_TBV_3YR_ANN_CAGR" vbProcedure="false">"c6166"</definedName>
    <definedName function="false" hidden="true" name="IQ_TBV_3YR_ANN_GROWTH" vbProcedure="false">"c1933"</definedName>
    <definedName function="false" hidden="true" name="IQ_TBV_5YR_ANN_CAGR" vbProcedure="false">"c6167"</definedName>
    <definedName function="false" hidden="true" name="IQ_TBV_5YR_ANN_GROWTH" vbProcedure="false">"c1934"</definedName>
    <definedName function="false" hidden="true" name="IQ_TBV_7YR_ANN_CAGR" vbProcedure="false">"c6168"</definedName>
    <definedName function="false" hidden="true" name="IQ_TBV_7YR_ANN_GROWTH" vbProcedure="false">"c1935"</definedName>
    <definedName function="false" hidden="true" name="IQ_TBV_EXCL_FFIEC" vbProcedure="false">"c13516"</definedName>
    <definedName function="false" hidden="true" name="IQ_TBV_SHARE" vbProcedure="false">"c1217"</definedName>
    <definedName function="false" hidden="true" name="IQ_TBV_SHARE_REPORTED" vbProcedure="false">"c19140"</definedName>
    <definedName function="false" hidden="true" name="IQ_TELECOM_FFIEC" vbProcedure="false">"c13057"</definedName>
    <definedName function="false" hidden="true" name="IQ_TEMPLATE" vbProcedure="false">"c1521"</definedName>
    <definedName function="false" hidden="true" name="IQ_TENANT" vbProcedure="false">"c1218"</definedName>
    <definedName function="false" hidden="true" name="IQ_TENANT_LEASE_COMMISSION" vbProcedure="false">"c16177"</definedName>
    <definedName function="false" hidden="true" name="IQ_TERM_LOANS" vbProcedure="false">"c2499"</definedName>
    <definedName function="false" hidden="true" name="IQ_TERM_LOANS_PCT" vbProcedure="false">"c2500"</definedName>
    <definedName function="false" hidden="true" name="IQ_TEV" vbProcedure="false">"c1219"</definedName>
    <definedName function="false" hidden="true" name="IQ_TEV_DET_EST_CURRENCY_THOM" vbProcedure="false">"c12499"</definedName>
    <definedName function="false" hidden="true" name="IQ_TEV_DET_EST_DATE_THOM" vbProcedure="false">"c12252"</definedName>
    <definedName function="false" hidden="true" name="IQ_TEV_DET_EST_INCL_THOM" vbProcedure="false">"c12382"</definedName>
    <definedName function="false" hidden="true" name="IQ_TEV_DET_EST_ORIGIN_THOM" vbProcedure="false">"c12709"</definedName>
    <definedName function="false" hidden="true" name="IQ_TEV_DET_EST_THOM" vbProcedure="false">"c12102"</definedName>
    <definedName function="false" hidden="true" name="IQ_TEV_EBIT" vbProcedure="false">"c1220"</definedName>
    <definedName function="false" hidden="true" name="IQ_TEV_EBITDA" vbProcedure="false">"c1222"</definedName>
    <definedName function="false" hidden="true" name="IQ_TEV_EBITDA_AVG" vbProcedure="false">"c1223"</definedName>
    <definedName function="false" hidden="true" name="IQ_TEV_EBITDA_FWD" vbProcedure="false">"c1224"</definedName>
    <definedName function="false" hidden="true" name="IQ_TEV_EBITDA_FWD_CIQ" vbProcedure="false">"c4043"</definedName>
    <definedName function="false" hidden="true" name="IQ_TEV_EBITDA_FWD_REUT" vbProcedure="false">"c4050"</definedName>
    <definedName function="false" hidden="true" name="IQ_TEV_EBITDA_FWD_THOM" vbProcedure="false">"c4057"</definedName>
    <definedName function="false" hidden="true" name="IQ_TEV_EBIT_AVG" vbProcedure="false">"c1221"</definedName>
    <definedName function="false" hidden="true" name="IQ_TEV_EBIT_FWD" vbProcedure="false">"c2238"</definedName>
    <definedName function="false" hidden="true" name="IQ_TEV_EBIT_FWD_REUT" vbProcedure="false">"c4054"</definedName>
    <definedName function="false" hidden="true" name="IQ_TEV_EBIT_FWD_THOM" vbProcedure="false">"c4061"</definedName>
    <definedName function="false" hidden="true" name="IQ_TEV_EMPLOYEE_AVG" vbProcedure="false">"c1225"</definedName>
    <definedName function="false" hidden="true" name="IQ_TEV_EST" vbProcedure="false">"c4526"</definedName>
    <definedName function="false" hidden="true" name="IQ_TEV_EST_THOM" vbProcedure="false">"c5529"</definedName>
    <definedName function="false" hidden="true" name="IQ_TEV_HIGH_EST" vbProcedure="false">"c4527"</definedName>
    <definedName function="false" hidden="true" name="IQ_TEV_HIGH_EST_THOM" vbProcedure="false">"c5530"</definedName>
    <definedName function="false" hidden="true" name="IQ_TEV_LOW_EST" vbProcedure="false">"c4528"</definedName>
    <definedName function="false" hidden="true" name="IQ_TEV_LOW_EST_THOM" vbProcedure="false">"c5531"</definedName>
    <definedName function="false" hidden="true" name="IQ_TEV_MEDIAN_EST" vbProcedure="false">"c4529"</definedName>
    <definedName function="false" hidden="true" name="IQ_TEV_MEDIAN_EST_THOM" vbProcedure="false">"c5532"</definedName>
    <definedName function="false" hidden="true" name="IQ_TEV_NUM_EST" vbProcedure="false">"c4530"</definedName>
    <definedName function="false" hidden="true" name="IQ_TEV_NUM_EST_THOM" vbProcedure="false">"c5533"</definedName>
    <definedName function="false" hidden="true" name="IQ_TEV_STDDEV_EST" vbProcedure="false">"c4531"</definedName>
    <definedName function="false" hidden="true" name="IQ_TEV_STDDEV_EST_THOM" vbProcedure="false">"c5534"</definedName>
    <definedName function="false" hidden="true" name="IQ_TEV_TOTAL_REV" vbProcedure="false">"c1226"</definedName>
    <definedName function="false" hidden="true" name="IQ_TEV_TOTAL_REV_AVG" vbProcedure="false">"c1227"</definedName>
    <definedName function="false" hidden="true" name="IQ_TEV_TOTAL_REV_FWD" vbProcedure="false">"c1228"</definedName>
    <definedName function="false" hidden="true" name="IQ_TEV_TOTAL_REV_FWD_CIQ" vbProcedure="false">"c4044"</definedName>
    <definedName function="false" hidden="true" name="IQ_TEV_TOTAL_REV_FWD_REUT" vbProcedure="false">"c4051"</definedName>
    <definedName function="false" hidden="true" name="IQ_TEV_TOTAL_REV_FWD_THOM" vbProcedure="false">"c4058"</definedName>
    <definedName function="false" hidden="true" name="IQ_TEV_UFCF" vbProcedure="false">"c2208"</definedName>
    <definedName function="false" hidden="true" name="IQ_THREE_MONTHS_FIXED_AND_FLOATING_FDIC" vbProcedure="false">"c6419"</definedName>
    <definedName function="false" hidden="true" name="IQ_THREE_MONTHS_MORTGAGE_PASS_THROUGHS_FDIC" vbProcedure="false">"c6411"</definedName>
    <definedName function="false" hidden="true" name="IQ_THREE_YEARS_LESS_FDIC" vbProcedure="false">"c6417"</definedName>
    <definedName function="false" hidden="true" name="IQ_THREE_YEAR_FIXED_AND_FLOATING_RATE_FDIC" vbProcedure="false">"c6421"</definedName>
    <definedName function="false" hidden="true" name="IQ_THREE_YEAR_MORTGAGE_PASS_THROUGHS_FDIC" vbProcedure="false">"c6413"</definedName>
    <definedName function="false" hidden="true" name="IQ_TIER_1_CAPITAL_BEFORE_CHARGES_T1_FFIEC" vbProcedure="false">"c13139"</definedName>
    <definedName function="false" hidden="true" name="IQ_TIER_1_CAPITAL_FFIEC" vbProcedure="false">"c13143"</definedName>
    <definedName function="false" hidden="true" name="IQ_TIER_1_LEVERAGE_RATIO_FFIEC" vbProcedure="false">"c13160"</definedName>
    <definedName function="false" hidden="true" name="IQ_TIER_1_RISK_BASED_CAPITAL_RATIO_FDIC" vbProcedure="false">"c6746"</definedName>
    <definedName function="false" hidden="true" name="IQ_TIER_1_RISK_BASED_CAPITAL_RATIO_FFIEC" vbProcedure="false">"c13161"</definedName>
    <definedName function="false" hidden="true" name="IQ_TIER_2_CAPITAL_FFIEC" vbProcedure="false">"c13149"</definedName>
    <definedName function="false" hidden="true" name="IQ_TIER_3_CAPITAL_ALLOCATED_MARKET_RISK_FFIEC" vbProcedure="false">"c13151"</definedName>
    <definedName function="false" hidden="true" name="IQ_TIER_ONE_CAPITAL" vbProcedure="false">"c2667"</definedName>
    <definedName function="false" hidden="true" name="IQ_TIER_ONE_FDIC" vbProcedure="false">"c6369"</definedName>
    <definedName function="false" hidden="true" name="IQ_TIER_ONE_RATIO" vbProcedure="false">"c1229"</definedName>
    <definedName function="false" hidden="true" name="IQ_TIER_TWO_CAPITAL" vbProcedure="false">"c2669"</definedName>
    <definedName function="false" hidden="true" name="IQ_TIER_TWO_CAPITAL_RATIO" vbProcedure="false">"c15241"</definedName>
    <definedName function="false" hidden="true" name="IQ_TIME_DEP" vbProcedure="false">"c1230"</definedName>
    <definedName function="false" hidden="true" name="IQ_TIME_DEPOSITS_LESS_100K_OTHER_INSTITUTIONS_FFIEC" vbProcedure="false">"c12953"</definedName>
    <definedName function="false" hidden="true" name="IQ_TIME_DEPOSITS_LESS_100K_TOT_DEPOSITS_FFIEC" vbProcedure="false">"c13907"</definedName>
    <definedName function="false" hidden="true" name="IQ_TIME_DEPOSITS_LESS_THAN_100K_FDIC" vbProcedure="false">"c6465"</definedName>
    <definedName function="false" hidden="true" name="IQ_TIME_DEPOSITS_MORE_100K_OTHER_INSTITUTIONS_FFIEC" vbProcedure="false">"c12954"</definedName>
    <definedName function="false" hidden="true" name="IQ_TIME_DEPOSITS_MORE_100K_TOT_DEPOSITS_FFIEC" vbProcedure="false">"c13906"</definedName>
    <definedName function="false" hidden="true" name="IQ_TIME_DEPOSITS_MORE_THAN_100K_FDIC" vbProcedure="false">"c6470"</definedName>
    <definedName function="false" hidden="true" name="IQ_TIME_DEPOSITS_TOTAL_DEPOSITS" vbProcedure="false">"c15723"</definedName>
    <definedName function="false" hidden="true" name="IQ_TIME_DEPOSIT_LESS_100000_QUARTERLY_AVG_FFIEC" vbProcedure="false">"c15487"</definedName>
    <definedName function="false" hidden="true" name="IQ_TIME_DEPOSIT_MORE_100000_QUARTERLY_AVG_FFIEC" vbProcedure="false">"c15486"</definedName>
    <definedName function="false" hidden="true" name="IQ_TODAY" vbProcedure="false">0</definedName>
    <definedName function="false" hidden="true" name="IQ_TOTAL_AR_BR" vbProcedure="false">"c1231"</definedName>
    <definedName function="false" hidden="true" name="IQ_TOTAL_AR_RE" vbProcedure="false">"c6270"</definedName>
    <definedName function="false" hidden="true" name="IQ_TOTAL_AR_REIT" vbProcedure="false">"c1232"</definedName>
    <definedName function="false" hidden="true" name="IQ_TOTAL_AR_UTI" vbProcedure="false">"c1233"</definedName>
    <definedName function="false" hidden="true" name="IQ_TOTAL_ASSETS" vbProcedure="false">"c1234"</definedName>
    <definedName function="false" hidden="true" name="IQ_TOTAL_ASSETS_10YR_ANN_CAGR" vbProcedure="false">"c6140"</definedName>
    <definedName function="false" hidden="true" name="IQ_TOTAL_ASSETS_10YR_ANN_GROWTH" vbProcedure="false">"c1235"</definedName>
    <definedName function="false" hidden="true" name="IQ_TOTAL_ASSETS_1YR_ANN_GROWTH" vbProcedure="false">"c1236"</definedName>
    <definedName function="false" hidden="true" name="IQ_TOTAL_ASSETS_2YR_ANN_CAGR" vbProcedure="false">"c6141"</definedName>
    <definedName function="false" hidden="true" name="IQ_TOTAL_ASSETS_2YR_ANN_GROWTH" vbProcedure="false">"c1237"</definedName>
    <definedName function="false" hidden="true" name="IQ_TOTAL_ASSETS_3YR_ANN_CAGR" vbProcedure="false">"c6142"</definedName>
    <definedName function="false" hidden="true" name="IQ_TOTAL_ASSETS_3YR_ANN_GROWTH" vbProcedure="false">"c1238"</definedName>
    <definedName function="false" hidden="true" name="IQ_TOTAL_ASSETS_5YR_ANN_CAGR" vbProcedure="false">"c6143"</definedName>
    <definedName function="false" hidden="true" name="IQ_TOTAL_ASSETS_5YR_ANN_GROWTH" vbProcedure="false">"c1239"</definedName>
    <definedName function="false" hidden="true" name="IQ_TOTAL_ASSETS_7YR_ANN_CAGR" vbProcedure="false">"c6144"</definedName>
    <definedName function="false" hidden="true" name="IQ_TOTAL_ASSETS_7YR_ANN_GROWTH" vbProcedure="false">"c1240"</definedName>
    <definedName function="false" hidden="true" name="IQ_TOTAL_ASSETS_BNK_SUBTOTAL_AP" vbProcedure="false">"c13644"</definedName>
    <definedName function="false" hidden="true" name="IQ_TOTAL_ASSETS_FAIR_VALUE_TOT_FFIEC" vbProcedure="false">"c15405"</definedName>
    <definedName function="false" hidden="true" name="IQ_TOTAL_ASSETS_FDIC" vbProcedure="false">"c6339"</definedName>
    <definedName function="false" hidden="true" name="IQ_TOTAL_ASSETS_FFIEC" vbProcedure="false">"c12849"</definedName>
    <definedName function="false" hidden="true" name="IQ_TOTAL_ASSETS_LEVEL_1_FFIEC" vbProcedure="false">"c15427"</definedName>
    <definedName function="false" hidden="true" name="IQ_TOTAL_ASSETS_LEVEL_2_FFIEC" vbProcedure="false">"c15440"</definedName>
    <definedName function="false" hidden="true" name="IQ_TOTAL_ASSETS_LEVEL_3_FFIEC" vbProcedure="false">"c15453"</definedName>
    <definedName function="false" hidden="true" name="IQ_TOTAL_ASSETS_LH_FFIEC" vbProcedure="false">"c13106"</definedName>
    <definedName function="false" hidden="true" name="IQ_TOTAL_ASSETS_PC_FFIEC" vbProcedure="false">"c13099"</definedName>
    <definedName function="false" hidden="true" name="IQ_TOTAL_ASSETS_SUBTOTAL_AP" vbProcedure="false">"c8985"</definedName>
    <definedName function="false" hidden="true" name="IQ_TOTAL_ATTRIB_ORE_RESOURCES_ALUM" vbProcedure="false">"c9241"</definedName>
    <definedName function="false" hidden="true" name="IQ_TOTAL_ATTRIB_ORE_RESOURCES_COP" vbProcedure="false">"c9185"</definedName>
    <definedName function="false" hidden="true" name="IQ_TOTAL_ATTRIB_ORE_RESOURCES_DIAM" vbProcedure="false">"c9665"</definedName>
    <definedName function="false" hidden="true" name="IQ_TOTAL_ATTRIB_ORE_RESOURCES_GOLD" vbProcedure="false">"c9026"</definedName>
    <definedName function="false" hidden="true" name="IQ_TOTAL_ATTRIB_ORE_RESOURCES_IRON" vbProcedure="false">"c9400"</definedName>
    <definedName function="false" hidden="true" name="IQ_TOTAL_ATTRIB_ORE_RESOURCES_LEAD" vbProcedure="false">"c9453"</definedName>
    <definedName function="false" hidden="true" name="IQ_TOTAL_ATTRIB_ORE_RESOURCES_MANG" vbProcedure="false">"c9506"</definedName>
    <definedName function="false" hidden="true" name="IQ_TOTAL_ATTRIB_ORE_RESOURCES_MOLYB" vbProcedure="false">"c9718"</definedName>
    <definedName function="false" hidden="true" name="IQ_TOTAL_ATTRIB_ORE_RESOURCES_NICK" vbProcedure="false">"c9294"</definedName>
    <definedName function="false" hidden="true" name="IQ_TOTAL_ATTRIB_ORE_RESOURCES_PLAT" vbProcedure="false">"c9132"</definedName>
    <definedName function="false" hidden="true" name="IQ_TOTAL_ATTRIB_ORE_RESOURCES_SILVER" vbProcedure="false">"c9079"</definedName>
    <definedName function="false" hidden="true" name="IQ_TOTAL_ATTRIB_ORE_RESOURCES_TITAN" vbProcedure="false">"c9559"</definedName>
    <definedName function="false" hidden="true" name="IQ_TOTAL_ATTRIB_ORE_RESOURCES_URAN" vbProcedure="false">"c9612"</definedName>
    <definedName function="false" hidden="true" name="IQ_TOTAL_ATTRIB_ORE_RESOURCES_ZINC" vbProcedure="false">"c9347"</definedName>
    <definedName function="false" hidden="true" name="IQ_TOTAL_AVG_CE_TOTAL_AVG_ASSETS" vbProcedure="false">"c1241"</definedName>
    <definedName function="false" hidden="true" name="IQ_TOTAL_AVG_EQUITY_TOTAL_AVG_ASSETS" vbProcedure="false">"c1242"</definedName>
    <definedName function="false" hidden="true" name="IQ_TOTAL_BANK_CAPITAL" vbProcedure="false">"c2668"</definedName>
    <definedName function="false" hidden="true" name="IQ_TOTAL_BEDS" vbProcedure="false">"c8785"</definedName>
    <definedName function="false" hidden="true" name="IQ_TOTAL_BROKERED_DEPOSIT_FFIEC" vbProcedure="false">"c15304"</definedName>
    <definedName function="false" hidden="true" name="IQ_TOTAL_CA" vbProcedure="false">"c1243"</definedName>
    <definedName function="false" hidden="true" name="IQ_TOTAL_CAP" vbProcedure="false">"c1507"</definedName>
    <definedName function="false" hidden="true" name="IQ_TOTAL_CAPITAL_RATIO" vbProcedure="false">"c1244"</definedName>
    <definedName function="false" hidden="true" name="IQ_TOTAL_CASH_DIVID" vbProcedure="false">"c1455"</definedName>
    <definedName function="false" hidden="true" name="IQ_TOTAL_CASH_DUE_DEPOSITORY_INSTIT_DOM_FFIEC" vbProcedure="false">"c15291"</definedName>
    <definedName function="false" hidden="true" name="IQ_TOTAL_CASH_DUE_DEPOSITORY_INSTIT_FFIEC" vbProcedure="false">"c15285"</definedName>
    <definedName function="false" hidden="true" name="IQ_TOTAL_CASH_FINAN" vbProcedure="false">"c1352"</definedName>
    <definedName function="false" hidden="true" name="IQ_TOTAL_CASH_INVEST" vbProcedure="false">"c1353"</definedName>
    <definedName function="false" hidden="true" name="IQ_TOTAL_CASH_OPER" vbProcedure="false">"c1354"</definedName>
    <definedName function="false" hidden="true" name="IQ_TOTAL_CA_SUBTOTAL_AP" vbProcedure="false">"c8986"</definedName>
    <definedName function="false" hidden="true" name="IQ_TOTAL_CHARGE_OFFS_FDIC" vbProcedure="false">"c6603"</definedName>
    <definedName function="false" hidden="true" name="IQ_TOTAL_CHURN" vbProcedure="false">"c2122"</definedName>
    <definedName function="false" hidden="true" name="IQ_TOTAL_CL" vbProcedure="false">"c1245"</definedName>
    <definedName function="false" hidden="true" name="IQ_TOTAL_CL_SUBTOTAL_AP" vbProcedure="false">"c8987"</definedName>
    <definedName function="false" hidden="true" name="IQ_TOTAL_COAL_PRODUCTION_COAL" vbProcedure="false">"c9824"</definedName>
    <definedName function="false" hidden="true" name="IQ_TOTAL_COMMON" vbProcedure="false">"c1411"</definedName>
    <definedName function="false" hidden="true" name="IQ_TOTAL_COMMON_EQUITY" vbProcedure="false">"c1246"</definedName>
    <definedName function="false" hidden="true" name="IQ_TOTAL_COMMON_EQUITY_FFIEC" vbProcedure="false">"c13913"</definedName>
    <definedName function="false" hidden="true" name="IQ_TOTAL_COMMON_EQUITY_TOTAL_ASSETS_FFIEC" vbProcedure="false">"c13864"</definedName>
    <definedName function="false" hidden="true" name="IQ_TOTAL_COMMON_SHARES_OUT_FFIEC" vbProcedure="false">"c12955"</definedName>
    <definedName function="false" hidden="true" name="IQ_TOTAL_CONSTRUCTION_LL_REC_DOM_FFIEC" vbProcedure="false">"c13515"</definedName>
    <definedName function="false" hidden="true" name="IQ_TOTAL_CURRENT_ASSETS" vbProcedure="false">"c1430"</definedName>
    <definedName function="false" hidden="true" name="IQ_TOTAL_CURRENT_LIAB" vbProcedure="false">"c1431"</definedName>
    <definedName function="false" hidden="true" name="IQ_TOTAL_DEBT" vbProcedure="false">"c1247"</definedName>
    <definedName function="false" hidden="true" name="IQ_TOTAL_DEBT_CAPITAL" vbProcedure="false">"c1248"</definedName>
    <definedName function="false" hidden="true" name="IQ_TOTAL_DEBT_CURRENT" vbProcedure="false">"c6190"</definedName>
    <definedName function="false" hidden="true" name="IQ_TOTAL_DEBT_EBITDA" vbProcedure="false">"c1249"</definedName>
    <definedName function="false" hidden="true" name="IQ_TOTAL_DEBT_EBITDA_CAPEX" vbProcedure="false">"c2948"</definedName>
    <definedName function="false" hidden="true" name="IQ_TOTAL_DEBT_EQUITY" vbProcedure="false">"c1250"</definedName>
    <definedName function="false" hidden="true" name="IQ_TOTAL_DEBT_EST" vbProcedure="false">"c4532"</definedName>
    <definedName function="false" hidden="true" name="IQ_TOTAL_DEBT_EXCL_FIN" vbProcedure="false">"c2937"</definedName>
    <definedName function="false" hidden="true" name="IQ_TOTAL_DEBT_GUIDANCE" vbProcedure="false">"c4533"</definedName>
    <definedName function="false" hidden="true" name="IQ_TOTAL_DEBT_GUIDANCE_CIQ" vbProcedure="false">"c5086"</definedName>
    <definedName function="false" hidden="true" name="IQ_TOTAL_DEBT_GUIDANCE_CIQ_COL" vbProcedure="false">"c11733"</definedName>
    <definedName function="false" hidden="true" name="IQ_TOTAL_DEBT_HIGH_EST" vbProcedure="false">"c4534"</definedName>
    <definedName function="false" hidden="true" name="IQ_TOTAL_DEBT_HIGH_GUIDANCE" vbProcedure="false">"c4196"</definedName>
    <definedName function="false" hidden="true" name="IQ_TOTAL_DEBT_HIGH_GUIDANCE_CIQ" vbProcedure="false">"c4608"</definedName>
    <definedName function="false" hidden="true" name="IQ_TOTAL_DEBT_HIGH_GUIDANCE_CIQ_COL" vbProcedure="false">"c11257"</definedName>
    <definedName function="false" hidden="true" name="IQ_TOTAL_DEBT_ISSUED" vbProcedure="false">"c1251"</definedName>
    <definedName function="false" hidden="true" name="IQ_TOTAL_DEBT_ISSUED_BNK" vbProcedure="false">"c1252"</definedName>
    <definedName function="false" hidden="true" name="IQ_TOTAL_DEBT_ISSUED_BR" vbProcedure="false">"c1253"</definedName>
    <definedName function="false" hidden="true" name="IQ_TOTAL_DEBT_ISSUED_FIN" vbProcedure="false">"c1254"</definedName>
    <definedName function="false" hidden="true" name="IQ_TOTAL_DEBT_ISSUED_RE" vbProcedure="false">"c6271"</definedName>
    <definedName function="false" hidden="true" name="IQ_TOTAL_DEBT_ISSUED_REIT" vbProcedure="false">"c1255"</definedName>
    <definedName function="false" hidden="true" name="IQ_TOTAL_DEBT_ISSUED_UTI" vbProcedure="false">"c1256"</definedName>
    <definedName function="false" hidden="true" name="IQ_TOTAL_DEBT_ISSUES_INS" vbProcedure="false">"c1257"</definedName>
    <definedName function="false" hidden="true" name="IQ_TOTAL_DEBT_LOW_EST" vbProcedure="false">"c4535"</definedName>
    <definedName function="false" hidden="true" name="IQ_TOTAL_DEBT_LOW_GUIDANCE" vbProcedure="false">"c4236"</definedName>
    <definedName function="false" hidden="true" name="IQ_TOTAL_DEBT_LOW_GUIDANCE_CIQ" vbProcedure="false">"c4648"</definedName>
    <definedName function="false" hidden="true" name="IQ_TOTAL_DEBT_LOW_GUIDANCE_CIQ_COL" vbProcedure="false">"c11297"</definedName>
    <definedName function="false" hidden="true" name="IQ_TOTAL_DEBT_MEDIAN_EST" vbProcedure="false">"c4536"</definedName>
    <definedName function="false" hidden="true" name="IQ_TOTAL_DEBT_NON_CURRENT" vbProcedure="false">"c6191"</definedName>
    <definedName function="false" hidden="true" name="IQ_TOTAL_DEBT_NUM_EST" vbProcedure="false">"c4537"</definedName>
    <definedName function="false" hidden="true" name="IQ_TOTAL_DEBT_OVER_EBITDA" vbProcedure="false">"c1433"</definedName>
    <definedName function="false" hidden="true" name="IQ_TOTAL_DEBT_OVER_TOTAL_BV" vbProcedure="false">"c1434"</definedName>
    <definedName function="false" hidden="true" name="IQ_TOTAL_DEBT_OVER_TOTAL_CAP" vbProcedure="false">"c1432"</definedName>
    <definedName function="false" hidden="true" name="IQ_TOTAL_DEBT_REPAID" vbProcedure="false">"c1258"</definedName>
    <definedName function="false" hidden="true" name="IQ_TOTAL_DEBT_REPAID_BNK" vbProcedure="false">"c1259"</definedName>
    <definedName function="false" hidden="true" name="IQ_TOTAL_DEBT_REPAID_BR" vbProcedure="false">"c1260"</definedName>
    <definedName function="false" hidden="true" name="IQ_TOTAL_DEBT_REPAID_FIN" vbProcedure="false">"c1261"</definedName>
    <definedName function="false" hidden="true" name="IQ_TOTAL_DEBT_REPAID_INS" vbProcedure="false">"c1262"</definedName>
    <definedName function="false" hidden="true" name="IQ_TOTAL_DEBT_REPAID_RE" vbProcedure="false">"c6272"</definedName>
    <definedName function="false" hidden="true" name="IQ_TOTAL_DEBT_REPAID_REIT" vbProcedure="false">"c1263"</definedName>
    <definedName function="false" hidden="true" name="IQ_TOTAL_DEBT_REPAID_UTI" vbProcedure="false">"c1264"</definedName>
    <definedName function="false" hidden="true" name="IQ_TOTAL_DEBT_SECURITIES_FDIC" vbProcedure="false">"c6410"</definedName>
    <definedName function="false" hidden="true" name="IQ_TOTAL_DEBT_STDDEV_EST" vbProcedure="false">"c4538"</definedName>
    <definedName function="false" hidden="true" name="IQ_TOTAL_DEPOSITS" vbProcedure="false">"c1265"</definedName>
    <definedName function="false" hidden="true" name="IQ_TOTAL_DEPOSITS_DOM_FFIEC" vbProcedure="false">"c15313"</definedName>
    <definedName function="false" hidden="true" name="IQ_TOTAL_DEPOSITS_FDIC" vbProcedure="false">"c6342"</definedName>
    <definedName function="false" hidden="true" name="IQ_TOTAL_DEPOSITS_FFIEC" vbProcedure="false">"c13623"</definedName>
    <definedName function="false" hidden="true" name="IQ_TOTAL_DEPOSITS_SUPPLE" vbProcedure="false">"c15253"</definedName>
    <definedName function="false" hidden="true" name="IQ_TOTAL_DIV_PAID_CF" vbProcedure="false">"c1266"</definedName>
    <definedName function="false" hidden="true" name="IQ_TOTAL_EMPLOYEE" vbProcedure="false">"c2141"</definedName>
    <definedName function="false" hidden="true" name="IQ_TOTAL_EMPLOYEES" vbProcedure="false">"c1522"</definedName>
    <definedName function="false" hidden="true" name="IQ_TOTAL_EMPLOYEES_FDIC" vbProcedure="false">"c6355"</definedName>
    <definedName function="false" hidden="true" name="IQ_TOTAL_EQUITY" vbProcedure="false">"c1267"</definedName>
    <definedName function="false" hidden="true" name="IQ_TOTAL_EQUITY_10YR_ANN_CAGR" vbProcedure="false">"c6145"</definedName>
    <definedName function="false" hidden="true" name="IQ_TOTAL_EQUITY_10YR_ANN_GROWTH" vbProcedure="false">"c1268"</definedName>
    <definedName function="false" hidden="true" name="IQ_TOTAL_EQUITY_1YR_ANN_GROWTH" vbProcedure="false">"c1269"</definedName>
    <definedName function="false" hidden="true" name="IQ_TOTAL_EQUITY_2YR_ANN_CAGR" vbProcedure="false">"c6146"</definedName>
    <definedName function="false" hidden="true" name="IQ_TOTAL_EQUITY_2YR_ANN_GROWTH" vbProcedure="false">"c1270"</definedName>
    <definedName function="false" hidden="true" name="IQ_TOTAL_EQUITY_3YR_ANN_CAGR" vbProcedure="false">"c6147"</definedName>
    <definedName function="false" hidden="true" name="IQ_TOTAL_EQUITY_3YR_ANN_GROWTH" vbProcedure="false">"c1271"</definedName>
    <definedName function="false" hidden="true" name="IQ_TOTAL_EQUITY_5YR_ANN_CAGR" vbProcedure="false">"c6148"</definedName>
    <definedName function="false" hidden="true" name="IQ_TOTAL_EQUITY_5YR_ANN_GROWTH" vbProcedure="false">"c1272"</definedName>
    <definedName function="false" hidden="true" name="IQ_TOTAL_EQUITY_7YR_ANN_CAGR" vbProcedure="false">"c6149"</definedName>
    <definedName function="false" hidden="true" name="IQ_TOTAL_EQUITY_7YR_ANN_GROWTH" vbProcedure="false">"c1273"</definedName>
    <definedName function="false" hidden="true" name="IQ_TOTAL_EQUITY_ALLOWANCE_TOTAL_LOANS" vbProcedure="false">"c1274"</definedName>
    <definedName function="false" hidden="true" name="IQ_TOTAL_EQUITY_CAPITAL_T1_FFIEC" vbProcedure="false">"c13130"</definedName>
    <definedName function="false" hidden="true" name="IQ_TOTAL_EQUITY_FFIEC" vbProcedure="false">"c12881"</definedName>
    <definedName function="false" hidden="true" name="IQ_TOTAL_EQUITY_INCL_MINORITY_INTEREST_FFIEC" vbProcedure="false">"c15278"</definedName>
    <definedName function="false" hidden="true" name="IQ_TOTAL_EQUITY_LH_FFIEC" vbProcedure="false">"c13109"</definedName>
    <definedName function="false" hidden="true" name="IQ_TOTAL_EQUITY_PC_FFIEC" vbProcedure="false">"c13102"</definedName>
    <definedName function="false" hidden="true" name="IQ_TOTAL_EQUITY_SUBTOTAL_AP" vbProcedure="false">"c8989"</definedName>
    <definedName function="false" hidden="true" name="IQ_TOTAL_EQUITY_TOTAL_ASSETS_FFIEC" vbProcedure="false">"c13863"</definedName>
    <definedName function="false" hidden="true" name="IQ_TOTAL_FOREIGN_DEPOSITS_FFIEC" vbProcedure="false">"c15348"</definedName>
    <definedName function="false" hidden="true" name="IQ_TOTAL_FOREIGN_LOANS_QUARTERLY_AVG_FFIEC" vbProcedure="false">"c15482"</definedName>
    <definedName function="false" hidden="true" name="IQ_TOTAL_IBF_ASSETS_CONSOL_BANK_FFIEC" vbProcedure="false">"c15299"</definedName>
    <definedName function="false" hidden="true" name="IQ_TOTAL_IBF_LIABILITIES_FFIEC" vbProcedure="false">"c15302"</definedName>
    <definedName function="false" hidden="true" name="IQ_TOTAL_IBF_LL_REC_FFIEC" vbProcedure="false">"c15297"</definedName>
    <definedName function="false" hidden="true" name="IQ_TOTAL_INTEREST_EXP" vbProcedure="false">"c1382"</definedName>
    <definedName function="false" hidden="true" name="IQ_TOTAL_INTEREST_EXP_FOREIGN_FFIEC" vbProcedure="false">"c15374"</definedName>
    <definedName function="false" hidden="true" name="IQ_TOTAL_INTEREST_INC_FOREIGN_FFIEC" vbProcedure="false">"c15373"</definedName>
    <definedName function="false" hidden="true" name="IQ_TOTAL_INT_EXPENSE_FFIEC" vbProcedure="false">"c13000"</definedName>
    <definedName function="false" hidden="true" name="IQ_TOTAL_INT_INCOME_FFIEC" vbProcedure="false">"c12989"</definedName>
    <definedName function="false" hidden="true" name="IQ_TOTAL_INVENTORY" vbProcedure="false">"c1385"</definedName>
    <definedName function="false" hidden="true" name="IQ_TOTAL_INVEST" vbProcedure="false">"c1275"</definedName>
    <definedName function="false" hidden="true" name="IQ_TOTAL_IRA_KEOGH_PLAN_ACCOUNTS_FFIEC" vbProcedure="false">"c15303"</definedName>
    <definedName function="false" hidden="true" name="IQ_TOTAL_LIAB" vbProcedure="false">"c1276"</definedName>
    <definedName function="false" hidden="true" name="IQ_TOTAL_LIABILITIES_EQUITY_FFIEC" vbProcedure="false">"c12882"</definedName>
    <definedName function="false" hidden="true" name="IQ_TOTAL_LIABILITIES_FAIR_VALUE_TOT_FFIEC" vbProcedure="false">"c15411"</definedName>
    <definedName function="false" hidden="true" name="IQ_TOTAL_LIABILITIES_FDIC" vbProcedure="false">"c6348"</definedName>
    <definedName function="false" hidden="true" name="IQ_TOTAL_LIABILITIES_FFIEC" vbProcedure="false">"c12873"</definedName>
    <definedName function="false" hidden="true" name="IQ_TOTAL_LIABILITIES_LEVEL_1_FFIEC" vbProcedure="false">"c15433"</definedName>
    <definedName function="false" hidden="true" name="IQ_TOTAL_LIABILITIES_LEVEL_2_FFIEC" vbProcedure="false">"c15446"</definedName>
    <definedName function="false" hidden="true" name="IQ_TOTAL_LIABILITIES_LEVEL_3_FFIEC" vbProcedure="false">"c15459"</definedName>
    <definedName function="false" hidden="true" name="IQ_TOTAL_LIAB_BNK" vbProcedure="false">"c1277"</definedName>
    <definedName function="false" hidden="true" name="IQ_TOTAL_LIAB_BR" vbProcedure="false">"c1278"</definedName>
    <definedName function="false" hidden="true" name="IQ_TOTAL_LIAB_EQUITY" vbProcedure="false">"c1279"</definedName>
    <definedName function="false" hidden="true" name="IQ_TOTAL_LIAB_EQUITY_FDIC" vbProcedure="false">"c6354"</definedName>
    <definedName function="false" hidden="true" name="IQ_TOTAL_LIAB_EQUITY_SUBTOTAL_AP" vbProcedure="false">"c8988"</definedName>
    <definedName function="false" hidden="true" name="IQ_TOTAL_LIAB_FIN" vbProcedure="false">"c1280"</definedName>
    <definedName function="false" hidden="true" name="IQ_TOTAL_LIAB_INS" vbProcedure="false">"c1281"</definedName>
    <definedName function="false" hidden="true" name="IQ_TOTAL_LIAB_RE" vbProcedure="false">"c6273"</definedName>
    <definedName function="false" hidden="true" name="IQ_TOTAL_LIAB_REIT" vbProcedure="false">"c1282"</definedName>
    <definedName function="false" hidden="true" name="IQ_TOTAL_LIAB_SHAREHOLD" vbProcedure="false">"c1435"</definedName>
    <definedName function="false" hidden="true" name="IQ_TOTAL_LIAB_TOTAL_ASSETS" vbProcedure="false">"c1283"</definedName>
    <definedName function="false" hidden="true" name="IQ_TOTAL_LL_REC_DOM_FFIEC" vbProcedure="false">"c12917"</definedName>
    <definedName function="false" hidden="true" name="IQ_TOTAL_LL_REC_FFIEC" vbProcedure="false">"c12898"</definedName>
    <definedName function="false" hidden="true" name="IQ_TOTAL_LOANS" vbProcedure="false">"c5653"</definedName>
    <definedName function="false" hidden="true" name="IQ_TOTAL_LOANS_DOM_QUARTERLY_AVG_FFIEC" vbProcedure="false">"c15475"</definedName>
    <definedName function="false" hidden="true" name="IQ_TOTAL_LOANS_LEASES_AND_OTHER_DUE_30_89_FFIEC" vbProcedure="false">"c15416"</definedName>
    <definedName function="false" hidden="true" name="IQ_TOTAL_LOANS_LEASES_AND_OTHER_DUE_90_FFIEC" vbProcedure="false">"c15420"</definedName>
    <definedName function="false" hidden="true" name="IQ_TOTAL_LOANS_LEASES_AND_OTHER_NON_ACCRUAL_FFIEC" vbProcedure="false">"c15466"</definedName>
    <definedName function="false" hidden="true" name="IQ_TOTAL_LOANS_LEASES_CHARGE_OFFS_FFIEC" vbProcedure="false">"c13186"</definedName>
    <definedName function="false" hidden="true" name="IQ_TOTAL_LOANS_LEASES_DUE_30_89_FFIEC" vbProcedure="false">"c13280"</definedName>
    <definedName function="false" hidden="true" name="IQ_TOTAL_LOANS_LEASES_DUE_90_FFIEC" vbProcedure="false">"c13306"</definedName>
    <definedName function="false" hidden="true" name="IQ_TOTAL_LOANS_LEASES_NON_ACCRUAL_FFIEC" vbProcedure="false">"c13757"</definedName>
    <definedName function="false" hidden="true" name="IQ_TOTAL_LOANS_LEASES_RECOV_FFIEC" vbProcedure="false">"c13208"</definedName>
    <definedName function="false" hidden="true" name="IQ_TOTAL_LONG_DEBT" vbProcedure="false">"c1617"</definedName>
    <definedName function="false" hidden="true" name="IQ_TOTAL_NONINTEREST_EXPENSE_FOREIGN_FFIEC" vbProcedure="false">"c15386"</definedName>
    <definedName function="false" hidden="true" name="IQ_TOTAL_NON_REC" vbProcedure="false">"c1444"</definedName>
    <definedName function="false" hidden="true" name="IQ_TOTAL_NON_TRANS_ACCTS_FFIEC" vbProcedure="false">"c15328"</definedName>
    <definedName function="false" hidden="true" name="IQ_TOTAL_OPERATING_EXPENSE" vbProcedure="false">"c16047"</definedName>
    <definedName function="false" hidden="true" name="IQ_TOTAL_OPERATING_REVENUE" vbProcedure="false">"c16030"</definedName>
    <definedName function="false" hidden="true" name="IQ_TOTAL_OPER_EXPEN" vbProcedure="false">"c1445"</definedName>
    <definedName function="false" hidden="true" name="IQ_TOTAL_OPER_EXP_BR" vbProcedure="false">"c1284"</definedName>
    <definedName function="false" hidden="true" name="IQ_TOTAL_OPER_EXP_FIN" vbProcedure="false">"c1285"</definedName>
    <definedName function="false" hidden="true" name="IQ_TOTAL_OPER_EXP_INS" vbProcedure="false">"c1286"</definedName>
    <definedName function="false" hidden="true" name="IQ_TOTAL_OPER_EXP_RE" vbProcedure="false">"c6274"</definedName>
    <definedName function="false" hidden="true" name="IQ_TOTAL_OPER_EXP_REIT" vbProcedure="false">"c1287"</definedName>
    <definedName function="false" hidden="true" name="IQ_TOTAL_OPER_EXP_UTI" vbProcedure="false">"c1288"</definedName>
    <definedName function="false" hidden="true" name="IQ_TOTAL_OPTIONS_BEG_OS" vbProcedure="false">"c2693"</definedName>
    <definedName function="false" hidden="true" name="IQ_TOTAL_OPTIONS_CANCELLED" vbProcedure="false">"c2696"</definedName>
    <definedName function="false" hidden="true" name="IQ_TOTAL_OPTIONS_END_OS" vbProcedure="false">"c2697"</definedName>
    <definedName function="false" hidden="true" name="IQ_TOTAL_OPTIONS_EXERCISABLE_END_OS" vbProcedure="false">"c5819"</definedName>
    <definedName function="false" hidden="true" name="IQ_TOTAL_OPTIONS_EXERCISED" vbProcedure="false">"c2695"</definedName>
    <definedName function="false" hidden="true" name="IQ_TOTAL_OPTIONS_GRANTED" vbProcedure="false">"c2694"</definedName>
    <definedName function="false" hidden="true" name="IQ_TOTAL_ORE_RESOURCES_ALUM" vbProcedure="false">"c9230"</definedName>
    <definedName function="false" hidden="true" name="IQ_TOTAL_ORE_RESOURCES_COP" vbProcedure="false">"c9174"</definedName>
    <definedName function="false" hidden="true" name="IQ_TOTAL_ORE_RESOURCES_DIAM" vbProcedure="false">"c9654"</definedName>
    <definedName function="false" hidden="true" name="IQ_TOTAL_ORE_RESOURCES_GOLD" vbProcedure="false">"c9015"</definedName>
    <definedName function="false" hidden="true" name="IQ_TOTAL_ORE_RESOURCES_IRON" vbProcedure="false">"c9389"</definedName>
    <definedName function="false" hidden="true" name="IQ_TOTAL_ORE_RESOURCES_LEAD" vbProcedure="false">"c9442"</definedName>
    <definedName function="false" hidden="true" name="IQ_TOTAL_ORE_RESOURCES_MANG" vbProcedure="false">"c9495"</definedName>
    <definedName function="false" hidden="true" name="IQ_TOTAL_ORE_RESOURCES_MOLYB" vbProcedure="false">"c9707"</definedName>
    <definedName function="false" hidden="true" name="IQ_TOTAL_ORE_RESOURCES_NICK" vbProcedure="false">"c9283"</definedName>
    <definedName function="false" hidden="true" name="IQ_TOTAL_ORE_RESOURCES_PLAT" vbProcedure="false">"c9121"</definedName>
    <definedName function="false" hidden="true" name="IQ_TOTAL_ORE_RESOURCES_SILVER" vbProcedure="false">"c9068"</definedName>
    <definedName function="false" hidden="true" name="IQ_TOTAL_ORE_RESOURCES_TITAN" vbProcedure="false">"c9548"</definedName>
    <definedName function="false" hidden="true" name="IQ_TOTAL_ORE_RESOURCES_URAN" vbProcedure="false">"c9601"</definedName>
    <definedName function="false" hidden="true" name="IQ_TOTAL_ORE_RESOURCES_ZINC" vbProcedure="false">"c9336"</definedName>
    <definedName function="false" hidden="true" name="IQ_TOTAL_OTHER_OPER" vbProcedure="false">"c1289"</definedName>
    <definedName function="false" hidden="true" name="IQ_TOTAL_OUTSTANDING_BS_DATE" vbProcedure="false">"c1022"</definedName>
    <definedName function="false" hidden="true" name="IQ_TOTAL_OUTSTANDING_FILING_DATE" vbProcedure="false">"c2107"</definedName>
    <definedName function="false" hidden="true" name="IQ_TOTAL_PENSION_ASSETS" vbProcedure="false">"c1290"</definedName>
    <definedName function="false" hidden="true" name="IQ_TOTAL_PENSION_ASSETS_DOMESTIC" vbProcedure="false">"c2658"</definedName>
    <definedName function="false" hidden="true" name="IQ_TOTAL_PENSION_ASSETS_FOREIGN" vbProcedure="false">"c2666"</definedName>
    <definedName function="false" hidden="true" name="IQ_TOTAL_PENSION_EXP" vbProcedure="false">"c1291"</definedName>
    <definedName function="false" hidden="true" name="IQ_TOTAL_PENSION_OBLIGATION" vbProcedure="false">"c1292"</definedName>
    <definedName function="false" hidden="true" name="IQ_TOTAL_PRINCIPAL" vbProcedure="false">"c2509"</definedName>
    <definedName function="false" hidden="true" name="IQ_TOTAL_PRINCIPAL_PCT" vbProcedure="false">"c2510"</definedName>
    <definedName function="false" hidden="true" name="IQ_TOTAL_PROP" vbProcedure="false">"c8765"</definedName>
    <definedName function="false" hidden="true" name="IQ_TOTAL_PROVED_RESERVES_NGL" vbProcedure="false">"c2924"</definedName>
    <definedName function="false" hidden="true" name="IQ_TOTAL_PROVED_RESERVES_OIL" vbProcedure="false">"c2040"</definedName>
    <definedName function="false" hidden="true" name="IQ_TOTAL_RECEIV" vbProcedure="false">"c1293"</definedName>
    <definedName function="false" hidden="true" name="IQ_TOTAL_RECOVERIES_FDIC" vbProcedure="false">"c6622"</definedName>
    <definedName function="false" hidden="true" name="IQ_TOTAL_RECOV_ATTRIB_RESOURCES_ALUM" vbProcedure="false">"c9246"</definedName>
    <definedName function="false" hidden="true" name="IQ_TOTAL_RECOV_ATTRIB_RESOURCES_COAL" vbProcedure="false">"c9820"</definedName>
    <definedName function="false" hidden="true" name="IQ_TOTAL_RECOV_ATTRIB_RESOURCES_COP" vbProcedure="false">"c9190"</definedName>
    <definedName function="false" hidden="true" name="IQ_TOTAL_RECOV_ATTRIB_RESOURCES_DIAM" vbProcedure="false">"c9670"</definedName>
    <definedName function="false" hidden="true" name="IQ_TOTAL_RECOV_ATTRIB_RESOURCES_GOLD" vbProcedure="false">"c9031"</definedName>
    <definedName function="false" hidden="true" name="IQ_TOTAL_RECOV_ATTRIB_RESOURCES_IRON" vbProcedure="false">"c9405"</definedName>
    <definedName function="false" hidden="true" name="IQ_TOTAL_RECOV_ATTRIB_RESOURCES_LEAD" vbProcedure="false">"c9458"</definedName>
    <definedName function="false" hidden="true" name="IQ_TOTAL_RECOV_ATTRIB_RESOURCES_MANG" vbProcedure="false">"c9511"</definedName>
    <definedName function="false" hidden="true" name="IQ_TOTAL_RECOV_ATTRIB_RESOURCES_MET_COAL" vbProcedure="false">"c9760"</definedName>
    <definedName function="false" hidden="true" name="IQ_TOTAL_RECOV_ATTRIB_RESOURCES_MOLYB" vbProcedure="false">"c9723"</definedName>
    <definedName function="false" hidden="true" name="IQ_TOTAL_RECOV_ATTRIB_RESOURCES_NICK" vbProcedure="false">"c9299"</definedName>
    <definedName function="false" hidden="true" name="IQ_TOTAL_RECOV_ATTRIB_RESOURCES_PLAT" vbProcedure="false">"c9137"</definedName>
    <definedName function="false" hidden="true" name="IQ_TOTAL_RECOV_ATTRIB_RESOURCES_SILVER" vbProcedure="false">"c9084"</definedName>
    <definedName function="false" hidden="true" name="IQ_TOTAL_RECOV_ATTRIB_RESOURCES_STEAM" vbProcedure="false">"c9790"</definedName>
    <definedName function="false" hidden="true" name="IQ_TOTAL_RECOV_ATTRIB_RESOURCES_TITAN" vbProcedure="false">"c9564"</definedName>
    <definedName function="false" hidden="true" name="IQ_TOTAL_RECOV_ATTRIB_RESOURCES_URAN" vbProcedure="false">"c9617"</definedName>
    <definedName function="false" hidden="true" name="IQ_TOTAL_RECOV_ATTRIB_RESOURCES_ZINC" vbProcedure="false">"c9352"</definedName>
    <definedName function="false" hidden="true" name="IQ_TOTAL_RECOV_RESOURCES_ALUM" vbProcedure="false">"c9236"</definedName>
    <definedName function="false" hidden="true" name="IQ_TOTAL_RECOV_RESOURCES_COAL" vbProcedure="false">"c9815"</definedName>
    <definedName function="false" hidden="true" name="IQ_TOTAL_RECOV_RESOURCES_COP" vbProcedure="false">"c9180"</definedName>
    <definedName function="false" hidden="true" name="IQ_TOTAL_RECOV_RESOURCES_DIAM" vbProcedure="false">"c9660"</definedName>
    <definedName function="false" hidden="true" name="IQ_TOTAL_RECOV_RESOURCES_GOLD" vbProcedure="false">"c9021"</definedName>
    <definedName function="false" hidden="true" name="IQ_TOTAL_RECOV_RESOURCES_IRON" vbProcedure="false">"c9395"</definedName>
    <definedName function="false" hidden="true" name="IQ_TOTAL_RECOV_RESOURCES_LEAD" vbProcedure="false">"c9448"</definedName>
    <definedName function="false" hidden="true" name="IQ_TOTAL_RECOV_RESOURCES_MANG" vbProcedure="false">"c9501"</definedName>
    <definedName function="false" hidden="true" name="IQ_TOTAL_RECOV_RESOURCES_MET_COAL" vbProcedure="false">"c9755"</definedName>
    <definedName function="false" hidden="true" name="IQ_TOTAL_RECOV_RESOURCES_MOLYB" vbProcedure="false">"c9713"</definedName>
    <definedName function="false" hidden="true" name="IQ_TOTAL_RECOV_RESOURCES_NICK" vbProcedure="false">"c9289"</definedName>
    <definedName function="false" hidden="true" name="IQ_TOTAL_RECOV_RESOURCES_PLAT" vbProcedure="false">"c9127"</definedName>
    <definedName function="false" hidden="true" name="IQ_TOTAL_RECOV_RESOURCES_SILVER" vbProcedure="false">"c9074"</definedName>
    <definedName function="false" hidden="true" name="IQ_TOTAL_RECOV_RESOURCES_STEAM" vbProcedure="false">"c9785"</definedName>
    <definedName function="false" hidden="true" name="IQ_TOTAL_RECOV_RESOURCES_TITAN" vbProcedure="false">"c9554"</definedName>
    <definedName function="false" hidden="true" name="IQ_TOTAL_RECOV_RESOURCES_URAN" vbProcedure="false">"c9607"</definedName>
    <definedName function="false" hidden="true" name="IQ_TOTAL_RECOV_RESOURCES_ZINC" vbProcedure="false">"c9342"</definedName>
    <definedName function="false" hidden="true" name="IQ_TOTAL_RENTAL_REVENUE" vbProcedure="false">"c16022"</definedName>
    <definedName function="false" hidden="true" name="IQ_TOTAL_RESOURCES_CALORIFIC_VALUE_COAL" vbProcedure="false">"c9810"</definedName>
    <definedName function="false" hidden="true" name="IQ_TOTAL_RESOURCES_CALORIFIC_VALUE_MET_COAL" vbProcedure="false">"c9750"</definedName>
    <definedName function="false" hidden="true" name="IQ_TOTAL_RESOURCES_CALORIFIC_VALUE_STEAM" vbProcedure="false">"c9780"</definedName>
    <definedName function="false" hidden="true" name="IQ_TOTAL_RESOURCES_GRADE_ALUM" vbProcedure="false">"c9231"</definedName>
    <definedName function="false" hidden="true" name="IQ_TOTAL_RESOURCES_GRADE_COP" vbProcedure="false">"c9175"</definedName>
    <definedName function="false" hidden="true" name="IQ_TOTAL_RESOURCES_GRADE_DIAM" vbProcedure="false">"c9655"</definedName>
    <definedName function="false" hidden="true" name="IQ_TOTAL_RESOURCES_GRADE_GOLD" vbProcedure="false">"c9016"</definedName>
    <definedName function="false" hidden="true" name="IQ_TOTAL_RESOURCES_GRADE_IRON" vbProcedure="false">"c9390"</definedName>
    <definedName function="false" hidden="true" name="IQ_TOTAL_RESOURCES_GRADE_LEAD" vbProcedure="false">"c9443"</definedName>
    <definedName function="false" hidden="true" name="IQ_TOTAL_RESOURCES_GRADE_MANG" vbProcedure="false">"c9496"</definedName>
    <definedName function="false" hidden="true" name="IQ_TOTAL_RESOURCES_GRADE_MOLYB" vbProcedure="false">"c9708"</definedName>
    <definedName function="false" hidden="true" name="IQ_TOTAL_RESOURCES_GRADE_NICK" vbProcedure="false">"c9284"</definedName>
    <definedName function="false" hidden="true" name="IQ_TOTAL_RESOURCES_GRADE_PLAT" vbProcedure="false">"c9122"</definedName>
    <definedName function="false" hidden="true" name="IQ_TOTAL_RESOURCES_GRADE_SILVER" vbProcedure="false">"c9069"</definedName>
    <definedName function="false" hidden="true" name="IQ_TOTAL_RESOURCES_GRADE_TITAN" vbProcedure="false">"c9549"</definedName>
    <definedName function="false" hidden="true" name="IQ_TOTAL_RESOURCES_GRADE_URAN" vbProcedure="false">"c9602"</definedName>
    <definedName function="false" hidden="true" name="IQ_TOTAL_RESOURCES_GRADE_ZINC" vbProcedure="false">"c9337"</definedName>
    <definedName function="false" hidden="true" name="IQ_TOTAL_RETURN_SWAPS_DERIVATIVES_BENEFICIARY_FFIEC" vbProcedure="false">"c13120"</definedName>
    <definedName function="false" hidden="true" name="IQ_TOTAL_RETURN_SWAPS_DERIVATIVES_GUARANTOR_FFIEC" vbProcedure="false">"c13113"</definedName>
    <definedName function="false" hidden="true" name="IQ_TOTAL_REV" vbProcedure="false">"c1294"</definedName>
    <definedName function="false" hidden="true" name="IQ_TOTAL_REVENUE" vbProcedure="false">"c1436"</definedName>
    <definedName function="false" hidden="true" name="IQ_TOTAL_REVENUE_FFIEC" vbProcedure="false">"c13020"</definedName>
    <definedName function="false" hidden="true" name="IQ_TOTAL_REVENUE_FOREIGN_FFIEC" vbProcedure="false">"c15383"</definedName>
    <definedName function="false" hidden="true" name="IQ_TOTAL_REV_10YR_ANN_CAGR" vbProcedure="false">"c6150"</definedName>
    <definedName function="false" hidden="true" name="IQ_TOTAL_REV_10YR_ANN_GROWTH" vbProcedure="false">"c1295"</definedName>
    <definedName function="false" hidden="true" name="IQ_TOTAL_REV_1YR_ANN_GROWTH" vbProcedure="false">"c1296"</definedName>
    <definedName function="false" hidden="true" name="IQ_TOTAL_REV_2YR_ANN_CAGR" vbProcedure="false">"c6151"</definedName>
    <definedName function="false" hidden="true" name="IQ_TOTAL_REV_2YR_ANN_GROWTH" vbProcedure="false">"c1297"</definedName>
    <definedName function="false" hidden="true" name="IQ_TOTAL_REV_3YR_ANN_CAGR" vbProcedure="false">"c6152"</definedName>
    <definedName function="false" hidden="true" name="IQ_TOTAL_REV_3YR_ANN_GROWTH" vbProcedure="false">"c1298"</definedName>
    <definedName function="false" hidden="true" name="IQ_TOTAL_REV_5YR_ANN_CAGR" vbProcedure="false">"c6153"</definedName>
    <definedName function="false" hidden="true" name="IQ_TOTAL_REV_5YR_ANN_GROWTH" vbProcedure="false">"c1299"</definedName>
    <definedName function="false" hidden="true" name="IQ_TOTAL_REV_7YR_ANN_CAGR" vbProcedure="false">"c6154"</definedName>
    <definedName function="false" hidden="true" name="IQ_TOTAL_REV_7YR_ANN_GROWTH" vbProcedure="false">"c1300"</definedName>
    <definedName function="false" hidden="true" name="IQ_TOTAL_REV_AS_REPORTED" vbProcedure="false">"c1301"</definedName>
    <definedName function="false" hidden="true" name="IQ_TOTAL_REV_BNK" vbProcedure="false">"c1302"</definedName>
    <definedName function="false" hidden="true" name="IQ_TOTAL_REV_BNK_FDIC" vbProcedure="false">"c6786"</definedName>
    <definedName function="false" hidden="true" name="IQ_TOTAL_REV_BR" vbProcedure="false">"c1303"</definedName>
    <definedName function="false" hidden="true" name="IQ_TOTAL_REV_EMPLOYEE" vbProcedure="false">"c1304"</definedName>
    <definedName function="false" hidden="true" name="IQ_TOTAL_REV_FIN" vbProcedure="false">"c1305"</definedName>
    <definedName function="false" hidden="true" name="IQ_TOTAL_REV_INS" vbProcedure="false">"c1306"</definedName>
    <definedName function="false" hidden="true" name="IQ_TOTAL_REV_RE" vbProcedure="false">"c6275"</definedName>
    <definedName function="false" hidden="true" name="IQ_TOTAL_REV_REIT" vbProcedure="false">"c1307"</definedName>
    <definedName function="false" hidden="true" name="IQ_TOTAL_REV_SHARE" vbProcedure="false">"c1912"</definedName>
    <definedName function="false" hidden="true" name="IQ_TOTAL_REV_SUBTOTAL_AP" vbProcedure="false">"c8975"</definedName>
    <definedName function="false" hidden="true" name="IQ_TOTAL_REV_UTI" vbProcedure="false">"c1308"</definedName>
    <definedName function="false" hidden="true" name="IQ_TOTAL_RE_LOANS_TOTAL_LOANS" vbProcedure="false">"c15715"</definedName>
    <definedName function="false" hidden="true" name="IQ_TOTAL_RE_NOI_AVG_GROSS_PROP" vbProcedure="false">"c16059"</definedName>
    <definedName function="false" hidden="true" name="IQ_TOTAL_RISK_BASED_CAPITAL_FFIEC" vbProcedure="false">"c13153"</definedName>
    <definedName function="false" hidden="true" name="IQ_TOTAL_RISK_BASED_CAPITAL_RATIO_FDIC" vbProcedure="false">"c6747"</definedName>
    <definedName function="false" hidden="true" name="IQ_TOTAL_RISK_BASED_CAPITAL_RATIO_FFIEC" vbProcedure="false">"c13162"</definedName>
    <definedName function="false" hidden="true" name="IQ_TOTAL_RISK_WEIGHTED_ASSETS_FFIEC" vbProcedure="false">"c13858"</definedName>
    <definedName function="false" hidden="true" name="IQ_TOTAL_ROOMS" vbProcedure="false">"c8789"</definedName>
    <definedName function="false" hidden="true" name="IQ_TOTAL_SECURITIES_FDIC" vbProcedure="false">"c6306"</definedName>
    <definedName function="false" hidden="true" name="IQ_TOTAL_SPECIAL" vbProcedure="false">"c1618"</definedName>
    <definedName function="false" hidden="true" name="IQ_TOTAL_SQ_FT" vbProcedure="false">"c8781"</definedName>
    <definedName function="false" hidden="true" name="IQ_TOTAL_ST_BORROW" vbProcedure="false">"c1424"</definedName>
    <definedName function="false" hidden="true" name="IQ_TOTAL_SUBS" vbProcedure="false">"c2119"</definedName>
    <definedName function="false" hidden="true" name="IQ_TOTAL_SUB_DEBT" vbProcedure="false">"c2528"</definedName>
    <definedName function="false" hidden="true" name="IQ_TOTAL_SUB_DEBT_EBITDA" vbProcedure="false">"c2554"</definedName>
    <definedName function="false" hidden="true" name="IQ_TOTAL_SUB_DEBT_EBITDA_CAPEX" vbProcedure="false">"c2555"</definedName>
    <definedName function="false" hidden="true" name="IQ_TOTAL_SUB_DEBT_PCT" vbProcedure="false">"c2529"</definedName>
    <definedName function="false" hidden="true" name="IQ_TOTAL_TIME_DEPOSITS_FDIC" vbProcedure="false">"c6497"</definedName>
    <definedName function="false" hidden="true" name="IQ_TOTAL_TIME_LESS_100000_1_TO_3_YEARS_FFIEC" vbProcedure="false">"c15335"</definedName>
    <definedName function="false" hidden="true" name="IQ_TOTAL_TIME_LESS_100000_3_MONTHS_LESS_FFIEC" vbProcedure="false">"c15333"</definedName>
    <definedName function="false" hidden="true" name="IQ_TOTAL_TIME_LESS_100000_3_TO_12_MONTHS_FFIEC" vbProcedure="false">"c15334"</definedName>
    <definedName function="false" hidden="true" name="IQ_TOTAL_TIME_LESS_100000_FFIEC" vbProcedure="false">"c15332"</definedName>
    <definedName function="false" hidden="true" name="IQ_TOTAL_TIME_LESS_100000_OVER_3_YEARS_FFIEC" vbProcedure="false">"c15336"</definedName>
    <definedName function="false" hidden="true" name="IQ_TOTAL_TIME_MORE_100000_1_TO_3_YEARS_FFIEC" vbProcedure="false">"c15340"</definedName>
    <definedName function="false" hidden="true" name="IQ_TOTAL_TIME_MORE_100000_3_MONTHS_LESS_FFIEC" vbProcedure="false">"c15338"</definedName>
    <definedName function="false" hidden="true" name="IQ_TOTAL_TIME_MORE_100000_3_TO_12_MONTHS_FFIEC" vbProcedure="false">"c15339"</definedName>
    <definedName function="false" hidden="true" name="IQ_TOTAL_TIME_MORE_100000_FFIEC" vbProcedure="false">"c15337"</definedName>
    <definedName function="false" hidden="true" name="IQ_TOTAL_TIME_MORE_100000_OVER_3_YEARS_FFIEC" vbProcedure="false">"c15341"</definedName>
    <definedName function="false" hidden="true" name="IQ_TOTAL_TIME_SAVINGS_DEPOSITS_FDIC" vbProcedure="false">"c6498"</definedName>
    <definedName function="false" hidden="true" name="IQ_TOTAL_TRADING_ASSETS_FFIEC" vbProcedure="false">"c12939"</definedName>
    <definedName function="false" hidden="true" name="IQ_TOTAL_TRADING_LIAB_DOM_FFIEC" vbProcedure="false">"c12944"</definedName>
    <definedName function="false" hidden="true" name="IQ_TOTAL_TRADING_LIAB_FOREIGN_FFIEC" vbProcedure="false">"c15296"</definedName>
    <definedName function="false" hidden="true" name="IQ_TOTAL_TRANS_ACCTS_FFIEC" vbProcedure="false">"c15321"</definedName>
    <definedName function="false" hidden="true" name="IQ_TOTAL_UNITS" vbProcedure="false">"c8773"</definedName>
    <definedName function="false" hidden="true" name="IQ_TOTAL_UNUSED_COMMITMENTS_FDIC" vbProcedure="false">"c6536"</definedName>
    <definedName function="false" hidden="true" name="IQ_TOTAL_UNUSUAL" vbProcedure="false">"c1508"</definedName>
    <definedName function="false" hidden="true" name="IQ_TOTAL_UNUSUAL_BNK" vbProcedure="false">"c5516"</definedName>
    <definedName function="false" hidden="true" name="IQ_TOTAL_UNUSUAL_BR" vbProcedure="false">"c5517"</definedName>
    <definedName function="false" hidden="true" name="IQ_TOTAL_UNUSUAL_FIN" vbProcedure="false">"c5518"</definedName>
    <definedName function="false" hidden="true" name="IQ_TOTAL_UNUSUAL_INS" vbProcedure="false">"c5519"</definedName>
    <definedName function="false" hidden="true" name="IQ_TOTAL_UNUSUAL_RE" vbProcedure="false">"c6286"</definedName>
    <definedName function="false" hidden="true" name="IQ_TOTAL_UNUSUAL_REIT" vbProcedure="false">"c5520"</definedName>
    <definedName function="false" hidden="true" name="IQ_TOTAL_UNUSUAL_SUPPLE" vbProcedure="false">"c13817"</definedName>
    <definedName function="false" hidden="true" name="IQ_TOTAL_UNUSUAL_UTI" vbProcedure="false">"c5521"</definedName>
    <definedName function="false" hidden="true" name="IQ_TOTAL_WARRANTS_BEG_OS" vbProcedure="false">"c2719"</definedName>
    <definedName function="false" hidden="true" name="IQ_TOTAL_WARRANTS_CANCELLED" vbProcedure="false">"c2722"</definedName>
    <definedName function="false" hidden="true" name="IQ_TOTAL_WARRANTS_END_OS" vbProcedure="false">"c2723"</definedName>
    <definedName function="false" hidden="true" name="IQ_TOTAL_WARRANTS_EXERCISED" vbProcedure="false">"c2721"</definedName>
    <definedName function="false" hidden="true" name="IQ_TOTAL_WARRANTS_ISSUED" vbProcedure="false">"c2720"</definedName>
    <definedName function="false" hidden="true" name="IQ_TOT_1_4_FAM_LOANS_TOT_LOANS_FFIEC" vbProcedure="false">"c13868"</definedName>
    <definedName function="false" hidden="true" name="IQ_TOT_ADJ_INC" vbProcedure="false">"c1616"</definedName>
    <definedName function="false" hidden="true" name="IQ_TOT_LEASES_TOT_LOANS_FFIEC" vbProcedure="false">"c13876"</definedName>
    <definedName function="false" hidden="true" name="IQ_TOT_NONTRANS_ACCTS_TOT_DEPOSITS_FFIEC" vbProcedure="false">"c13909"</definedName>
    <definedName function="false" hidden="true" name="IQ_TOT_NON_RE_LOANS_TOT_LOANS_FFIEC" vbProcedure="false">"c13877"</definedName>
    <definedName function="false" hidden="true" name="IQ_TOT_RE_LOANS_TOT_LOANS_FFIEC" vbProcedure="false">"c13873"</definedName>
    <definedName function="false" hidden="true" name="IQ_TOT_TIME_DEPOSITS_TOT_DEPOSITS_FFIEC" vbProcedure="false">"c13908"</definedName>
    <definedName function="false" hidden="true" name="IQ_TRADE_AR" vbProcedure="false">"c1345"</definedName>
    <definedName function="false" hidden="true" name="IQ_TRADE_PRINCIPAL" vbProcedure="false">"c1309"</definedName>
    <definedName function="false" hidden="true" name="IQ_TRADING_ACCOUNT_GAINS_FEES_FDIC" vbProcedure="false">"c6573"</definedName>
    <definedName function="false" hidden="true" name="IQ_TRADING_ASSETS" vbProcedure="false">"c1310"</definedName>
    <definedName function="false" hidden="true" name="IQ_TRADING_ASSETS_FAIR_VALUE_TOT_FFIEC" vbProcedure="false">"c13210"</definedName>
    <definedName function="false" hidden="true" name="IQ_TRADING_ASSETS_FDIC" vbProcedure="false">"c6328"</definedName>
    <definedName function="false" hidden="true" name="IQ_TRADING_ASSETS_FFIEC" vbProcedure="false">"c12812"</definedName>
    <definedName function="false" hidden="true" name="IQ_TRADING_ASSETS_FOREIGN_FFIEC" vbProcedure="false">"c12940"</definedName>
    <definedName function="false" hidden="true" name="IQ_TRADING_ASSETS_LEVEL_1_FFIEC" vbProcedure="false">"c13218"</definedName>
    <definedName function="false" hidden="true" name="IQ_TRADING_ASSETS_LEVEL_2_FFIEC" vbProcedure="false">"c13226"</definedName>
    <definedName function="false" hidden="true" name="IQ_TRADING_ASSETS_LEVEL_3_FFIEC" vbProcedure="false">"c13234"</definedName>
    <definedName function="false" hidden="true" name="IQ_TRADING_ASSETS_QUARTERLY_AVG_FFIEC" vbProcedure="false">"c13085"</definedName>
    <definedName function="false" hidden="true" name="IQ_TRADING_CURRENCY" vbProcedure="false">"c2212"</definedName>
    <definedName function="false" hidden="true" name="IQ_TRADING_ITEM_CIQID" vbProcedure="false">"c8949"</definedName>
    <definedName function="false" hidden="true" name="IQ_TRADING_LIABILITIES_FAIR_VALUE_TOT_FFIEC" vbProcedure="false">"c13214"</definedName>
    <definedName function="false" hidden="true" name="IQ_TRADING_LIABILITIES_FDIC" vbProcedure="false">"c6344"</definedName>
    <definedName function="false" hidden="true" name="IQ_TRADING_LIABILITIES_FFIEC" vbProcedure="false">"c12858"</definedName>
    <definedName function="false" hidden="true" name="IQ_TRADING_LIABILITIES_LEVEL_1_FFIEC" vbProcedure="false">"c13222"</definedName>
    <definedName function="false" hidden="true" name="IQ_TRADING_LIABILITIES_LEVEL_2_FFIEC" vbProcedure="false">"c13230"</definedName>
    <definedName function="false" hidden="true" name="IQ_TRADING_LIABILITIES_LEVEL_3_FFIEC" vbProcedure="false">"c13238"</definedName>
    <definedName function="false" hidden="true" name="IQ_TRADING_REVENUE_FFIEC" vbProcedure="false">"c13004"</definedName>
    <definedName function="false" hidden="true" name="IQ_TRADING_REV_FOREIGN_FFIEC" vbProcedure="false">"c15377"</definedName>
    <definedName function="false" hidden="true" name="IQ_TRADING_REV_OPERATING_INC_FFIEC" vbProcedure="false">"c13385"</definedName>
    <definedName function="false" hidden="true" name="IQ_TRANSACTION_ACCOUNTS_FDIC" vbProcedure="false">"c6544"</definedName>
    <definedName function="false" hidden="true" name="IQ_TRANSACTION_LIST" vbProcedure="false">"c15126"</definedName>
    <definedName function="false" hidden="true" name="IQ_TRANSACTION_LIST_BANKRUPTCY" vbProcedure="false">"c15131"</definedName>
    <definedName function="false" hidden="true" name="IQ_TRANSACTION_LIST_BUYBACK" vbProcedure="false">"c15129"</definedName>
    <definedName function="false" hidden="true" name="IQ_TRANSACTION_LIST_INCL_SUBS" vbProcedure="false">"c15132"</definedName>
    <definedName function="false" hidden="true" name="IQ_TRANSACTION_LIST_INCL_SUBS_BANKRUPTCY" vbProcedure="false">"c15137"</definedName>
    <definedName function="false" hidden="true" name="IQ_TRANSACTION_LIST_INCL_SUBS_BUYBACK" vbProcedure="false">"c15135"</definedName>
    <definedName function="false" hidden="true" name="IQ_TRANSACTION_LIST_INCL_SUBS_MA" vbProcedure="false">"c15133"</definedName>
    <definedName function="false" hidden="true" name="IQ_TRANSACTION_LIST_INCL_SUBS_PO" vbProcedure="false">"c15136"</definedName>
    <definedName function="false" hidden="true" name="IQ_TRANSACTION_LIST_INCL_SUBS_PP" vbProcedure="false">"c15134"</definedName>
    <definedName function="false" hidden="true" name="IQ_TRANSACTION_LIST_MA" vbProcedure="false">"c15127"</definedName>
    <definedName function="false" hidden="true" name="IQ_TRANSACTION_LIST_PO" vbProcedure="false">"c15130"</definedName>
    <definedName function="false" hidden="true" name="IQ_TRANSACTION_LIST_PP" vbProcedure="false">"c15128"</definedName>
    <definedName function="false" hidden="true" name="IQ_TRANS_ACCTS_TOT_DEPOSITS_FFIEC" vbProcedure="false">"c13904"</definedName>
    <definedName function="false" hidden="true" name="IQ_TRANS_IMPACT_FIN_48_CURRENT_ASSETS" vbProcedure="false">"c15727"</definedName>
    <definedName function="false" hidden="true" name="IQ_TRANS_IMPACT_FIN_48_CURRENT_LIABILITIES" vbProcedure="false">"c15729"</definedName>
    <definedName function="false" hidden="true" name="IQ_TRANS_IMPACT_FIN_48_LT_ASSETS" vbProcedure="false">"c15728"</definedName>
    <definedName function="false" hidden="true" name="IQ_TRANS_IMPACT_FIN_48_NON_CURRENT_LIABILITIES" vbProcedure="false">"c15730"</definedName>
    <definedName function="false" hidden="true" name="IQ_TRANS_IMPACT_FIN_48_RETAINED_EARNINGS" vbProcedure="false">"c15731"</definedName>
    <definedName function="false" hidden="true" name="IQ_TREASURER_ID" vbProcedure="false">"c15214"</definedName>
    <definedName function="false" hidden="true" name="IQ_TREASURER_NAME" vbProcedure="false">"c15213"</definedName>
    <definedName function="false" hidden="true" name="IQ_TREASURY" vbProcedure="false">"c1311"</definedName>
    <definedName function="false" hidden="true" name="IQ_TREASURY_INVEST_SECURITIES_FFIEC" vbProcedure="false">"c13457"</definedName>
    <definedName function="false" hidden="true" name="IQ_TREASURY_OTHER_EQUITY" vbProcedure="false">"c1312"</definedName>
    <definedName function="false" hidden="true" name="IQ_TREASURY_OTHER_EQUITY_BNK" vbProcedure="false">"c1313"</definedName>
    <definedName function="false" hidden="true" name="IQ_TREASURY_OTHER_EQUITY_BR" vbProcedure="false">"c1314"</definedName>
    <definedName function="false" hidden="true" name="IQ_TREASURY_OTHER_EQUITY_FIN" vbProcedure="false">"c1315"</definedName>
    <definedName function="false" hidden="true" name="IQ_TREASURY_OTHER_EQUITY_INS" vbProcedure="false">"c1316"</definedName>
    <definedName function="false" hidden="true" name="IQ_TREASURY_OTHER_EQUITY_RE" vbProcedure="false">"c6276"</definedName>
    <definedName function="false" hidden="true" name="IQ_TREASURY_OTHER_EQUITY_REIT" vbProcedure="false">"c1317"</definedName>
    <definedName function="false" hidden="true" name="IQ_TREASURY_OTHER_EQUITY_UTI" vbProcedure="false">"c1318"</definedName>
    <definedName function="false" hidden="true" name="IQ_TREASURY_STOCK" vbProcedure="false">"c1438"</definedName>
    <definedName function="false" hidden="true" name="IQ_TREASURY_STOCK_TRANSACTIONS_FDIC" vbProcedure="false">"c6501"</definedName>
    <definedName function="false" hidden="true" name="IQ_TREASURY_STOCK_TRANSACTIONS_FFIEC" vbProcedure="false">"c15352"</definedName>
    <definedName function="false" hidden="true" name="IQ_TRUCK_ASSEMBLIES" vbProcedure="false">"c7021"</definedName>
    <definedName function="false" hidden="true" name="IQ_TRUCK_ASSEMBLIES_APR" vbProcedure="false">"c7681"</definedName>
    <definedName function="false" hidden="true" name="IQ_TRUCK_ASSEMBLIES_APR_FC" vbProcedure="false">"c8561"</definedName>
    <definedName function="false" hidden="true" name="IQ_TRUCK_ASSEMBLIES_FC" vbProcedure="false">"c7901"</definedName>
    <definedName function="false" hidden="true" name="IQ_TRUCK_ASSEMBLIES_POP" vbProcedure="false">"c7241"</definedName>
    <definedName function="false" hidden="true" name="IQ_TRUCK_ASSEMBLIES_POP_FC" vbProcedure="false">"c8121"</definedName>
    <definedName function="false" hidden="true" name="IQ_TRUCK_ASSEMBLIES_YOY" vbProcedure="false">"c7461"</definedName>
    <definedName function="false" hidden="true" name="IQ_TRUCK_ASSEMBLIES_YOY_FC" vbProcedure="false">"c8341"</definedName>
    <definedName function="false" hidden="true" name="IQ_TRUSTEE" vbProcedure="false">"c8959"</definedName>
    <definedName function="false" hidden="true" name="IQ_TRUST_INC" vbProcedure="false">"c1319"</definedName>
    <definedName function="false" hidden="true" name="IQ_TRUST_PREF" vbProcedure="false">"c1320"</definedName>
    <definedName function="false" hidden="true" name="IQ_TRUST_PREFERRED" vbProcedure="false">"c3029"</definedName>
    <definedName function="false" hidden="true" name="IQ_TRUST_PREFERRED_PCT" vbProcedure="false">"c3030"</definedName>
    <definedName function="false" hidden="true" name="IQ_TR_ACCT_METHOD" vbProcedure="false">"c2363"</definedName>
    <definedName function="false" hidden="true" name="IQ_TR_ACQ_52_WK_HI_PCT" vbProcedure="false">"c2348"</definedName>
    <definedName function="false" hidden="true" name="IQ_TR_ACQ_52_WK_LOW_PCT" vbProcedure="false">"c2347"</definedName>
    <definedName function="false" hidden="true" name="IQ_TR_ACQ_CASH_ST_INVEST" vbProcedure="false">"c2372"</definedName>
    <definedName function="false" hidden="true" name="IQ_TR_ACQ_CLOSEPRICE_1D" vbProcedure="false">"c3027"</definedName>
    <definedName function="false" hidden="true" name="IQ_TR_ACQ_DILUT_EPS_EXCL" vbProcedure="false">"c3028"</definedName>
    <definedName function="false" hidden="true" name="IQ_TR_ACQ_EARNING_CO" vbProcedure="false">"c2379"</definedName>
    <definedName function="false" hidden="true" name="IQ_TR_ACQ_EBIT" vbProcedure="false">"c2380"</definedName>
    <definedName function="false" hidden="true" name="IQ_TR_ACQ_EBITDA" vbProcedure="false">"c2381"</definedName>
    <definedName function="false" hidden="true" name="IQ_TR_ACQ_EBITDA_EQ_INC" vbProcedure="false">"c3610"</definedName>
    <definedName function="false" hidden="true" name="IQ_TR_ACQ_EBIT_EQ_INC" vbProcedure="false">"c3611"</definedName>
    <definedName function="false" hidden="true" name="IQ_TR_ACQ_FILINGDATE" vbProcedure="false">"c3607"</definedName>
    <definedName function="false" hidden="true" name="IQ_TR_ACQ_FILING_CURRENCY" vbProcedure="false">"c3033"</definedName>
    <definedName function="false" hidden="true" name="IQ_TR_ACQ_MCAP_1DAY" vbProcedure="false">"c2345"</definedName>
    <definedName function="false" hidden="true" name="IQ_TR_ACQ_MIN_INT" vbProcedure="false">"c2374"</definedName>
    <definedName function="false" hidden="true" name="IQ_TR_ACQ_NET_DEBT" vbProcedure="false">"c2373"</definedName>
    <definedName function="false" hidden="true" name="IQ_TR_ACQ_NI" vbProcedure="false">"c2378"</definedName>
    <definedName function="false" hidden="true" name="IQ_TR_ACQ_PERIODDATE" vbProcedure="false">"c3606"</definedName>
    <definedName function="false" hidden="true" name="IQ_TR_ACQ_PRICEDATE_1D" vbProcedure="false">"c2346"</definedName>
    <definedName function="false" hidden="true" name="IQ_TR_ACQ_RETURN" vbProcedure="false">"c2349"</definedName>
    <definedName function="false" hidden="true" name="IQ_TR_ACQ_STOCKYEARHIGH_1D" vbProcedure="false">"c2343"</definedName>
    <definedName function="false" hidden="true" name="IQ_TR_ACQ_STOCKYEARLOW_1D" vbProcedure="false">"c2344"</definedName>
    <definedName function="false" hidden="true" name="IQ_TR_ACQ_TOTAL_ASSETS" vbProcedure="false">"c2371"</definedName>
    <definedName function="false" hidden="true" name="IQ_TR_ACQ_TOTAL_COMMON_EQ" vbProcedure="false">"c2377"</definedName>
    <definedName function="false" hidden="true" name="IQ_TR_ACQ_TOTAL_DEBT" vbProcedure="false">"c2376"</definedName>
    <definedName function="false" hidden="true" name="IQ_TR_ACQ_TOTAL_PREF" vbProcedure="false">"c2375"</definedName>
    <definedName function="false" hidden="true" name="IQ_TR_ACQ_TOTAL_REV" vbProcedure="false">"c2382"</definedName>
    <definedName function="false" hidden="true" name="IQ_TR_ADJ_SIZE" vbProcedure="false">"c3024"</definedName>
    <definedName function="false" hidden="true" name="IQ_TR_ANN_DATE" vbProcedure="false">"c2395"</definedName>
    <definedName function="false" hidden="true" name="IQ_TR_ANN_DATE_BL" vbProcedure="false">"c2394"</definedName>
    <definedName function="false" hidden="true" name="IQ_TR_BID_DATE" vbProcedure="false">"c2357"</definedName>
    <definedName function="false" hidden="true" name="IQ_TR_BLUESKY_FEES" vbProcedure="false">"c2277"</definedName>
    <definedName function="false" hidden="true" name="IQ_TR_BUYBACK_TO_CLOSE" vbProcedure="false">"c13919"</definedName>
    <definedName function="false" hidden="true" name="IQ_TR_BUYBACK_TO_HIGH" vbProcedure="false">"c13917"</definedName>
    <definedName function="false" hidden="true" name="IQ_TR_BUYBACK_TO_LOW" vbProcedure="false">"c13918"</definedName>
    <definedName function="false" hidden="true" name="IQ_TR_BUYERNAME" vbProcedure="false">"c2401"</definedName>
    <definedName function="false" hidden="true" name="IQ_TR_BUYER_ID" vbProcedure="false">"c2404"</definedName>
    <definedName function="false" hidden="true" name="IQ_TR_BUY_ACC_ADVISORS" vbProcedure="false">"c3048"</definedName>
    <definedName function="false" hidden="true" name="IQ_TR_BUY_FIN_ADVISORS" vbProcedure="false">"c3045"</definedName>
    <definedName function="false" hidden="true" name="IQ_TR_BUY_LEG_ADVISORS" vbProcedure="false">"c2387"</definedName>
    <definedName function="false" hidden="true" name="IQ_TR_BUY_TERM_FEE" vbProcedure="false">"c13638"</definedName>
    <definedName function="false" hidden="true" name="IQ_TR_BUY_TERM_FEE_PCT" vbProcedure="false">"c13639"</definedName>
    <definedName function="false" hidden="true" name="IQ_TR_CANCELLED_DATE" vbProcedure="false">"c2284"</definedName>
    <definedName function="false" hidden="true" name="IQ_TR_CASH_CONSID_PCT" vbProcedure="false">"c2296"</definedName>
    <definedName function="false" hidden="true" name="IQ_TR_CASH_ST_INVEST" vbProcedure="false">"c3025"</definedName>
    <definedName function="false" hidden="true" name="IQ_TR_CHANGE_CONTROL" vbProcedure="false">"c2365"</definedName>
    <definedName function="false" hidden="true" name="IQ_TR_CLOSED_DATE" vbProcedure="false">"c2283"</definedName>
    <definedName function="false" hidden="true" name="IQ_TR_COMMENTS" vbProcedure="false">"c2383"</definedName>
    <definedName function="false" hidden="true" name="IQ_TR_CO_NET_PROCEEDS" vbProcedure="false">"c2268"</definedName>
    <definedName function="false" hidden="true" name="IQ_TR_CO_NET_PROCEEDS_PCT" vbProcedure="false">"c2270"</definedName>
    <definedName function="false" hidden="true" name="IQ_TR_CURRENCY" vbProcedure="false">"c3016"</definedName>
    <definedName function="false" hidden="true" name="IQ_TR_DEAL_APPROACH" vbProcedure="false">"c12706"</definedName>
    <definedName function="false" hidden="true" name="IQ_TR_DEAL_ATTITUDE" vbProcedure="false">"c2364"</definedName>
    <definedName function="false" hidden="true" name="IQ_TR_DEAL_CONDITIONS" vbProcedure="false">"c2367"</definedName>
    <definedName function="false" hidden="true" name="IQ_TR_DEAL_RESOLUTION" vbProcedure="false">"c2391"</definedName>
    <definedName function="false" hidden="true" name="IQ_TR_DEAL_RESPONSES" vbProcedure="false">"c2366"</definedName>
    <definedName function="false" hidden="true" name="IQ_TR_DEBT_CONSID_PCT" vbProcedure="false">"c2299"</definedName>
    <definedName function="false" hidden="true" name="IQ_TR_DEF_AGRMT_DATE" vbProcedure="false">"c2285"</definedName>
    <definedName function="false" hidden="true" name="IQ_TR_DISCLOSED_FEES_EXP" vbProcedure="false">"c2288"</definedName>
    <definedName function="false" hidden="true" name="IQ_TR_EARNOUTS" vbProcedure="false">"c3023"</definedName>
    <definedName function="false" hidden="true" name="IQ_TR_EXPIRED_DATE" vbProcedure="false">"c2412"</definedName>
    <definedName function="false" hidden="true" name="IQ_TR_GROSS_OFFERING_AMT" vbProcedure="false">"c2262"</definedName>
    <definedName function="false" hidden="true" name="IQ_TR_HYBRID_CONSID_PCT" vbProcedure="false">"c2300"</definedName>
    <definedName function="false" hidden="true" name="IQ_TR_IMPLIED_EQ" vbProcedure="false">"c3018"</definedName>
    <definedName function="false" hidden="true" name="IQ_TR_IMPLIED_EQ_BV" vbProcedure="false">"c3019"</definedName>
    <definedName function="false" hidden="true" name="IQ_TR_IMPLIED_EQ_NI_LTM" vbProcedure="false">"c3020"</definedName>
    <definedName function="false" hidden="true" name="IQ_TR_IMPLIED_EV" vbProcedure="false">"c2301"</definedName>
    <definedName function="false" hidden="true" name="IQ_TR_IMPLIED_EV_BV" vbProcedure="false">"c2306"</definedName>
    <definedName function="false" hidden="true" name="IQ_TR_IMPLIED_EV_EBIT" vbProcedure="false">"c2302"</definedName>
    <definedName function="false" hidden="true" name="IQ_TR_IMPLIED_EV_EBITDA" vbProcedure="false">"c2303"</definedName>
    <definedName function="false" hidden="true" name="IQ_TR_IMPLIED_EV_NI_LTM" vbProcedure="false">"c2307"</definedName>
    <definedName function="false" hidden="true" name="IQ_TR_IMPLIED_EV_REV" vbProcedure="false">"c2304"</definedName>
    <definedName function="false" hidden="true" name="IQ_TR_INIT_FILED_DATE" vbProcedure="false">"c3495"</definedName>
    <definedName function="false" hidden="true" name="IQ_TR_LOI_DATE" vbProcedure="false">"c2282"</definedName>
    <definedName function="false" hidden="true" name="IQ_TR_MAJ_MIN_STAKE" vbProcedure="false">"c2389"</definedName>
    <definedName function="false" hidden="true" name="IQ_TR_NEGOTIATED_BUYBACK_PRICE" vbProcedure="false">"c2414"</definedName>
    <definedName function="false" hidden="true" name="IQ_TR_NET_ASSUM_LIABILITIES" vbProcedure="false">"c2308"</definedName>
    <definedName function="false" hidden="true" name="IQ_TR_NET_PROCEEDS" vbProcedure="false">"c2267"</definedName>
    <definedName function="false" hidden="true" name="IQ_TR_OFFER_DATE" vbProcedure="false">"c2265"</definedName>
    <definedName function="false" hidden="true" name="IQ_TR_OFFER_DATE_MA" vbProcedure="false">"c3035"</definedName>
    <definedName function="false" hidden="true" name="IQ_TR_OFFER_PER_SHARE" vbProcedure="false">"c3017"</definedName>
    <definedName function="false" hidden="true" name="IQ_TR_OPTIONS_CONSID_PCT" vbProcedure="false">"c2311"</definedName>
    <definedName function="false" hidden="true" name="IQ_TR_OTHER_CONSID" vbProcedure="false">"c3022"</definedName>
    <definedName function="false" hidden="true" name="IQ_TR_PCT_SOUGHT" vbProcedure="false">"c2309"</definedName>
    <definedName function="false" hidden="true" name="IQ_TR_PFEATURES" vbProcedure="false">"c2384"</definedName>
    <definedName function="false" hidden="true" name="IQ_TR_PIPE_CONV_PRICE_SHARE" vbProcedure="false">"c2292"</definedName>
    <definedName function="false" hidden="true" name="IQ_TR_PIPE_CPN_PCT" vbProcedure="false">"c2291"</definedName>
    <definedName function="false" hidden="true" name="IQ_TR_PIPE_NUMBER_SHARES" vbProcedure="false">"c2293"</definedName>
    <definedName function="false" hidden="true" name="IQ_TR_PIPE_PPS" vbProcedure="false">"c2290"</definedName>
    <definedName function="false" hidden="true" name="IQ_TR_POSTMONEY_VAL" vbProcedure="false">"c2286"</definedName>
    <definedName function="false" hidden="true" name="IQ_TR_PREDEAL_SITUATION" vbProcedure="false">"c2390"</definedName>
    <definedName function="false" hidden="true" name="IQ_TR_PREF_CONSID_PCT" vbProcedure="false">"c2310"</definedName>
    <definedName function="false" hidden="true" name="IQ_TR_PREMONEY_VAL" vbProcedure="false">"c2287"</definedName>
    <definedName function="false" hidden="true" name="IQ_TR_PRINTING_FEES" vbProcedure="false">"c2276"</definedName>
    <definedName function="false" hidden="true" name="IQ_TR_PT_MONETARY_VALUES" vbProcedure="false">"c2415"</definedName>
    <definedName function="false" hidden="true" name="IQ_TR_PT_NUMBER_SHARES" vbProcedure="false">"c2417"</definedName>
    <definedName function="false" hidden="true" name="IQ_TR_PT_OFFER_PER_SHARE" vbProcedure="false">"c18872"</definedName>
    <definedName function="false" hidden="true" name="IQ_TR_PT_PCT_SHARES" vbProcedure="false">"c2416"</definedName>
    <definedName function="false" hidden="true" name="IQ_TR_RATING_FEES" vbProcedure="false">"c2275"</definedName>
    <definedName function="false" hidden="true" name="IQ_TR_REGISTRATION_FEES" vbProcedure="false">"c2274"</definedName>
    <definedName function="false" hidden="true" name="IQ_TR_REG_EFFECT_DATE" vbProcedure="false">"c2264"</definedName>
    <definedName function="false" hidden="true" name="IQ_TR_REG_FILED_DATE" vbProcedure="false">"c2263"</definedName>
    <definedName function="false" hidden="true" name="IQ_TR_RENEWAL_BUYBACK" vbProcedure="false">"c2413"</definedName>
    <definedName function="false" hidden="true" name="IQ_TR_ROUND_NUMBER" vbProcedure="false">"c2295"</definedName>
    <definedName function="false" hidden="true" name="IQ_TR_SECURITY_TYPE_REG" vbProcedure="false">"c2279"</definedName>
    <definedName function="false" hidden="true" name="IQ_TR_SEC_FEES" vbProcedure="false">"c13642"</definedName>
    <definedName function="false" hidden="true" name="IQ_TR_SELLERNAME" vbProcedure="false">"c2402"</definedName>
    <definedName function="false" hidden="true" name="IQ_TR_SELLER_ID" vbProcedure="false">"c2406"</definedName>
    <definedName function="false" hidden="true" name="IQ_TR_SELL_ACC_ADVISORS" vbProcedure="false">"c3049"</definedName>
    <definedName function="false" hidden="true" name="IQ_TR_SELL_FIN_ADVISORS" vbProcedure="false">"c3046"</definedName>
    <definedName function="false" hidden="true" name="IQ_TR_SELL_LEG_ADVISORS" vbProcedure="false">"c2388"</definedName>
    <definedName function="false" hidden="true" name="IQ_TR_SELL_TERM_FEE" vbProcedure="false">"c2298"</definedName>
    <definedName function="false" hidden="true" name="IQ_TR_SELL_TERM_FEE_PCT" vbProcedure="false">"c2297"</definedName>
    <definedName function="false" hidden="true" name="IQ_TR_SFEATURES" vbProcedure="false">"c2385"</definedName>
    <definedName function="false" hidden="true" name="IQ_TR_SH_NET_PROCEEDS" vbProcedure="false">"c2269"</definedName>
    <definedName function="false" hidden="true" name="IQ_TR_SH_NET_PROCEEDS_PCT" vbProcedure="false">"c2271"</definedName>
    <definedName function="false" hidden="true" name="IQ_TR_SPECIAL_COMMITTEE" vbProcedure="false">"c2362"</definedName>
    <definedName function="false" hidden="true" name="IQ_TR_STATUS" vbProcedure="false">"c2399"</definedName>
    <definedName function="false" hidden="true" name="IQ_TR_STOCK_CONSID_PCT" vbProcedure="false">"c2312"</definedName>
    <definedName function="false" hidden="true" name="IQ_TR_SUSPENDED_DATE" vbProcedure="false">"c2407"</definedName>
    <definedName function="false" hidden="true" name="IQ_TR_TARGETNAME" vbProcedure="false">"c2403"</definedName>
    <definedName function="false" hidden="true" name="IQ_TR_TARGET_52WKHI_PCT" vbProcedure="false">"c2351"</definedName>
    <definedName function="false" hidden="true" name="IQ_TR_TARGET_52WKLOW_PCT" vbProcedure="false">"c2350"</definedName>
    <definedName function="false" hidden="true" name="IQ_TR_TARGET_ACC_ADVISORS" vbProcedure="false">"c3047"</definedName>
    <definedName function="false" hidden="true" name="IQ_TR_TARGET_CASH_ST_INVEST" vbProcedure="false">"c2327"</definedName>
    <definedName function="false" hidden="true" name="IQ_TR_TARGET_CLOSEPRICE_1D" vbProcedure="false">"c2352"</definedName>
    <definedName function="false" hidden="true" name="IQ_TR_TARGET_CLOSEPRICE_1M" vbProcedure="false">"c2354"</definedName>
    <definedName function="false" hidden="true" name="IQ_TR_TARGET_CLOSEPRICE_1W" vbProcedure="false">"c2353"</definedName>
    <definedName function="false" hidden="true" name="IQ_TR_TARGET_DILUT_EPS_EXCL" vbProcedure="false">"c2324"</definedName>
    <definedName function="false" hidden="true" name="IQ_TR_TARGET_EARNING_CO" vbProcedure="false">"c2332"</definedName>
    <definedName function="false" hidden="true" name="IQ_TR_TARGET_EBIT" vbProcedure="false">"c2333"</definedName>
    <definedName function="false" hidden="true" name="IQ_TR_TARGET_EBITDA" vbProcedure="false">"c2334"</definedName>
    <definedName function="false" hidden="true" name="IQ_TR_TARGET_EBITDA_EQ_INC" vbProcedure="false">"c3608"</definedName>
    <definedName function="false" hidden="true" name="IQ_TR_TARGET_EBIT_EQ_INC" vbProcedure="false">"c3609"</definedName>
    <definedName function="false" hidden="true" name="IQ_TR_TARGET_FILINGDATE" vbProcedure="false">"c3605"</definedName>
    <definedName function="false" hidden="true" name="IQ_TR_TARGET_FILING_CURRENCY" vbProcedure="false">"c3034"</definedName>
    <definedName function="false" hidden="true" name="IQ_TR_TARGET_FIN_ADVISORS" vbProcedure="false">"c3044"</definedName>
    <definedName function="false" hidden="true" name="IQ_TR_TARGET_ID" vbProcedure="false">"c2405"</definedName>
    <definedName function="false" hidden="true" name="IQ_TR_TARGET_LEG_ADVISORS" vbProcedure="false">"c2386"</definedName>
    <definedName function="false" hidden="true" name="IQ_TR_TARGET_MARKETCAP" vbProcedure="false">"c2342"</definedName>
    <definedName function="false" hidden="true" name="IQ_TR_TARGET_MIN_INT" vbProcedure="false">"c2328"</definedName>
    <definedName function="false" hidden="true" name="IQ_TR_TARGET_NET_DEBT" vbProcedure="false">"c2326"</definedName>
    <definedName function="false" hidden="true" name="IQ_TR_TARGET_NI" vbProcedure="false">"c2331"</definedName>
    <definedName function="false" hidden="true" name="IQ_TR_TARGET_PERIODDATE" vbProcedure="false">"c3604"</definedName>
    <definedName function="false" hidden="true" name="IQ_TR_TARGET_PRICEDATE_1D" vbProcedure="false">"c2341"</definedName>
    <definedName function="false" hidden="true" name="IQ_TR_TARGET_RETURN" vbProcedure="false">"c2355"</definedName>
    <definedName function="false" hidden="true" name="IQ_TR_TARGET_SEC_DETAIL" vbProcedure="false">"c3021"</definedName>
    <definedName function="false" hidden="true" name="IQ_TR_TARGET_SEC_TI_ID" vbProcedure="false">"c2368"</definedName>
    <definedName function="false" hidden="true" name="IQ_TR_TARGET_SEC_TYPE" vbProcedure="false">"c2369"</definedName>
    <definedName function="false" hidden="true" name="IQ_TR_TARGET_SPD" vbProcedure="false">"c2313"</definedName>
    <definedName function="false" hidden="true" name="IQ_TR_TARGET_SPD_PCT" vbProcedure="false">"c2314"</definedName>
    <definedName function="false" hidden="true" name="IQ_TR_TARGET_STOCKPREMIUM_1D" vbProcedure="false">"c2336"</definedName>
    <definedName function="false" hidden="true" name="IQ_TR_TARGET_STOCKPREMIUM_1M" vbProcedure="false">"c2337"</definedName>
    <definedName function="false" hidden="true" name="IQ_TR_TARGET_STOCKPREMIUM_1W" vbProcedure="false">"c2338"</definedName>
    <definedName function="false" hidden="true" name="IQ_TR_TARGET_STOCKYEARHIGH_1D" vbProcedure="false">"c2339"</definedName>
    <definedName function="false" hidden="true" name="IQ_TR_TARGET_STOCKYEARLOW_1D" vbProcedure="false">"c2340"</definedName>
    <definedName function="false" hidden="true" name="IQ_TR_TARGET_TOTAL_ASSETS" vbProcedure="false">"c2325"</definedName>
    <definedName function="false" hidden="true" name="IQ_TR_TARGET_TOTAL_COMMON_EQ" vbProcedure="false">"c2421"</definedName>
    <definedName function="false" hidden="true" name="IQ_TR_TARGET_TOTAL_DEBT" vbProcedure="false">"c2330"</definedName>
    <definedName function="false" hidden="true" name="IQ_TR_TARGET_TOTAL_PREF" vbProcedure="false">"c2329"</definedName>
    <definedName function="false" hidden="true" name="IQ_TR_TARGET_TOTAL_REV" vbProcedure="false">"c2335"</definedName>
    <definedName function="false" hidden="true" name="IQ_TR_TERM_FEE" vbProcedure="false">"c13640"</definedName>
    <definedName function="false" hidden="true" name="IQ_TR_TERM_FEE_PCT" vbProcedure="false">"c13641"</definedName>
    <definedName function="false" hidden="true" name="IQ_TR_TODATE" vbProcedure="false">"c3036"</definedName>
    <definedName function="false" hidden="true" name="IQ_TR_TODATE_MONETARY_VALUE" vbProcedure="false">"c2418"</definedName>
    <definedName function="false" hidden="true" name="IQ_TR_TODATE_NUMBER_SHARES" vbProcedure="false">"c2420"</definedName>
    <definedName function="false" hidden="true" name="IQ_TR_TODATE_PCT_SHARES" vbProcedure="false">"c2419"</definedName>
    <definedName function="false" hidden="true" name="IQ_TR_TOTALVALUE" vbProcedure="false">"c2400"</definedName>
    <definedName function="false" hidden="true" name="IQ_TR_TOTAL_ACCT_FEES" vbProcedure="false">"c2273"</definedName>
    <definedName function="false" hidden="true" name="IQ_TR_TOTAL_CASH" vbProcedure="false">"c2315"</definedName>
    <definedName function="false" hidden="true" name="IQ_TR_TOTAL_CONSID_SH" vbProcedure="false">"c2316"</definedName>
    <definedName function="false" hidden="true" name="IQ_TR_TOTAL_DEBT" vbProcedure="false">"c2317"</definedName>
    <definedName function="false" hidden="true" name="IQ_TR_TOTAL_GROSS_TV" vbProcedure="false">"c2318"</definedName>
    <definedName function="false" hidden="true" name="IQ_TR_TOTAL_HYBRID" vbProcedure="false">"c2319"</definedName>
    <definedName function="false" hidden="true" name="IQ_TR_TOTAL_LEGAL_FEES" vbProcedure="false">"c2272"</definedName>
    <definedName function="false" hidden="true" name="IQ_TR_TOTAL_NET_TV" vbProcedure="false">"c2320"</definedName>
    <definedName function="false" hidden="true" name="IQ_TR_TOTAL_NEWMONEY" vbProcedure="false">"c2289"</definedName>
    <definedName function="false" hidden="true" name="IQ_TR_TOTAL_OPTIONS" vbProcedure="false">"c2322"</definedName>
    <definedName function="false" hidden="true" name="IQ_TR_TOTAL_OPTIONS_BUYER" vbProcedure="false">"c3026"</definedName>
    <definedName function="false" hidden="true" name="IQ_TR_TOTAL_PREFERRED" vbProcedure="false">"c2321"</definedName>
    <definedName function="false" hidden="true" name="IQ_TR_TOTAL_REG_AMT" vbProcedure="false">"c2261"</definedName>
    <definedName function="false" hidden="true" name="IQ_TR_TOTAL_STOCK" vbProcedure="false">"c2323"</definedName>
    <definedName function="false" hidden="true" name="IQ_TR_TOTAL_TAKEDOWNS" vbProcedure="false">"c2278"</definedName>
    <definedName function="false" hidden="true" name="IQ_TR_TOTAL_UW_COMP" vbProcedure="false">"c2280"</definedName>
    <definedName function="false" hidden="true" name="IQ_TR_TRANSACTION_TYPE" vbProcedure="false">"c2398"</definedName>
    <definedName function="false" hidden="true" name="IQ_TR_WITHDRAWN_DTE" vbProcedure="false">"c2266"</definedName>
    <definedName function="false" hidden="true" name="IQ_TWELVE_MONTHS_FIXED_AND_FLOATING_FDIC" vbProcedure="false">"c6420"</definedName>
    <definedName function="false" hidden="true" name="IQ_TWELVE_MONTHS_MORTGAGE_PASS_THROUGHS_FDIC" vbProcedure="false">"c6412"</definedName>
    <definedName function="false" hidden="true" name="IQ_UFCF_10YR_ANN_CAGR" vbProcedure="false">"c6179"</definedName>
    <definedName function="false" hidden="true" name="IQ_UFCF_10YR_ANN_GROWTH" vbProcedure="false">"c1948"</definedName>
    <definedName function="false" hidden="true" name="IQ_UFCF_1YR_ANN_GROWTH" vbProcedure="false">"c1943"</definedName>
    <definedName function="false" hidden="true" name="IQ_UFCF_2YR_ANN_CAGR" vbProcedure="false">"c6175"</definedName>
    <definedName function="false" hidden="true" name="IQ_UFCF_2YR_ANN_GROWTH" vbProcedure="false">"c1944"</definedName>
    <definedName function="false" hidden="true" name="IQ_UFCF_3YR_ANN_CAGR" vbProcedure="false">"c6176"</definedName>
    <definedName function="false" hidden="true" name="IQ_UFCF_3YR_ANN_GROWTH" vbProcedure="false">"c1945"</definedName>
    <definedName function="false" hidden="true" name="IQ_UFCF_5YR_ANN_CAGR" vbProcedure="false">"c6177"</definedName>
    <definedName function="false" hidden="true" name="IQ_UFCF_5YR_ANN_GROWTH" vbProcedure="false">"c1946"</definedName>
    <definedName function="false" hidden="true" name="IQ_UFCF_7YR_ANN_CAGR" vbProcedure="false">"c6178"</definedName>
    <definedName function="false" hidden="true" name="IQ_UFCF_7YR_ANN_GROWTH" vbProcedure="false">"c1947"</definedName>
    <definedName function="false" hidden="true" name="IQ_UFCF_MARGIN" vbProcedure="false">"c1962"</definedName>
    <definedName function="false" hidden="true" name="IQ_ULT_PARENT" vbProcedure="false">"c3037"</definedName>
    <definedName function="false" hidden="true" name="IQ_ULT_PARENT_CIQID" vbProcedure="false">"c3039"</definedName>
    <definedName function="false" hidden="true" name="IQ_ULT_PARENT_TICKER" vbProcedure="false">"c3038"</definedName>
    <definedName function="false" hidden="true" name="IQ_UNAMORT_DISC" vbProcedure="false">"c2513"</definedName>
    <definedName function="false" hidden="true" name="IQ_UNAMORT_DISC_PCT" vbProcedure="false">"c2514"</definedName>
    <definedName function="false" hidden="true" name="IQ_UNAMORT_PREMIUM" vbProcedure="false">"c2511"</definedName>
    <definedName function="false" hidden="true" name="IQ_UNAMORT_PREMIUM_PCT" vbProcedure="false">"c2512"</definedName>
    <definedName function="false" hidden="true" name="IQ_UNASSIGNED_RESERVES_COAL" vbProcedure="false">"c15914"</definedName>
    <definedName function="false" hidden="true" name="IQ_UNASSIGNED_RESERVES_TO_TOTAL_RESERVES_COAL" vbProcedure="false">"c15956"</definedName>
    <definedName function="false" hidden="true" name="IQ_UNCLASSIFIED_PROPERTY_OPERATING_EXPENSE" vbProcedure="false">"c16034"</definedName>
    <definedName function="false" hidden="true" name="IQ_UNCLASSIFIED_RENTAL_INCOME" vbProcedure="false">"c16021"</definedName>
    <definedName function="false" hidden="true" name="IQ_UNCONSOL_BEDS" vbProcedure="false">"c8783"</definedName>
    <definedName function="false" hidden="true" name="IQ_UNCONSOL_NOI" vbProcedure="false">"c16067"</definedName>
    <definedName function="false" hidden="true" name="IQ_UNCONSOL_PROP" vbProcedure="false">"c8762"</definedName>
    <definedName function="false" hidden="true" name="IQ_UNCONSOL_ROOMS" vbProcedure="false">"c8787"</definedName>
    <definedName function="false" hidden="true" name="IQ_UNCONSOL_SQ_FT" vbProcedure="false">"c8778"</definedName>
    <definedName function="false" hidden="true" name="IQ_UNCONSOL_UNITS" vbProcedure="false">"c8770"</definedName>
    <definedName function="false" hidden="true" name="IQ_UNDERGROUND_RESERVES_COAL" vbProcedure="false">"c15922"</definedName>
    <definedName function="false" hidden="true" name="IQ_UNDERGROUND_RESERVES_TO_TOTAL_RESERVES_COAL" vbProcedure="false">"c15960"</definedName>
    <definedName function="false" hidden="true" name="IQ_UNDERWRITER" vbProcedure="false">"c8958"</definedName>
    <definedName function="false" hidden="true" name="IQ_UNDERWRITING_PROFIT" vbProcedure="false">"c9975"</definedName>
    <definedName function="false" hidden="true" name="IQ_UNDIVIDED_PROFITS_FDIC" vbProcedure="false">"c6352"</definedName>
    <definedName function="false" hidden="true" name="IQ_UNDRAWN_CP" vbProcedure="false">"c2518"</definedName>
    <definedName function="false" hidden="true" name="IQ_UNDRAWN_CREDIT" vbProcedure="false">"c3032"</definedName>
    <definedName function="false" hidden="true" name="IQ_UNDRAWN_FED_FUNDS" vbProcedure="false">"c2524"</definedName>
    <definedName function="false" hidden="true" name="IQ_UNDRAWN_FHLB" vbProcedure="false">"c2520"</definedName>
    <definedName function="false" hidden="true" name="IQ_UNDRAWN_LC" vbProcedure="false">"c2521"</definedName>
    <definedName function="false" hidden="true" name="IQ_UNDRAWN_RC" vbProcedure="false">"c2517"</definedName>
    <definedName function="false" hidden="true" name="IQ_UNDRAWN_TL" vbProcedure="false">"c2519"</definedName>
    <definedName function="false" hidden="true" name="IQ_UNEARNED_INCOME_FDIC" vbProcedure="false">"c6324"</definedName>
    <definedName function="false" hidden="true" name="IQ_UNEARNED_INCOME_FOREIGN_FDIC" vbProcedure="false">"c6385"</definedName>
    <definedName function="false" hidden="true" name="IQ_UNEARNED_INCOME_LL_REC_DOM_FFIEC" vbProcedure="false">"c12916"</definedName>
    <definedName function="false" hidden="true" name="IQ_UNEARNED_INCOME_LL_REC_FFIEC" vbProcedure="false">"c12897"</definedName>
    <definedName function="false" hidden="true" name="IQ_UNEARNED_PREMIUMS_PC_FFIEC" vbProcedure="false">"c13101"</definedName>
    <definedName function="false" hidden="true" name="IQ_UNEARN_PREMIUM" vbProcedure="false">"c1321"</definedName>
    <definedName function="false" hidden="true" name="IQ_UNEARN_REV_CURRENT" vbProcedure="false">"c1322"</definedName>
    <definedName function="false" hidden="true" name="IQ_UNEARN_REV_CURRENT_BNK" vbProcedure="false">"c1323"</definedName>
    <definedName function="false" hidden="true" name="IQ_UNEARN_REV_CURRENT_BR" vbProcedure="false">"c1324"</definedName>
    <definedName function="false" hidden="true" name="IQ_UNEARN_REV_CURRENT_FIN" vbProcedure="false">"c1325"</definedName>
    <definedName function="false" hidden="true" name="IQ_UNEARN_REV_CURRENT_INS" vbProcedure="false">"c1326"</definedName>
    <definedName function="false" hidden="true" name="IQ_UNEARN_REV_CURRENT_RE" vbProcedure="false">"c6277"</definedName>
    <definedName function="false" hidden="true" name="IQ_UNEARN_REV_CURRENT_REIT" vbProcedure="false">"c1327"</definedName>
    <definedName function="false" hidden="true" name="IQ_UNEARN_REV_CURRENT_UTI" vbProcedure="false">"c1328"</definedName>
    <definedName function="false" hidden="true" name="IQ_UNEARN_REV_LT" vbProcedure="false">"c1329"</definedName>
    <definedName function="false" hidden="true" name="IQ_UNEMPLOYMENT_RATE" vbProcedure="false">"c7023"</definedName>
    <definedName function="false" hidden="true" name="IQ_UNEMPLOYMENT_RATE_FC" vbProcedure="false">"c7903"</definedName>
    <definedName function="false" hidden="true" name="IQ_UNEMPLOYMENT_RATE_POP" vbProcedure="false">"c7243"</definedName>
    <definedName function="false" hidden="true" name="IQ_UNEMPLOYMENT_RATE_POP_FC" vbProcedure="false">"c8123"</definedName>
    <definedName function="false" hidden="true" name="IQ_UNEMPLOYMENT_RATE_YOY" vbProcedure="false">"c7463"</definedName>
    <definedName function="false" hidden="true" name="IQ_UNEMPLOYMENT_RATE_YOY_FC" vbProcedure="false">"c8343"</definedName>
    <definedName function="false" hidden="true" name="IQ_UNIT_LABOR_COST_INDEX" vbProcedure="false">"c7025"</definedName>
    <definedName function="false" hidden="true" name="IQ_UNIT_LABOR_COST_INDEX_APR" vbProcedure="false">"c7685"</definedName>
    <definedName function="false" hidden="true" name="IQ_UNIT_LABOR_COST_INDEX_APR_FC" vbProcedure="false">"c8565"</definedName>
    <definedName function="false" hidden="true" name="IQ_UNIT_LABOR_COST_INDEX_FC" vbProcedure="false">"c7905"</definedName>
    <definedName function="false" hidden="true" name="IQ_UNIT_LABOR_COST_INDEX_PCT_CHANGE" vbProcedure="false">"c7024"</definedName>
    <definedName function="false" hidden="true" name="IQ_UNIT_LABOR_COST_INDEX_PCT_CHANGE_FC" vbProcedure="false">"c7904"</definedName>
    <definedName function="false" hidden="true" name="IQ_UNIT_LABOR_COST_INDEX_PCT_CHANGE_POP" vbProcedure="false">"c7244"</definedName>
    <definedName function="false" hidden="true" name="IQ_UNIT_LABOR_COST_INDEX_PCT_CHANGE_POP_FC" vbProcedure="false">"c8124"</definedName>
    <definedName function="false" hidden="true" name="IQ_UNIT_LABOR_COST_INDEX_PCT_CHANGE_YOY" vbProcedure="false">"c7464"</definedName>
    <definedName function="false" hidden="true" name="IQ_UNIT_LABOR_COST_INDEX_PCT_CHANGE_YOY_FC" vbProcedure="false">"c8344"</definedName>
    <definedName function="false" hidden="true" name="IQ_UNIT_LABOR_COST_INDEX_POP" vbProcedure="false">"c7245"</definedName>
    <definedName function="false" hidden="true" name="IQ_UNIT_LABOR_COST_INDEX_POP_FC" vbProcedure="false">"c8125"</definedName>
    <definedName function="false" hidden="true" name="IQ_UNIT_LABOR_COST_INDEX_YOY" vbProcedure="false">"c7465"</definedName>
    <definedName function="false" hidden="true" name="IQ_UNIT_LABOR_COST_INDEX_YOY_FC" vbProcedure="false">"c8345"</definedName>
    <definedName function="false" hidden="true" name="IQ_UNLEVERED_FCF" vbProcedure="false">"c1908"</definedName>
    <definedName function="false" hidden="true" name="IQ_UNPAID_CLAIMS" vbProcedure="false">"c1330"</definedName>
    <definedName function="false" hidden="true" name="IQ_UNPROFITABLE_INSTITUTIONS_FDIC" vbProcedure="false">"c6722"</definedName>
    <definedName function="false" hidden="true" name="IQ_UNREALIZED_GAIN" vbProcedure="false">"c1619"</definedName>
    <definedName function="false" hidden="true" name="IQ_UNRECOG_TAX_BENEFIT_BEG_PERIOD" vbProcedure="false">"c15732"</definedName>
    <definedName function="false" hidden="true" name="IQ_UNRECOG_TAX_BENEFIT_END_PERIOD" vbProcedure="false">"c15740"</definedName>
    <definedName function="false" hidden="true" name="IQ_UNRECOG_TAX_BENEFIT_OTHER_ADJ" vbProcedure="false">"c15739"</definedName>
    <definedName function="false" hidden="true" name="IQ_UNSECURED_COMMITMENTS_COMMERCIAL_RE_UNUSED_FFIEC" vbProcedure="false">"c13246"</definedName>
    <definedName function="false" hidden="true" name="IQ_UNSECURED_DEBT" vbProcedure="false">"c2548"</definedName>
    <definedName function="false" hidden="true" name="IQ_UNSECURED_DEBT_PCT" vbProcedure="false">"c2549"</definedName>
    <definedName function="false" hidden="true" name="IQ_UNUSED_LOAN_COMMITMENTS_FDIC" vbProcedure="false">"c6368"</definedName>
    <definedName function="false" hidden="true" name="IQ_UNUSUAL_EXP" vbProcedure="false">"c1456"</definedName>
    <definedName function="false" hidden="true" name="IQ_UPGRADE_REBUILD_CABLE_INVEST" vbProcedure="false">"c15804"</definedName>
    <definedName function="false" hidden="true" name="IQ_UST_SECURITIES_GOVT_AGENCY_QUARTERLY_AVG_FFIEC" vbProcedure="false">"c15468"</definedName>
    <definedName function="false" hidden="true" name="IQ_UST_SEC_GOVT_AGENCY_CORP_QUARTERLY_AVG_FFIEC" vbProcedure="false">"c15469"</definedName>
    <definedName function="false" hidden="true" name="IQ_US_ADDRESS_LEASE_FIN_REC_FFIEC" vbProcedure="false">"c13624"</definedName>
    <definedName function="false" hidden="true" name="IQ_US_AGENCY_OBLIGATIONS_AVAIL_SALE_FFIEC" vbProcedure="false">"c12793"</definedName>
    <definedName function="false" hidden="true" name="IQ_US_AGENCY_OBLIG_FFIEC" vbProcedure="false">"c12779"</definedName>
    <definedName function="false" hidden="true" name="IQ_US_AGENCY_OBLIG_TRADING_DOM_FFIEC" vbProcedure="false">"c12919"</definedName>
    <definedName function="false" hidden="true" name="IQ_US_AGENCY_OBLIG_TRADING_FFIEC" vbProcedure="false">"c12814"</definedName>
    <definedName function="false" hidden="true" name="IQ_US_BANKS_OTHER_INST_FOREIGN_DEP_FFIEC" vbProcedure="false">"c15343"</definedName>
    <definedName function="false" hidden="true" name="IQ_US_BRANCHES_FOREIGN_BANKS_FDIC" vbProcedure="false">"c6390"</definedName>
    <definedName function="false" hidden="true" name="IQ_US_BRANCHES_FOREIGN_BANK_LOANS_FDIC" vbProcedure="false">"c6435"</definedName>
    <definedName function="false" hidden="true" name="IQ_US_GAAP" vbProcedure="false">"c1331"</definedName>
    <definedName function="false" hidden="true" name="IQ_US_GAAP_BASIC_EPS_EXCL" vbProcedure="false">"c2984"</definedName>
    <definedName function="false" hidden="true" name="IQ_US_GAAP_BASIC_EPS_INCL" vbProcedure="false">"c2982"</definedName>
    <definedName function="false" hidden="true" name="IQ_US_GAAP_BASIC_WEIGHT" vbProcedure="false">"c2980"</definedName>
    <definedName function="false" hidden="true" name="IQ_US_GAAP_CASH_FINAN" vbProcedure="false">"c2945"</definedName>
    <definedName function="false" hidden="true" name="IQ_US_GAAP_CASH_FINAN_ADJ" vbProcedure="false">"c2941"</definedName>
    <definedName function="false" hidden="true" name="IQ_US_GAAP_CASH_INVEST" vbProcedure="false">"c2944"</definedName>
    <definedName function="false" hidden="true" name="IQ_US_GAAP_CASH_INVEST_ADJ" vbProcedure="false">"c2940"</definedName>
    <definedName function="false" hidden="true" name="IQ_US_GAAP_CASH_OPER" vbProcedure="false">"c2943"</definedName>
    <definedName function="false" hidden="true" name="IQ_US_GAAP_CASH_OPER_ADJ" vbProcedure="false">"c2939"</definedName>
    <definedName function="false" hidden="true" name="IQ_US_GAAP_CA_ADJ" vbProcedure="false">"c2925"</definedName>
    <definedName function="false" hidden="true" name="IQ_US_GAAP_CL_ADJ" vbProcedure="false">"c2927"</definedName>
    <definedName function="false" hidden="true" name="IQ_US_GAAP_COST_REV_ADJ" vbProcedure="false">"c2951"</definedName>
    <definedName function="false" hidden="true" name="IQ_US_GAAP_DILUT_EPS_EXCL" vbProcedure="false">"c2985"</definedName>
    <definedName function="false" hidden="true" name="IQ_US_GAAP_DILUT_EPS_INCL" vbProcedure="false">"c2983"</definedName>
    <definedName function="false" hidden="true" name="IQ_US_GAAP_DILUT_NI" vbProcedure="false">"c2979"</definedName>
    <definedName function="false" hidden="true" name="IQ_US_GAAP_DILUT_WEIGHT" vbProcedure="false">"c2981"</definedName>
    <definedName function="false" hidden="true" name="IQ_US_GAAP_DO_ADJ" vbProcedure="false">"c2959"</definedName>
    <definedName function="false" hidden="true" name="IQ_US_GAAP_EXTRA_ACC_ITEMS_ADJ" vbProcedure="false">"c2958"</definedName>
    <definedName function="false" hidden="true" name="IQ_US_GAAP_INC_TAX_ADJ" vbProcedure="false">"c2961"</definedName>
    <definedName function="false" hidden="true" name="IQ_US_GAAP_INTEREST_EXP_ADJ" vbProcedure="false">"c2957"</definedName>
    <definedName function="false" hidden="true" name="IQ_US_GAAP_LIAB_LT_ADJ" vbProcedure="false">"c2928"</definedName>
    <definedName function="false" hidden="true" name="IQ_US_GAAP_LIAB_TOTAL_LIAB" vbProcedure="false">"c2933"</definedName>
    <definedName function="false" hidden="true" name="IQ_US_GAAP_MINORITY_INTEREST_IS_ADJ" vbProcedure="false">"c2960"</definedName>
    <definedName function="false" hidden="true" name="IQ_US_GAAP_NCA_ADJ" vbProcedure="false">"c2926"</definedName>
    <definedName function="false" hidden="true" name="IQ_US_GAAP_NET_CHANGE" vbProcedure="false">"c2946"</definedName>
    <definedName function="false" hidden="true" name="IQ_US_GAAP_NET_CHANGE_ADJ" vbProcedure="false">"c2942"</definedName>
    <definedName function="false" hidden="true" name="IQ_US_GAAP_NI" vbProcedure="false">"c2976"</definedName>
    <definedName function="false" hidden="true" name="IQ_US_GAAP_NI_ADJ" vbProcedure="false">"c2963"</definedName>
    <definedName function="false" hidden="true" name="IQ_US_GAAP_NI_AVAIL_INCL" vbProcedure="false">"c2978"</definedName>
    <definedName function="false" hidden="true" name="IQ_US_GAAP_OTHER_ADJ_ADJ" vbProcedure="false">"c2962"</definedName>
    <definedName function="false" hidden="true" name="IQ_US_GAAP_OTHER_NON_OPER_ADJ" vbProcedure="false">"c2955"</definedName>
    <definedName function="false" hidden="true" name="IQ_US_GAAP_OTHER_OPER_ADJ" vbProcedure="false">"c2954"</definedName>
    <definedName function="false" hidden="true" name="IQ_US_GAAP_RD_ADJ" vbProcedure="false">"c2953"</definedName>
    <definedName function="false" hidden="true" name="IQ_US_GAAP_SGA_ADJ" vbProcedure="false">"c2952"</definedName>
    <definedName function="false" hidden="true" name="IQ_US_GAAP_TOTAL_ASSETS" vbProcedure="false">"c2931"</definedName>
    <definedName function="false" hidden="true" name="IQ_US_GAAP_TOTAL_EQUITY" vbProcedure="false">"c2934"</definedName>
    <definedName function="false" hidden="true" name="IQ_US_GAAP_TOTAL_EQUITY_ADJ" vbProcedure="false">"c2929"</definedName>
    <definedName function="false" hidden="true" name="IQ_US_GAAP_TOTAL_REV_ADJ" vbProcedure="false">"c2950"</definedName>
    <definedName function="false" hidden="true" name="IQ_US_GAAP_TOTAL_UNUSUAL_ADJ" vbProcedure="false">"c2956"</definedName>
    <definedName function="false" hidden="true" name="IQ_US_GOVT_NON_TRANS_ACCTS_FFIEC" vbProcedure="false">"c15323"</definedName>
    <definedName function="false" hidden="true" name="IQ_US_GOVT_STATE_POLI_SUBD_IN_US_FOREIGN_DEP_FFIEC" vbProcedure="false">"c15346"</definedName>
    <definedName function="false" hidden="true" name="IQ_US_GOVT_TRANS_ACCTS_FFIEC" vbProcedure="false">"c15315"</definedName>
    <definedName function="false" hidden="true" name="IQ_US_GOV_AGENCIES_FDIC" vbProcedure="false">"c6395"</definedName>
    <definedName function="false" hidden="true" name="IQ_US_GOV_DEPOSITS_FDIC" vbProcedure="false">"c6483"</definedName>
    <definedName function="false" hidden="true" name="IQ_US_GOV_ENTERPRISES_FDIC" vbProcedure="false">"c6396"</definedName>
    <definedName function="false" hidden="true" name="IQ_US_GOV_NONCURRENT_LOANS_TOTAL_NONCURRENT_FDIC" vbProcedure="false">"c6779"</definedName>
    <definedName function="false" hidden="true" name="IQ_US_GOV_NONTRANSACTION_ACCOUNTS_FDIC" vbProcedure="false">"c6546"</definedName>
    <definedName function="false" hidden="true" name="IQ_US_GOV_OBLIGATIONS_FDIC" vbProcedure="false">"c6299"</definedName>
    <definedName function="false" hidden="true" name="IQ_US_GOV_SECURITIES_FDIC" vbProcedure="false">"c6297"</definedName>
    <definedName function="false" hidden="true" name="IQ_US_GOV_TOTAL_DEPOSITS_FDIC" vbProcedure="false">"c6472"</definedName>
    <definedName function="false" hidden="true" name="IQ_US_GOV_TRANSACTION_ACCOUNTS_FDIC" vbProcedure="false">"c6538"</definedName>
    <definedName function="false" hidden="true" name="IQ_US_INST_DUE_30_89_FFIEC" vbProcedure="false">"c13268"</definedName>
    <definedName function="false" hidden="true" name="IQ_US_INST_DUE_90_FFIEC" vbProcedure="false">"c13294"</definedName>
    <definedName function="false" hidden="true" name="IQ_US_INST_NON_ACCRUAL_FFIEC" vbProcedure="false">"c13320"</definedName>
    <definedName function="false" hidden="true" name="IQ_US_SPONSORED_AGENCY_OBLIG_AVAIL_SALE_FFIEC" vbProcedure="false">"c12794"</definedName>
    <definedName function="false" hidden="true" name="IQ_US_SPONSORED_AGENCY_OBLIG_FFIEC" vbProcedure="false">"c12780"</definedName>
    <definedName function="false" hidden="true" name="IQ_US_TREASURY_SECURITIES_FDIC" vbProcedure="false">"c6298"</definedName>
    <definedName function="false" hidden="true" name="IQ_US_TREASURY_SECURITIES_FFIEC" vbProcedure="false">"c12778"</definedName>
    <definedName function="false" hidden="true" name="IQ_US_TREASURY_SEC_AVAIL_SALE_FFIEC" vbProcedure="false">"c12792"</definedName>
    <definedName function="false" hidden="true" name="IQ_US_TREASURY_SEC_TRADING_DOM_FFIEC" vbProcedure="false">"c12918"</definedName>
    <definedName function="false" hidden="true" name="IQ_US_TREASURY_SEC_TRADING_FFIEC" vbProcedure="false">"c12813"</definedName>
    <definedName function="false" hidden="true" name="IQ_UTILITY_EXPENSE" vbProcedure="false">"c16031"</definedName>
    <definedName function="false" hidden="true" name="IQ_UTIL_PPE_NET" vbProcedure="false">"c1620"</definedName>
    <definedName function="false" hidden="true" name="IQ_UTIL_REV" vbProcedure="false">"c2091"</definedName>
    <definedName function="false" hidden="true" name="IQ_UV_PENSION_LIAB" vbProcedure="false">"c1332"</definedName>
    <definedName function="false" hidden="true" name="IQ_VALUATION_ALLOWANCES_FDIC" vbProcedure="false">"c6400"</definedName>
    <definedName function="false" hidden="true" name="IQ_VALUE_TRADED" vbProcedure="false">"c1519"</definedName>
    <definedName function="false" hidden="true" name="IQ_VALUE_TRADED_LAST_3MTH" vbProcedure="false">"c1530"</definedName>
    <definedName function="false" hidden="true" name="IQ_VALUE_TRADED_LAST_6MTH" vbProcedure="false">"c1531"</definedName>
    <definedName function="false" hidden="true" name="IQ_VALUE_TRADED_LAST_MTH" vbProcedure="false">"c1529"</definedName>
    <definedName function="false" hidden="true" name="IQ_VALUE_TRADED_LAST_WK" vbProcedure="false">"c1528"</definedName>
    <definedName function="false" hidden="true" name="IQ_VALUE_TRADED_LAST_YR" vbProcedure="false">"c1532"</definedName>
    <definedName function="false" hidden="true" name="IQ_VARIABLE_RATE_PREFERREDS_INT_SENSITIVITY_FFIEC" vbProcedure="false">"c13096"</definedName>
    <definedName function="false" hidden="true" name="IQ_VC_REVENUE_FDIC" vbProcedure="false">"c6667"</definedName>
    <definedName function="false" hidden="true" name="IQ_VC_REV_OPERATING_INC_FFIEC" vbProcedure="false">"c13388"</definedName>
    <definedName function="false" hidden="true" name="IQ_VEHICLE_ASSEMBLIES_LIGHT" vbProcedure="false">"c6905"</definedName>
    <definedName function="false" hidden="true" name="IQ_VEHICLE_ASSEMBLIES_LIGHT_APR" vbProcedure="false">"c7565"</definedName>
    <definedName function="false" hidden="true" name="IQ_VEHICLE_ASSEMBLIES_LIGHT_APR_FC" vbProcedure="false">"c8445"</definedName>
    <definedName function="false" hidden="true" name="IQ_VEHICLE_ASSEMBLIES_LIGHT_FC" vbProcedure="false">"c7785"</definedName>
    <definedName function="false" hidden="true" name="IQ_VEHICLE_ASSEMBLIES_LIGHT_NEW" vbProcedure="false">"c6925"</definedName>
    <definedName function="false" hidden="true" name="IQ_VEHICLE_ASSEMBLIES_LIGHT_NEW_APR" vbProcedure="false">"c7585"</definedName>
    <definedName function="false" hidden="true" name="IQ_VEHICLE_ASSEMBLIES_LIGHT_NEW_APR_FC" vbProcedure="false">"c8465"</definedName>
    <definedName function="false" hidden="true" name="IQ_VEHICLE_ASSEMBLIES_LIGHT_NEW_FC" vbProcedure="false">"c7805"</definedName>
    <definedName function="false" hidden="true" name="IQ_VEHICLE_ASSEMBLIES_LIGHT_NEW_POP" vbProcedure="false">"c7145"</definedName>
    <definedName function="false" hidden="true" name="IQ_VEHICLE_ASSEMBLIES_LIGHT_NEW_POP_FC" vbProcedure="false">"c8025"</definedName>
    <definedName function="false" hidden="true" name="IQ_VEHICLE_ASSEMBLIES_LIGHT_NEW_YOY" vbProcedure="false">"c7365"</definedName>
    <definedName function="false" hidden="true" name="IQ_VEHICLE_ASSEMBLIES_LIGHT_NEW_YOY_FC" vbProcedure="false">"c8245"</definedName>
    <definedName function="false" hidden="true" name="IQ_VEHICLE_ASSEMBLIES_LIGHT_POP" vbProcedure="false">"c7125"</definedName>
    <definedName function="false" hidden="true" name="IQ_VEHICLE_ASSEMBLIES_LIGHT_POP_FC" vbProcedure="false">"c8005"</definedName>
    <definedName function="false" hidden="true" name="IQ_VEHICLE_ASSEMBLIES_LIGHT_YOY" vbProcedure="false">"c7345"</definedName>
    <definedName function="false" hidden="true" name="IQ_VEHICLE_ASSEMBLIES_LIGHT_YOY_FC" vbProcedure="false">"c8225"</definedName>
    <definedName function="false" hidden="true" name="IQ_VEHICLE_ASSEMBLIES_TOTAL" vbProcedure="false">"c7020"</definedName>
    <definedName function="false" hidden="true" name="IQ_VEHICLE_ASSEMBLIES_TOTAL_APR" vbProcedure="false">"c7680"</definedName>
    <definedName function="false" hidden="true" name="IQ_VEHICLE_ASSEMBLIES_TOTAL_APR_FC" vbProcedure="false">"c8560"</definedName>
    <definedName function="false" hidden="true" name="IQ_VEHICLE_ASSEMBLIES_TOTAL_FC" vbProcedure="false">"c7900"</definedName>
    <definedName function="false" hidden="true" name="IQ_VEHICLE_ASSEMBLIES_TOTAL_POP" vbProcedure="false">"c7240"</definedName>
    <definedName function="false" hidden="true" name="IQ_VEHICLE_ASSEMBLIES_TOTAL_POP_FC" vbProcedure="false">"c8120"</definedName>
    <definedName function="false" hidden="true" name="IQ_VEHICLE_ASSEMBLIES_TOTAL_YOY" vbProcedure="false">"c7460"</definedName>
    <definedName function="false" hidden="true" name="IQ_VEHICLE_ASSEMBLIES_TOTAL_YOY_FC" vbProcedure="false">"c8340"</definedName>
    <definedName function="false" hidden="true" name="IQ_VEHICLE_LOANS" vbProcedure="false">"c15249"</definedName>
    <definedName function="false" hidden="true" name="IQ_VENTURE_CAPITAL_REVENUE_FFIEC" vbProcedure="false">"c13010"</definedName>
    <definedName function="false" hidden="true" name="IQ_VIF_AFTER_COST_CAPITAL_COVERED" vbProcedure="false">"c9966"</definedName>
    <definedName function="false" hidden="true" name="IQ_VIF_AFTER_COST_CAPITAL_GROUP" vbProcedure="false">"c9952"</definedName>
    <definedName function="false" hidden="true" name="IQ_VIF_BEFORE_COST_CAPITAL_COVERED" vbProcedure="false">"c9964"</definedName>
    <definedName function="false" hidden="true" name="IQ_VIF_BEFORE_COST_CAPITAL_GROUP" vbProcedure="false">"c9950"</definedName>
    <definedName function="false" hidden="true" name="IQ_VOICE_SUB_BASIC_SUB" vbProcedure="false">"c16203"</definedName>
    <definedName function="false" hidden="true" name="IQ_VOICE_SUB_TOTAL_HOMES_PASSED" vbProcedure="false">"c15770"</definedName>
    <definedName function="false" hidden="true" name="IQ_VOICE_SUB_VIDEO_SUB" vbProcedure="false">"c15789"</definedName>
    <definedName function="false" hidden="true" name="IQ_VOLATILE_LIABILITIES_FDIC" vbProcedure="false">"c6364"</definedName>
    <definedName function="false" hidden="true" name="IQ_VOLUME" vbProcedure="false">"c1333"</definedName>
    <definedName function="false" hidden="true" name="IQ_VOL_LAST_3MTH" vbProcedure="false">"c1525"</definedName>
    <definedName function="false" hidden="true" name="IQ_VOL_LAST_6MTH" vbProcedure="false">"c1526"</definedName>
    <definedName function="false" hidden="true" name="IQ_VOL_LAST_MTH" vbProcedure="false">"c1524"</definedName>
    <definedName function="false" hidden="true" name="IQ_VOL_LAST_WK" vbProcedure="false">"c1523"</definedName>
    <definedName function="false" hidden="true" name="IQ_VOL_LAST_YR" vbProcedure="false">"c1527"</definedName>
    <definedName function="false" hidden="true" name="IQ_VWAP" vbProcedure="false">"c13514"</definedName>
    <definedName function="false" hidden="true" name="IQ_WAC_CURRENT" vbProcedure="false">"c8961"</definedName>
    <definedName function="false" hidden="true" name="IQ_WAC_ORIGINAL" vbProcedure="false">"c8953"</definedName>
    <definedName function="false" hidden="true" name="IQ_WAM_CURRENT" vbProcedure="false">"c8962"</definedName>
    <definedName function="false" hidden="true" name="IQ_WAM_ORIGINAL" vbProcedure="false">"c8952"</definedName>
    <definedName function="false" hidden="true" name="IQ_WARRANTS_BEG_OS" vbProcedure="false">"c2698"</definedName>
    <definedName function="false" hidden="true" name="IQ_WARRANTS_CANCELLED" vbProcedure="false">"c2701"</definedName>
    <definedName function="false" hidden="true" name="IQ_WARRANTS_END_OS" vbProcedure="false">"c2702"</definedName>
    <definedName function="false" hidden="true" name="IQ_WARRANTS_EXERCISED" vbProcedure="false">"c2700"</definedName>
    <definedName function="false" hidden="true" name="IQ_WARRANTS_ISSUED" vbProcedure="false">"c2699"</definedName>
    <definedName function="false" hidden="true" name="IQ_WARRANTS_STRIKE_PRICE_ISSUED" vbProcedure="false">"c2704"</definedName>
    <definedName function="false" hidden="true" name="IQ_WARRANTS_STRIKE_PRICE_OS" vbProcedure="false">"c2703"</definedName>
    <definedName function="false" hidden="true" name="IQ_WEEK" vbProcedure="false">50000</definedName>
    <definedName function="false" hidden="true" name="IQ_WEIGHTED_AVG_PRICE" vbProcedure="false">"c1334"</definedName>
    <definedName function="false" hidden="true" name="IQ_WHOLESALE_INVENTORIES" vbProcedure="false">"c7027"</definedName>
    <definedName function="false" hidden="true" name="IQ_WHOLESALE_INVENTORIES_APR" vbProcedure="false">"c7687"</definedName>
    <definedName function="false" hidden="true" name="IQ_WHOLESALE_INVENTORIES_APR_FC" vbProcedure="false">"c8567"</definedName>
    <definedName function="false" hidden="true" name="IQ_WHOLESALE_INVENTORIES_FC" vbProcedure="false">"c7907"</definedName>
    <definedName function="false" hidden="true" name="IQ_WHOLESALE_INVENTORIES_POP" vbProcedure="false">"c7247"</definedName>
    <definedName function="false" hidden="true" name="IQ_WHOLESALE_INVENTORIES_POP_FC" vbProcedure="false">"c8127"</definedName>
    <definedName function="false" hidden="true" name="IQ_WHOLESALE_INVENTORIES_YOY" vbProcedure="false">"c7467"</definedName>
    <definedName function="false" hidden="true" name="IQ_WHOLESALE_INVENTORIES_YOY_FC" vbProcedure="false">"c8347"</definedName>
    <definedName function="false" hidden="true" name="IQ_WHOLESALE_IS_RATIO" vbProcedure="false">"c7026"</definedName>
    <definedName function="false" hidden="true" name="IQ_WHOLESALE_IS_RATIO_FC" vbProcedure="false">"c7906"</definedName>
    <definedName function="false" hidden="true" name="IQ_WHOLESALE_IS_RATIO_POP" vbProcedure="false">"c7246"</definedName>
    <definedName function="false" hidden="true" name="IQ_WHOLESALE_IS_RATIO_POP_FC" vbProcedure="false">"c8126"</definedName>
    <definedName function="false" hidden="true" name="IQ_WHOLESALE_IS_RATIO_YOY" vbProcedure="false">"c7466"</definedName>
    <definedName function="false" hidden="true" name="IQ_WHOLESALE_IS_RATIO_YOY_FC" vbProcedure="false">"c8346"</definedName>
    <definedName function="false" hidden="true" name="IQ_WHOLESALE_SALES" vbProcedure="false">"c7028"</definedName>
    <definedName function="false" hidden="true" name="IQ_WHOLESALE_SALES_APR" vbProcedure="false">"c7688"</definedName>
    <definedName function="false" hidden="true" name="IQ_WHOLESALE_SALES_APR_FC" vbProcedure="false">"c8568"</definedName>
    <definedName function="false" hidden="true" name="IQ_WHOLESALE_SALES_FC" vbProcedure="false">"c7908"</definedName>
    <definedName function="false" hidden="true" name="IQ_WHOLESALE_SALES_INDEX" vbProcedure="false">"c7029"</definedName>
    <definedName function="false" hidden="true" name="IQ_WHOLESALE_SALES_INDEX_APR" vbProcedure="false">"c7689"</definedName>
    <definedName function="false" hidden="true" name="IQ_WHOLESALE_SALES_INDEX_APR_FC" vbProcedure="false">"c8569"</definedName>
    <definedName function="false" hidden="true" name="IQ_WHOLESALE_SALES_INDEX_FC" vbProcedure="false">"c7909"</definedName>
    <definedName function="false" hidden="true" name="IQ_WHOLESALE_SALES_INDEX_POP" vbProcedure="false">"c7249"</definedName>
    <definedName function="false" hidden="true" name="IQ_WHOLESALE_SALES_INDEX_POP_FC" vbProcedure="false">"c8129"</definedName>
    <definedName function="false" hidden="true" name="IQ_WHOLESALE_SALES_INDEX_YOY" vbProcedure="false">"c7469"</definedName>
    <definedName function="false" hidden="true" name="IQ_WHOLESALE_SALES_INDEX_YOY_FC" vbProcedure="false">"c8349"</definedName>
    <definedName function="false" hidden="true" name="IQ_WHOLESALE_SALES_POP" vbProcedure="false">"c7248"</definedName>
    <definedName function="false" hidden="true" name="IQ_WHOLESALE_SALES_POP_FC" vbProcedure="false">"c8128"</definedName>
    <definedName function="false" hidden="true" name="IQ_WHOLESALE_SALES_YOY" vbProcedure="false">"c7468"</definedName>
    <definedName function="false" hidden="true" name="IQ_WHOLESALE_SALES_YOY_FC" vbProcedure="false">"c8348"</definedName>
    <definedName function="false" hidden="true" name="IQ_WIP_INV" vbProcedure="false">"c1335"</definedName>
    <definedName function="false" hidden="true" name="IQ_WIRELESS_PENETRATION" vbProcedure="false">"c15767"</definedName>
    <definedName function="false" hidden="true" name="IQ_WORKING_CAP" vbProcedure="false">"c3494"</definedName>
    <definedName function="false" hidden="true" name="IQ_WORKMEN_WRITTEN" vbProcedure="false">"c1336"</definedName>
    <definedName function="false" hidden="true" name="IQ_WRITTEN_OPTION_CONTRACTS_FDIC" vbProcedure="false">"c6509"</definedName>
    <definedName function="false" hidden="true" name="IQ_WRITTEN_OPTION_CONTRACTS_FX_RISK_FDIC" vbProcedure="false">"c6514"</definedName>
    <definedName function="false" hidden="true" name="IQ_WRITTEN_OPTION_CONTRACTS_NON_FX_IR_FDIC" vbProcedure="false">"c6519"</definedName>
    <definedName function="false" hidden="true" name="IQ_WTD_AVG_IR_AFTER_FIVE" vbProcedure="false">"c15700"</definedName>
    <definedName function="false" hidden="true" name="IQ_WTD_AVG_IR_CY" vbProcedure="false">"c15695"</definedName>
    <definedName function="false" hidden="true" name="IQ_WTD_AVG_IR_CY1" vbProcedure="false">"c15696"</definedName>
    <definedName function="false" hidden="true" name="IQ_WTD_AVG_IR_CY2" vbProcedure="false">"c15697"</definedName>
    <definedName function="false" hidden="true" name="IQ_WTD_AVG_IR_CY3" vbProcedure="false">"c15698"</definedName>
    <definedName function="false" hidden="true" name="IQ_WTD_AVG_IR_CY4" vbProcedure="false">"c15699"</definedName>
    <definedName function="false" hidden="true" name="IQ_WTD_AVG_IR_LT_DEBT" vbProcedure="false">"c15693"</definedName>
    <definedName function="false" hidden="true" name="IQ_WTD_AVG_IR_TOTAL_DEBT" vbProcedure="false">"c15694"</definedName>
    <definedName function="false" hidden="true" name="IQ_XDIV_DATE" vbProcedure="false">"c2104"</definedName>
    <definedName function="false" hidden="true" name="IQ_YEARHIGH" vbProcedure="false">"c1337"</definedName>
    <definedName function="false" hidden="true" name="IQ_YEARHIGH_DATE" vbProcedure="false">"c2250"</definedName>
    <definedName function="false" hidden="true" name="IQ_YEARHIGH_RT" vbProcedure="false">"YEARHIGH"</definedName>
    <definedName function="false" hidden="true" name="IQ_YEARLOW" vbProcedure="false">"c1338"</definedName>
    <definedName function="false" hidden="true" name="IQ_YEARLOW_DATE" vbProcedure="false">"c2251"</definedName>
    <definedName function="false" hidden="true" name="IQ_YEARLOW_RT" vbProcedure="false">"YEARLOW"</definedName>
    <definedName function="false" hidden="true" name="IQ_YEAR_FOUNDED" vbProcedure="false">"c6793"</definedName>
    <definedName function="false" hidden="true" name="IQ_YIELD_FED_FUNDS_SOLD_FFIEC" vbProcedure="false">"c13487"</definedName>
    <definedName function="false" hidden="true" name="IQ_YIELD_TRADING_ASSETS_FFIEC" vbProcedure="false">"c13488"</definedName>
    <definedName function="false" hidden="true" name="IQ_YTD" vbProcedure="false">3000</definedName>
    <definedName function="false" hidden="true" name="IQ_YTDMONTH" vbProcedure="false">130000</definedName>
    <definedName function="false" hidden="true" name="IQ_YTW" vbProcedure="false">"c2163"</definedName>
    <definedName function="false" hidden="true" name="IQ_YTW_DATE" vbProcedure="false">"c2164"</definedName>
    <definedName function="false" hidden="true" name="IQ_YTW_DATE_TYPE" vbProcedure="false">"c2165"</definedName>
    <definedName function="false" hidden="true" name="IQ_Z_SCORE" vbProcedure="false">"c1339"</definedName>
    <definedName function="false" hidden="true" name="IsColHidden" vbProcedure="false">FALSE()</definedName>
    <definedName function="false" hidden="true" name="IsLTMColHidden" vbProcedure="false">FALSE()</definedName>
    <definedName function="false" hidden="true" name="iy" vbProcedure="false">#REF!</definedName>
    <definedName function="false" hidden="true" name="iyuko" vbProcedure="false">{"'Северо-Никольское '!$A$6:$J$40"}</definedName>
    <definedName function="false" hidden="true" name="jad" vbProcedure="false">{#N/A,"30% Success",TRUE,"Sales Forecast";#N/A,#N/A,TRUE,"Sheet2"}</definedName>
    <definedName function="false" hidden="true" name="jdfjewf" vbProcedure="false">{#N/A,#N/A,FALSE,"지침";#N/A,#N/A,FALSE,"환경분석";#N/A,#N/A,FALSE,"Sheet16"}</definedName>
    <definedName function="false" hidden="true" name="jdjytdj" vbProcedure="false">{"det (May)",#N/A,FALSE,"June";"sum (MAY YTD)",#N/A,FALSE,"June YTD"}</definedName>
    <definedName function="false" hidden="true" name="jgjgh" vbProcedure="false">{#N/A,#N/A,TRUE,"Фин.рез"}</definedName>
    <definedName function="false" hidden="true" name="jgjgh_1" vbProcedure="false">{#N/A,#N/A,TRUE,"Фин.рез"}</definedName>
    <definedName function="false" hidden="true" name="jgjhg" vbProcedure="false">#REF!</definedName>
    <definedName function="false" hidden="true" name="jhgjhg" vbProcedure="false">{"det (May)",#N/A,FALSE,"June";"sum (MAY YTD)",#N/A,FALSE,"June YTD"}</definedName>
    <definedName function="false" hidden="true" name="jhh" vbProcedure="false">{#N/A,#N/A,TRUE,"План продаж";#N/A,#N/A,TRUE,"Склад гот.прод";#N/A,#N/A,TRUE,"План отгрузки"}</definedName>
    <definedName function="false" hidden="true" name="jhkhjk" vbProcedure="false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function="false" hidden="true" name="jiop" vbProcedure="false">{0,#N/A,FALSE,0;0,#N/A,FALSE,0;0,#N/A,FALSE,0;0,#N/A,FALSE,0;0,#N/A,FALSE,0;0,#N/A,FALSE,0;0,#N/A,FALSE,0;0,#N/A,FALSE,0}</definedName>
    <definedName function="false" hidden="true" name="jkgjkgh" vbProcedure="false">{"det (May)",#N/A,FALSE,"June";"sum (MAY YTD)",#N/A,FALSE,"June YTD"}</definedName>
    <definedName function="false" hidden="true" name="jkljlkj" vbProcedure="false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function="false" hidden="true" name="jljl" vbProcedure="false">{"det (May)",#N/A,FALSE,"June";"sum (MAY YTD)",#N/A,FALSE,"June YTD"}</definedName>
    <definedName function="false" hidden="true" name="jljljljl" vbProcedure="false">{"det (May)",#N/A,FALSE,"June";"sum (MAY YTD)",#N/A,FALSE,"June YTD"}</definedName>
    <definedName function="false" hidden="true" name="jljlx" vbProcedure="false">{"det (May)",#N/A,FALSE,"June";"sum (MAY YTD)",#N/A,FALSE,"June YTD"}</definedName>
    <definedName function="false" hidden="true" name="jmy" vbProcedure="false">#N/A</definedName>
    <definedName function="false" hidden="true" name="joaquim" vbProcedure="false">{#N/A,"100% Success",TRUE,"Sales Forecast";#N/A,#N/A,TRUE,"Sheet2"}</definedName>
    <definedName function="false" hidden="true" name="k" vbProcedure="false">{"det (May)",#N/A,FALSE,"June";"sum (MAY YTD)",#N/A,FALSE,"June YTD"}</definedName>
    <definedName function="false" hidden="true" name="k764u6jfgth" vbProcedure="false">{#N/A,#N/A,TRUE,"Фин.рез"}</definedName>
    <definedName function="false" hidden="true" name="k764u6jfgth_1" vbProcedure="false">{#N/A,#N/A,TRUE,"Фин.рез"}</definedName>
    <definedName function="false" hidden="true" name="kBNT" vbProcedure="false">{"'РП (2)'!$A$5:$S$150"}</definedName>
    <definedName function="false" hidden="true" name="kegs" vbProcedure="false">{"det (May)",#N/A,FALSE,"June";"sum (MAY YTD)",#N/A,FALSE,"June YTD"}</definedName>
    <definedName function="false" hidden="true" name="kegsx" vbProcedure="false">{"det (May)",#N/A,FALSE,"June";"sum (MAY YTD)",#N/A,FALSE,"June YTD"}</definedName>
    <definedName function="false" hidden="true" name="khj" vbProcedure="false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function="false" hidden="true" name="KJ" vbProcedure="false">{#N/A,#N/A,FALSE,"지침";#N/A,#N/A,FALSE,"환경분석";#N/A,#N/A,FALSE,"Sheet16"}</definedName>
    <definedName function="false" hidden="true" name="kjhfg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kkkk" vbProcedure="false">{"'Северо-Никольское '!$A$6:$J$40"}</definedName>
    <definedName function="false" hidden="true" name="kljlklj" vbProcedure="false">{"det (May)",#N/A,FALSE,"June";"sum (MAY YTD)",#N/A,FALSE,"June YTD"}</definedName>
    <definedName function="false" hidden="true" name="krd" vbProcedure="false">{"'Северо-Никольское '!$A$6:$J$40"}</definedName>
    <definedName function="false" hidden="true" name="ktzuk" vbProcedure="false">{#N/A,#N/A,FALSE,"Aging Summary";#N/A,#N/A,FALSE,"Ratio Analysis";#N/A,#N/A,FALSE,"Test 120 Day Accts";#N/A,#N/A,FALSE,"Tickmarks"}</definedName>
    <definedName function="false" hidden="true" name="kueuytmsw" vbProcedure="false">{#N/A,#N/A,TRUE,"Фин.рез"}</definedName>
    <definedName function="false" hidden="true" name="kueuytmsw_1" vbProcedure="false">{#N/A,#N/A,TRUE,"Фин.рез"}</definedName>
    <definedName function="false" hidden="true" name="kx" vbProcedure="false">{"det (May)",#N/A,FALSE,"June";"sum (MAY YTD)",#N/A,FALSE,"June YTD"}</definedName>
    <definedName function="false" hidden="true" name="LAURA" vbProcedure="false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function="false" hidden="true" name="laurax" vbProcedure="false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function="false" hidden="true" name="lco" vbProcedure="false">{"'Северо-Никольское '!$A$6:$J$40"}</definedName>
    <definedName function="false" hidden="true" name="LEE" vbProcedure="false">{"det (May)",#N/A,FALSE,"June";"sum (MAY YTD)",#N/A,FALSE,"June YTD"}</definedName>
    <definedName function="false" hidden="true" name="limcount" vbProcedure="false">1</definedName>
    <definedName function="false" hidden="true" name="ListOffset" vbProcedure="false">1</definedName>
    <definedName function="false" hidden="true" name="lj" vbProcedure="false">#REF!</definedName>
    <definedName function="false" hidden="true" name="ljl" vbProcedure="false">{"'Северо-Никольское '!$A$6:$J$40"}</definedName>
    <definedName function="false" hidden="true" name="lkj" vbProcedure="false">{#N/A,#N/A,FALSE,"Aging Summary";#N/A,#N/A,FALSE,"Ratio Analysis";#N/A,#N/A,FALSE,"Test 120 Day Accts";#N/A,#N/A,FALSE,"Tickmarks"}</definedName>
    <definedName function="false" hidden="true" name="lkjhg" vbProcedure="false">{"'Северо-Никольское '!$A$6:$J$40"}</definedName>
    <definedName function="false" hidden="true" name="lll" vbProcedure="false">{"'Северо-Никольское '!$A$6:$J$40"}</definedName>
    <definedName function="false" hidden="true" name="lwl" vbProcedure="false">{"'Северо-Никольское '!$A$6:$J$40"}</definedName>
    <definedName function="false" hidden="true" name="lye" vbProcedure="false">{"'Северо-Никольское '!$A$6:$J$40"}</definedName>
    <definedName function="false" hidden="true" name="market" vbProcedure="false">{#N/A,"70% Success",FALSE,"Sales Forecast";#N/A,#N/A,FALSE,"Sheet2"}</definedName>
    <definedName function="false" hidden="true" name="MerrillPrintIt" vbProcedure="false">#N/A</definedName>
    <definedName function="false" hidden="true" name="MEWarning" vbProcedure="false">1</definedName>
    <definedName function="false" hidden="true" name="mjbmj" vbProcedure="false">#N/A</definedName>
    <definedName function="false" hidden="true" name="mktg" vbProcedure="false">{#N/A,#N/A,FALSE,"지침";#N/A,#N/A,FALSE,"환경분석";#N/A,#N/A,FALSE,"Sheet16"}</definedName>
    <definedName function="false" hidden="true" name="mlq" vbProcedure="false">{"'Северо-Никольское '!$A$6:$J$40"}</definedName>
    <definedName function="false" hidden="true" name="mmmmm" vbProcedure="false">{"'Северо-Никольское '!$A$6:$J$40"}</definedName>
    <definedName function="false" hidden="true" name="mnnb" vbProcedure="false">{"'Северо-Никольское '!$A$6:$J$40"}</definedName>
    <definedName function="false" hidden="true" name="name2" vbProcedure="false">{#N/A,#N/A,FALSE,"Info";#N/A,#N/A,FALSE,"Op I";#N/A,#N/A,FALSE,"Op O";#N/A,#N/A,FALSE,"LBO I";#N/A,#N/A,FALSE,"LBO O";#N/A,#N/A,FALSE,"Taxes"}</definedName>
    <definedName function="false" hidden="true" name="name3" vbProcedure="false">{"Summary",#N/A,FALSE,"Covenants";"Detailed summary",#N/A,FALSE,"Covenants"}</definedName>
    <definedName function="false" hidden="true" name="newname" vbProcedure="false">{#N/A,#N/A,FALSE,"Info";#N/A,#N/A,FALSE,"Op I";#N/A,#N/A,FALSE,"Op O";#N/A,#N/A,FALSE,"LBO I";#N/A,#N/A,FALSE,"LBO O";#N/A,#N/A,FALSE,"Taxes"}</definedName>
    <definedName function="false" hidden="true" name="NewRange" vbProcedure="false">#N/A</definedName>
    <definedName function="false" hidden="true" name="NewSheet" vbProcedure="false">{"Table A,pg 1",#N/A,FALSE,"Table A-Prov GUR";"Table A,pg 2",#N/A,FALSE,"Table A-Prov GUR"}</definedName>
    <definedName function="false" hidden="true" name="nhf" vbProcedure="false">{"'Северо-Никольское '!$A$6:$J$40"}</definedName>
    <definedName function="false" hidden="true" name="NN" vbProcedure="false">{"glcbs",#N/A,FALSE,"GLCBS";"glccsbs",#N/A,FALSE,"GLCCSBS";"glcis",#N/A,FALSE,"GLCIS";"glccsis",#N/A,FALSE,"GLCCSIS";"glcrat1",#N/A,FALSE,"GLC-ratios1"}</definedName>
    <definedName function="false" hidden="true" name="noName" vbProcedure="false">{"Table A,pg 1",#N/A,FALSE,"Table A-Prov GUR";"Table A,pg 2",#N/A,FALSE,"Table A-Prov GUR"}</definedName>
    <definedName function="false" hidden="true" name="ns" vbProcedure="false">#REF!</definedName>
    <definedName function="false" hidden="true" name="o1x" vbProcedure="false">{"det (May)",#N/A,FALSE,"June";"sum (MAY YTD)",#N/A,FALSE,"June YTD"}</definedName>
    <definedName function="false" hidden="true" name="oiuyt" vbProcedure="false">{"'Северо-Никольское '!$A$6:$J$40"}</definedName>
    <definedName function="false" hidden="true" name="okbari" vbProcedure="false">{"det (May)",#N/A,FALSE,"June";"sum (MAY YTD)",#N/A,FALSE,"June YTD"}</definedName>
    <definedName function="false" hidden="true" name="okbaria" vbProcedure="false">{"det (May)",#N/A,FALSE,"June";"sum (MAY YTD)",#N/A,FALSE,"June YTD"}</definedName>
    <definedName function="false" hidden="true" name="okbaric" vbProcedure="false">{"det (May)",#N/A,FALSE,"June";"sum (MAY YTD)",#N/A,FALSE,"June YTD"}</definedName>
    <definedName function="false" hidden="true" name="opo" vbProcedure="false">{#N/A,#N/A,FALSE,"지침";#N/A,#N/A,FALSE,"환경분석";#N/A,#N/A,FALSE,"Sheet16"}</definedName>
    <definedName function="false" hidden="true" name="oq." vbProcedure="false">{"'Северо-Никольское '!$A$6:$J$40"}</definedName>
    <definedName function="false" hidden="true" name="ou" vbProcedure="false">#REF!</definedName>
    <definedName function="false" hidden="true" name="ox" vbProcedure="false">{"det (May)",#N/A,FALSE,"June";"sum (MAY YTD)",#N/A,FALSE,"June YTD"}</definedName>
    <definedName function="false" hidden="true" name="Params_VALUE" vbProcedure="false">#REF!</definedName>
    <definedName function="false" hidden="true" name="pedro" vbProcedure="false">{#N/A,"30% Success",TRUE,"Sales Forecast";#N/A,#N/A,TRUE,"Sheet2"}</definedName>
    <definedName function="false" hidden="true" name="POA" vbProcedure="false">{"det (May)",#N/A,FALSE,"June";"sum (MAY YTD)",#N/A,FALSE,"June YTD"}</definedName>
    <definedName function="false" hidden="true" name="port" vbProcedure="false">{#N/A,#N/A,FALSE,"DCF";#N/A,#N/A,FALSE,"WACC";#N/A,#N/A,FALSE,"Sales_EBIT";#N/A,#N/A,FALSE,"Capex_Depreciation";#N/A,#N/A,FALSE,"WC";#N/A,#N/A,FALSE,"Interest";#N/A,#N/A,FALSE,"Assumptions"}</definedName>
    <definedName function="false" hidden="true" name="PRO" vbProcedure="false">{"det (May)",#N/A,FALSE,"June";"sum (MAY YTD)",#N/A,FALSE,"June YTD"}</definedName>
    <definedName function="false" hidden="true" name="ptvkz" vbProcedure="false">{"'Sheet1'!$A$1:$G$85"}</definedName>
    <definedName function="false" hidden="true" name="PUB_FileID" vbProcedure="false">"L10003363.xls"</definedName>
    <definedName function="false" hidden="true" name="PUB_UserID" vbProcedure="false">"MAYERX"</definedName>
    <definedName function="false" hidden="true" name="qgq" vbProcedure="false">#N/A</definedName>
    <definedName function="false" hidden="true" name="qqqqqq" vbProcedure="false">#REF!</definedName>
    <definedName function="false" hidden="true" name="qqqqqqq" vbProcedure="false">#REF!</definedName>
    <definedName function="false" hidden="true" name="Query1_DDD" vbProcedure="false">#REF!</definedName>
    <definedName function="false" hidden="true" name="Query1_FULLNAME" vbProcedure="false">#REF!</definedName>
    <definedName function="false" hidden="true" name="Query1_STRUCTPODR" vbProcedure="false">#REF!</definedName>
    <definedName function="false" hidden="true" name="Query1_WENAME" vbProcedure="false">#REF!</definedName>
    <definedName function="false" hidden="true" name="Query2_DATA2" vbProcedure="false">#REF!</definedName>
    <definedName function="false" hidden="true" name="Query2_DIRECTOR" vbProcedure="false">#REF!</definedName>
    <definedName function="false" hidden="true" name="Query2_FULLNAME1" vbProcedure="false">#REF!</definedName>
    <definedName function="false" hidden="true" name="Query2_GLBUH" vbProcedure="false">#REF!</definedName>
    <definedName function="false" hidden="true" name="Query2_INT2" vbProcedure="false">#REF!</definedName>
    <definedName function="false" hidden="true" name="Query2_ITOG" vbProcedure="false">#REF!</definedName>
    <definedName function="false" hidden="true" name="Query2_ORGDIRECTOR" vbProcedure="false">#REF!</definedName>
    <definedName function="false" hidden="true" name="Query2_ORGGLBUH" vbProcedure="false">#REF!</definedName>
    <definedName function="false" hidden="true" name="Query2_ORGNAME" vbProcedure="false">#REF!</definedName>
    <definedName function="false" hidden="true" name="Query2_R1" vbProcedure="false">#REF!</definedName>
    <definedName function="false" hidden="true" name="Query2_R2" vbProcedure="false">#REF!</definedName>
    <definedName function="false" hidden="true" name="Query2_R3" vbProcedure="false">#REF!</definedName>
    <definedName function="false" hidden="true" name="Query2_R4" vbProcedure="false">#REF!</definedName>
    <definedName function="false" hidden="true" name="Query2_R5" vbProcedure="false">#REF!</definedName>
    <definedName function="false" hidden="true" name="Query2_R6" vbProcedure="false">#REF!</definedName>
    <definedName function="false" hidden="true" name="Query2_R7" vbProcedure="false">#REF!</definedName>
    <definedName function="false" hidden="true" name="Query2_SHAPKA" vbProcedure="false">#REF!</definedName>
    <definedName function="false" hidden="true" name="Query2_SHAPKA1" vbProcedure="false">#REF!</definedName>
    <definedName function="false" hidden="true" name="Query2_SHAPKA2" vbProcedure="false">#REF!</definedName>
    <definedName function="false" hidden="true" name="Query2_SHAPKA3" vbProcedure="false">#REF!</definedName>
    <definedName function="false" hidden="true" name="Query2_SHAPKA4" vbProcedure="false">#REF!</definedName>
    <definedName function="false" hidden="true" name="Query2_V1" vbProcedure="false">#REF!</definedName>
    <definedName function="false" hidden="true" name="Query2_V2" vbProcedure="false">#REF!</definedName>
    <definedName function="false" hidden="true" name="Query2_V3" vbProcedure="false">#REF!</definedName>
    <definedName function="false" hidden="true" name="Query2_V4" vbProcedure="false">#REF!</definedName>
    <definedName function="false" hidden="true" name="Query2_V5" vbProcedure="false">#REF!</definedName>
    <definedName function="false" hidden="true" name="Query2_V6" vbProcedure="false">#REF!</definedName>
    <definedName function="false" hidden="true" name="Query2_V7" vbProcedure="false">#REF!</definedName>
    <definedName function="false" hidden="true" name="Query2_WENAME" vbProcedure="false">#REF!</definedName>
    <definedName function="false" hidden="true" name="Query3_DAT" vbProcedure="false">#REF!</definedName>
    <definedName function="false" hidden="true" name="Query3_DATE" vbProcedure="false">#REF!</definedName>
    <definedName function="false" hidden="true" name="Query3_DOLG" vbProcedure="false">#REF!</definedName>
    <definedName function="false" hidden="true" name="Query3_FIO" vbProcedure="false">#REF!</definedName>
    <definedName function="false" hidden="true" name="Query3_FULLNAME" vbProcedure="false">#REF!</definedName>
    <definedName function="false" hidden="true" name="Query3_PODPIS1" vbProcedure="false">#REF!</definedName>
    <definedName function="false" hidden="true" name="Query3_PODPIS1_FIO" vbProcedure="false">#REF!</definedName>
    <definedName function="false" hidden="true" name="Query3_R1" vbProcedure="false">#REF!</definedName>
    <definedName function="false" hidden="true" name="Query3_R2" vbProcedure="false">#REF!</definedName>
    <definedName function="false" hidden="true" name="Query3_R3" vbProcedure="false">#REF!</definedName>
    <definedName function="false" hidden="true" name="Query3_R4" vbProcedure="false">#REF!</definedName>
    <definedName function="false" hidden="true" name="Query3_R5" vbProcedure="false">#REF!</definedName>
    <definedName function="false" hidden="true" name="Query3_R6" vbProcedure="false">#REF!</definedName>
    <definedName function="false" hidden="true" name="Query3_R7" vbProcedure="false">#REF!</definedName>
    <definedName function="false" hidden="true" name="Query3_TEL" vbProcedure="false">#REF!</definedName>
    <definedName function="false" hidden="true" name="Query3_TITLE" vbProcedure="false">#REF!</definedName>
    <definedName function="false" hidden="true" name="Query3_TITLE5" vbProcedure="false">#REF!</definedName>
    <definedName function="false" hidden="true" name="Query3_USERNAME" vbProcedure="false">#REF!</definedName>
    <definedName function="false" hidden="true" name="Query3_V1" vbProcedure="false">#REF!</definedName>
    <definedName function="false" hidden="true" name="Query3_V2" vbProcedure="false">#REF!</definedName>
    <definedName function="false" hidden="true" name="Query3_V3" vbProcedure="false">#REF!</definedName>
    <definedName function="false" hidden="true" name="Query3_V4" vbProcedure="false">#REF!</definedName>
    <definedName function="false" hidden="true" name="Query3_V5" vbProcedure="false">#REF!</definedName>
    <definedName function="false" hidden="true" name="Query3_V6" vbProcedure="false">#REF!</definedName>
    <definedName function="false" hidden="true" name="Query3_V7" vbProcedure="false">#REF!</definedName>
    <definedName function="false" hidden="true" name="Query4_DAT1" vbProcedure="false">#REF!</definedName>
    <definedName function="false" hidden="true" name="Query4_DAT2" vbProcedure="false">#REF!</definedName>
    <definedName function="false" hidden="true" name="Query4_DOLG" vbProcedure="false">#REF!</definedName>
    <definedName function="false" hidden="true" name="Query4_FIO" vbProcedure="false">#REF!</definedName>
    <definedName function="false" hidden="true" name="Query4_KOD" vbProcedure="false">#REF!</definedName>
    <definedName function="false" hidden="true" name="Query4_LEV" vbProcedure="false">#REF!</definedName>
    <definedName function="false" hidden="true" name="Query4_NAME" vbProcedure="false">#REF!</definedName>
    <definedName function="false" hidden="true" name="Query5_DOLG" vbProcedure="false">#REF!</definedName>
    <definedName function="false" hidden="true" name="Query5_FIO" vbProcedure="false">#REF!</definedName>
    <definedName function="false" hidden="true" name="Query6_COLUMN1" vbProcedure="false">#REF!</definedName>
    <definedName function="false" hidden="true" name="Query7_DAT" vbProcedure="false">#REF!</definedName>
    <definedName function="false" hidden="true" name="Query8_DAT_NOM" vbProcedure="false">#REF!</definedName>
    <definedName function="false" hidden="true" name="rdyaerhysdfh" vbProcedure="false">{#N/A,#N/A,TRUE,"Фин.рез"}</definedName>
    <definedName function="false" hidden="true" name="rdyaerhysdfh_1" vbProcedure="false">{#N/A,#N/A,TRUE,"Фин.рез"}</definedName>
    <definedName function="false" hidden="true" name="RedefinePrintTableRange" vbProcedure="false">#N/A</definedName>
    <definedName function="false" hidden="true" name="rere" vbProcedure="false">{"'Sheet1'!$A$1:$G$85"}</definedName>
    <definedName function="false" hidden="true" name="rfiuogft" vbProcedure="false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function="false" hidden="true" name="rieifr" vbProcedure="false">{"det (May)",#N/A,FALSE,"June";"sum (MAY YTD)",#N/A,FALSE,"June YTD"}</definedName>
    <definedName function="false" hidden="true" name="rieis" vbProcedure="false">{"det (May)",#N/A,FALSE,"June";"sum (MAY YTD)",#N/A,FALSE,"June YTD"}</definedName>
    <definedName function="false" hidden="true" name="roic" vbProcedure="false">{#N/A,#N/A,FALSE,"model"}</definedName>
    <definedName function="false" hidden="true" name="rrrrr" vbProcedure="false">{"NWN_Q1810",#N/A,FALSE,"Q1810_1.V";"NWN_Q1412",#N/A,FALSE,"Q1412_1"}</definedName>
    <definedName function="false" hidden="true" name="rstyud" vbProcedure="false">{"assets",#N/A,FALSE,"historicBS";"liab",#N/A,FALSE,"historicBS";"is",#N/A,FALSE,"historicIS";"ratios",#N/A,FALSE,"ratios"}</definedName>
    <definedName function="false" hidden="true" name="rt" vbProcedure="false">#REF!</definedName>
    <definedName function="false" hidden="true" name="rth56uh56ju" vbProcedure="false">{"glc1",#N/A,FALSE,"GLC";"glc2",#N/A,FALSE,"GLC";"glc3",#N/A,FALSE,"GLC";"glc4",#N/A,FALSE,"GLC";"glc5",#N/A,FALSE,"GLC"}</definedName>
    <definedName function="false" hidden="true" name="rthrfthr" vbProcedure="false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function="false" hidden="true" name="rthrghrt" vbProcedure="false">{"det (May)",#N/A,FALSE,"June";"sum (MAY YTD)",#N/A,FALSE,"June YTD"}</definedName>
    <definedName function="false" hidden="true" name="rtjtyjn" vbProcedure="false">{#N/A,#N/A,TRUE,"Фин.рез"}</definedName>
    <definedName function="false" hidden="true" name="rtjtyjn_1" vbProcedure="false">{#N/A,#N/A,TRUE,"Фин.рез"}</definedName>
    <definedName function="false" hidden="true" name="rtrtnhtrhrr" vbProcedure="false">#REF!</definedName>
    <definedName function="false" hidden="true" name="rtujhde45" vbProcedure="false">{#N/A,#N/A,TRUE,"Фин.рез"}</definedName>
    <definedName function="false" hidden="true" name="rtujhde45_1" vbProcedure="false">{#N/A,#N/A,TRUE,"Фин.рез"}</definedName>
    <definedName function="false" hidden="true" name="rty" vbProcedure="false">{#N/A,#N/A,FALSE,"Aging Summary";#N/A,#N/A,FALSE,"Ratio Analysis";#N/A,#N/A,FALSE,"Test 120 Day Accts";#N/A,#N/A,FALSE,"Tickmarks"}</definedName>
    <definedName function="false" hidden="true" name="RV" vbProcedure="false">{"NWN_Q1810",#N/A,FALSE,"Q1810_1.V";"NWN_Q1412",#N/A,FALSE,"Q1412_1"}</definedName>
    <definedName function="false" hidden="true" name="rvv" vbProcedure="false">{"NWN_Q1810",#N/A,FALSE,"Q1810_1.V";"NWN_Q1412",#N/A,FALSE,"Q1412_1"}</definedName>
    <definedName function="false" hidden="true" name="rwn" vbProcedure="false">{"glc1",#N/A,FALSE,"GLC";"glc2",#N/A,FALSE,"GLC";"glc3",#N/A,FALSE,"GLC";"glc4",#N/A,FALSE,"GLC";"glc5",#N/A,FALSE,"GLC"}</definedName>
    <definedName function="false" hidden="true" name="Rwvu.CapersView." vbProcedure="false">#REF!</definedName>
    <definedName function="false" hidden="true" name="Rwvu.Japan_Capers_Ed_Pub." vbProcedure="false">#REF!</definedName>
    <definedName function="false" hidden="true" name="Rwvu.KJP_CC." vbProcedure="false">#REF!</definedName>
    <definedName function="false" hidden="true" name="rx" vbProcedure="false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function="false" hidden="true" name="rxi" vbProcedure="false">{"det (May)",#N/A,FALSE,"June";"sum (MAY YTD)",#N/A,FALSE,"June YTD"}</definedName>
    <definedName function="false" hidden="true" name="SAPBEXhrIndnt" vbProcedure="false">"Wide"</definedName>
    <definedName function="false" hidden="true" name="SAPBEXrevision" vbProcedure="false">15</definedName>
    <definedName function="false" hidden="true" name="SAPBEXsysID" vbProcedure="false">"SI1"</definedName>
    <definedName function="false" hidden="true" name="SAPBEXwbID" vbProcedure="false">"3ZT8FKTL53ZUBDMEL2VPAO8QR"</definedName>
    <definedName function="false" hidden="true" name="SAPFuncF4" vbProcedure="false">main.sapf4help()</definedName>
    <definedName function="false" hidden="true" name="SAPFuncF4Help" vbProcedure="false">main.sapf4help()</definedName>
    <definedName function="false" hidden="true" name="SAPsysID" vbProcedure="false">"708C5W7SBKP804JT78WJ0JNKI"</definedName>
    <definedName function="false" hidden="true" name="SAPwbID" vbProcedure="false">"ARS"</definedName>
    <definedName function="false" hidden="true" name="savings" vbProcedure="false">{#N/A,#N/A,FALSE,"지침";#N/A,#N/A,FALSE,"환경분석";#N/A,#N/A,FALSE,"Sheet16"}</definedName>
    <definedName function="false" hidden="true" name="Scaba" vbProcedure="false">{#N/A,#N/A,FALSE,"지침";#N/A,#N/A,FALSE,"환경분석";#N/A,#N/A,FALSE,"Sheet16"}</definedName>
    <definedName function="false" hidden="true" name="sdfh" vbProcedure="false">{"'Sheet1'!$A$1:$G$85"}</definedName>
    <definedName function="false" hidden="true" name="sdfhdfxh" vbProcedure="false">{#N/A,#N/A,TRUE,"Фин.рез"}</definedName>
    <definedName function="false" hidden="true" name="sdfhdfxh_1" vbProcedure="false">{#N/A,#N/A,TRUE,"Фин.рез"}</definedName>
    <definedName function="false" hidden="true" name="sdfsd" vbProcedure="false">{"Table A,pg 1",#N/A,FALSE,"Table A-Prov GUR";"Table A,pg 2",#N/A,FALSE,"Table A-Prov GUR"}</definedName>
    <definedName function="false" hidden="true" name="sdfsdf" vbProcedure="false">#REF!</definedName>
    <definedName function="false" hidden="true" name="sdfsg" vbProcedure="false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function="false" hidden="true" name="sdg" vbProcedure="false">{#N/A,#N/A,FALSE,"지침";#N/A,#N/A,FALSE,"환경분석";#N/A,#N/A,FALSE,"Sheet16"}</definedName>
    <definedName function="false" hidden="true" name="sdk" vbProcedure="false">{"'Северо-Никольское '!$A$6:$J$40"}</definedName>
    <definedName function="false" hidden="true" name="sds" vbProcedure="false">#N/A</definedName>
    <definedName function="false" hidden="true" name="sdsss" vbProcedure="false">#REF!</definedName>
    <definedName function="false" hidden="true" name="sencount" vbProcedure="false">1</definedName>
    <definedName function="false" hidden="true" name="sfghd" vbProcedure="false">{"det (May)",#N/A,FALSE,"June";"sum (MAY YTD)",#N/A,FALSE,"June YTD"}</definedName>
    <definedName function="false" hidden="true" name="sfghdf" vbProcedure="false">{#N/A,#N/A,TRUE,"Фин.рез"}</definedName>
    <definedName function="false" hidden="true" name="sfghdf_1" vbProcedure="false">{#N/A,#N/A,TRUE,"Фин.рез"}</definedName>
    <definedName function="false" hidden="true" name="sfjgrwtjwr" vbProcedure="false">{#N/A,#N/A,TRUE,"Фин.рез"}</definedName>
    <definedName function="false" hidden="true" name="sfjgrwtjwr_1" vbProcedure="false">{#N/A,#N/A,TRUE,"Фин.рез"}</definedName>
    <definedName function="false" hidden="true" name="sfjgrwtjwtr" vbProcedure="false">{#N/A,#N/A,TRUE,"Фин.рез"}</definedName>
    <definedName function="false" hidden="true" name="sfjgrwtjwtr_1" vbProcedure="false">{#N/A,#N/A,TRUE,"Фин.рез"}</definedName>
    <definedName function="false" hidden="true" name="sfjgrwtw" vbProcedure="false">{#N/A,#N/A,TRUE,"Фин.рез"}</definedName>
    <definedName function="false" hidden="true" name="sfjgrwtw_1" vbProcedure="false">{#N/A,#N/A,TRUE,"Фин.рез"}</definedName>
    <definedName function="false" hidden="true" name="sgdgs" vbProcedure="false">#REF!</definedName>
    <definedName function="false" hidden="true" name="sgsd" vbProcedure="false">#REF!</definedName>
    <definedName function="false" hidden="true" name="Sheet5bvhjvgkghk" vbProcedure="false">{"det (May)",#N/A,FALSE,"June";"sum (MAY YTD)",#N/A,FALSE,"June YTD"}</definedName>
    <definedName function="false" hidden="true" name="shshryhasyhj" vbProcedure="false">#N/A</definedName>
    <definedName function="false" hidden="true" name="shss" vbProcedure="false">#N/A</definedName>
    <definedName function="false" hidden="true" name="sici" vbProcedure="false">{"det (May)",#N/A,FALSE,"June";"sum (MAY YTD)",#N/A,FALSE,"June YTD"}</definedName>
    <definedName function="false" hidden="true" name="sjjsrtjwret" vbProcedure="false">{#N/A,#N/A,TRUE,"Фин.рез"}</definedName>
    <definedName function="false" hidden="true" name="sjjsrtjwret_1" vbProcedure="false">{#N/A,#N/A,TRUE,"Фин.рез"}</definedName>
    <definedName function="false" hidden="true" name="sjtrdsjyt" vbProcedure="false">{#N/A,#N/A,TRUE,"Фин.рез"}</definedName>
    <definedName function="false" hidden="true" name="sjtrdsjyt_1" vbProcedure="false">{#N/A,#N/A,TRUE,"Фин.рез"}</definedName>
    <definedName function="false" hidden="true" name="slov" vbProcedure="false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function="false" hidden="true" name="slovx" vbProcedure="false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function="false" hidden="true" name="so" vbProcedure="false">{#N/A,#N/A,FALSE,"지침";#N/A,#N/A,FALSE,"환경분석";#N/A,#N/A,FALSE,"Sheet16"}</definedName>
    <definedName function="false" hidden="true" name="Soft" vbProcedure="false">{"det (May)",#N/A,FALSE,"June";"sum (MAY YTD)",#N/A,FALSE,"June YTD"}</definedName>
    <definedName function="false" hidden="true" name="soft2" vbProcedure="false">#REF!</definedName>
    <definedName function="false" hidden="true" name="softx" vbProcedure="false">{"det (May)",#N/A,FALSE,"June";"sum (MAY YTD)",#N/A,FALSE,"June YTD"}</definedName>
    <definedName function="false" hidden="true" name="solver11" vbProcedure="false">#REF!</definedName>
    <definedName function="false" hidden="true" name="solver_adj" vbProcedure="false">#REF!</definedName>
    <definedName function="false" hidden="true" name="solver_cvg" vbProcedure="false">0.0001</definedName>
    <definedName function="false" hidden="true" name="solver_drv" vbProcedure="false">1</definedName>
    <definedName function="false" hidden="true" name="solver_est" vbProcedure="false">1</definedName>
    <definedName function="false" hidden="true" name="solver_itr" vbProcedure="false">100</definedName>
    <definedName function="false" hidden="true" name="solver_lhs1" vbProcedure="false">#REF!</definedName>
    <definedName function="false" hidden="true" name="solver_lhs2" vbProcedure="false">#REF!</definedName>
    <definedName function="false" hidden="true" name="solver_lin" vbProcedure="false">0</definedName>
    <definedName function="false" hidden="true" name="solver_neg" vbProcedure="false">2</definedName>
    <definedName function="false" hidden="true" name="solver_num" vbProcedure="false">0</definedName>
    <definedName function="false" hidden="true" name="solver_nwt" vbProcedure="false">1</definedName>
    <definedName function="false" hidden="true" name="solver_opt" vbProcedure="false">#REF!</definedName>
    <definedName function="false" hidden="true" name="solver_pre" vbProcedure="false">0.000001</definedName>
    <definedName function="false" hidden="true" name="solver_rel1" vbProcedure="false">2</definedName>
    <definedName function="false" hidden="true" name="solver_rel2" vbProcedure="false">1</definedName>
    <definedName function="false" hidden="true" name="solver_rhs1" vbProcedure="false">#REF!/#REF!</definedName>
    <definedName function="false" hidden="true" name="solver_rhs2" vbProcedure="false">240000</definedName>
    <definedName function="false" hidden="true" name="solver_scl" vbProcedure="false">2</definedName>
    <definedName function="false" hidden="true" name="solver_sho" vbProcedure="false">2</definedName>
    <definedName function="false" hidden="true" name="solver_tim" vbProcedure="false">100</definedName>
    <definedName function="false" hidden="true" name="solver_tol" vbProcedure="false">0.05</definedName>
    <definedName function="false" hidden="true" name="solver_typ" vbProcedure="false">1</definedName>
    <definedName function="false" hidden="true" name="solver_val" vbProcedure="false">0</definedName>
    <definedName function="false" hidden="true" name="srthrhrt" vbProcedure="false">{"det (May)",#N/A,FALSE,"June";"sum (MAY YTD)",#N/A,FALSE,"June YTD"}</definedName>
    <definedName function="false" hidden="true" name="srthtrhjytj" vbProcedure="false">{"det (May)",#N/A,FALSE,"June";"sum (MAY YTD)",#N/A,FALSE,"June YTD"}</definedName>
    <definedName function="false" hidden="true" name="srtjnmt" vbProcedure="false">{#N/A,#N/A,TRUE,"Фин.рез"}</definedName>
    <definedName function="false" hidden="true" name="srtjnmt_1" vbProcedure="false">{#N/A,#N/A,TRUE,"Фин.рез"}</definedName>
    <definedName function="false" hidden="true" name="srtjrswj" vbProcedure="false">{#N/A,#N/A,TRUE,"Фин.рез"}</definedName>
    <definedName function="false" hidden="true" name="srtjrswj_1" vbProcedure="false">{#N/A,#N/A,TRUE,"Фин.рез"}</definedName>
    <definedName function="false" hidden="true" name="srtjsrd" vbProcedure="false">{#N/A,#N/A,TRUE,"Фин.рез"}</definedName>
    <definedName function="false" hidden="true" name="srtjsrd_1" vbProcedure="false">{#N/A,#N/A,TRUE,"Фин.рез"}</definedName>
    <definedName function="false" hidden="true" name="srtjstjytj" vbProcedure="false">{"det (May)",#N/A,FALSE,"June";"sum (MAY YTD)",#N/A,FALSE,"June YTD"}</definedName>
    <definedName function="false" hidden="true" name="srtjtyjtyj" vbProcedure="false">{"det (May)",#N/A,FALSE,"June";"sum (MAY YTD)",#N/A,FALSE,"June YTD"}</definedName>
    <definedName function="false" hidden="true" name="srtjwrtj" vbProcedure="false">{#N/A,#N/A,TRUE,"Фин.рез"}</definedName>
    <definedName function="false" hidden="true" name="srtjwrtj_1" vbProcedure="false">{#N/A,#N/A,TRUE,"Фин.рез"}</definedName>
    <definedName function="false" hidden="true" name="srtyjtyjtyj" vbProcedure="false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function="false" hidden="true" name="ssy" vbProcedure="false">#N/A</definedName>
    <definedName function="false" hidden="true" name="st" vbProcedure="false">#REF!</definedName>
    <definedName function="false" hidden="true" name="stella" vbProcedure="false">{"det (May)",#N/A,FALSE,"June";"sum (MAY YTD)",#N/A,FALSE,"June YTD"}</definedName>
    <definedName function="false" hidden="true" name="stellax" vbProcedure="false">{"det (May)",#N/A,FALSE,"June";"sum (MAY YTD)",#N/A,FALSE,"June YTD"}</definedName>
    <definedName function="false" hidden="true" name="sthstghr" vbProcedure="false">{"det (May)",#N/A,FALSE,"June";"sum (MAY YTD)",#N/A,FALSE,"June YTD"}</definedName>
    <definedName function="false" hidden="true" name="str" vbProcedure="false">#REF!</definedName>
    <definedName function="false" hidden="true" name="summary2" vbProcedure="false">{#N/A,#N/A,FALSE,"Aging Summary";#N/A,#N/A,FALSE,"Ratio Analysis";#N/A,#N/A,FALSE,"Test 120 Day Accts";#N/A,#N/A,FALSE,"Tickmarks"}</definedName>
    <definedName function="false" hidden="true" name="Swvu.CapersView." vbProcedure="false">#REF!</definedName>
    <definedName function="false" hidden="true" name="Swvu.Japan_Capers_Ed_Pub." vbProcedure="false">#REF!</definedName>
    <definedName function="false" hidden="true" name="Swvu.KJP_CC." vbProcedure="false">#REF!</definedName>
    <definedName function="false" hidden="true" name="t" vbProcedure="false">#REF!</definedName>
    <definedName function="false" hidden="true" name="tabla12" vbProcedure="false">{"Table A1,pg 1",#N/A,FALSE,"Table A1-Net Prov Res";"Table A1,pg 2",#N/A,FALSE,"Table A1-Net Prov Res"}</definedName>
    <definedName function="false" hidden="true" name="table12" vbProcedure="false">{"Table A,pg 1",#N/A,FALSE,"Table A-Prov GUR";"Table A,pg 2",#N/A,FALSE,"Table A-Prov GUR"}</definedName>
    <definedName function="false" hidden="true" name="Table3" vbProcedure="false">#REF!</definedName>
    <definedName function="false" hidden="true" name="Table9" vbProcedure="false">{"Table A,pg 1",#N/A,FALSE,"Table A-Prov GUR";"Table A,pg 2",#N/A,FALSE,"Table A-Prov GUR"}</definedName>
    <definedName function="false" hidden="true" name="Table9A" vbProcedure="false">{"Table A1,pg 1",#N/A,FALSE,"Table A1-Net Prov Res";"Table A1,pg 2",#N/A,FALSE,"Table A1-Net Prov Res"}</definedName>
    <definedName function="false" hidden="true" name="tanya" vbProcedure="false">{#N/A,#N/A,FALSE,"Aging Summary";#N/A,#N/A,FALSE,"Ratio Analysis";#N/A,#N/A,FALSE,"Test 120 Day Accts";#N/A,#N/A,FALSE,"Tickmarks"}</definedName>
    <definedName function="false" hidden="true" name="Tbl14a" vbProcedure="false">{"Table A1,pg 1",#N/A,FALSE,"Table A1-Net Prov Res";"Table A1,pg 2",#N/A,FALSE,"Table A1-Net Prov Res"}</definedName>
    <definedName function="false" hidden="true" name="TBL_12" vbProcedure="false">{"Table A1,pg 1",#N/A,FALSE,"Table A1-Net Prov Res";"Table A1,pg 2",#N/A,FALSE,"Table A1-Net Prov Res"}</definedName>
    <definedName function="false" hidden="true" name="tdjytjd" vbProcedure="false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function="false" hidden="true" name="tdyu356u" vbProcedure="false">{#N/A,#N/A,TRUE,"Фин.рез"}</definedName>
    <definedName function="false" hidden="true" name="tdyu356u_1" vbProcedure="false">{#N/A,#N/A,TRUE,"Фин.рез"}</definedName>
    <definedName function="false" hidden="true" name="Template" vbProcedure="false">#REF!</definedName>
    <definedName function="false" hidden="true" name="tertw" vbProcedure="false">{#N/A,#N/A,FALSE,"Aging Summary";#N/A,#N/A,FALSE,"Ratio Analysis";#N/A,#N/A,FALSE,"Test 120 Day Accts";#N/A,#N/A,FALSE,"Tickmarks"}</definedName>
    <definedName function="false" hidden="true" name="test3" vbProcedure="false">{#N/A,#N/A,FALSE,"FA_1";#N/A,#N/A,FALSE,"Dep'n SE";#N/A,#N/A,FALSE,"Dep'n FC"}</definedName>
    <definedName function="false" hidden="true" name="TextRefCopyRangeCount" vbProcedure="false">67</definedName>
    <definedName function="false" hidden="true" name="Teya1" vbProcedure="false">#REF!</definedName>
    <definedName function="false" hidden="true" name="Teya2" vbProcedure="false">#REF!</definedName>
    <definedName function="false" hidden="true" name="Teya3" vbProcedure="false">#REF!</definedName>
    <definedName function="false" hidden="true" name="Teya4" vbProcedure="false">#REF!</definedName>
    <definedName function="false" hidden="true" name="Teya5" vbProcedure="false">#REF!</definedName>
    <definedName function="false" hidden="true" name="Teya6" vbProcedure="false">#REF!</definedName>
    <definedName function="false" hidden="true" name="Teya7" vbProcedure="false">#REF!</definedName>
    <definedName function="false" hidden="true" name="tjdtjytg" vbProcedure="false">{"det (May)",#N/A,FALSE,"June";"sum (MAY YTD)",#N/A,FALSE,"June YTD"}</definedName>
    <definedName function="false" hidden="true" name="tjymn" vbProcedure="false">{#N/A,#N/A,TRUE,"Фин.рез"}</definedName>
    <definedName function="false" hidden="true" name="tjymn_1" vbProcedure="false">{#N/A,#N/A,TRUE,"Фин.рез"}</definedName>
    <definedName function="false" hidden="true" name="tkuku" vbProcedure="false">{"det (May)",#N/A,FALSE,"June";"sum (MAY YTD)",#N/A,FALSE,"June YTD"}</definedName>
    <definedName function="false" hidden="true" name="tlo" vbProcedure="false">{"'Северо-Никольское '!$A$6:$J$40"}</definedName>
    <definedName function="false" hidden="true" name="trjtyj" vbProcedure="false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function="false" hidden="true" name="trrt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trurtgf" vbProcedure="false">{#N/A,#N/A,FALSE,"Aging Summary";#N/A,#N/A,FALSE,"Ratio Analysis";#N/A,#N/A,FALSE,"Test 120 Day Accts";#N/A,#N/A,FALSE,"Tickmarks"}</definedName>
    <definedName function="false" hidden="true" name="ttttt" vbProcedure="false">{#N/A,#N/A,FALSE,"지침";#N/A,#N/A,FALSE,"환경분석";#N/A,#N/A,FALSE,"Sheet16"}</definedName>
    <definedName function="false" hidden="true" name="tyiukkj" vbProcedure="false">{#N/A,#N/A,TRUE,"Фин.рез"}</definedName>
    <definedName function="false" hidden="true" name="tyiukkj_1" vbProcedure="false">{#N/A,#N/A,TRUE,"Фин.рез"}</definedName>
    <definedName function="false" hidden="true" name="tyjdyj" vbProcedure="false">{"det (May)",#N/A,FALSE,"June";"sum (MAY YTD)",#N/A,FALSE,"June YTD"}</definedName>
    <definedName function="false" hidden="true" name="tyjtjd" vbProcedure="false">{"det (May)",#N/A,FALSE,"June";"sum (MAY YTD)",#N/A,FALSE,"June YTD"}</definedName>
    <definedName function="false" hidden="true" name="tyjtyhfrth" vbProcedure="false">{"det (May)",#N/A,FALSE,"June";"sum (MAY YTD)",#N/A,FALSE,"June YTD"}</definedName>
    <definedName function="false" hidden="true" name="tyktykdty" vbProcedure="false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function="false" hidden="true" name="tykukyu" vbProcedure="false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function="false" hidden="true" name="tyujtujty" vbProcedure="false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function="false" hidden="true" name="uiy" vbProcedure="false">{"'Северо-Никольское '!$A$6:$J$40"}</definedName>
    <definedName function="false" hidden="true" name="ukdtuykfk" vbProcedure="false">{"det (May)",#N/A,FALSE,"June";"sum (MAY YTD)",#N/A,FALSE,"June YTD"}</definedName>
    <definedName function="false" hidden="true" name="ukh" vbProcedure="false">{"'Северо-Никольское '!$A$6:$J$40"}</definedName>
    <definedName function="false" hidden="true" name="uliygu" vbProcedure="false">{"'Северо-Никольское '!$A$6:$J$40"}</definedName>
    <definedName function="false" hidden="true" name="uoi" vbProcedure="false">{"'Северо-Никольское '!$A$6:$J$40"}</definedName>
    <definedName function="false" hidden="true" name="utluilu" vbProcedure="false">{"det (May)",#N/A,FALSE,"June";"sum (MAY YTD)",#N/A,FALSE,"June YTD"}</definedName>
    <definedName function="false" hidden="true" name="uuu" vbProcedure="false">#REF!</definedName>
    <definedName function="false" hidden="true" name="v" vbProcedure="false">{"'Северо-Никольское '!$A$6:$J$40"}</definedName>
    <definedName function="false" hidden="true" name="vaaaaaavavv" vbProcedure="false">#N/A</definedName>
    <definedName function="false" hidden="true" name="VARI" vbProcedure="false">{#N/A,#N/A,FALSE,"지침";#N/A,#N/A,FALSE,"환경분석";#N/A,#N/A,FALSE,"Sheet16"}</definedName>
    <definedName function="false" hidden="true" name="VARIA" vbProcedure="false">{#N/A,#N/A,FALSE,"지침";#N/A,#N/A,FALSE,"환경분석";#N/A,#N/A,FALSE,"Sheet16"}</definedName>
    <definedName function="false" hidden="true" name="vbnm" vbProcedure="false">{"'Северо-Никольское '!$A$6:$J$40"}</definedName>
    <definedName function="false" hidden="true" name="vby" vbProcedure="false">{"'Северо-Никольское '!$A$6:$J$40"}</definedName>
    <definedName function="false" hidden="true" name="vertex42_copyright" vbProcedure="false">"© 2015 Vertex42 LLC"</definedName>
    <definedName function="false" hidden="true" name="vertex42_id" vbProcedure="false">"waterfall-chart.xlsx"</definedName>
    <definedName function="false" hidden="true" name="vertex42_title" vbProcedure="false">"Waterfall Chart Template"</definedName>
    <definedName function="false" hidden="true" name="vvv" vbProcedure="false">{"Area1",#N/A,FALSE,"OREWACC";"Area2",#N/A,FALSE,"OREWACC"}</definedName>
    <definedName function="false" hidden="true" name="w.forecast" vbProcedure="false">{#N/A,#N/A,FALSE,"model"}</definedName>
    <definedName function="false" hidden="true" name="w.forecast2" vbProcedure="false">{#N/A,#N/A,FALSE,"model"}</definedName>
    <definedName function="false" hidden="true" name="w2.forecast" vbProcedure="false">{#N/A,#N/A,FALSE,"model"}</definedName>
    <definedName function="false" hidden="true" name="w45thu4y45wtyt4e5" vbProcedure="false">{#N/A,#N/A,TRUE,"Фин.рез"}</definedName>
    <definedName function="false" hidden="true" name="w45thu4y45wtyt4e5_1" vbProcedure="false">{#N/A,#N/A,TRUE,"Фин.рез"}</definedName>
    <definedName function="false" hidden="true" name="w45uhyb54tyhb" vbProcedure="false">{#N/A,#N/A,TRUE,"Фин.рез"}</definedName>
    <definedName function="false" hidden="true" name="w45uhyb54tyhb_1" vbProcedure="false">{#N/A,#N/A,TRUE,"Фин.рез"}</definedName>
    <definedName function="false" hidden="true" name="w45yuh45we" vbProcedure="false">{#N/A,#N/A,TRUE,"Фин.рез"}</definedName>
    <definedName function="false" hidden="true" name="w45yuh45we_1" vbProcedure="false">{#N/A,#N/A,TRUE,"Фин.рез"}</definedName>
    <definedName function="false" hidden="true" name="w4q5y7uh45b4w5e" vbProcedure="false">{#N/A,#N/A,TRUE,"Фин.рез"}</definedName>
    <definedName function="false" hidden="true" name="w4q5y7uh45b4w5e_1" vbProcedure="false">{#N/A,#N/A,TRUE,"Фин.рез"}</definedName>
    <definedName function="false" hidden="true" name="Warlos" vbProcedure="false">#REF!</definedName>
    <definedName function="false" hidden="true" name="werftdsfgdfg" vbProcedure="false">{"det (May)",#N/A,FALSE,"June";"sum (MAY YTD)",#N/A,FALSE,"June YTD"}</definedName>
    <definedName function="false" hidden="true" name="wergqerrgqwergr" vbProcedure="false">#N/A</definedName>
    <definedName function="false" hidden="true" name="werwer" vbProcedure="false">#REF!</definedName>
    <definedName function="false" hidden="true" name="west" vbProcedure="false">{"data",#N/A,FALSE,"INPUT"}</definedName>
    <definedName function="false" hidden="true" name="weyw" vbProcedure="false">#REF!</definedName>
    <definedName function="false" hidden="true" name="wgyerhy" vbProcedure="false">{#N/A,#N/A,FALSE,"지침";#N/A,#N/A,FALSE,"환경분석";#N/A,#N/A,FALSE,"Sheet16"}</definedName>
    <definedName function="false" hidden="true" name="wqe" vbProcedure="false">#REF!</definedName>
    <definedName function="false" hidden="true" name="wqrrrrrrrr" vbProcedure="false">{#N/A,#N/A,TRUE,"Фин.рез"}</definedName>
    <definedName function="false" hidden="true" name="wqrrrrrrrr_1" vbProcedure="false">{#N/A,#N/A,TRUE,"Фин.рез"}</definedName>
    <definedName function="false" hidden="true" name="wreywr" vbProcedure="false">#REF!</definedName>
    <definedName function="false" hidden="true" name="wrg.aug" vbProcedure="false">{"det (May)",#N/A,FALSE,"June";"sum (MAY YTD)",#N/A,FALSE,"June YTD"}</definedName>
    <definedName function="false" hidden="true" name="wrn.10._.Per._.Cent._.Success." vbProcedure="false">{#N/A,"10% Success",FALSE,"Sales Forecast";#N/A,#N/A,FALSE,"Sheet2"}</definedName>
    <definedName function="false" hidden="true" name="wrn.100._.Per._.Cent._.Success." vbProcedure="false">{#N/A,"100% Success",TRUE,"Sales Forecast";#N/A,#N/A,TRUE,"Sheet2"}</definedName>
    <definedName function="false" hidden="true" name="wrn.111." vbProcedure="false">{#N/A,#N/A,TRUE,"Фин.рез"}</definedName>
    <definedName function="false" hidden="true" name="wrn.111._1" vbProcedure="false">{#N/A,#N/A,TRUE,"Фин.рез"}</definedName>
    <definedName function="false" hidden="true" name="wrn.112." vbProcedure="false">{#N/A,#N/A,TRUE,"Фин.рез"}</definedName>
    <definedName function="false" hidden="true" name="wrn.112._1" vbProcedure="false">{#N/A,#N/A,TRUE,"Фин.рез"}</definedName>
    <definedName function="false" hidden="true" name="wrn.30._.Per._.Cent." vbProcedure="false">{#N/A,"30% Success",TRUE,"Sales Forecast";#N/A,#N/A,TRUE,"Sheet2"}</definedName>
    <definedName function="false" hidden="true" name="wrn.70._.Per._.Cent._.Success." vbProcedure="false">{#N/A,"70% Success",FALSE,"Sales Forecast";#N/A,#N/A,FALSE,"Sheet2"}</definedName>
    <definedName function="false" hidden="true" name="wrn.97." vbProcedure="false">{#N/A,#N/A,FALSE,"지침";#N/A,#N/A,FALSE,"환경분석";#N/A,#N/A,FALSE,"Sheet16"}</definedName>
    <definedName function="false" hidden="true" name="wrn.aaa." vbProcedure="false">{"a",#N/A,FALSE,"Report2"}</definedName>
    <definedName function="false" hidden="true" name="wrn.ALL." vbProcedure="false">{"AR",#N/A,FALSE,"ASMGTSUM";"INV",#N/A,FALSE,"ASMGTSUM";"HCCOMP",#N/A,FALSE,"ASMGTSUM";"cap.depr",#N/A,FALSE,"ASMGTSUM"}</definedName>
    <definedName function="false" hidden="true" name="wrn.All._.Sheets._.One._.by._.One." vbProcedure="false">{#N/A,#N/A,FALSE,"Info";#N/A,#N/A,FALSE,"Op I";#N/A,#N/A,FALSE,"Op O";#N/A,#N/A,FALSE,"LBO I";#N/A,#N/A,FALSE,"LBO O";#N/A,#N/A,FALSE,"Taxes"}</definedName>
    <definedName function="false" hidden="true" name="wrn.aug" vbProcedure="false">{"det (May)",#N/A,FALSE,"June";"sum (MAY YTD)",#N/A,FALSE,"June YTD"}</definedName>
    <definedName function="false" hidden="true" name="wrn.augyt" vbProcedure="false">{"det (May)",#N/A,FALSE,"June";"sum (MAY YTD)",#N/A,FALSE,"June YTD"}</definedName>
    <definedName function="false" hidden="true" name="wrn.augYTD" vbProcedure="false">{"det (May)",#N/A,FALSE,"June";"sum (MAY YTD)",#N/A,FALSE,"June YTD"}</definedName>
    <definedName function="false" hidden="true" name="wrn.augYTDx" vbProcedure="false">{"det (May)",#N/A,FALSE,"June";"sum (MAY YTD)",#N/A,FALSE,"June YTD"}</definedName>
    <definedName function="false" hidden="true" name="wrn.augytx" vbProcedure="false">{"det (May)",#N/A,FALSE,"June";"sum (MAY YTD)",#N/A,FALSE,"June YTD"}</definedName>
    <definedName function="false" hidden="true" name="wrn.Basic._.Report." vbProcedure="false">{#N/A,#N/A,FALSE,"New Depr Sch-150% DB";#N/A,#N/A,FALSE,"Cash Flows RLP";#N/A,#N/A,FALSE,"IRR";#N/A,#N/A,FALSE,"Proforma IS";#N/A,#N/A,FALSE,"Assumptions"}</definedName>
    <definedName function="false" hidden="true" name="wrn.brol." vbProcedure="false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function="false" hidden="true" name="wrn.C1000BAS." vbProcedure="false">{#N/A,"BRÅNEMARK",FALSE,"C1000BAS";#N/A,"PROCERA",FALSE,"C1000BAS"}</definedName>
    <definedName function="false" hidden="true" name="wrn.CapersPlotter." vbProcedure="false">{#N/A,#N/A,FALSE,"DI 2 YEAR MASTER SCHEDULE"}</definedName>
    <definedName function="false" hidden="true" name="wrn.clientcopy." vbProcedure="false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function="false" hidden="true" name="wrn.Coded._.IAS._.FS." vbProcedure="false">{"IASTrail",#N/A,FALSE,"IAS"}</definedName>
    <definedName function="false" hidden="true" name="wrn.Complete._.Report." vbProcedure="false">{#N/A,#N/A,FALSE,"Assumptions";#N/A,#N/A,FALSE,"Proforma IS";#N/A,#N/A,FALSE,"Cash Flows RLP";#N/A,#N/A,FALSE,"IRR";#N/A,#N/A,FALSE,"New Depr Sch-150% DB";#N/A,#N/A,FALSE,"Comments"}</definedName>
    <definedName function="false" hidden="true" name="wrn.Covenants." vbProcedure="false">{"Summary",#N/A,FALSE,"Covenants";"Detailed summary",#N/A,FALSE,"Covenants"}</definedName>
    <definedName function="false" hidden="true" name="wrn.data." vbProcedure="false">{"data",#N/A,FALSE,"INPUT"}</definedName>
    <definedName function="false" hidden="true" name="wrn.DCFEpervier." vbProcedure="false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function="false" hidden="true" name="wrn.Earnings._.Model." vbProcedure="false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function="false" hidden="true" name="wrn.Edutainment._.Priority._.List." vbProcedure="false">{#N/A,#N/A,FALSE,"DI 2 YEAR MASTER SCHEDULE"}</definedName>
    <definedName function="false" hidden="true" name="wrn.filecopy." vbProcedure="false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function="false" hidden="true" name="wrn.Fixed._.Assets._.Note._.and._.Depreciation." vbProcedure="false">{#N/A,#N/A,FALSE,"FA_1";#N/A,#N/A,FALSE,"Dep'n SE";#N/A,#N/A,FALSE,"Dep'n FC"}</definedName>
    <definedName function="false" hidden="true" name="wrn.forecast." vbProcedure="false">{#N/A,#N/A,FALSE,"model"}</definedName>
    <definedName function="false" hidden="true" name="wrn.forecast2" vbProcedure="false">{#N/A,#N/A,FALSE,"model"}</definedName>
    <definedName function="false" hidden="true" name="wrn.forecastassumptions." vbProcedure="false">{#N/A,#N/A,FALSE,"model"}</definedName>
    <definedName function="false" hidden="true" name="wrn.forecastassumptions2" vbProcedure="false">{#N/A,#N/A,FALSE,"model"}</definedName>
    <definedName function="false" hidden="true" name="wrn.forecastROIC." vbProcedure="false">{#N/A,#N/A,FALSE,"model"}</definedName>
    <definedName function="false" hidden="true" name="wrn.Full._.IAS._.STATEMENTS." vbProcedure="false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function="false" hidden="true" name="wrn.Full._.report._.excl._.detailed._.schedules." vbProcedure="false">{"Cover",#N/A,TRUE,"Cover";"Structure",#N/A,TRUE,"STRUCTURE";"Returns",#N/A,TRUE,"RETURNS";"Financing",#N/A,TRUE,"FINANCING";"Exit valuation",#N/A,TRUE,"EXIT VALUATION";"Adjustments",#N/A,TRUE,"Adjustments";"Maintainable earnings",#N/A,TRUE,"Maintainable earnings";"Input sheet",#N/A,TRUE,"Inputs";"Redundancy plan",#N/A,TRUE,"Restructuring Plan";"Taxes",#N/A,TRUE,"Tax Schedule"}</definedName>
    <definedName function="false" hidden="true" name="wrn.Full._.TRAIL." vbProcedure="false">{"IAS Mapping",#N/A,FALSE,"RSA_FS";#N/A,#N/A,FALSE,"CHECK!";#N/A,#N/A,FALSE,"Recon";#N/A,#N/A,FALSE,"NMG";#N/A,#N/A,FALSE,"Journals";"AnalRSA",#N/A,FALSE,"PL-Anal";"AnalIAS",#N/A,FALSE,"PL-Anal";#N/A,#N/A,FALSE,"COS"}</definedName>
    <definedName function="false" hidden="true" name="wrn.Full._.without._.data." vbProcedure="false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function="false" hidden="true" name="wrn.handout." vbProcedure="false">{"quarterly",#N/A,FALSE,"Income Statement New CPB";"annual",#N/A,FALSE,"Income Statement New CPB";"cash flow",#N/A,FALSE,"Cash Flow";"balance",#N/A,FALSE,"Balance Sheet";"seg",#N/A,FALSE,"New Segment Breakout"}</definedName>
    <definedName function="false" hidden="true" name="wrn.Help." vbProcedure="false">{#N/A,#N/A,TRUE,"MAP";#N/A,#N/A,TRUE,"STEPS";#N/A,#N/A,TRUE,"RULES"}</definedName>
    <definedName function="false" hidden="true" name="wrn.history." vbProcedure="false">{#N/A,#N/A,FALSE,"model"}</definedName>
    <definedName function="false" hidden="true" name="wrn.histROIC." vbProcedure="false">{#N/A,#N/A,FALSE,"model"}</definedName>
    <definedName function="false" hidden="true" name="wrn.IAS._.BS._.PL._.CF._.and._.Notes." vbProcedure="false">{"IASBS",#N/A,TRUE,"IAS";"IASPL",#N/A,TRUE,"IAS";"IASNotes",#N/A,TRUE,"IAS";"CFDir - expanded",#N/A,TRUE,"CF DIR"}</definedName>
    <definedName function="false" hidden="true" name="wrn.IAS._.FS._.ZOOMED._.IN._.Forms." vbProcedure="false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function="false" hidden="true" name="wrn.IAS._.Mapping." vbProcedure="false">{"IAS Mapping",#N/A,TRUE,"RSA_FS"}</definedName>
    <definedName function="false" hidden="true" name="wrn.Inflation._.factors._.used." vbProcedure="false">{#N/A,#N/A,FALSE,"Infl_fact"}</definedName>
    <definedName function="false" hidden="true" name="wrn.Japan_Capers_Ed._.Pub." vbProcedure="false">{"Japan_Capers_Ed_Pub",#N/A,FALSE,"DI 2 YEAR MASTER SCHEDULE"}</definedName>
    <definedName function="false" hidden="true" name="wrn.June." vbProcedure="false">{"det (May)",#N/A,FALSE,"June";"sum (MAY YTD)",#N/A,FALSE,"June YTD"}</definedName>
    <definedName function="false" hidden="true" name="wrn.Komplett." vbProcedure="false">{#N/A,#N/A,TRUE,"Sida1";#N/A,#N/A,TRUE,"Sida2";#N/A,#N/A,TRUE,"Värdebed";#N/A,#N/A,TRUE,"Likviditet";#N/A,#N/A,TRUE,"Avk_värde"}</definedName>
    <definedName function="false" hidden="true" name="wrn.list" vbProcedure="false">{#N/A,#N/A,FALSE,"101"}</definedName>
    <definedName function="false" hidden="true" name="wrn.list." vbProcedure="false">{#N/A,#N/A,FALSE,"101"}</definedName>
    <definedName function="false" hidden="true" name="wrn.Manpower." vbProcedure="false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function="false" hidden="true" name="wrn.market._.share." vbProcedure="false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function="false" hidden="true" name="wrn.NWN_QUOTES." vbProcedure="false">{"NWN_Q1810",#N/A,FALSE,"Q1810_1.V";"NWN_Q1412",#N/A,FALSE,"Q1412_1"}</definedName>
    <definedName function="false" hidden="true" name="wrn.Obaly." vbProcedure="false">{#N/A,#N/A,FALSE,"Obaly celkové"}</definedName>
    <definedName function="false" hidden="true" name="wrn.one." vbProcedure="false">{"page1",#N/A,FALSE,"A";"page2",#N/A,FALSE,"A"}</definedName>
    <definedName function="false" hidden="true" name="wrn.opex." vbProcedure="false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function="false" hidden="true" name="wrn.opex._.latest." vbProcedure="false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function="false" hidden="true" name="wrn.PL._.Analysis." vbProcedure="false">{"AnalRSA",#N/A,TRUE,"PL-Anal";"AnalIAS",#N/A,TRUE,"PL-Anal"}</definedName>
    <definedName function="false" hidden="true" name="wrn.PL._.Report." vbProcedure="false">{"Page1",#N/A,TRUE,"P&amp;LREP";"PAge 2",#N/A,TRUE,"P&amp;LREP";"Page3",#N/A,TRUE,"P&amp;LREP";"Page4",#N/A,TRUE,"P&amp;LREP"}</definedName>
    <definedName function="false" hidden="true" name="wrn.Pokus._.1." vbProcedure="false">{#N/A,#N/A,FALSE,"Kalkulace"}</definedName>
    <definedName function="false" hidden="true" name="wrn.pokus._.2." vbProcedure="false">{#N/A,#N/A,FALSE,"Kalkulace"}</definedName>
    <definedName function="false" hidden="true" name="wrn.print95and96." vbProcedure="false">{"print95",#N/A,FALSE,"1995E.XLS";"print96",#N/A,FALSE,"1996E.XLS"}</definedName>
    <definedName function="false" hidden="true" name="wrn.Priority._.list." vbProcedure="false">{#N/A,#N/A,FALSE,"DI 2 YEAR MASTER SCHEDULE"}</definedName>
    <definedName function="false" hidden="true" name="wrn.Prjcted._.Mnthly._.Qtys." vbProcedure="false">{#N/A,#N/A,FALSE,"PRJCTED MNTHLY QTY's"}</definedName>
    <definedName function="false" hidden="true" name="wrn.Prjcted._.Qtrly._.Dollars." vbProcedure="false">{#N/A,#N/A,FALSE,"PRJCTED QTRLY $'s"}</definedName>
    <definedName function="false" hidden="true" name="wrn.Prjcted._.Qtrly._.Qtys." vbProcedure="false">{#N/A,#N/A,FALSE,"PRJCTED QTRLY QTY's"}</definedName>
    <definedName function="false" hidden="true" name="wrn.ptp." vbProcedure="false">{#N/A,#N/A,FALSE,"RELATÓRIO";#N/A,#N/A,FALSE,"RELATÓRIO"}</definedName>
    <definedName function="false" hidden="true" name="wrn.QUARTERLY._.VIEW." vbProcedure="false">{"QUARTERLY VIEW",#N/A,FALSE,"YEAR TOTAL"}</definedName>
    <definedName function="false" hidden="true" name="wrn.REPORT1." vbProcedure="false">{"PRINTME",#N/A,FALSE,"FINAL-10"}</definedName>
    <definedName function="false" hidden="true" name="wrn.RESULTS." vbProcedure="false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function="false" hidden="true" name="wrn.RSA._.BS._.and._.PL." vbProcedure="false">{"BS1",#N/A,TRUE,"RSA_FS";"BS2",#N/A,TRUE,"RSA_FS";"BS3",#N/A,TRUE,"RSA_FS"}</definedName>
    <definedName function="false" hidden="true" name="wrn.SEC._.QUARTERLY._.PROJ." vbProcedure="false">{"Cover Sheet",#N/A,FALSE,"Cover Sheet";"SEC QTRLY INC STMT",#N/A,FALSE,"SEC Quarterlies";"SEC QTRLY BAL SHEET",#N/A,FALSE,"SEC Quarterlies";"SEC QTRLY CASH FLOW",#N/A,FALSE,"SEC Quarterlies";"SEC QTRLY ASSUMPTIONS",#N/A,FALSE,"SEC Quarterlies"}</definedName>
    <definedName function="false" hidden="true" name="wrn.SVERKA." vbProcedure="false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function="false" hidden="true" name="wrn.Table._.A." vbProcedure="false">{"Table A,pg 1",#N/A,FALSE,"Table A-Prov GUR";"Table A,pg 2",#N/A,FALSE,"Table A-Prov GUR"}</definedName>
    <definedName function="false" hidden="true" name="wrn.Table._.A1." vbProcedure="false">{"Table A1,pg 1",#N/A,FALSE,"Table A1-Net Prov Res";"Table A1,pg 2",#N/A,FALSE,"Table A1-Net Prov Res"}</definedName>
    <definedName function="false" hidden="true" name="wrn.Table._.A1RU." vbProcedure="false">{"Table A1,pg 1",#N/A,FALSE,"Table A1-Net Prov Res";"Table A1,pg 2",#N/A,FALSE,"Table A1-Net Prov Res"}</definedName>
    <definedName function="false" hidden="true" name="wrn.test." vbProcedure="false">{"Valuation_Common",#N/A,FALSE,"Valuation"}</definedName>
    <definedName function="false" hidden="true" name="wrn.Wacc." vbProcedure="false">{"Area1",#N/A,FALSE,"OREWACC";"Area2",#N/A,FALSE,"OREWACC"}</definedName>
    <definedName function="false" hidden="true" name="wrn.Wacc.1" vbProcedure="false">{"Area1",#N/A,FALSE,"OREWACC";"Area2",#N/A,FALSE,"OREWACC"}</definedName>
    <definedName function="false" hidden="true" name="wrn.xrates." vbProcedure="false">{#N/A,#N/A,FALSE,"1996";#N/A,#N/A,FALSE,"1995";#N/A,#N/A,FALSE,"1994"}</definedName>
    <definedName function="false" hidden="true" name="wrn.YEAR._.VIEW." vbProcedure="false">{#N/A,#N/A,FALSE,"YEAR TOTAL"}</definedName>
    <definedName function="false" hidden="true" name="wrn.Баланс." vbProcedure="false">{#N/A,#N/A,FALSE,"БАЛАНС"}</definedName>
    <definedName function="false" hidden="true" name="wrn.Курсовой._.проект." vbProcedure="false">{#N/A,#N/A,TRUE,"План продаж";#N/A,#N/A,TRUE,"Склад гот.прод";#N/A,#N/A,TRUE,"План отгрузки"}</definedName>
    <definedName function="false" hidden="true" name="wrn.отчет._.по._.курсу." vbProcedure="false">{"программа",#N/A,TRUE,"lessons";"продажа оргтехники",#N/A,TRUE,"образец"}</definedName>
    <definedName function="false" hidden="true" name="wrn.отчет._.по._.курсу._1" vbProcedure="false">{"программа",#N/A,TRUE,"lessons";"продажа оргтехники",#N/A,TRUE,"образец"}</definedName>
    <definedName function="false" hidden="true" name="wrn.отчет._.по._.курсу._1_1" vbProcedure="false">{"программа",#N/A,TRUE,"lessons";"продажа оргтехники",#N/A,TRUE,"образец"}</definedName>
    <definedName function="false" hidden="true" name="wrn.отчет._.по._.курсу._1_2" vbProcedure="false">{"программа",#N/A,TRUE,"lessons";"продажа оргтехники",#N/A,TRUE,"образец"}</definedName>
    <definedName function="false" hidden="true" name="wrn.отчет._.по._.курсу._1_3" vbProcedure="false">{"программа",#N/A,TRUE,"lessons";"продажа оргтехники",#N/A,TRUE,"образец"}</definedName>
    <definedName function="false" hidden="true" name="wrn.отчет._.по._.курсу._1_4" vbProcedure="false">{"программа",#N/A,TRUE,"lessons";"продажа оргтехники",#N/A,TRUE,"образец"}</definedName>
    <definedName function="false" hidden="true" name="wrn.отчет._.по._.курсу._1_5" vbProcedure="false">{"программа",#N/A,TRUE,"lessons";"продажа оргтехники",#N/A,TRUE,"образец"}</definedName>
    <definedName function="false" hidden="true" name="wrn.отчет._.по._.курсу._2" vbProcedure="false">{"программа",#N/A,TRUE,"lessons";"продажа оргтехники",#N/A,TRUE,"образец"}</definedName>
    <definedName function="false" hidden="true" name="wrn.отчет._.по._.курсу._3" vbProcedure="false">{"программа",#N/A,TRUE,"lessons";"продажа оргтехники",#N/A,TRUE,"образец"}</definedName>
    <definedName function="false" hidden="true" name="wrn.отчет._.по._.курсу._4" vbProcedure="false">{"программа",#N/A,TRUE,"lessons";"продажа оргтехники",#N/A,TRUE,"образец"}</definedName>
    <definedName function="false" hidden="true" name="wrn.отчет._.по._.курсу._5" vbProcedure="false">{"программа",#N/A,TRUE,"lessons";"продажа оргтехники",#N/A,TRUE,"образец"}</definedName>
    <definedName function="false" hidden="true" name="wrn.Печать._.всех._.форм." vbProcedure="false">{"осн2",#N/A,FALSE,"Оснрасчет";"осн3",#N/A,FALSE,"Оснрасчет";#N/A,#N/A,FALSE,"кальк эн";#N/A,#N/A,FALSE,"накл ц";#N/A,#N/A,FALSE,"накл котельной";#N/A,#N/A,FALSE,"НАКЛ ЭНЕРГ";#N/A,#N/A,FALSE,"НАКЛ ВОДЫ"}</definedName>
    <definedName function="false" hidden="true" name="wrn.Прибыль._.дерев." vbProcedure="false">{"Прибыль дерев",#N/A,FALSE,"Дерев"}</definedName>
    <definedName function="false" hidden="true" name="wrn.Прибыль._.ЗАП." vbProcedure="false">{"Прибыль ЗАП",#N/A,FALSE,"ЗАП"}</definedName>
    <definedName function="false" hidden="true" name="wrn.Прибыль._.инстр." vbProcedure="false">{"Прибыль инстр",#N/A,FALSE,"Инстр"}</definedName>
    <definedName function="false" hidden="true" name="wrn.Прибыль._.литейн." vbProcedure="false">{"Прибыль",#N/A,FALSE,"Литейн"}</definedName>
    <definedName function="false" hidden="true" name="wrn.Прибыль._.механ." vbProcedure="false">{"Прибыль механ",#N/A,FALSE,"Механ"}</definedName>
    <definedName function="false" hidden="true" name="wrn.Прибыль._.прессов." vbProcedure="false">{"Прибыль пресс",#N/A,FALSE,"Прессов"}</definedName>
    <definedName function="false" hidden="true" name="wrn.Прибыль._.прокатн." vbProcedure="false">{"Прибыль прокатн",#N/A,FALSE,"Прокатн"}</definedName>
    <definedName function="false" hidden="true" name="wrn.Прибыль._.СаМеКо." vbProcedure="false">{"Прибыль СаМеКо",#N/A,FALSE,"Итог СаМеКо"}</definedName>
    <definedName function="false" hidden="true" name="wrn.Прибыль._.СМЗ." vbProcedure="false">{"Прибыль СМЗ",#N/A,FALSE,"СМЗ"}</definedName>
    <definedName function="false" hidden="true" name="wrn.Прибыль._.энерг." vbProcedure="false">{"Приибыль энерг",#N/A,FALSE,"Энерг"}</definedName>
    <definedName function="false" hidden="true" name="wrn1.aug" vbProcedure="false">{"det (May)",#N/A,FALSE,"June";"sum (MAY YTD)",#N/A,FALSE,"June YTD"}</definedName>
    <definedName function="false" hidden="true" name="wrn1.augtyd" vbProcedure="false">{"det (May)",#N/A,FALSE,"June";"sum (MAY YTD)",#N/A,FALSE,"June YTD"}</definedName>
    <definedName function="false" hidden="true" name="wrn1.augyt" vbProcedure="false">{"det (May)",#N/A,FALSE,"June";"sum (MAY YTD)",#N/A,FALSE,"June YTD"}</definedName>
    <definedName function="false" hidden="true" name="wrn1.brol" vbProcedure="false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function="false" hidden="true" name="wrn1.june" vbProcedure="false">{"det (May)",#N/A,FALSE,"June";"sum (MAY YTD)",#N/A,FALSE,"June YTD"}</definedName>
    <definedName function="false" hidden="true" name="wrn1.list" vbProcedure="false">{#N/A,#N/A,FALSE,"101"}</definedName>
    <definedName function="false" hidden="true" name="wrn2.brol" vbProcedure="false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function="false" hidden="true" name="wrn2.june" vbProcedure="false">{"det (May)",#N/A,FALSE,"June";"",#N/A,FALSE,"June YTD"}</definedName>
    <definedName function="false" hidden="true" name="wrn_all" vbProcedure="false">{#N/A,#N/A,FALSE,"DCF";#N/A,#N/A,FALSE,"WACC";#N/A,#N/A,FALSE,"Sales_EBIT";#N/A,#N/A,FALSE,"Capex_Depreciation";#N/A,#N/A,FALSE,"WC";#N/A,#N/A,FALSE,"Interest";#N/A,#N/A,FALSE,"Assumptions"}</definedName>
    <definedName function="false" hidden="true" name="wrt6jundde56" vbProcedure="false">{#N/A,#N/A,TRUE,"Фин.рез"}</definedName>
    <definedName function="false" hidden="true" name="wrt6jundde56_1" vbProcedure="false">{#N/A,#N/A,TRUE,"Фин.рез"}</definedName>
    <definedName function="false" hidden="true" name="ws" vbProcedure="false">{#N/A,#N/A,FALSE,"Aging Summary";#N/A,#N/A,FALSE,"Ratio Analysis";#N/A,#N/A,FALSE,"Test 120 Day Accts";#N/A,#N/A,FALSE,"Tickmarks"}</definedName>
    <definedName function="false" hidden="true" name="wtre" vbProcedure="false">{#N/A,#N/A,FALSE,"Aging Summary";#N/A,#N/A,FALSE,"Ratio Analysis";#N/A,#N/A,FALSE,"Test 120 Day Accts";#N/A,#N/A,FALSE,"Tickmarks"}</definedName>
    <definedName function="false" hidden="true" name="wvu.CapersView." vbProcedure="false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function="false" hidden="true" name="wvu.Japan_Capers_Ed_Pub." vbProcedure="false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function="false" hidden="true" name="wvu.KJP_CC." vbProcedure="false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function="false" hidden="true" name="wwr" vbProcedure="false">{#N/A,#N/A,FALSE,"101"}</definedName>
    <definedName function="false" hidden="true" name="wywe" vbProcedure="false">#REF!</definedName>
    <definedName function="false" hidden="true" name="x" vbProcedure="false">{"Area1",#N/A,FALSE,"OREWACC";"Area2",#N/A,FALSE,"OREWACC"}</definedName>
    <definedName function="false" hidden="true" name="xcfgg" vbProcedure="false">{#N/A,#N/A,TRUE,"Фин.рез"}</definedName>
    <definedName function="false" hidden="true" name="xcfgg_1" vbProcedure="false">{#N/A,#N/A,TRUE,"Фин.рез"}</definedName>
    <definedName function="false" hidden="true" name="xcv" vbProcedure="false">{"'Северо-Никольское '!$A$6:$J$40"}</definedName>
    <definedName function="false" hidden="true" name="xfhs" vbProcedure="false">#N/A</definedName>
    <definedName function="false" hidden="true" name="xfjvsftjh" vbProcedure="false">{#N/A,#N/A,TRUE,"Фин.рез"}</definedName>
    <definedName function="false" hidden="true" name="xfjvsftjh_1" vbProcedure="false">{#N/A,#N/A,TRUE,"Фин.рез"}</definedName>
    <definedName function="false" hidden="true" name="xfjxfgj" vbProcedure="false">{"det (May)",#N/A,FALSE,"June";"sum (MAY YTD)",#N/A,FALSE,"June YTD"}</definedName>
    <definedName function="false" hidden="true" name="xfjxfj" vbProcedure="false">{"det (May)",#N/A,FALSE,"June";"sum (MAY YTD)",#N/A,FALSE,"June YTD"}</definedName>
    <definedName function="false" hidden="true" name="xgfngfnf" vbProcedure="false">{"det (May)",#N/A,FALSE,"June";"sum (MAY YTD)",#N/A,FALSE,"June YTD"}</definedName>
    <definedName function="false" hidden="true" name="xieir" vbProcedure="false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function="false" hidden="true" name="xir" vbProcedure="false">{"det (May)",#N/A,FALSE,"June";"sum (MAY YTD)",#N/A,FALSE,"June YTD"}</definedName>
    <definedName function="false" hidden="true" name="xkdirhj" vbProcedure="false">{"det (May)",#N/A,FALSE,"June";"sum (MAY YTD)",#N/A,FALSE,"June YTD"}</definedName>
    <definedName function="false" hidden="true" name="xkei0ori" vbProcedure="false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function="false" hidden="true" name="XLRPARAMS_Bank" vbProcedure="false">#REF!</definedName>
    <definedName function="false" hidden="true" name="XLRPARAMS_Category" vbProcedure="false">#REF!</definedName>
    <definedName function="false" hidden="true" name="XLRPARAMS_DateRest" vbProcedure="false">#REF!</definedName>
    <definedName function="false" hidden="true" name="XLRPARAMS_DBeg" vbProcedure="false">#REF!</definedName>
    <definedName function="false" hidden="true" name="XLRPARAMS_DEnd" vbProcedure="false">#REF!</definedName>
    <definedName function="false" hidden="true" name="XLRPARAMS_NameReport" vbProcedure="false">#REF!</definedName>
    <definedName function="false" hidden="true" name="XLRPARAMS_Param1" vbProcedure="false">#REF!</definedName>
    <definedName function="false" hidden="true" name="XLRPARAMS_Param2" vbProcedure="false">#REF!</definedName>
    <definedName function="false" hidden="true" name="XLRPARAMS_Period" vbProcedure="false">#REF!</definedName>
    <definedName function="false" hidden="true" name="XLRPARAMS_Plan" vbProcedure="false">#REF!</definedName>
    <definedName function="false" hidden="true" name="XLRPARAMS_PlanName" vbProcedure="false">#REF!</definedName>
    <definedName function="false" hidden="true" name="xpr" vbProcedure="false">{"Area1",#N/A,FALSE,"OREWACC";"Area2",#N/A,FALSE,"OREWACC"}</definedName>
    <definedName function="false" hidden="true" name="XRefActiveRow" vbProcedure="false">#REF!</definedName>
    <definedName function="false" hidden="true" name="XRefColumnsCount" vbProcedure="false">1</definedName>
    <definedName function="false" hidden="true" name="XRefCopyRangeCount" vbProcedure="false">1</definedName>
    <definedName function="false" hidden="true" name="XRefPaste10Row" vbProcedure="false">#REF!</definedName>
    <definedName function="false" hidden="true" name="XRefPaste11" vbProcedure="false">#REF!</definedName>
    <definedName function="false" hidden="true" name="XRefPaste11Row" vbProcedure="false">#REF!</definedName>
    <definedName function="false" hidden="true" name="XRefPaste12Row" vbProcedure="false">#REF!</definedName>
    <definedName function="false" hidden="true" name="XRefPaste13" vbProcedure="false">#REF!</definedName>
    <definedName function="false" hidden="true" name="XRefPaste13Row" vbProcedure="false">#REF!</definedName>
    <definedName function="false" hidden="true" name="XRefPaste21" vbProcedure="false">#REF!</definedName>
    <definedName function="false" hidden="true" name="XRefPaste23" vbProcedure="false">#REF!</definedName>
    <definedName function="false" hidden="true" name="XRefPaste2Row" vbProcedure="false">#REF!</definedName>
    <definedName function="false" hidden="true" name="XRefPaste3" vbProcedure="false">#REF!</definedName>
    <definedName function="false" hidden="true" name="XRefPaste3Row" vbProcedure="false">#REF!</definedName>
    <definedName function="false" hidden="true" name="XRefPaste4" vbProcedure="false">#REF!</definedName>
    <definedName function="false" hidden="true" name="XRefPaste4Row" vbProcedure="false">#REF!</definedName>
    <definedName function="false" hidden="true" name="XRefPaste5Row" vbProcedure="false">#REF!</definedName>
    <definedName function="false" hidden="true" name="XRefPaste6Row" vbProcedure="false">#REF!</definedName>
    <definedName function="false" hidden="true" name="XRefPaste7Row" vbProcedure="false">#REF!</definedName>
    <definedName function="false" hidden="true" name="XRefPaste8Row" vbProcedure="false">#REF!</definedName>
    <definedName function="false" hidden="true" name="XRefPaste9" vbProcedure="false">#REF!</definedName>
    <definedName function="false" hidden="true" name="XRefPaste9Row" vbProcedure="false">#REF!</definedName>
    <definedName function="false" hidden="true" name="XRefPasteRangeCount" vbProcedure="false">4</definedName>
    <definedName function="false" hidden="true" name="XREF_COLUMN_1" vbProcedure="false">#REF!</definedName>
    <definedName function="false" hidden="true" name="XREF_COLUMN_10" vbProcedure="false">#REF!</definedName>
    <definedName function="false" hidden="true" name="XREF_COLUMN_3" vbProcedure="false">#REF!</definedName>
    <definedName function="false" hidden="true" name="XREF_COLUMN_4" vbProcedure="false">#REF!</definedName>
    <definedName function="false" hidden="true" name="XREF_COLUMN_6" vbProcedure="false">#REF!</definedName>
    <definedName function="false" hidden="true" name="XREF_COLUMN_7" vbProcedure="false">#REF!</definedName>
    <definedName function="false" hidden="true" name="XREF_COLUMN_8" vbProcedure="false">#REF!</definedName>
    <definedName function="false" hidden="true" name="XREF_COLUMN_9" vbProcedure="false">#REF!</definedName>
    <definedName function="false" hidden="true" name="xxx" vbProcedure="false">{"Area1",#N/A,FALSE,"OREWACC";"Area2",#N/A,FALSE,"OREWACC"}</definedName>
    <definedName function="false" hidden="true" name="yeukmd" vbProcedure="false">{#N/A,#N/A,TRUE,"Фин.рез"}</definedName>
    <definedName function="false" hidden="true" name="yeukmd_1" vbProcedure="false">{#N/A,#N/A,TRUE,"Фин.рез"}</definedName>
    <definedName function="false" hidden="true" name="ygkj" vbProcedure="false">{#N/A,#N/A,TRUE,"Фин.рез"}</definedName>
    <definedName function="false" hidden="true" name="ygkj_1" vbProcedure="false">{#N/A,#N/A,TRUE,"Фин.рез"}</definedName>
    <definedName function="false" hidden="true" name="yjdjt" vbProcedure="false">#REF!</definedName>
    <definedName function="false" hidden="true" name="yrjytjtyjd" vbProcedure="false">{"det (May)",#N/A,FALSE,"June";"sum (MAY YTD)",#N/A,FALSE,"June YTD"}</definedName>
    <definedName function="false" hidden="true" name="yrkyuky" vbProcedure="false">{"det (May)",#N/A,FALSE,"June";"sum (MAY YTD)",#N/A,FALSE,"June YTD"}</definedName>
    <definedName function="false" hidden="true" name="yrliulu" vbProcedure="false">{"det (May)",#N/A,FALSE,"June";"sum (MAY YTD)",#N/A,FALSE,"June YTD"}</definedName>
    <definedName function="false" hidden="true" name="ytiu56uj" vbProcedure="false">{#N/A,#N/A,TRUE,"Фин.рез"}</definedName>
    <definedName function="false" hidden="true" name="ytiu56uj_1" vbProcedure="false">{#N/A,#N/A,TRUE,"Фин.рез"}</definedName>
    <definedName function="false" hidden="true" name="ytjtyjtyj" vbProcedure="false">{"det (May)",#N/A,FALSE,"June";"sum (MAY YTD)",#N/A,FALSE,"June YTD"}</definedName>
    <definedName function="false" hidden="true" name="ytjyjy" vbProcedure="false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function="false" hidden="true" name="ytr" vbProcedure="false">{"'Северо-Никольское '!$A$6:$J$40"}</definedName>
    <definedName function="false" hidden="true" name="ytuir" vbProcedure="false">{#N/A,#N/A,TRUE,"Фин.рез"}</definedName>
    <definedName function="false" hidden="true" name="ytuir_1" vbProcedure="false">{#N/A,#N/A,TRUE,"Фин.рез"}</definedName>
    <definedName function="false" hidden="true" name="yuog" vbProcedure="false">{#N/A,#N/A,TRUE,"Фин.рез"}</definedName>
    <definedName function="false" hidden="true" name="yuog_1" vbProcedure="false">{#N/A,#N/A,TRUE,"Фин.рез"}</definedName>
    <definedName function="false" hidden="true" name="yusdruirsu" vbProcedure="false">{#N/A,#N/A,TRUE,"Фин.рез"}</definedName>
    <definedName function="false" hidden="true" name="yusdruirsu_1" vbProcedure="false">{#N/A,#N/A,TRUE,"Фин.рез"}</definedName>
    <definedName function="false" hidden="true" name="yyy" vbProcedure="false">{#N/A,#N/A,FALSE,"지침";#N/A,#N/A,FALSE,"환경분석";#N/A,#N/A,FALSE,"Sheet16"}</definedName>
    <definedName function="false" hidden="true" name="zdfb" vbProcedure="false">#REF!</definedName>
    <definedName function="false" hidden="true" name="zdfg" vbProcedure="false">{"det (May)",#N/A,FALSE,"June";"sum (MAY YTD)",#N/A,FALSE,"June YTD"}</definedName>
    <definedName function="false" hidden="true" name="zdfheryaqyg" vbProcedure="false">{#N/A,#N/A,TRUE,"Фин.рез"}</definedName>
    <definedName function="false" hidden="true" name="zdfheryaqyg_1" vbProcedure="false">{#N/A,#N/A,TRUE,"Фин.рез"}</definedName>
    <definedName function="false" hidden="true" name="zdfhsaerhjsasdrh" vbProcedure="false">{#N/A,#N/A,TRUE,"Фин.рез"}</definedName>
    <definedName function="false" hidden="true" name="zdfhsaerhjsasdrh_1" vbProcedure="false">{#N/A,#N/A,TRUE,"Фин.рез"}</definedName>
    <definedName function="false" hidden="true" name="zeljka" vbProcedure="false">{"det (May)",#N/A,FALSE,"June";"sum (MAY YTD)",#N/A,FALSE,"June YTD"}</definedName>
    <definedName function="false" hidden="true" name="zeljka1" vbProcedure="false">{"det (May)",#N/A,FALSE,"June";"sum (MAY YTD)",#N/A,FALSE,"June YTD"}</definedName>
    <definedName function="false" hidden="true" name="zeljka2" vbProcedure="false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function="false" hidden="true" name="zeljka3" vbProcedure="false">{"det (May)",#N/A,FALSE,"June";"sum (MAY YTD)",#N/A,FALSE,"June YTD"}</definedName>
    <definedName function="false" hidden="true" name="zgjl" vbProcedure="false">{"'Северо-Никольское '!$A$6:$J$40"}</definedName>
    <definedName function="false" hidden="true" name="zsd" vbProcedure="false">{#N/A,#N/A,FALSE,"Aging Summary";#N/A,#N/A,FALSE,"Ratio Analysis";#N/A,#N/A,FALSE,"Test 120 Day Accts";#N/A,#N/A,FALSE,"Tickmarks"}</definedName>
    <definedName function="false" hidden="true" name="zxy" vbProcedure="false">{"'Северо-Никольское '!$A$6:$J$40"}</definedName>
    <definedName function="false" hidden="true" name="ZZZ" vbProcedure="false">{"AR",#N/A,FALSE,"ASMGTSUM";"INV",#N/A,FALSE,"ASMGTSUM";"HCCOMP",#N/A,FALSE,"ASMGTSUM";"cap.depr",#N/A,FALSE,"ASMGTSUM"}</definedName>
    <definedName function="false" hidden="true" name="zzzz" vbProcedure="false">{"'Северо-Никольское '!$A$6:$J$40"}</definedName>
    <definedName function="false" hidden="true" name="zzzzzzzzzzzz" vbProcedure="false">{#N/A,#N/A,FALSE,"Aging Summary";#N/A,#N/A,FALSE,"Ratio Analysis";#N/A,#N/A,FALSE,"Test 120 Day Accts";#N/A,#N/A,FALSE,"Tickmarks"}</definedName>
    <definedName function="false" hidden="true" name="Z_0AABF412_F7D5_4BB1_B12B_7B40F8B9C95D_.wvu.Cols" vbProcedure="false">#REF!</definedName>
    <definedName function="false" hidden="true" name="Z_0AABF412_F7D5_4BB1_B12B_7B40F8B9C95D_.wvu.FilterData" vbProcedure="false">#REF!</definedName>
    <definedName function="false" hidden="true" name="Z_0AABF412_F7D5_4BB1_B12B_7B40F8B9C95D_.wvu.PrintArea" vbProcedure="false">#REF!</definedName>
    <definedName function="false" hidden="true" name="Z_0AABF412_F7D5_4BB1_B12B_7B40F8B9C95D_.wvu.PrintTitles" vbProcedure="false">#REF!</definedName>
    <definedName function="false" hidden="true" name="Z_0AABF412_F7D5_4BB1_B12B_7B40F8B9C95D_.wvu.Rows" vbProcedure="false">#REF!</definedName>
    <definedName function="false" hidden="true" name="Z_1C3AD0CD_BF0C_4C4E_9071_158A2F5215E2_.wvu.Rows" vbProcedure="false">#REF!,#REF!,#REF!</definedName>
    <definedName function="false" hidden="true" name="Z_2185FC51_7502_43A8_900A_0000B7F738F9_.wvu.Rows" vbProcedure="false">#REF!,#REF!,#REF!,#REF!,#REF!,#REF!,#REF!,#REF!,#REF!,#REF!,#REF!,#REF!,#REF!,#REF!,#REF!,#REF!</definedName>
    <definedName function="false" hidden="true" name="Z_26901781_AE15_11D3_8896_00C0DFEF98F1_.wvu.PrintArea" vbProcedure="false">#REF!</definedName>
    <definedName function="false" hidden="true" name="Z_270BB401_5236_11D4_BB54_0050044E0CFA_.wvu.Cols" vbProcedure="false">#REF!,#REF!,#REF!,#REF!</definedName>
    <definedName function="false" hidden="true" name="Z_270BB401_5236_11D4_BB54_0050044E0CFA_.wvu.FilterData" vbProcedure="false">#REF!</definedName>
    <definedName function="false" hidden="true" name="Z_270BB401_5236_11D4_BB54_0050044E0CFA_.wvu.PrintArea" vbProcedure="false">#REF!</definedName>
    <definedName function="false" hidden="true" name="Z_270BB401_5236_11D4_BB54_0050044E0CFA_.wvu.PrintTitles" vbProcedure="false">#REF!</definedName>
    <definedName function="false" hidden="true" name="Z_270BB401_5236_11D4_BB54_0050044E0CFA_.wvu.Rows" vbProcedure="false">#REF!,#REF!</definedName>
    <definedName function="false" hidden="true" name="Z_30FEE15E_D26F_11D4_A6F7_00508B6A7686_.wvu.FilterData" vbProcedure="false">#REF!</definedName>
    <definedName function="false" hidden="true" name="Z_37A59B27_C76D_4E84_8164_B3D5C7AFADBB_.wvu.Cols" vbProcedure="false">#REF!</definedName>
    <definedName function="false" hidden="true" name="Z_567F6202_70FA_11D3_B82E_00E09800249C_.wvu.Cols" vbProcedure="false">#REF!</definedName>
    <definedName function="false" hidden="true" name="Z_8730C1A1_E63D_11D4_8D95_0050BA8310F8_.wvu.Cols" vbProcedure="false">#REF!</definedName>
    <definedName function="false" hidden="true" name="Z_94CB185F_509A_11D3_B82B_00E09800249C_.wvu.Rows" vbProcedure="false">#REF!,#REF!</definedName>
    <definedName function="false" hidden="true" name="Z_99D15F62_90C4_405A_985F_7C185F19F985_.wvu.Rows" vbProcedure="false">#REF!,#REF!,#REF!,#REF!,#REF!,#REF!,#REF!,#REF!,#REF!,#REF!,#REF!,#REF!,#REF!,#REF!,#REF!,#REF!</definedName>
    <definedName function="false" hidden="true" name="Z_9A428CE1_B4D9_11D0_A8AA_0000C071AEE7_.wvu.Cols" vbProcedure="false">#REF!,#REF!</definedName>
    <definedName function="false" hidden="true" name="Z_9A428CE1_B4D9_11D0_A8AA_0000C071AEE7_.wvu.PrintArea" vbProcedure="false">#REF!</definedName>
    <definedName function="false" hidden="true" name="Z_9A428CE1_B4D9_11D0_A8AA_0000C071AEE7_.wvu.Rows" vbProcedure="false">#REF!,#REF!,#REF!,#REF!,#REF!,#REF!,#REF!,#REF!</definedName>
    <definedName function="false" hidden="true" name="Z_9F4E9141_41FC_4B2C_AC1F_EC647474A564_.wvu.PrintArea" vbProcedure="false">#REF!</definedName>
    <definedName function="false" hidden="true" name="Z_9F4E9141_41FC_4B2C_AC1F_EC647474A564_.wvu.Rows" vbProcedure="false">#REF!</definedName>
    <definedName function="false" hidden="true" name="Z_A0AC4B42_5259_11D4_B5FE_00C04FC949BF_.wvu.Cols" vbProcedure="false">#REF!,#REF!,#REF!,#REF!</definedName>
    <definedName function="false" hidden="true" name="Z_A0AC4B42_5259_11D4_B5FE_00C04FC949BF_.wvu.FilterData" vbProcedure="false">#REF!</definedName>
    <definedName function="false" hidden="true" name="Z_A0AC4B42_5259_11D4_B5FE_00C04FC949BF_.wvu.PrintArea" vbProcedure="false">#REF!</definedName>
    <definedName function="false" hidden="true" name="Z_A0AC4B42_5259_11D4_B5FE_00C04FC949BF_.wvu.PrintTitles" vbProcedure="false">#REF!</definedName>
    <definedName function="false" hidden="true" name="Z_A0AC4B42_5259_11D4_B5FE_00C04FC949BF_.wvu.Rows" vbProcedure="false">#REF!,#REF!,#REF!,#REF!,#REF!,#REF!,#REF!</definedName>
    <definedName function="false" hidden="true" name="Z_A6168485_6886_4592_BB13_07B9E683E6FB_.wvu.Cols" vbProcedure="false">#REF!</definedName>
    <definedName function="false" hidden="true" name="Z_A6168485_6886_4592_BB13_07B9E683E6FB_.wvu.FilterData" vbProcedure="false">#REF!</definedName>
    <definedName function="false" hidden="true" name="Z_A6168485_6886_4592_BB13_07B9E683E6FB_.wvu.PrintArea" vbProcedure="false">#REF!</definedName>
    <definedName function="false" hidden="true" name="Z_A6168485_6886_4592_BB13_07B9E683E6FB_.wvu.PrintTitles" vbProcedure="false">#REF!</definedName>
    <definedName function="false" hidden="true" name="Z_A6168485_6886_4592_BB13_07B9E683E6FB_.wvu.Rows" vbProcedure="false">#REF!,#REF!,#REF!,#REF!,#REF!</definedName>
    <definedName function="false" hidden="true" name="Z_BA328375_936C_11D3_9E74_00062992D5D9_.wvu.Rows" vbProcedure="false">#REF!,#REF!</definedName>
    <definedName function="false" hidden="true" name="Z_D0FC81D9_872A_11D6_B808_0010DC239F6A_.wvu.Cols" vbProcedure="false">#REF!</definedName>
    <definedName function="false" hidden="true" name="Z_D0FC81D9_872A_11D6_B808_0010DC239F6A_.wvu.FilterData" vbProcedure="false">#REF!</definedName>
    <definedName function="false" hidden="true" name="Z_D0FC81D9_872A_11D6_B808_0010DC239F6A_.wvu.PrintArea" vbProcedure="false">#REF!</definedName>
    <definedName function="false" hidden="true" name="Z_D0FC81D9_872A_11D6_B808_0010DC239F6A_.wvu.PrintTitles" vbProcedure="false">#REF!</definedName>
    <definedName function="false" hidden="true" name="Z_D0FC81D9_872A_11D6_B808_0010DC239F6A_.wvu.Rows" vbProcedure="false">#REF!,#REF!,#REF!,#REF!,#REF!</definedName>
    <definedName function="false" hidden="true" name="Z_FA0D2A17_1C02_11D8_848D_00021BF19BDB_.wvu.FilterData" vbProcedure="false">#REF!</definedName>
    <definedName function="false" hidden="true" name="_" vbProcedure="false">#REF!</definedName>
    <definedName function="false" hidden="true" name="_1" vbProcedure="false">#REF!</definedName>
    <definedName function="false" hidden="true" name="_100__123Graph_BChart_2D" vbProcedure="false">#REF!</definedName>
    <definedName function="false" hidden="true" name="_100____________123Graph_ACHART_4" vbProcedure="false">#REF!</definedName>
    <definedName function="false" hidden="true" name="_101__123Graph_BChart_3B" vbProcedure="false">#REF!</definedName>
    <definedName function="false" hidden="true" name="_101____________123Graph_XCHART_3" vbProcedure="false">#REF!</definedName>
    <definedName function="false" hidden="true" name="_102__123Graph_BChart_3L" vbProcedure="false">#REF!</definedName>
    <definedName function="false" hidden="true" name="_102____________123Graph_XCHART_4" vbProcedure="false">#REF!</definedName>
    <definedName function="false" hidden="true" name="_103__123Graph_BChart_9C" vbProcedure="false">#REF!</definedName>
    <definedName function="false" hidden="true" name="_103___________123Graph_ACHART_4" vbProcedure="false">#REF!</definedName>
    <definedName function="false" hidden="true" name="_104__123Graph_CChart_1A" vbProcedure="false">#REF!</definedName>
    <definedName function="false" hidden="true" name="_104___________123Graph_XCHART_3" vbProcedure="false">#REF!</definedName>
    <definedName function="false" hidden="true" name="_105__123Graph_CChart_1AA" vbProcedure="false">#REF!</definedName>
    <definedName function="false" hidden="true" name="_105___________123Graph_XCHART_4" vbProcedure="false">#REF!</definedName>
    <definedName function="false" hidden="true" name="_106__123Graph_CChart_1AB" vbProcedure="false">#REF!</definedName>
    <definedName function="false" hidden="true" name="_106__________123Graph_ACHART_4" vbProcedure="false">#REF!</definedName>
    <definedName function="false" hidden="true" name="_107__123Graph_CChart_1AE" vbProcedure="false">#REF!</definedName>
    <definedName function="false" hidden="true" name="_107__________123Graph_XCHART_3" vbProcedure="false">#REF!</definedName>
    <definedName function="false" hidden="true" name="_108__123Graph_CChart_1AF" vbProcedure="false">#REF!</definedName>
    <definedName function="false" hidden="true" name="_108__________123Graph_XCHART_4" vbProcedure="false">#REF!</definedName>
    <definedName function="false" hidden="true" name="_109__123Graph_CChart_1AM" vbProcedure="false">#REF!</definedName>
    <definedName function="false" hidden="true" name="_109_________123Graph_ACHART_4" vbProcedure="false">#REF!</definedName>
    <definedName function="false" hidden="true" name="_10aaa" vbProcedure="false">{#N/A,#N/A,FALSE,"Aging Summary";#N/A,#N/A,FALSE,"Ratio Analysis";#N/A,#N/A,FALSE,"Test 120 Day Accts";#N/A,#N/A,FALSE,"Tickmarks"}</definedName>
    <definedName function="false" hidden="true" name="_10__123Graph_AChart_1AJ" vbProcedure="false">#REF!</definedName>
    <definedName function="false" hidden="true" name="_10__123Graph_ACHART_4" vbProcedure="false">#REF!</definedName>
    <definedName function="false" hidden="true" name="_10__123Graph_BChart_1A" vbProcedure="false">#REF!</definedName>
    <definedName function="false" hidden="true" name="_10___123Graph_ACHART_4" vbProcedure="false">#REF!</definedName>
    <definedName function="false" hidden="true" name="_10_____________123Graph_XCHART_3" vbProcedure="false">#REF!</definedName>
    <definedName function="false" hidden="true" name="_10__________________________________________123Graph_ACHART_4" vbProcedure="false">#REF!</definedName>
    <definedName function="false" hidden="true" name="_110__123Graph_CChart_1B" vbProcedure="false">#REF!</definedName>
    <definedName function="false" hidden="true" name="_110_________123Graph_XCHART_3" vbProcedure="false">#REF!</definedName>
    <definedName function="false" hidden="true" name="_111__123Graph_CChart_1C" vbProcedure="false">#REF!</definedName>
    <definedName function="false" hidden="true" name="_111_________123Graph_XCHART_4" vbProcedure="false">#REF!</definedName>
    <definedName function="false" hidden="true" name="_112__123Graph_CChart_1CA" vbProcedure="false">#REF!</definedName>
    <definedName function="false" hidden="true" name="_112________123Graph_ACHART_4" vbProcedure="false">#REF!</definedName>
    <definedName function="false" hidden="true" name="_113__123Graph_CChart_1CD" vbProcedure="false">#REF!</definedName>
    <definedName function="false" hidden="true" name="_113________123Graph_XCHART_3" vbProcedure="false">#REF!</definedName>
    <definedName function="false" hidden="true" name="_114__123Graph_CChart_1CE" vbProcedure="false">#REF!</definedName>
    <definedName function="false" hidden="true" name="_114________123Graph_XCHART_4" vbProcedure="false">#REF!</definedName>
    <definedName function="false" hidden="true" name="_115__123Graph_CChart_1D" vbProcedure="false">#REF!</definedName>
    <definedName function="false" hidden="true" name="_115_______123Graph_ACHART_4" vbProcedure="false">#REF!</definedName>
    <definedName function="false" hidden="true" name="_116__123Graph_CChart_1E" vbProcedure="false">#REF!</definedName>
    <definedName function="false" hidden="true" name="_116_______123Graph_XCHART_3" vbProcedure="false">#REF!</definedName>
    <definedName function="false" hidden="true" name="_117__123Graph_CChart_1F" vbProcedure="false">#REF!</definedName>
    <definedName function="false" hidden="true" name="_117_______123Graph_XCHART_4" vbProcedure="false">#REF!</definedName>
    <definedName function="false" hidden="true" name="_118__123Graph_CChart_1G" vbProcedure="false">#REF!</definedName>
    <definedName function="false" hidden="true" name="_118______123Graph_ACHART_4" vbProcedure="false">#REF!</definedName>
    <definedName function="false" hidden="true" name="_119__123Graph_CChart_1H" vbProcedure="false">#REF!</definedName>
    <definedName function="false" hidden="true" name="_119______123Graph_XCHART_3" vbProcedure="false">#REF!</definedName>
    <definedName function="false" hidden="true" name="_11__123Graph_AChart_1AK" vbProcedure="false">#REF!</definedName>
    <definedName function="false" hidden="true" name="_11__123Graph_XCHART_3" vbProcedure="false">#REF!</definedName>
    <definedName function="false" hidden="true" name="_11___123Graph_XCHART_3" vbProcedure="false">#REF!</definedName>
    <definedName function="false" hidden="true" name="_11_____________123Graph_XCHART_4" vbProcedure="false">#REF!</definedName>
    <definedName function="false" hidden="true" name="_11__________________________________________123Graph_XCHART_3" vbProcedure="false">#REF!</definedName>
    <definedName function="false" hidden="true" name="_120__123Graph_CChart_1I" vbProcedure="false">#REF!</definedName>
    <definedName function="false" hidden="true" name="_120______123Graph_XCHART_4" vbProcedure="false">#REF!</definedName>
    <definedName function="false" hidden="true" name="_121__123Graph_CChart_1J" vbProcedure="false">#REF!</definedName>
    <definedName function="false" hidden="true" name="_121_____123Graph_ACHART_4" vbProcedure="false">#REF!</definedName>
    <definedName function="false" hidden="true" name="_122__123Graph_CChart_1K" vbProcedure="false">#REF!</definedName>
    <definedName function="false" hidden="true" name="_122_____123Graph_XCHART_3" vbProcedure="false">#REF!</definedName>
    <definedName function="false" hidden="true" name="_1234" vbProcedure="false">#REF!</definedName>
    <definedName function="false" hidden="true" name="_12345" vbProcedure="false">#REF!</definedName>
    <definedName function="false" hidden="true" name="_123__123Graph_CChart_1L" vbProcedure="false">#REF!</definedName>
    <definedName function="false" hidden="true" name="_123_____123Graph_XCHART_4" vbProcedure="false">#REF!</definedName>
    <definedName function="false" hidden="true" name="_124GraphA" vbProcedure="false">#REF!</definedName>
    <definedName function="false" hidden="true" name="_124__123Graph_CChart_1N" vbProcedure="false">#REF!</definedName>
    <definedName function="false" hidden="true" name="_124____123Graph_ACHART_4" vbProcedure="false">#REF!</definedName>
    <definedName function="false" hidden="true" name="_125__123Graph_CChart_1O" vbProcedure="false">#REF!</definedName>
    <definedName function="false" hidden="true" name="_125____123Graph_XCHART_3" vbProcedure="false">#REF!</definedName>
    <definedName function="false" hidden="true" name="_126__123Graph_CChart_1P" vbProcedure="false">#REF!</definedName>
    <definedName function="false" hidden="true" name="_126____123Graph_XCHART_4" vbProcedure="false">#REF!</definedName>
    <definedName function="false" hidden="true" name="_127__123Graph_CChart_1T" vbProcedure="false">#REF!</definedName>
    <definedName function="false" hidden="true" name="_127___123Graph_ACHART_4" vbProcedure="false">#REF!</definedName>
    <definedName function="false" hidden="true" name="_128__123Graph_CChart_1U" vbProcedure="false">#REF!</definedName>
    <definedName function="false" hidden="true" name="_128___123Graph_XCHART_3" vbProcedure="false">#REF!</definedName>
    <definedName function="false" hidden="true" name="_129__123Graph_CChart_1W" vbProcedure="false">#REF!</definedName>
    <definedName function="false" hidden="true" name="_129___123Graph_XCHART_4" vbProcedure="false">#REF!</definedName>
    <definedName function="false" hidden="true" name="_12__123Graph_AChart_1AL" vbProcedure="false">#REF!</definedName>
    <definedName function="false" hidden="true" name="_12__123Graph_XCHART_4" vbProcedure="false">#REF!</definedName>
    <definedName function="false" hidden="true" name="_12___123Graph_XCHART_4" vbProcedure="false">#REF!</definedName>
    <definedName function="false" hidden="true" name="_12______123Graph_AChart_1A" vbProcedure="false">#REF!</definedName>
    <definedName function="false" hidden="true" name="_12____________123Graph_ACHART_4" vbProcedure="false">#REF!</definedName>
    <definedName function="false" hidden="true" name="_12__________________________________________123Graph_XCHART_4" vbProcedure="false">#REF!</definedName>
    <definedName function="false" hidden="true" name="_130__123Graph_ACHART_4" vbProcedure="false">#REF!</definedName>
    <definedName function="false" hidden="true" name="_130__123Graph_CChart_1Y" vbProcedure="false">#REF!</definedName>
    <definedName function="false" hidden="true" name="_131__123Graph_CChart_2AE" vbProcedure="false">#REF!</definedName>
    <definedName function="false" hidden="true" name="_131__123Graph_XCHART_3" vbProcedure="false">#REF!</definedName>
    <definedName function="false" hidden="true" name="_132__123Graph_CChart_3B" vbProcedure="false">#REF!</definedName>
    <definedName function="false" hidden="true" name="_132__123Graph_XCHART_4" vbProcedure="false">#REF!</definedName>
    <definedName function="false" hidden="true" name="_133__123Graph_CChart_9C" vbProcedure="false">#REF!</definedName>
    <definedName function="false" hidden="true" name="_134aaa" vbProcedure="false">{#N/A,#N/A,FALSE,"Aging Summary";#N/A,#N/A,FALSE,"Ratio Analysis";#N/A,#N/A,FALSE,"Test 120 Day Accts";#N/A,#N/A,FALSE,"Tickmarks"}</definedName>
    <definedName function="false" hidden="true" name="_134__123Graph_DChart_1AB" vbProcedure="false">#REF!</definedName>
    <definedName function="false" hidden="true" name="_135__123Graph_DChart_1AM" vbProcedure="false">#REF!</definedName>
    <definedName function="false" hidden="true" name="_136__123Graph_DChart_1B" vbProcedure="false">#REF!</definedName>
    <definedName function="false" hidden="true" name="_137__123Graph_DChart_1C" vbProcedure="false">#REF!</definedName>
    <definedName function="false" hidden="true" name="_138__123Graph_DChart_1CE" vbProcedure="false">#REF!</definedName>
    <definedName function="false" hidden="true" name="_139__123Graph_DChart_1D" vbProcedure="false">#REF!</definedName>
    <definedName function="false" hidden="true" name="_13aaa" vbProcedure="false">{#N/A,#N/A,FALSE,"Aging Summary";#N/A,#N/A,FALSE,"Ratio Analysis";#N/A,#N/A,FALSE,"Test 120 Day Accts";#N/A,#N/A,FALSE,"Tickmarks"}</definedName>
    <definedName function="false" hidden="true" name="_13__123Graph_AChart_1AM" vbProcedure="false">#REF!</definedName>
    <definedName function="false" hidden="true" name="_13__123Graph_ACHART_4" vbProcedure="false">#REF!</definedName>
    <definedName function="false" hidden="true" name="_13__123Graph_XCHART_4" vbProcedure="false">#REF!</definedName>
    <definedName function="false" hidden="true" name="_13____________123Graph_XCHART_3" vbProcedure="false">#REF!</definedName>
    <definedName function="false" hidden="true" name="_13_________________________________________123Graph_ACHART_4" vbProcedure="false">#REF!</definedName>
    <definedName function="false" hidden="true" name="_140__123Graph_DChart_1E" vbProcedure="false">#REF!</definedName>
    <definedName function="false" hidden="true" name="_141__123Graph_DChart_1H" vbProcedure="false">#REF!</definedName>
    <definedName function="false" hidden="true" name="_142__123Graph_DChart_1I" vbProcedure="false">#REF!</definedName>
    <definedName function="false" hidden="true" name="_143__123Graph_DChart_1J" vbProcedure="false">#REF!</definedName>
    <definedName function="false" hidden="true" name="_144__123Graph_DChart_1K" vbProcedure="false">#REF!</definedName>
    <definedName function="false" hidden="true" name="_145__123Graph_DChart_1L" vbProcedure="false">#REF!</definedName>
    <definedName function="false" hidden="true" name="_146__123Graph_DChart_1O" vbProcedure="false">#REF!</definedName>
    <definedName function="false" hidden="true" name="_147__123Graph_DChart_1P" vbProcedure="false">#REF!</definedName>
    <definedName function="false" hidden="true" name="_148__123Graph_DChart_3B" vbProcedure="false">#REF!</definedName>
    <definedName function="false" hidden="true" name="_149__123Graph_EChart_1AB" vbProcedure="false">#REF!</definedName>
    <definedName function="false" hidden="true" name="_14__123Graph_AChart_1AN" vbProcedure="false">#REF!</definedName>
    <definedName function="false" hidden="true" name="_14__123Graph_XCHART_3" vbProcedure="false">#REF!</definedName>
    <definedName function="false" hidden="true" name="_14____________123Graph_XCHART_4" vbProcedure="false">#REF!</definedName>
    <definedName function="false" hidden="true" name="_14_________________________________________123Graph_XCHART_3" vbProcedure="false">#REF!</definedName>
    <definedName function="false" hidden="true" name="_150__123Graph_EChart_1B" vbProcedure="false">#REF!</definedName>
    <definedName function="false" hidden="true" name="_151__123Graph_EChart_1CE" vbProcedure="false">#REF!</definedName>
    <definedName function="false" hidden="true" name="_152__123Graph_EChart_1D" vbProcedure="false">#REF!</definedName>
    <definedName function="false" hidden="true" name="_153__123Graph_EChart_1E" vbProcedure="false">#REF!</definedName>
    <definedName function="false" hidden="true" name="_154__123Graph_EChart_1H" vbProcedure="false">#REF!</definedName>
    <definedName function="false" hidden="true" name="_155__123Graph_EChart_1P" vbProcedure="false">#REF!</definedName>
    <definedName function="false" hidden="true" name="_156__123Graph_EChart_3B" vbProcedure="false">#REF!</definedName>
    <definedName function="false" hidden="true" name="_157__123Graph_FChart_1B" vbProcedure="false">#REF!</definedName>
    <definedName function="false" hidden="true" name="_158__123Graph_FChart_1E" vbProcedure="false">#REF!</definedName>
    <definedName function="false" hidden="true" name="_159__123Graph_FChart_1P" vbProcedure="false">#REF!</definedName>
    <definedName function="false" hidden="true" name="_15aaa" vbProcedure="false">{#N/A,#N/A,FALSE,"Aging Summary";#N/A,#N/A,FALSE,"Ratio Analysis";#N/A,#N/A,FALSE,"Test 120 Day Accts";#N/A,#N/A,FALSE,"Tickmarks"}</definedName>
    <definedName function="false" hidden="true" name="_15__123Graph_AChart_1AO" vbProcedure="false">#REF!</definedName>
    <definedName function="false" hidden="true" name="_15__123Graph_XCHART_4" vbProcedure="false">#REF!</definedName>
    <definedName function="false" hidden="true" name="_15___________123Graph_ACHART_4" vbProcedure="false">#REF!</definedName>
    <definedName function="false" hidden="true" name="_15_________________________________________123Graph_XCHART_4" vbProcedure="false">#REF!</definedName>
    <definedName function="false" hidden="true" name="_160__123Graph_FChart_3B" vbProcedure="false">#REF!</definedName>
    <definedName function="false" hidden="true" name="_161__123Graph_XChart_1A" vbProcedure="false">#REF!</definedName>
    <definedName function="false" hidden="true" name="_162__123Graph_XChart_2AC" vbProcedure="false">#REF!</definedName>
    <definedName function="false" hidden="true" name="_163__123Graph_XChart_2U" vbProcedure="false">#REF!</definedName>
    <definedName function="false" hidden="true" name="_16__123Graph_AChart_1AP" vbProcedure="false">#REF!</definedName>
    <definedName function="false" hidden="true" name="_16__123Graph_XCHART_3" vbProcedure="false">#REF!</definedName>
    <definedName function="false" hidden="true" name="_16___________123Graph_XCHART_3" vbProcedure="false">#REF!</definedName>
    <definedName function="false" hidden="true" name="_16________________________________________123Graph_ACHART_4" vbProcedure="false">#REF!</definedName>
    <definedName function="false" hidden="true" name="_17__123Graph_AChart_1AX" vbProcedure="false">#REF!</definedName>
    <definedName function="false" hidden="true" name="_17__123Graph_XCHART_4" vbProcedure="false">#REF!</definedName>
    <definedName function="false" hidden="true" name="_17___________123Graph_XCHART_4" vbProcedure="false">#REF!</definedName>
    <definedName function="false" hidden="true" name="_17________________________________________123Graph_XCHART_3" vbProcedure="false">#REF!</definedName>
    <definedName function="false" hidden="true" name="_18__123Graph_AChart_1B" vbProcedure="false">#REF!</definedName>
    <definedName function="false" hidden="true" name="_18__________123Graph_ACHART_4" vbProcedure="false">#REF!</definedName>
    <definedName function="false" hidden="true" name="_18________________________________________123Graph_XCHART_4" vbProcedure="false">#REF!</definedName>
    <definedName function="false" hidden="true" name="_19aaa" vbProcedure="false">{#N/A,#N/A,FALSE,"Aging Summary";#N/A,#N/A,FALSE,"Ratio Analysis";#N/A,#N/A,FALSE,"Test 120 Day Accts";#N/A,#N/A,FALSE,"Tickmarks"}</definedName>
    <definedName function="false" hidden="true" name="_19__123Graph_AChart_1C" vbProcedure="false">#REF!</definedName>
    <definedName function="false" hidden="true" name="_19__________123Graph_XCHART_3" vbProcedure="false">#REF!</definedName>
    <definedName function="false" hidden="true" name="_19_______________________________________123Graph_ACHART_4" vbProcedure="false">#REF!</definedName>
    <definedName function="false" hidden="true" name="_1__123Graph_ACHART_4" vbProcedure="false">#REF!</definedName>
    <definedName function="false" hidden="true" name="_1___123Graph_ACHART_4" vbProcedure="false">#REF!</definedName>
    <definedName function="false" hidden="true" name="_1___123Graph_XCHART_4" vbProcedure="false">#REF!</definedName>
    <definedName function="false" hidden="true" name="_1_____123Graph_ACHART_4" vbProcedure="false">#REF!</definedName>
    <definedName function="false" hidden="true" name="_1______123Graph_ACHART_4" vbProcedure="false">#REF!</definedName>
    <definedName function="false" hidden="true" name="_1_________________123Graph_XCHART_4" vbProcedure="false">#REF!</definedName>
    <definedName function="false" hidden="true" name="_1_________________________________________________123Graph_XCHART_4" vbProcedure="false">#REF!</definedName>
    <definedName function="false" hidden="true" name="_2" vbProcedure="false">#REF!</definedName>
    <definedName function="false" hidden="true" name="_20__123Graph_AChart_1CA" vbProcedure="false">#REF!</definedName>
    <definedName function="false" hidden="true" name="_20__________123Graph_XCHART_4" vbProcedure="false">#REF!</definedName>
    <definedName function="false" hidden="true" name="_20_______________________________________123Graph_XCHART_3" vbProcedure="false">#REF!</definedName>
    <definedName function="false" hidden="true" name="_21__123Graph_AChart_1CD" vbProcedure="false">#REF!</definedName>
    <definedName function="false" hidden="true" name="_21_________123Graph_ACHART_4" vbProcedure="false">#REF!</definedName>
    <definedName function="false" hidden="true" name="_21_______________________________________123Graph_XCHART_4" vbProcedure="false">#REF!</definedName>
    <definedName function="false" hidden="true" name="_22__123Graph_AChart_1CE" vbProcedure="false">#REF!</definedName>
    <definedName function="false" hidden="true" name="_22_________123Graph_XCHART_3" vbProcedure="false">#REF!</definedName>
    <definedName function="false" hidden="true" name="_22______________________________________123Graph_ACHART_4" vbProcedure="false">#REF!</definedName>
    <definedName function="false" hidden="true" name="_23__123Graph_AChart_1D" vbProcedure="false">#REF!</definedName>
    <definedName function="false" hidden="true" name="_23_________123Graph_XCHART_4" vbProcedure="false">#REF!</definedName>
    <definedName function="false" hidden="true" name="_23______________________________________123Graph_XCHART_3" vbProcedure="false">#REF!</definedName>
    <definedName function="false" hidden="true" name="_24__123Graph_AChart_1E" vbProcedure="false">#REF!</definedName>
    <definedName function="false" hidden="true" name="_24______123Graph_BChart_1A" vbProcedure="false">#REF!</definedName>
    <definedName function="false" hidden="true" name="_24________123Graph_ACHART_4" vbProcedure="false">#REF!</definedName>
    <definedName function="false" hidden="true" name="_24______________________________________123Graph_XCHART_4" vbProcedure="false">#REF!</definedName>
    <definedName function="false" hidden="true" name="_25__123Graph_AChart_1F" vbProcedure="false">#REF!</definedName>
    <definedName function="false" hidden="true" name="_25________123Graph_XCHART_3" vbProcedure="false">#REF!</definedName>
    <definedName function="false" hidden="true" name="_25_____________________________________123Graph_ACHART_4" vbProcedure="false">#REF!</definedName>
    <definedName function="false" hidden="true" name="_26__123Graph_AChart_1G" vbProcedure="false">#REF!</definedName>
    <definedName function="false" hidden="true" name="_26________123Graph_XCHART_4" vbProcedure="false">#REF!</definedName>
    <definedName function="false" hidden="true" name="_26_____________________________________123Graph_XCHART_3" vbProcedure="false">#REF!</definedName>
    <definedName function="false" hidden="true" name="_27__123Graph_AChart_1H" vbProcedure="false">#REF!</definedName>
    <definedName function="false" hidden="true" name="_27_______123Graph_ACHART_4" vbProcedure="false">#REF!</definedName>
    <definedName function="false" hidden="true" name="_27_____________________________________123Graph_XCHART_4" vbProcedure="false">#REF!</definedName>
    <definedName function="false" hidden="true" name="_28aaa" vbProcedure="false">{#N/A,#N/A,FALSE,"Aging Summary";#N/A,#N/A,FALSE,"Ratio Analysis";#N/A,#N/A,FALSE,"Test 120 Day Accts";#N/A,#N/A,FALSE,"Tickmarks"}</definedName>
    <definedName function="false" hidden="true" name="_28__123Graph_AChart_1I" vbProcedure="false">#REF!</definedName>
    <definedName function="false" hidden="true" name="_28_______123Graph_XCHART_3" vbProcedure="false">#REF!</definedName>
    <definedName function="false" hidden="true" name="_28____________________________________123Graph_ACHART_4" vbProcedure="false">#REF!</definedName>
    <definedName function="false" hidden="true" name="_29__123Graph_AChart_1J" vbProcedure="false">#REF!</definedName>
    <definedName function="false" hidden="true" name="_29_______123Graph_XCHART_4" vbProcedure="false">#REF!</definedName>
    <definedName function="false" hidden="true" name="_29____________________________________123Graph_XCHART_3" vbProcedure="false">#REF!</definedName>
    <definedName function="false" hidden="true" name="_2__123Graph_AChart_1A" vbProcedure="false">#REF!</definedName>
    <definedName function="false" hidden="true" name="_2__123Graph_AChart_1AA" vbProcedure="false">#REF!</definedName>
    <definedName function="false" hidden="true" name="_2__123Graph_BChart_1A" vbProcedure="false">#REF!</definedName>
    <definedName function="false" hidden="true" name="_2__123Graph_XCHART_3" vbProcedure="false">#REF!</definedName>
    <definedName function="false" hidden="true" name="_2___123Graph_BChart_1A" vbProcedure="false">#REF!</definedName>
    <definedName function="false" hidden="true" name="_2___123Graph_XCHART_3" vbProcedure="false">#REF!</definedName>
    <definedName function="false" hidden="true" name="_2_____123Graph_XCHART_3" vbProcedure="false">#REF!</definedName>
    <definedName function="false" hidden="true" name="_2______123Graph_BChart_1A" vbProcedure="false">#REF!</definedName>
    <definedName function="false" hidden="true" name="_2______123Graph_XCHART_3" vbProcedure="false">#REF!</definedName>
    <definedName function="false" hidden="true" name="_2________________123Graph_XCHART_4" vbProcedure="false">#REF!</definedName>
    <definedName function="false" hidden="true" name="_2________________________________________________123Graph_XCHART_4" vbProcedure="false">#REF!</definedName>
    <definedName function="false" hidden="true" name="_3" vbProcedure="false">#REF!</definedName>
    <definedName function="false" hidden="true" name="_30__123Graph_AChart_1K" vbProcedure="false">#REF!</definedName>
    <definedName function="false" hidden="true" name="_30______123Graph_ACHART_4" vbProcedure="false">#REF!</definedName>
    <definedName function="false" hidden="true" name="_30____________________________________123Graph_XCHART_4" vbProcedure="false">#REF!</definedName>
    <definedName function="false" hidden="true" name="_31__123Graph_AChart_1L" vbProcedure="false">#REF!</definedName>
    <definedName function="false" hidden="true" name="_31______123Graph_XCHART_3" vbProcedure="false">#REF!</definedName>
    <definedName function="false" hidden="true" name="_31___________________________________123Graph_ACHART_4" vbProcedure="false">#REF!</definedName>
    <definedName function="false" hidden="true" name="_32__123Graph_AChart_1M" vbProcedure="false">#REF!</definedName>
    <definedName function="false" hidden="true" name="_32______123Graph_XCHART_4" vbProcedure="false">#REF!</definedName>
    <definedName function="false" hidden="true" name="_32___________________________________123Graph_XCHART_3" vbProcedure="false">#REF!</definedName>
    <definedName function="false" hidden="true" name="_33__123Graph_AChart_1N" vbProcedure="false">#REF!</definedName>
    <definedName function="false" hidden="true" name="_33_____123Graph_ACHART_4" vbProcedure="false">#REF!</definedName>
    <definedName function="false" hidden="true" name="_33___________________________________123Graph_XCHART_4" vbProcedure="false">#REF!</definedName>
    <definedName function="false" hidden="true" name="_34__123Graph_AChart_1O" vbProcedure="false">#REF!</definedName>
    <definedName function="false" hidden="true" name="_34_____123Graph_XCHART_3" vbProcedure="false">#REF!</definedName>
    <definedName function="false" hidden="true" name="_34__________________________________123Graph_ACHART_4" vbProcedure="false">#REF!</definedName>
    <definedName function="false" hidden="true" name="_35__123Graph_AChart_1P" vbProcedure="false">#REF!</definedName>
    <definedName function="false" hidden="true" name="_35_____123Graph_XCHART_4" vbProcedure="false">#REF!</definedName>
    <definedName function="false" hidden="true" name="_35__________________________________123Graph_XCHART_3" vbProcedure="false">#REF!</definedName>
    <definedName function="false" hidden="true" name="_36__123Graph_AChart_1Q" vbProcedure="false">#REF!</definedName>
    <definedName function="false" hidden="true" name="_36____123Graph_ACHART_4" vbProcedure="false">#REF!</definedName>
    <definedName function="false" hidden="true" name="_36_____123Graph_AChart_1A" vbProcedure="false">#REF!</definedName>
    <definedName function="false" hidden="true" name="_36__________________________________123Graph_XCHART_4" vbProcedure="false">#REF!</definedName>
    <definedName function="false" hidden="true" name="_37__123Graph_AChart_1R" vbProcedure="false">#REF!</definedName>
    <definedName function="false" hidden="true" name="_37____123Graph_XCHART_3" vbProcedure="false">#REF!</definedName>
    <definedName function="false" hidden="true" name="_37_________________________________123Graph_ACHART_4" vbProcedure="false">#REF!</definedName>
    <definedName function="false" hidden="true" name="_38__123Graph_AChart_1S" vbProcedure="false">#REF!</definedName>
    <definedName function="false" hidden="true" name="_38____123Graph_XCHART_4" vbProcedure="false">#REF!</definedName>
    <definedName function="false" hidden="true" name="_38_________________________________123Graph_XCHART_3" vbProcedure="false">#REF!</definedName>
    <definedName function="false" hidden="true" name="_39aaa" vbProcedure="false">{#N/A,#N/A,FALSE,"Aging Summary";#N/A,#N/A,FALSE,"Ratio Analysis";#N/A,#N/A,FALSE,"Test 120 Day Accts";#N/A,#N/A,FALSE,"Tickmarks"}</definedName>
    <definedName function="false" hidden="true" name="_39__123Graph_AChart_1T" vbProcedure="false">#REF!</definedName>
    <definedName function="false" hidden="true" name="_39___123Graph_ACHART_4" vbProcedure="false">#REF!</definedName>
    <definedName function="false" hidden="true" name="_39_________________________________123Graph_XCHART_4" vbProcedure="false">#REF!</definedName>
    <definedName function="false" hidden="true" name="_3__123Graph_AChart_1A" vbProcedure="false">#REF!</definedName>
    <definedName function="false" hidden="true" name="_3__123Graph_AChart_1AB" vbProcedure="false">#REF!</definedName>
    <definedName function="false" hidden="true" name="_3__123Graph_ACHART_4" vbProcedure="false">#REF!</definedName>
    <definedName function="false" hidden="true" name="_3__123Graph_XCHART_3" vbProcedure="false">#REF!</definedName>
    <definedName function="false" hidden="true" name="_3__123Graph_XCHART_4" vbProcedure="false">#REF!</definedName>
    <definedName function="false" hidden="true" name="_3___123Graph_XCHART_4" vbProcedure="false">#REF!</definedName>
    <definedName function="false" hidden="true" name="_3_____123Graph_AChart_1A" vbProcedure="false">#REF!</definedName>
    <definedName function="false" hidden="true" name="_3_____123Graph_XCHART_4" vbProcedure="false">#REF!</definedName>
    <definedName function="false" hidden="true" name="_3______123Graph_XCHART_4" vbProcedure="false">#REF!</definedName>
    <definedName function="false" hidden="true" name="_3_______________123Graph_ACHART_4" vbProcedure="false">#REF!</definedName>
    <definedName function="false" hidden="true" name="_3_______________________________________________123Graph_XCHART_4" vbProcedure="false">#REF!</definedName>
    <definedName function="false" hidden="true" name="_40__123Graph_AChart_1U" vbProcedure="false">#REF!</definedName>
    <definedName function="false" hidden="true" name="_40___123Graph_XCHART_3" vbProcedure="false">#REF!</definedName>
    <definedName function="false" hidden="true" name="_40________________________________123Graph_ACHART_4" vbProcedure="false">#REF!</definedName>
    <definedName function="false" hidden="true" name="_41__123Graph_AChart_1V" vbProcedure="false">#REF!</definedName>
    <definedName function="false" hidden="true" name="_41___123Graph_XCHART_4" vbProcedure="false">#REF!</definedName>
    <definedName function="false" hidden="true" name="_41________________________________123Graph_XCHART_3" vbProcedure="false">#REF!</definedName>
    <definedName function="false" hidden="true" name="_42__123Graph_AChart_1W" vbProcedure="false">#REF!</definedName>
    <definedName function="false" hidden="true" name="_42__123Graph_ACHART_4" vbProcedure="false">#REF!</definedName>
    <definedName function="false" hidden="true" name="_42________________________________123Graph_XCHART_4" vbProcedure="false">#REF!</definedName>
    <definedName function="false" hidden="true" name="_43__123Graph_AChart_1X" vbProcedure="false">#REF!</definedName>
    <definedName function="false" hidden="true" name="_43__123Graph_XCHART_3" vbProcedure="false">#REF!</definedName>
    <definedName function="false" hidden="true" name="_43_______________________________123Graph_ACHART_4" vbProcedure="false">#REF!</definedName>
    <definedName function="false" hidden="true" name="_44__123Graph_AChart_1Y" vbProcedure="false">#REF!</definedName>
    <definedName function="false" hidden="true" name="_44__123Graph_XCHART_4" vbProcedure="false">#REF!</definedName>
    <definedName function="false" hidden="true" name="_44_______________________________123Graph_XCHART_3" vbProcedure="false">#REF!</definedName>
    <definedName function="false" hidden="true" name="_45__123Graph_AChart_1Z" vbProcedure="false">#REF!</definedName>
    <definedName function="false" hidden="true" name="_45_______________________________123Graph_XCHART_4" vbProcedure="false">#REF!</definedName>
    <definedName function="false" hidden="true" name="_46__123Graph_AChart_2A" vbProcedure="false">#REF!</definedName>
    <definedName function="false" hidden="true" name="_46______________________________123Graph_ACHART_4" vbProcedure="false">#REF!</definedName>
    <definedName function="false" hidden="true" name="_47__123Graph_AChart_2AC" vbProcedure="false">#REF!</definedName>
    <definedName function="false" hidden="true" name="_47______________________________123Graph_XCHART_3" vbProcedure="false">#REF!</definedName>
    <definedName function="false" hidden="true" name="_48__123Graph_AChart_2AE" vbProcedure="false">#REF!</definedName>
    <definedName function="false" hidden="true" name="_48_____123Graph_BChart_1A" vbProcedure="false">#REF!</definedName>
    <definedName function="false" hidden="true" name="_48______________________________123Graph_XCHART_4" vbProcedure="false">#REF!</definedName>
    <definedName function="false" hidden="true" name="_49__123Graph_AChart_2CC" vbProcedure="false">#REF!</definedName>
    <definedName function="false" hidden="true" name="_49_____________________________123Graph_ACHART_4" vbProcedure="false">#REF!</definedName>
    <definedName function="false" hidden="true" name="_4aaa" vbProcedure="false">{#N/A,#N/A,FALSE,"Aging Summary";#N/A,#N/A,FALSE,"Ratio Analysis";#N/A,#N/A,FALSE,"Test 120 Day Accts";#N/A,#N/A,FALSE,"Tickmarks"}</definedName>
    <definedName function="false" hidden="true" name="_4__123Graph_AChart_1A" vbProcedure="false">#REF!</definedName>
    <definedName function="false" hidden="true" name="_4__123Graph_AChart_1AC" vbProcedure="false">#REF!</definedName>
    <definedName function="false" hidden="true" name="_4__123Graph_ACHART_4" vbProcedure="false">#REF!</definedName>
    <definedName function="false" hidden="true" name="_4__123Graph_BChart_1A" vbProcedure="false">#REF!</definedName>
    <definedName function="false" hidden="true" name="_4__123Graph_XCHART_4" vbProcedure="false">#REF!</definedName>
    <definedName function="false" hidden="true" name="_4____123Graph_ACHART_4" vbProcedure="false">#REF!</definedName>
    <definedName function="false" hidden="true" name="_4_____123Graph_ACHART_4" vbProcedure="false">#REF!</definedName>
    <definedName function="false" hidden="true" name="_4_____123Graph_BChart_1A" vbProcedure="false">#REF!</definedName>
    <definedName function="false" hidden="true" name="_4_______________123Graph_XCHART_3" vbProcedure="false">#REF!</definedName>
    <definedName function="false" hidden="true" name="_4______________________________________________123Graph_XCHART_4" vbProcedure="false">#REF!</definedName>
    <definedName function="false" hidden="true" name="_50__123Graph_AChart_2D" vbProcedure="false">#REF!</definedName>
    <definedName function="false" hidden="true" name="_50_____________________________123Graph_XCHART_3" vbProcedure="false">#REF!</definedName>
    <definedName function="false" hidden="true" name="_51__123Graph_AChart_2E" vbProcedure="false">#REF!</definedName>
    <definedName function="false" hidden="true" name="_51_____________________________123Graph_XCHART_4" vbProcedure="false">#REF!</definedName>
    <definedName function="false" hidden="true" name="_52__123Graph_AChart_2J" vbProcedure="false">#REF!</definedName>
    <definedName function="false" hidden="true" name="_52____________________________123Graph_ACHART_4" vbProcedure="false">#REF!</definedName>
    <definedName function="false" hidden="true" name="_53__123Graph_AChart_2T" vbProcedure="false">#REF!</definedName>
    <definedName function="false" hidden="true" name="_53____________________________123Graph_XCHART_3" vbProcedure="false">#REF!</definedName>
    <definedName function="false" hidden="true" name="_54__123Graph_AChart_2U" vbProcedure="false">#REF!</definedName>
    <definedName function="false" hidden="true" name="_54____________________________123Graph_XCHART_4" vbProcedure="false">#REF!</definedName>
    <definedName function="false" hidden="true" name="_55__123Graph_AChart_3B" vbProcedure="false">#REF!</definedName>
    <definedName function="false" hidden="true" name="_55___________________________123Graph_ACHART_4" vbProcedure="false">#REF!</definedName>
    <definedName function="false" hidden="true" name="_56__123Graph_AChart_3D" vbProcedure="false">#REF!</definedName>
    <definedName function="false" hidden="true" name="_56___________________________123Graph_XCHART_3" vbProcedure="false">#REF!</definedName>
    <definedName function="false" hidden="true" name="_57__123Graph_AChart_3L" vbProcedure="false">#REF!</definedName>
    <definedName function="false" hidden="true" name="_57___________________________123Graph_XCHART_4" vbProcedure="false">#REF!</definedName>
    <definedName function="false" hidden="true" name="_58__123Graph_AChart_3X" vbProcedure="false">#REF!</definedName>
    <definedName function="false" hidden="true" name="_58__________________________123Graph_ACHART_4" vbProcedure="false">#REF!</definedName>
    <definedName function="false" hidden="true" name="_59__123Graph_AChart_9C" vbProcedure="false">#REF!</definedName>
    <definedName function="false" hidden="true" name="_59__________________________123Graph_XCHART_3" vbProcedure="false">#REF!</definedName>
    <definedName function="false" hidden="true" name="_5aaa" vbProcedure="false">{#N/A,#N/A,FALSE,"Aging Summary";#N/A,#N/A,FALSE,"Ratio Analysis";#N/A,#N/A,FALSE,"Test 120 Day Accts";#N/A,#N/A,FALSE,"Tickmarks"}</definedName>
    <definedName function="false" hidden="true" name="_5__123Graph_AChart_1AD" vbProcedure="false">#REF!</definedName>
    <definedName function="false" hidden="true" name="_5__123Graph_XCHART_3" vbProcedure="false">#REF!</definedName>
    <definedName function="false" hidden="true" name="_5____123Graph_AChart_1A" vbProcedure="false">#REF!</definedName>
    <definedName function="false" hidden="true" name="_5____123Graph_XCHART_3" vbProcedure="false">#REF!</definedName>
    <definedName function="false" hidden="true" name="_5_____123Graph_XCHART_3" vbProcedure="false">#REF!</definedName>
    <definedName function="false" hidden="true" name="_5_______________123Graph_XCHART_4" vbProcedure="false">#REF!</definedName>
    <definedName function="false" hidden="true" name="_5_____________________________________________123Graph_XCHART_4" vbProcedure="false">#REF!</definedName>
    <definedName function="false" hidden="true" name="_60__123Graph_BChart_1A" vbProcedure="false">#REF!</definedName>
    <definedName function="false" hidden="true" name="_60____123Graph_AChart_1A" vbProcedure="false">#REF!</definedName>
    <definedName function="false" hidden="true" name="_60__________________________123Graph_XCHART_4" vbProcedure="false">#REF!</definedName>
    <definedName function="false" hidden="true" name="_61__123Graph_BChart_1AA" vbProcedure="false">#REF!</definedName>
    <definedName function="false" hidden="true" name="_61_________________________123Graph_ACHART_4" vbProcedure="false">#REF!</definedName>
    <definedName function="false" hidden="true" name="_62__123Graph_BChart_1AB" vbProcedure="false">#REF!</definedName>
    <definedName function="false" hidden="true" name="_62_________________________123Graph_XCHART_3" vbProcedure="false">#REF!</definedName>
    <definedName function="false" hidden="true" name="_63__123Graph_BChart_1AC" vbProcedure="false">#REF!</definedName>
    <definedName function="false" hidden="true" name="_63_________________________123Graph_XCHART_4" vbProcedure="false">#REF!</definedName>
    <definedName function="false" hidden="true" name="_64__123Graph_BChart_1AD" vbProcedure="false">#REF!</definedName>
    <definedName function="false" hidden="true" name="_64________________________123Graph_ACHART_4" vbProcedure="false">#REF!</definedName>
    <definedName function="false" hidden="true" name="_65__123Graph_BChart_1AE" vbProcedure="false">#REF!</definedName>
    <definedName function="false" hidden="true" name="_65________________________123Graph_XCHART_3" vbProcedure="false">#REF!</definedName>
    <definedName function="false" hidden="true" name="_66__123Graph_BChart_1AF" vbProcedure="false">#REF!</definedName>
    <definedName function="false" hidden="true" name="_66________________________123Graph_XCHART_4" vbProcedure="false">#REF!</definedName>
    <definedName function="false" hidden="true" name="_67__123Graph_BChart_1AG" vbProcedure="false">#REF!</definedName>
    <definedName function="false" hidden="true" name="_67_______________________123Graph_ACHART_4" vbProcedure="false">#REF!</definedName>
    <definedName function="false" hidden="true" name="_68__123Graph_BChart_1AM" vbProcedure="false">#REF!</definedName>
    <definedName function="false" hidden="true" name="_68_______________________123Graph_XCHART_3" vbProcedure="false">#REF!</definedName>
    <definedName function="false" hidden="true" name="_69__123Graph_BChart_1AO" vbProcedure="false">#REF!</definedName>
    <definedName function="false" hidden="true" name="_69_______________________123Graph_XCHART_4" vbProcedure="false">#REF!</definedName>
    <definedName function="false" hidden="true" name="_6aaa" vbProcedure="false">{#N/A,#N/A,FALSE,"Aging Summary";#N/A,#N/A,FALSE,"Ratio Analysis";#N/A,#N/A,FALSE,"Test 120 Day Accts";#N/A,#N/A,FALSE,"Tickmarks"}</definedName>
    <definedName function="false" hidden="true" name="_6__123Graph_AChart_1AE" vbProcedure="false">#REF!</definedName>
    <definedName function="false" hidden="true" name="_6__123Graph_ACHART_4" vbProcedure="false">#REF!</definedName>
    <definedName function="false" hidden="true" name="_6__123Graph_XCHART_3" vbProcedure="false">#REF!</definedName>
    <definedName function="false" hidden="true" name="_6__123Graph_XCHART_4" vbProcedure="false">#REF!</definedName>
    <definedName function="false" hidden="true" name="_6____123Graph_BChart_1A" vbProcedure="false">#REF!</definedName>
    <definedName function="false" hidden="true" name="_6____123Graph_XCHART_4" vbProcedure="false">#REF!</definedName>
    <definedName function="false" hidden="true" name="_6_____123Graph_XCHART_4" vbProcedure="false">#REF!</definedName>
    <definedName function="false" hidden="true" name="_6______________123Graph_ACHART_4" vbProcedure="false">#REF!</definedName>
    <definedName function="false" hidden="true" name="_6____________________________________________123Graph_XCHART_4" vbProcedure="false">#REF!</definedName>
    <definedName function="false" hidden="true" name="_70__123Graph_BChart_1AX" vbProcedure="false">#REF!</definedName>
    <definedName function="false" hidden="true" name="_70______________________123Graph_ACHART_4" vbProcedure="false">#REF!</definedName>
    <definedName function="false" hidden="true" name="_71__123Graph_BChart_1B" vbProcedure="false">#REF!</definedName>
    <definedName function="false" hidden="true" name="_71______________________123Graph_XCHART_3" vbProcedure="false">#REF!</definedName>
    <definedName function="false" hidden="true" name="_72__123Graph_BChart_1C" vbProcedure="false">#REF!</definedName>
    <definedName function="false" hidden="true" name="_72____123Graph_BChart_1A" vbProcedure="false">#REF!</definedName>
    <definedName function="false" hidden="true" name="_72______________________123Graph_XCHART_4" vbProcedure="false">#REF!</definedName>
    <definedName function="false" hidden="true" name="_73__123Graph_BChart_1CA" vbProcedure="false">#REF!</definedName>
    <definedName function="false" hidden="true" name="_73_____________________123Graph_ACHART_4" vbProcedure="false">#REF!</definedName>
    <definedName function="false" hidden="true" name="_74__123Graph_BChart_1CD" vbProcedure="false">#REF!</definedName>
    <definedName function="false" hidden="true" name="_74___123Graph_AChart_1A" vbProcedure="false">#REF!</definedName>
    <definedName function="false" hidden="true" name="_74_____________________123Graph_XCHART_3" vbProcedure="false">#REF!</definedName>
    <definedName function="false" hidden="true" name="_75__123Graph_BChart_1CE" vbProcedure="false">#REF!</definedName>
    <definedName function="false" hidden="true" name="_75_____________________123Graph_XCHART_4" vbProcedure="false">#REF!</definedName>
    <definedName function="false" hidden="true" name="_76__123Graph_BChart_1D" vbProcedure="false">#REF!</definedName>
    <definedName function="false" hidden="true" name="_76___123Graph_BChart_1A" vbProcedure="false">#REF!</definedName>
    <definedName function="false" hidden="true" name="_76____________________123Graph_ACHART_4" vbProcedure="false">#REF!</definedName>
    <definedName function="false" hidden="true" name="_77__123Graph_BChart_1E" vbProcedure="false">#REF!</definedName>
    <definedName function="false" hidden="true" name="_77____________________123Graph_XCHART_3" vbProcedure="false">#REF!</definedName>
    <definedName function="false" hidden="true" name="_78__123Graph_BChart_1F" vbProcedure="false">#REF!</definedName>
    <definedName function="false" hidden="true" name="_78____________________123Graph_XCHART_4" vbProcedure="false">#REF!</definedName>
    <definedName function="false" hidden="true" name="_79__123Graph_BChart_1G" vbProcedure="false">#REF!</definedName>
    <definedName function="false" hidden="true" name="_79___________________123Graph_ACHART_4" vbProcedure="false">#REF!</definedName>
    <definedName function="false" hidden="true" name="_7aaa" vbProcedure="false">{#N/A,#N/A,FALSE,"Aging Summary";#N/A,#N/A,FALSE,"Ratio Analysis";#N/A,#N/A,FALSE,"Test 120 Day Accts";#N/A,#N/A,FALSE,"Tickmarks"}</definedName>
    <definedName function="false" hidden="true" name="_7__123Graph_AChart_1A" vbProcedure="false">#REF!</definedName>
    <definedName function="false" hidden="true" name="_7__123Graph_AChart_1AF" vbProcedure="false">#REF!</definedName>
    <definedName function="false" hidden="true" name="_7__123Graph_BChart_1A" vbProcedure="false">#REF!</definedName>
    <definedName function="false" hidden="true" name="_7__123Graph_XCHART_4" vbProcedure="false">#REF!</definedName>
    <definedName function="false" hidden="true" name="_7___123Graph_AChart_1A" vbProcedure="false">#REF!</definedName>
    <definedName function="false" hidden="true" name="_7___123Graph_ACHART_4" vbProcedure="false">#REF!</definedName>
    <definedName function="false" hidden="true" name="_7____123Graph_ACHART_4" vbProcedure="false">#REF!</definedName>
    <definedName function="false" hidden="true" name="_7______________123Graph_XCHART_3" vbProcedure="false">#REF!</definedName>
    <definedName function="false" hidden="true" name="_7___________________________________________123Graph_ACHART_4" vbProcedure="false">#REF!</definedName>
    <definedName function="false" hidden="true" name="_8" vbProcedure="false">#REF!</definedName>
    <definedName function="false" hidden="true" name="_80__123Graph_BChart_1H" vbProcedure="false">#REF!</definedName>
    <definedName function="false" hidden="true" name="_80___________________123Graph_XCHART_3" vbProcedure="false">#REF!</definedName>
    <definedName function="false" hidden="true" name="_81__123Graph_BChart_1I" vbProcedure="false">#REF!</definedName>
    <definedName function="false" hidden="true" name="_81___________________123Graph_XCHART_4" vbProcedure="false">#REF!</definedName>
    <definedName function="false" hidden="true" name="_82__123Graph_BChart_1J" vbProcedure="false">#REF!</definedName>
    <definedName function="false" hidden="true" name="_82__________________123Graph_ACHART_4" vbProcedure="false">#REF!</definedName>
    <definedName function="false" hidden="true" name="_83__123Graph_BChart_1K" vbProcedure="false">#REF!</definedName>
    <definedName function="false" hidden="true" name="_83__________________123Graph_XCHART_3" vbProcedure="false">#REF!</definedName>
    <definedName function="false" hidden="true" name="_84__123Graph_BChart_1L" vbProcedure="false">#REF!</definedName>
    <definedName function="false" hidden="true" name="_84__________________123Graph_XCHART_4" vbProcedure="false">#REF!</definedName>
    <definedName function="false" hidden="true" name="_85__123Graph_BChart_1M" vbProcedure="false">#REF!</definedName>
    <definedName function="false" hidden="true" name="_85_________________123Graph_ACHART_4" vbProcedure="false">#REF!</definedName>
    <definedName function="false" hidden="true" name="_86__123Graph_BChart_1N" vbProcedure="false">#REF!</definedName>
    <definedName function="false" hidden="true" name="_86_________________123Graph_XCHART_3" vbProcedure="false">#REF!</definedName>
    <definedName function="false" hidden="true" name="_87__123Graph_AChart_1A" vbProcedure="false">#REF!</definedName>
    <definedName function="false" hidden="true" name="_87__123Graph_BChart_1O" vbProcedure="false">#REF!</definedName>
    <definedName function="false" hidden="true" name="_87_________________123Graph_XCHART_4" vbProcedure="false">#REF!</definedName>
    <definedName function="false" hidden="true" name="_88__123Graph_BChart_1P" vbProcedure="false">#REF!</definedName>
    <definedName function="false" hidden="true" name="_88________________123Graph_ACHART_4" vbProcedure="false">#REF!</definedName>
    <definedName function="false" hidden="true" name="_89__123Graph_BChart_1Q" vbProcedure="false">#REF!</definedName>
    <definedName function="false" hidden="true" name="_89________________123Graph_XCHART_3" vbProcedure="false">#REF!</definedName>
    <definedName function="false" hidden="true" name="_8aaa" vbProcedure="false">{#N/A,#N/A,FALSE,"Aging Summary";#N/A,#N/A,FALSE,"Ratio Analysis";#N/A,#N/A,FALSE,"Test 120 Day Accts";#N/A,#N/A,FALSE,"Tickmarks"}</definedName>
    <definedName function="false" hidden="true" name="_8__123Graph_AChart_1AG" vbProcedure="false">#REF!</definedName>
    <definedName function="false" hidden="true" name="_8__123Graph_ACHART_4" vbProcedure="false">#REF!</definedName>
    <definedName function="false" hidden="true" name="_8__123Graph_BChart_1A" vbProcedure="false">#REF!</definedName>
    <definedName function="false" hidden="true" name="_8__123Graph_XCHART_3" vbProcedure="false">#REF!</definedName>
    <definedName function="false" hidden="true" name="_8___123Graph_BChart_1A" vbProcedure="false">#REF!</definedName>
    <definedName function="false" hidden="true" name="_8___123Graph_XCHART_3" vbProcedure="false">#REF!</definedName>
    <definedName function="false" hidden="true" name="_8____123Graph_XCHART_3" vbProcedure="false">#REF!</definedName>
    <definedName function="false" hidden="true" name="_8______________123Graph_XCHART_4" vbProcedure="false">#REF!</definedName>
    <definedName function="false" hidden="true" name="_8___________________________________________123Graph_XCHART_3" vbProcedure="false">#REF!</definedName>
    <definedName function="false" hidden="true" name="_90__123Graph_BChart_1R" vbProcedure="false">#REF!</definedName>
    <definedName function="false" hidden="true" name="_90________________123Graph_XCHART_4" vbProcedure="false">#REF!</definedName>
    <definedName function="false" hidden="true" name="_91__123Graph_BChart_1T" vbProcedure="false">#REF!</definedName>
    <definedName function="false" hidden="true" name="_91_______________123Graph_ACHART_4" vbProcedure="false">#REF!</definedName>
    <definedName function="false" hidden="true" name="_92__123Graph_BChart_1U" vbProcedure="false">#REF!</definedName>
    <definedName function="false" hidden="true" name="_92_______________123Graph_XCHART_3" vbProcedure="false">#REF!</definedName>
    <definedName function="false" hidden="true" name="_93__123Graph_BChart_1W" vbProcedure="false">#REF!</definedName>
    <definedName function="false" hidden="true" name="_93_______________123Graph_XCHART_4" vbProcedure="false">#REF!</definedName>
    <definedName function="false" hidden="true" name="_94__123Graph_BChart_1X" vbProcedure="false">#REF!</definedName>
    <definedName function="false" hidden="true" name="_94______________123Graph_ACHART_4" vbProcedure="false">#REF!</definedName>
    <definedName function="false" hidden="true" name="_95__123Graph_BChart_1Y" vbProcedure="false">#REF!</definedName>
    <definedName function="false" hidden="true" name="_95______________123Graph_XCHART_3" vbProcedure="false">#REF!</definedName>
    <definedName function="false" hidden="true" name="_96__123Graph_BChart_1Z" vbProcedure="false">#REF!</definedName>
    <definedName function="false" hidden="true" name="_96______________123Graph_XCHART_4" vbProcedure="false">#REF!</definedName>
    <definedName function="false" hidden="true" name="_97__123Graph_BChart_2AC" vbProcedure="false">#REF!</definedName>
    <definedName function="false" hidden="true" name="_97_____________123Graph_ACHART_4" vbProcedure="false">#REF!</definedName>
    <definedName function="false" hidden="true" name="_98__123Graph_BChart_1A" vbProcedure="false">#REF!</definedName>
    <definedName function="false" hidden="true" name="_98__123Graph_BChart_2AE" vbProcedure="false">#REF!</definedName>
    <definedName function="false" hidden="true" name="_98_____________123Graph_XCHART_3" vbProcedure="false">#REF!</definedName>
    <definedName function="false" hidden="true" name="_99__123Graph_BChart_2CC" vbProcedure="false">#REF!</definedName>
    <definedName function="false" hidden="true" name="_99_____________123Graph_XCHART_4" vbProcedure="false">#REF!</definedName>
    <definedName function="false" hidden="true" name="_9__123Graph_AChart_1A" vbProcedure="false">#REF!</definedName>
    <definedName function="false" hidden="true" name="_9__123Graph_AChart_1AI" vbProcedure="false">#REF!</definedName>
    <definedName function="false" hidden="true" name="_9__123Graph_XCHART_4" vbProcedure="false">#REF!</definedName>
    <definedName function="false" hidden="true" name="_9___123Graph_XCHART_4" vbProcedure="false">#REF!</definedName>
    <definedName function="false" hidden="true" name="_9____123Graph_XCHART_4" vbProcedure="false">#REF!</definedName>
    <definedName function="false" hidden="true" name="_9_____________123Graph_ACHART_4" vbProcedure="false">#REF!</definedName>
    <definedName function="false" hidden="true" name="_9___________________________________________123Graph_XCHART_4" vbProcedure="false">#REF!</definedName>
    <definedName function="false" hidden="true" name="_A" vbProcedure="false">#REF!</definedName>
    <definedName function="false" hidden="true" name="_abc1" vbProcedure="false">#REF!</definedName>
    <definedName function="false" hidden="true" name="_ad12" vbProcedure="false">{#N/A,#N/A,FALSE,"Aging Summary";#N/A,#N/A,FALSE,"Ratio Analysis";#N/A,#N/A,FALSE,"Test 120 Day Accts";#N/A,#N/A,FALSE,"Tickmarks"}</definedName>
    <definedName function="false" hidden="true" name="_ag1" vbProcedure="false">#N/A</definedName>
    <definedName function="false" hidden="true" name="_bb1" vbProcedure="false">{"Area1",#N/A,FALSE,"OREWACC";"Area2",#N/A,FALSE,"OREWACC"}</definedName>
    <definedName function="false" hidden="true" name="_bbb1" vbProcedure="false">{"Area1",#N/A,FALSE,"OREWACC";"Area2",#N/A,FALSE,"OREWACC"}</definedName>
    <definedName function="false" hidden="true" name="_bdm.FastTrackBookmark.2_18_2007_3_14_23_PM.edm" vbProcedure="false">#REF!</definedName>
    <definedName function="false" hidden="true" name="_bdm.FastTrackBookmark.2_18_2007_3_14_30_PM.edm" vbProcedure="false">#REF!</definedName>
    <definedName function="false" hidden="true" name="_Dist_Values" vbProcedure="false">#REF!</definedName>
    <definedName function="false" hidden="true" name="_fgd2" vbProcedure="false">{"'Северо-Никольское '!$A$6:$J$40"}</definedName>
    <definedName function="false" hidden="true" name="_hkf8" vbProcedure="false">{"glc1",#N/A,FALSE,"GLC";"glc2",#N/A,FALSE,"GLC";"glc3",#N/A,FALSE,"GLC";"glc4",#N/A,FALSE,"GLC";"glc5",#N/A,FALSE,"GLC"}</definedName>
    <definedName function="false" hidden="true" name="_I027611" vbProcedure="false">{#N/A,#N/A,FALSE,"지침";#N/A,#N/A,FALSE,"환경분석";#N/A,#N/A,FALSE,"Sheet16"}</definedName>
    <definedName function="false" hidden="true" name="_Key26" vbProcedure="false">#REF!</definedName>
    <definedName function="false" hidden="true" name="_o1" vbProcedure="false">{"det (May)",#N/A,FALSE,"June";"sum (MAY YTD)",#N/A,FALSE,"June YTD"}</definedName>
    <definedName function="false" hidden="true" name="_Order1" vbProcedure="false">255</definedName>
    <definedName function="false" hidden="true" name="_Order2" vbProcedure="false">255</definedName>
    <definedName function="false" hidden="true" name="_P0376001" vbProcedure="false">{#N/A,#N/A,FALSE,"지침";#N/A,#N/A,FALSE,"환경분석";#N/A,#N/A,FALSE,"Sheet16"}</definedName>
    <definedName function="false" hidden="true" name="_Regression_Int" vbProcedure="false">1</definedName>
    <definedName function="false" hidden="true" name="_rwb2" vbProcedure="false">{#N/A,#N/A,FALSE,"Aging Summary";#N/A,#N/A,FALSE,"Ratio Analysis";#N/A,#N/A,FALSE,"Test 120 Day Accts";#N/A,#N/A,FALSE,"Tickmarks"}</definedName>
    <definedName function="false" hidden="true" name="_rwn1" vbProcedure="false">{#N/A,#N/A,FALSE,"Aging Summary";#N/A,#N/A,FALSE,"Ratio Analysis";#N/A,#N/A,FALSE,"Test 120 Day Accts";#N/A,#N/A,FALSE,"Tickmarks"}</definedName>
    <definedName function="false" hidden="true" name="_rwn10" vbProcedure="false">{#N/A,#N/A,FALSE,"Aging Summary";#N/A,#N/A,FALSE,"Ratio Analysis";#N/A,#N/A,FALSE,"Test 120 Day Accts";#N/A,#N/A,FALSE,"Tickmarks"}</definedName>
    <definedName function="false" hidden="true" name="_rwn3" vbProcedure="false">{"assets",#N/A,FALSE,"historicBS";"liab",#N/A,FALSE,"historicBS";"is",#N/A,FALSE,"historicIS";"ratios",#N/A,FALSE,"ratios"}</definedName>
    <definedName function="false" hidden="true" name="_rwn4" vbProcedure="false">{"assets",#N/A,FALSE,"historicBS";"liab",#N/A,FALSE,"historicBS";"is",#N/A,FALSE,"historicIS";"ratios",#N/A,FALSE,"ratios"}</definedName>
    <definedName function="false" hidden="true" name="_rwn5" vbProcedure="false">{"glcbs",#N/A,FALSE,"GLCBS";"glccsbs",#N/A,FALSE,"GLCCSBS";"glcis",#N/A,FALSE,"GLCIS";"glccsis",#N/A,FALSE,"GLCCSIS";"glcrat1",#N/A,FALSE,"GLC-ratios1"}</definedName>
    <definedName function="false" hidden="true" name="_rwn6" vbProcedure="false">{"glc1",#N/A,FALSE,"GLC";"glc2",#N/A,FALSE,"GLC";"glc3",#N/A,FALSE,"GLC";"glc4",#N/A,FALSE,"GLC";"glc5",#N/A,FALSE,"GLC"}</definedName>
    <definedName function="false" hidden="true" name="_rwn7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rwn8" vbProcedure="false">{"glc1",#N/A,FALSE,"GLC";"glc2",#N/A,FALSE,"GLC";"glc3",#N/A,FALSE,"GLC";"glc4",#N/A,FALSE,"GLC";"glc5",#N/A,FALSE,"GLC"}</definedName>
    <definedName function="false" hidden="true" name="_rwn9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sort1" vbProcedure="false">#REF!</definedName>
    <definedName function="false" hidden="true" name="_sort5" vbProcedure="false">#REF!</definedName>
    <definedName function="false" hidden="true" name="_Table2_In1" vbProcedure="false">#REF!</definedName>
    <definedName function="false" hidden="true" name="_Table2_In2" vbProcedure="false">#REF!</definedName>
    <definedName function="false" hidden="true" name="_Table3_In2" vbProcedure="false">#REF!</definedName>
    <definedName function="false" hidden="true" name="_TBL12" vbProcedure="false">{"Table A,pg 1",#N/A,FALSE,"Table A-Prov GUR";"Table A,pg 2",#N/A,FALSE,"Table A-Prov GUR"}</definedName>
    <definedName function="false" hidden="true" name="_tk2" vbProcedure="false">{#N/A,#N/A,FALSE,"지침";#N/A,#N/A,FALSE,"환경분석";#N/A,#N/A,FALSE,"Sheet16"}</definedName>
    <definedName function="false" hidden="true" name="_x1" vbProcedure="false">#N/A</definedName>
    <definedName function="false" hidden="true" name="_xlnm._FilterDatabase" vbProcedure="false">#REF!</definedName>
    <definedName function="false" hidden="true" name="_zr4" vbProcedure="false">#REF!</definedName>
    <definedName function="false" hidden="true" name="_zz2" vbProcedure="false">{0,0,0,0;0,0,0,0;0,0,0,0;0,0,0,0}</definedName>
    <definedName function="false" hidden="true" name="__" vbProcedure="false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function="false" hidden="true" name="__123Graph_ACart" vbProcedure="false">#REF!</definedName>
    <definedName function="false" hidden="true" name="__123Graph_AChart" vbProcedure="false">#REF!</definedName>
    <definedName function="false" hidden="true" name="__123Graph_AFLOW" vbProcedure="false">#REF!</definedName>
    <definedName function="false" hidden="true" name="__123Graph_AMONTH" vbProcedure="false">#REF!</definedName>
    <definedName function="false" hidden="true" name="__123Graph_B" vbProcedure="false">#REF!</definedName>
    <definedName function="false" hidden="true" name="__123Graph_D" vbProcedure="false">#REF!</definedName>
    <definedName function="false" hidden="true" name="__125" vbProcedure="false">#REF!</definedName>
    <definedName function="false" hidden="true" name="__1__123Graph_ACHART_4" vbProcedure="false">#REF!</definedName>
    <definedName function="false" hidden="true" name="__2__123Graph_XCHART_3" vbProcedure="false">#REF!</definedName>
    <definedName function="false" hidden="true" name="__2___123Graph_BChart_1A" vbProcedure="false">#REF!</definedName>
    <definedName function="false" hidden="true" name="__2______123Graph_BChart_1A" vbProcedure="false">#REF!</definedName>
    <definedName function="false" hidden="true" name="__3__123Graph_XCHART_4" vbProcedure="false">#REF!</definedName>
    <definedName function="false" hidden="true" name="__3_____123Graph_AChart_1A" vbProcedure="false">#REF!</definedName>
    <definedName function="false" hidden="true" name="__4aaa" vbProcedure="false">{#N/A,#N/A,FALSE,"Aging Summary";#N/A,#N/A,FALSE,"Ratio Analysis";#N/A,#N/A,FALSE,"Test 120 Day Accts";#N/A,#N/A,FALSE,"Tickmarks"}</definedName>
    <definedName function="false" hidden="true" name="__4_____123Graph_BChart_1A" vbProcedure="false">#REF!</definedName>
    <definedName function="false" hidden="true" name="__5____123Graph_AChart_1A" vbProcedure="false">#REF!</definedName>
    <definedName function="false" hidden="true" name="__6____123Graph_BChart_1A" vbProcedure="false">#REF!</definedName>
    <definedName function="false" hidden="true" name="__abc1" vbProcedure="false">#REF!</definedName>
    <definedName function="false" hidden="true" name="__FDS_HYPERLINK_TOGGLE_STATE__" vbProcedure="false">"ON"</definedName>
    <definedName function="false" hidden="true" name="__fgd2" vbProcedure="false">{"'Северо-Никольское '!$A$6:$J$40"}</definedName>
    <definedName function="false" hidden="true" name="__hkf8" vbProcedure="false">{"glc1",#N/A,FALSE,"GLC";"glc2",#N/A,FALSE,"GLC";"glc3",#N/A,FALSE,"GLC";"glc4",#N/A,FALSE,"GLC";"glc5",#N/A,FALSE,"GLC"}</definedName>
    <definedName function="false" hidden="true" name="__I027611" vbProcedure="false">{#N/A,#N/A,FALSE,"지침";#N/A,#N/A,FALSE,"환경분석";#N/A,#N/A,FALSE,"Sheet16"}</definedName>
    <definedName function="false" hidden="true" name="__IntlFixup" vbProcedure="false">TRUE()</definedName>
    <definedName function="false" hidden="true" name="__o1" vbProcedure="false">{"det (May)",#N/A,FALSE,"June";"sum (MAY YTD)",#N/A,FALSE,"June YTD"}</definedName>
    <definedName function="false" hidden="true" name="__P0376001" vbProcedure="false">{#N/A,#N/A,FALSE,"지침";#N/A,#N/A,FALSE,"환경분석";#N/A,#N/A,FALSE,"Sheet16"}</definedName>
    <definedName function="false" hidden="true" name="__PL1" vbProcedure="false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function="false" hidden="true" name="__rwb2" vbProcedure="false">{#N/A,#N/A,FALSE,"Aging Summary";#N/A,#N/A,FALSE,"Ratio Analysis";#N/A,#N/A,FALSE,"Test 120 Day Accts";#N/A,#N/A,FALSE,"Tickmarks"}</definedName>
    <definedName function="false" hidden="true" name="__rwn1" vbProcedure="false">{#N/A,#N/A,FALSE,"Aging Summary";#N/A,#N/A,FALSE,"Ratio Analysis";#N/A,#N/A,FALSE,"Test 120 Day Accts";#N/A,#N/A,FALSE,"Tickmarks"}</definedName>
    <definedName function="false" hidden="true" name="__rwn10" vbProcedure="false">{#N/A,#N/A,FALSE,"Aging Summary";#N/A,#N/A,FALSE,"Ratio Analysis";#N/A,#N/A,FALSE,"Test 120 Day Accts";#N/A,#N/A,FALSE,"Tickmarks"}</definedName>
    <definedName function="false" hidden="true" name="__rwn3" vbProcedure="false">{"assets",#N/A,FALSE,"historicBS";"liab",#N/A,FALSE,"historicBS";"is",#N/A,FALSE,"historicIS";"ratios",#N/A,FALSE,"ratios"}</definedName>
    <definedName function="false" hidden="true" name="__rwn4" vbProcedure="false">{"assets",#N/A,FALSE,"historicBS";"liab",#N/A,FALSE,"historicBS";"is",#N/A,FALSE,"historicIS";"ratios",#N/A,FALSE,"ratios"}</definedName>
    <definedName function="false" hidden="true" name="__rwn5" vbProcedure="false">{"glcbs",#N/A,FALSE,"GLCBS";"glccsbs",#N/A,FALSE,"GLCCSBS";"glcis",#N/A,FALSE,"GLCIS";"glccsis",#N/A,FALSE,"GLCCSIS";"glcrat1",#N/A,FALSE,"GLC-ratios1"}</definedName>
    <definedName function="false" hidden="true" name="__rwn6" vbProcedure="false">{"glc1",#N/A,FALSE,"GLC";"glc2",#N/A,FALSE,"GLC";"glc3",#N/A,FALSE,"GLC";"glc4",#N/A,FALSE,"GLC";"glc5",#N/A,FALSE,"GLC"}</definedName>
    <definedName function="false" hidden="true" name="__rwn7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rwn8" vbProcedure="false">{"glc1",#N/A,FALSE,"GLC";"glc2",#N/A,FALSE,"GLC";"glc3",#N/A,FALSE,"GLC";"glc4",#N/A,FALSE,"GLC";"glc5",#N/A,FALSE,"GLC"}</definedName>
    <definedName function="false" hidden="true" name="__rwn9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tk2" vbProcedure="false">{#N/A,#N/A,FALSE,"지침";#N/A,#N/A,FALSE,"환경분석";#N/A,#N/A,FALSE,"Sheet16"}</definedName>
    <definedName function="false" hidden="true" name="__xlchart.v3.0" vbProcedure="false">#REF!</definedName>
    <definedName function="false" hidden="true" name="__xlchart.v3.1" vbProcedure="false">#REF!</definedName>
    <definedName function="false" hidden="true" name="__xlchart.v3.10" vbProcedure="false">#REF!</definedName>
    <definedName function="false" hidden="true" name="__xlchart.v3.11" vbProcedure="false">#REF!</definedName>
    <definedName function="false" hidden="true" name="__xlchart.v3.12" vbProcedure="false">#REF!</definedName>
    <definedName function="false" hidden="true" name="__xlchart.v3.13" vbProcedure="false">#REF!</definedName>
    <definedName function="false" hidden="true" name="__xlchart.v3.14" vbProcedure="false">#REF!</definedName>
    <definedName function="false" hidden="true" name="__xlchart.v3.15" vbProcedure="false">#REF!</definedName>
    <definedName function="false" hidden="true" name="__xlchart.v3.16" vbProcedure="false">#REF!</definedName>
    <definedName function="false" hidden="true" name="__xlchart.v3.17" vbProcedure="false">#REF!</definedName>
    <definedName function="false" hidden="true" name="__xlchart.v3.18" vbProcedure="false">#REF!</definedName>
    <definedName function="false" hidden="true" name="__xlchart.v3.19" vbProcedure="false">#REF!</definedName>
    <definedName function="false" hidden="true" name="__xlchart.v3.2" vbProcedure="false">#REF!</definedName>
    <definedName function="false" hidden="true" name="__xlchart.v3.20" vbProcedure="false">#REF!</definedName>
    <definedName function="false" hidden="true" name="__xlchart.v3.21" vbProcedure="false">#REF!</definedName>
    <definedName function="false" hidden="true" name="__xlchart.v3.22" vbProcedure="false">#REF!</definedName>
    <definedName function="false" hidden="true" name="__xlchart.v3.3" vbProcedure="false">#REF!</definedName>
    <definedName function="false" hidden="true" name="__xlchart.v3.4" vbProcedure="false">#REF!</definedName>
    <definedName function="false" hidden="true" name="__xlchart.v3.5" vbProcedure="false">#REF!</definedName>
    <definedName function="false" hidden="true" name="__xlchart.v3.6" vbProcedure="false">#REF!</definedName>
    <definedName function="false" hidden="true" name="__xlchart.v3.7" vbProcedure="false">#REF!</definedName>
    <definedName function="false" hidden="true" name="__xlchart.v3.8" vbProcedure="false">#REF!</definedName>
    <definedName function="false" hidden="true" name="__xlchart.v3.9" vbProcedure="false">#REF!</definedName>
    <definedName function="false" hidden="true" name="__xlfn.AVERAGEIF" vbProcedure="false">#NAME?</definedName>
    <definedName function="false" hidden="true" name="__xlfn.BAHTTEXT" vbProcedure="false">#NAME?</definedName>
    <definedName function="false" hidden="true" name="__xlfn.COUNTIFS" vbProcedure="false">#NAME?</definedName>
    <definedName function="false" hidden="true" name="___123" vbProcedure="false">#REF!</definedName>
    <definedName function="false" hidden="true" name="___1__123Graph_ACHART_4" vbProcedure="false">#REF!</definedName>
    <definedName function="false" hidden="true" name="___2__123Graph_XCHART_3" vbProcedure="false">#REF!</definedName>
    <definedName function="false" hidden="true" name="___3__123Graph_XCHART_4" vbProcedure="false">#REF!</definedName>
    <definedName function="false" hidden="true" name="___fgd2" vbProcedure="false">{"'Северо-Никольское '!$A$6:$J$40"}</definedName>
    <definedName function="false" hidden="true" name="___hkf8" vbProcedure="false">{"glc1",#N/A,FALSE,"GLC";"glc2",#N/A,FALSE,"GLC";"glc3",#N/A,FALSE,"GLC";"glc4",#N/A,FALSE,"GLC";"glc5",#N/A,FALSE,"GLC"}</definedName>
    <definedName function="false" hidden="true" name="___I027611" vbProcedure="false">{#N/A,#N/A,FALSE,"지침";#N/A,#N/A,FALSE,"환경분석";#N/A,#N/A,FALSE,"Sheet16"}</definedName>
    <definedName function="false" hidden="true" name="___o1" vbProcedure="false">{"det (May)",#N/A,FALSE,"June";"sum (MAY YTD)",#N/A,FALSE,"June YTD"}</definedName>
    <definedName function="false" hidden="true" name="___P0376001" vbProcedure="false">{#N/A,#N/A,FALSE,"지침";#N/A,#N/A,FALSE,"환경분석";#N/A,#N/A,FALSE,"Sheet16"}</definedName>
    <definedName function="false" hidden="true" name="___PL1" vbProcedure="false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function="false" hidden="true" name="___rwb2" vbProcedure="false">{#N/A,#N/A,FALSE,"Aging Summary";#N/A,#N/A,FALSE,"Ratio Analysis";#N/A,#N/A,FALSE,"Test 120 Day Accts";#N/A,#N/A,FALSE,"Tickmarks"}</definedName>
    <definedName function="false" hidden="true" name="___rwn1" vbProcedure="false">{#N/A,#N/A,FALSE,"Aging Summary";#N/A,#N/A,FALSE,"Ratio Analysis";#N/A,#N/A,FALSE,"Test 120 Day Accts";#N/A,#N/A,FALSE,"Tickmarks"}</definedName>
    <definedName function="false" hidden="true" name="___rwn10" vbProcedure="false">{#N/A,#N/A,FALSE,"Aging Summary";#N/A,#N/A,FALSE,"Ratio Analysis";#N/A,#N/A,FALSE,"Test 120 Day Accts";#N/A,#N/A,FALSE,"Tickmarks"}</definedName>
    <definedName function="false" hidden="true" name="___rwn3" vbProcedure="false">{"assets",#N/A,FALSE,"historicBS";"liab",#N/A,FALSE,"historicBS";"is",#N/A,FALSE,"historicIS";"ratios",#N/A,FALSE,"ratios"}</definedName>
    <definedName function="false" hidden="true" name="___rwn4" vbProcedure="false">{"assets",#N/A,FALSE,"historicBS";"liab",#N/A,FALSE,"historicBS";"is",#N/A,FALSE,"historicIS";"ratios",#N/A,FALSE,"ratios"}</definedName>
    <definedName function="false" hidden="true" name="___rwn5" vbProcedure="false">{"glcbs",#N/A,FALSE,"GLCBS";"glccsbs",#N/A,FALSE,"GLCCSBS";"glcis",#N/A,FALSE,"GLCIS";"glccsis",#N/A,FALSE,"GLCCSIS";"glcrat1",#N/A,FALSE,"GLC-ratios1"}</definedName>
    <definedName function="false" hidden="true" name="___rwn6" vbProcedure="false">{"glc1",#N/A,FALSE,"GLC";"glc2",#N/A,FALSE,"GLC";"glc3",#N/A,FALSE,"GLC";"glc4",#N/A,FALSE,"GLC";"glc5",#N/A,FALSE,"GLC"}</definedName>
    <definedName function="false" hidden="true" name="___rwn7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rwn8" vbProcedure="false">{"glc1",#N/A,FALSE,"GLC";"glc2",#N/A,FALSE,"GLC";"glc3",#N/A,FALSE,"GLC";"glc4",#N/A,FALSE,"GLC";"glc5",#N/A,FALSE,"GLC"}</definedName>
    <definedName function="false" hidden="true" name="___rwn9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tk2" vbProcedure="false">{#N/A,#N/A,FALSE,"지침";#N/A,#N/A,FALSE,"환경분석";#N/A,#N/A,FALSE,"Sheet16"}</definedName>
    <definedName function="false" hidden="true" name="___xlfn.AVERAGEIF" vbProcedure="false">#NAME?</definedName>
    <definedName function="false" hidden="true" name="___xlfn.BAHTTEXT" vbProcedure="false">#NAME?</definedName>
    <definedName function="false" hidden="true" name="___xlfn.COUNTIFS" vbProcedure="false">#NAME?</definedName>
    <definedName function="false" hidden="true" name="____fgd2" vbProcedure="false">{"'Северо-Никольское '!$A$6:$J$40"}</definedName>
    <definedName function="false" hidden="true" name="____hkf8" vbProcedure="false">{"glc1",#N/A,FALSE,"GLC";"glc2",#N/A,FALSE,"GLC";"glc3",#N/A,FALSE,"GLC";"glc4",#N/A,FALSE,"GLC";"glc5",#N/A,FALSE,"GLC"}</definedName>
    <definedName function="false" hidden="true" name="____I027611" vbProcedure="false">{#N/A,#N/A,FALSE,"지침";#N/A,#N/A,FALSE,"환경분석";#N/A,#N/A,FALSE,"Sheet16"}</definedName>
    <definedName function="false" hidden="true" name="____o1" vbProcedure="false">{"det (May)",#N/A,FALSE,"June";"sum (MAY YTD)",#N/A,FALSE,"June YTD"}</definedName>
    <definedName function="false" hidden="true" name="____P0376001" vbProcedure="false">{#N/A,#N/A,FALSE,"지침";#N/A,#N/A,FALSE,"환경분석";#N/A,#N/A,FALSE,"Sheet16"}</definedName>
    <definedName function="false" hidden="true" name="____PL1" vbProcedure="false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function="false" hidden="true" name="____rwb2" vbProcedure="false">{#N/A,#N/A,FALSE,"Aging Summary";#N/A,#N/A,FALSE,"Ratio Analysis";#N/A,#N/A,FALSE,"Test 120 Day Accts";#N/A,#N/A,FALSE,"Tickmarks"}</definedName>
    <definedName function="false" hidden="true" name="____rwn1" vbProcedure="false">{#N/A,#N/A,FALSE,"Aging Summary";#N/A,#N/A,FALSE,"Ratio Analysis";#N/A,#N/A,FALSE,"Test 120 Day Accts";#N/A,#N/A,FALSE,"Tickmarks"}</definedName>
    <definedName function="false" hidden="true" name="____rwn10" vbProcedure="false">{#N/A,#N/A,FALSE,"Aging Summary";#N/A,#N/A,FALSE,"Ratio Analysis";#N/A,#N/A,FALSE,"Test 120 Day Accts";#N/A,#N/A,FALSE,"Tickmarks"}</definedName>
    <definedName function="false" hidden="true" name="____rwn3" vbProcedure="false">{"assets",#N/A,FALSE,"historicBS";"liab",#N/A,FALSE,"historicBS";"is",#N/A,FALSE,"historicIS";"ratios",#N/A,FALSE,"ratios"}</definedName>
    <definedName function="false" hidden="true" name="____rwn4" vbProcedure="false">{"assets",#N/A,FALSE,"historicBS";"liab",#N/A,FALSE,"historicBS";"is",#N/A,FALSE,"historicIS";"ratios",#N/A,FALSE,"ratios"}</definedName>
    <definedName function="false" hidden="true" name="____rwn5" vbProcedure="false">{"glcbs",#N/A,FALSE,"GLCBS";"glccsbs",#N/A,FALSE,"GLCCSBS";"glcis",#N/A,FALSE,"GLCIS";"glccsis",#N/A,FALSE,"GLCCSIS";"glcrat1",#N/A,FALSE,"GLC-ratios1"}</definedName>
    <definedName function="false" hidden="true" name="____rwn6" vbProcedure="false">{"glc1",#N/A,FALSE,"GLC";"glc2",#N/A,FALSE,"GLC";"glc3",#N/A,FALSE,"GLC";"glc4",#N/A,FALSE,"GLC";"glc5",#N/A,FALSE,"GLC"}</definedName>
    <definedName function="false" hidden="true" name="____rwn7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rwn8" vbProcedure="false">{"glc1",#N/A,FALSE,"GLC";"glc2",#N/A,FALSE,"GLC";"glc3",#N/A,FALSE,"GLC";"glc4",#N/A,FALSE,"GLC";"glc5",#N/A,FALSE,"GLC"}</definedName>
    <definedName function="false" hidden="true" name="____rwn9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tk2" vbProcedure="false">{#N/A,#N/A,FALSE,"지침";#N/A,#N/A,FALSE,"환경분석";#N/A,#N/A,FALSE,"Sheet16"}</definedName>
    <definedName function="false" hidden="true" name="____xlfn.AVERAGEIF" vbProcedure="false">#NAME?</definedName>
    <definedName function="false" hidden="true" name="____xlfn.BAHTTEXT" vbProcedure="false">#NAME?</definedName>
    <definedName function="false" hidden="true" name="____xlfn.COUNTIFS" vbProcedure="false">#NAME?</definedName>
    <definedName function="false" hidden="true" name="_____fgd2" vbProcedure="false">{"'Северо-Никольское '!$A$6:$J$40"}</definedName>
    <definedName function="false" hidden="true" name="_____hkf8" vbProcedure="false">{"glc1",#N/A,FALSE,"GLC";"glc2",#N/A,FALSE,"GLC";"glc3",#N/A,FALSE,"GLC";"glc4",#N/A,FALSE,"GLC";"glc5",#N/A,FALSE,"GLC"}</definedName>
    <definedName function="false" hidden="true" name="_____PL1" vbProcedure="false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function="false" hidden="true" name="_____rwb2" vbProcedure="false">{#N/A,#N/A,FALSE,"Aging Summary";#N/A,#N/A,FALSE,"Ratio Analysis";#N/A,#N/A,FALSE,"Test 120 Day Accts";#N/A,#N/A,FALSE,"Tickmarks"}</definedName>
    <definedName function="false" hidden="true" name="_____rwn1" vbProcedure="false">{#N/A,#N/A,FALSE,"Aging Summary";#N/A,#N/A,FALSE,"Ratio Analysis";#N/A,#N/A,FALSE,"Test 120 Day Accts";#N/A,#N/A,FALSE,"Tickmarks"}</definedName>
    <definedName function="false" hidden="true" name="_____rwn10" vbProcedure="false">{#N/A,#N/A,FALSE,"Aging Summary";#N/A,#N/A,FALSE,"Ratio Analysis";#N/A,#N/A,FALSE,"Test 120 Day Accts";#N/A,#N/A,FALSE,"Tickmarks"}</definedName>
    <definedName function="false" hidden="true" name="_____rwn3" vbProcedure="false">{"assets",#N/A,FALSE,"historicBS";"liab",#N/A,FALSE,"historicBS";"is",#N/A,FALSE,"historicIS";"ratios",#N/A,FALSE,"ratios"}</definedName>
    <definedName function="false" hidden="true" name="_____rwn4" vbProcedure="false">{"assets",#N/A,FALSE,"historicBS";"liab",#N/A,FALSE,"historicBS";"is",#N/A,FALSE,"historicIS";"ratios",#N/A,FALSE,"ratios"}</definedName>
    <definedName function="false" hidden="true" name="_____rwn5" vbProcedure="false">{"glcbs",#N/A,FALSE,"GLCBS";"glccsbs",#N/A,FALSE,"GLCCSBS";"glcis",#N/A,FALSE,"GLCIS";"glccsis",#N/A,FALSE,"GLCCSIS";"glcrat1",#N/A,FALSE,"GLC-ratios1"}</definedName>
    <definedName function="false" hidden="true" name="_____rwn6" vbProcedure="false">{"glc1",#N/A,FALSE,"GLC";"glc2",#N/A,FALSE,"GLC";"glc3",#N/A,FALSE,"GLC";"glc4",#N/A,FALSE,"GLC";"glc5",#N/A,FALSE,"GLC"}</definedName>
    <definedName function="false" hidden="true" name="_____rwn7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rwn8" vbProcedure="false">{"glc1",#N/A,FALSE,"GLC";"glc2",#N/A,FALSE,"GLC";"glc3",#N/A,FALSE,"GLC";"glc4",#N/A,FALSE,"GLC";"glc5",#N/A,FALSE,"GLC"}</definedName>
    <definedName function="false" hidden="true" name="_____rwn9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xlfn.AVERAGEIF" vbProcedure="false">#NAME?</definedName>
    <definedName function="false" hidden="true" name="_____xlfn.BAHTTEXT" vbProcedure="false">#NAME?</definedName>
    <definedName function="false" hidden="true" name="______hkf8" vbProcedure="false">{"glc1",#N/A,FALSE,"GLC";"glc2",#N/A,FALSE,"GLC";"glc3",#N/A,FALSE,"GLC";"glc4",#N/A,FALSE,"GLC";"glc5",#N/A,FALSE,"GLC"}</definedName>
    <definedName function="false" hidden="true" name="______PL1" vbProcedure="false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function="false" hidden="true" name="______rwb2" vbProcedure="false">{#N/A,#N/A,FALSE,"Aging Summary";#N/A,#N/A,FALSE,"Ratio Analysis";#N/A,#N/A,FALSE,"Test 120 Day Accts";#N/A,#N/A,FALSE,"Tickmarks"}</definedName>
    <definedName function="false" hidden="true" name="______rwn1" vbProcedure="false">{#N/A,#N/A,FALSE,"Aging Summary";#N/A,#N/A,FALSE,"Ratio Analysis";#N/A,#N/A,FALSE,"Test 120 Day Accts";#N/A,#N/A,FALSE,"Tickmarks"}</definedName>
    <definedName function="false" hidden="true" name="______rwn10" vbProcedure="false">{#N/A,#N/A,FALSE,"Aging Summary";#N/A,#N/A,FALSE,"Ratio Analysis";#N/A,#N/A,FALSE,"Test 120 Day Accts";#N/A,#N/A,FALSE,"Tickmarks"}</definedName>
    <definedName function="false" hidden="true" name="______rwn3" vbProcedure="false">{"assets",#N/A,FALSE,"historicBS";"liab",#N/A,FALSE,"historicBS";"is",#N/A,FALSE,"historicIS";"ratios",#N/A,FALSE,"ratios"}</definedName>
    <definedName function="false" hidden="true" name="______rwn4" vbProcedure="false">{"assets",#N/A,FALSE,"historicBS";"liab",#N/A,FALSE,"historicBS";"is",#N/A,FALSE,"historicIS";"ratios",#N/A,FALSE,"ratios"}</definedName>
    <definedName function="false" hidden="true" name="______rwn5" vbProcedure="false">{"glcbs",#N/A,FALSE,"GLCBS";"glccsbs",#N/A,FALSE,"GLCCSBS";"glcis",#N/A,FALSE,"GLCIS";"glccsis",#N/A,FALSE,"GLCCSIS";"glcrat1",#N/A,FALSE,"GLC-ratios1"}</definedName>
    <definedName function="false" hidden="true" name="______rwn6" vbProcedure="false">{"glc1",#N/A,FALSE,"GLC";"glc2",#N/A,FALSE,"GLC";"glc3",#N/A,FALSE,"GLC";"glc4",#N/A,FALSE,"GLC";"glc5",#N/A,FALSE,"GLC"}</definedName>
    <definedName function="false" hidden="true" name="______rwn7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rwn8" vbProcedure="false">{"glc1",#N/A,FALSE,"GLC";"glc2",#N/A,FALSE,"GLC";"glc3",#N/A,FALSE,"GLC";"glc4",#N/A,FALSE,"GLC";"glc5",#N/A,FALSE,"GLC"}</definedName>
    <definedName function="false" hidden="true" name="______rwn9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xlfn.AVERAGEIF" vbProcedure="false">#NAME?</definedName>
    <definedName function="false" hidden="true" name="______xlfn.BAHTTEXT" vbProcedure="false">#NAME?</definedName>
    <definedName function="false" hidden="true" name="_______fgd2" vbProcedure="false">{"'Северо-Никольское '!$A$6:$J$40"}</definedName>
    <definedName function="false" hidden="true" name="_______hkf8" vbProcedure="false">{"glc1",#N/A,FALSE,"GLC";"glc2",#N/A,FALSE,"GLC";"glc3",#N/A,FALSE,"GLC";"glc4",#N/A,FALSE,"GLC";"glc5",#N/A,FALSE,"GLC"}</definedName>
    <definedName function="false" hidden="true" name="_______PL1" vbProcedure="false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function="false" hidden="true" name="_______rwb2" vbProcedure="false">{#N/A,#N/A,FALSE,"Aging Summary";#N/A,#N/A,FALSE,"Ratio Analysis";#N/A,#N/A,FALSE,"Test 120 Day Accts";#N/A,#N/A,FALSE,"Tickmarks"}</definedName>
    <definedName function="false" hidden="true" name="_______rwn1" vbProcedure="false">{#N/A,#N/A,FALSE,"Aging Summary";#N/A,#N/A,FALSE,"Ratio Analysis";#N/A,#N/A,FALSE,"Test 120 Day Accts";#N/A,#N/A,FALSE,"Tickmarks"}</definedName>
    <definedName function="false" hidden="true" name="_______rwn10" vbProcedure="false">{#N/A,#N/A,FALSE,"Aging Summary";#N/A,#N/A,FALSE,"Ratio Analysis";#N/A,#N/A,FALSE,"Test 120 Day Accts";#N/A,#N/A,FALSE,"Tickmarks"}</definedName>
    <definedName function="false" hidden="true" name="_______rwn3" vbProcedure="false">{"assets",#N/A,FALSE,"historicBS";"liab",#N/A,FALSE,"historicBS";"is",#N/A,FALSE,"historicIS";"ratios",#N/A,FALSE,"ratios"}</definedName>
    <definedName function="false" hidden="true" name="_______rwn4" vbProcedure="false">{"assets",#N/A,FALSE,"historicBS";"liab",#N/A,FALSE,"historicBS";"is",#N/A,FALSE,"historicIS";"ratios",#N/A,FALSE,"ratios"}</definedName>
    <definedName function="false" hidden="true" name="_______rwn5" vbProcedure="false">{"glcbs",#N/A,FALSE,"GLCBS";"glccsbs",#N/A,FALSE,"GLCCSBS";"glcis",#N/A,FALSE,"GLCIS";"glccsis",#N/A,FALSE,"GLCCSIS";"glcrat1",#N/A,FALSE,"GLC-ratios1"}</definedName>
    <definedName function="false" hidden="true" name="_______rwn6" vbProcedure="false">{"glc1",#N/A,FALSE,"GLC";"glc2",#N/A,FALSE,"GLC";"glc3",#N/A,FALSE,"GLC";"glc4",#N/A,FALSE,"GLC";"glc5",#N/A,FALSE,"GLC"}</definedName>
    <definedName function="false" hidden="true" name="_______rwn7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rwn8" vbProcedure="false">{"glc1",#N/A,FALSE,"GLC";"glc2",#N/A,FALSE,"GLC";"glc3",#N/A,FALSE,"GLC";"glc4",#N/A,FALSE,"GLC";"glc5",#N/A,FALSE,"GLC"}</definedName>
    <definedName function="false" hidden="true" name="_______rwn9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wrn2" vbProcedure="false">{"glc1",#N/A,FALSE,"GLC";"glc2",#N/A,FALSE,"GLC";"glc3",#N/A,FALSE,"GLC";"glc4",#N/A,FALSE,"GLC";"glc5",#N/A,FALSE,"GLC"}</definedName>
    <definedName function="false" hidden="true" name="_______wrn222" vbProcedure="false">{"glc1",#N/A,FALSE,"GLC";"glc2",#N/A,FALSE,"GLC";"glc3",#N/A,FALSE,"GLC";"glc4",#N/A,FALSE,"GLC";"glc5",#N/A,FALSE,"GLC"}</definedName>
    <definedName function="false" hidden="true" name="_______xlfn.AVERAGEIF" vbProcedure="false">#NAME?</definedName>
    <definedName function="false" hidden="true" name="_______xlfn.BAHTTEXT" vbProcedure="false">#NAME?</definedName>
    <definedName function="false" hidden="true" name="________hkf8" vbProcedure="false">{"glc1",#N/A,FALSE,"GLC";"glc2",#N/A,FALSE,"GLC";"glc3",#N/A,FALSE,"GLC";"glc4",#N/A,FALSE,"GLC";"glc5",#N/A,FALSE,"GLC"}</definedName>
    <definedName function="false" hidden="true" name="________PL1" vbProcedure="false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function="false" hidden="true" name="________rwb2" vbProcedure="false">{#N/A,#N/A,FALSE,"Aging Summary";#N/A,#N/A,FALSE,"Ratio Analysis";#N/A,#N/A,FALSE,"Test 120 Day Accts";#N/A,#N/A,FALSE,"Tickmarks"}</definedName>
    <definedName function="false" hidden="true" name="________rwn1" vbProcedure="false">{#N/A,#N/A,FALSE,"Aging Summary";#N/A,#N/A,FALSE,"Ratio Analysis";#N/A,#N/A,FALSE,"Test 120 Day Accts";#N/A,#N/A,FALSE,"Tickmarks"}</definedName>
    <definedName function="false" hidden="true" name="________rwn10" vbProcedure="false">{#N/A,#N/A,FALSE,"Aging Summary";#N/A,#N/A,FALSE,"Ratio Analysis";#N/A,#N/A,FALSE,"Test 120 Day Accts";#N/A,#N/A,FALSE,"Tickmarks"}</definedName>
    <definedName function="false" hidden="true" name="________rwn3" vbProcedure="false">{"assets",#N/A,FALSE,"historicBS";"liab",#N/A,FALSE,"historicBS";"is",#N/A,FALSE,"historicIS";"ratios",#N/A,FALSE,"ratios"}</definedName>
    <definedName function="false" hidden="true" name="________rwn4" vbProcedure="false">{"assets",#N/A,FALSE,"historicBS";"liab",#N/A,FALSE,"historicBS";"is",#N/A,FALSE,"historicIS";"ratios",#N/A,FALSE,"ratios"}</definedName>
    <definedName function="false" hidden="true" name="________rwn5" vbProcedure="false">{"glcbs",#N/A,FALSE,"GLCBS";"glccsbs",#N/A,FALSE,"GLCCSBS";"glcis",#N/A,FALSE,"GLCIS";"glccsis",#N/A,FALSE,"GLCCSIS";"glcrat1",#N/A,FALSE,"GLC-ratios1"}</definedName>
    <definedName function="false" hidden="true" name="________rwn6" vbProcedure="false">{"glc1",#N/A,FALSE,"GLC";"glc2",#N/A,FALSE,"GLC";"glc3",#N/A,FALSE,"GLC";"glc4",#N/A,FALSE,"GLC";"glc5",#N/A,FALSE,"GLC"}</definedName>
    <definedName function="false" hidden="true" name="________rwn7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rwn8" vbProcedure="false">{"glc1",#N/A,FALSE,"GLC";"glc2",#N/A,FALSE,"GLC";"glc3",#N/A,FALSE,"GLC";"glc4",#N/A,FALSE,"GLC";"glc5",#N/A,FALSE,"GLC"}</definedName>
    <definedName function="false" hidden="true" name="________rwn9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wrn2" vbProcedure="false">{"glc1",#N/A,FALSE,"GLC";"glc2",#N/A,FALSE,"GLC";"glc3",#N/A,FALSE,"GLC";"glc4",#N/A,FALSE,"GLC";"glc5",#N/A,FALSE,"GLC"}</definedName>
    <definedName function="false" hidden="true" name="________wrn222" vbProcedure="false">{"glc1",#N/A,FALSE,"GLC";"glc2",#N/A,FALSE,"GLC";"glc3",#N/A,FALSE,"GLC";"glc4",#N/A,FALSE,"GLC";"glc5",#N/A,FALSE,"GLC"}</definedName>
    <definedName function="false" hidden="true" name="________xlfn.AVERAGEIF" vbProcedure="false">#NAME?</definedName>
    <definedName function="false" hidden="true" name="_________hkf8" vbProcedure="false">{"glc1",#N/A,FALSE,"GLC";"glc2",#N/A,FALSE,"GLC";"glc3",#N/A,FALSE,"GLC";"glc4",#N/A,FALSE,"GLC";"glc5",#N/A,FALSE,"GLC"}</definedName>
    <definedName function="false" hidden="true" name="_________PL1" vbProcedure="false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function="false" hidden="true" name="_________rwb2" vbProcedure="false">{#N/A,#N/A,FALSE,"Aging Summary";#N/A,#N/A,FALSE,"Ratio Analysis";#N/A,#N/A,FALSE,"Test 120 Day Accts";#N/A,#N/A,FALSE,"Tickmarks"}</definedName>
    <definedName function="false" hidden="true" name="_________rwn1" vbProcedure="false">{#N/A,#N/A,FALSE,"Aging Summary";#N/A,#N/A,FALSE,"Ratio Analysis";#N/A,#N/A,FALSE,"Test 120 Day Accts";#N/A,#N/A,FALSE,"Tickmarks"}</definedName>
    <definedName function="false" hidden="true" name="_________rwn10" vbProcedure="false">{#N/A,#N/A,FALSE,"Aging Summary";#N/A,#N/A,FALSE,"Ratio Analysis";#N/A,#N/A,FALSE,"Test 120 Day Accts";#N/A,#N/A,FALSE,"Tickmarks"}</definedName>
    <definedName function="false" hidden="true" name="_________rwn3" vbProcedure="false">{"assets",#N/A,FALSE,"historicBS";"liab",#N/A,FALSE,"historicBS";"is",#N/A,FALSE,"historicIS";"ratios",#N/A,FALSE,"ratios"}</definedName>
    <definedName function="false" hidden="true" name="_________rwn4" vbProcedure="false">{"assets",#N/A,FALSE,"historicBS";"liab",#N/A,FALSE,"historicBS";"is",#N/A,FALSE,"historicIS";"ratios",#N/A,FALSE,"ratios"}</definedName>
    <definedName function="false" hidden="true" name="_________rwn5" vbProcedure="false">{"glcbs",#N/A,FALSE,"GLCBS";"glccsbs",#N/A,FALSE,"GLCCSBS";"glcis",#N/A,FALSE,"GLCIS";"glccsis",#N/A,FALSE,"GLCCSIS";"glcrat1",#N/A,FALSE,"GLC-ratios1"}</definedName>
    <definedName function="false" hidden="true" name="_________rwn6" vbProcedure="false">{"glc1",#N/A,FALSE,"GLC";"glc2",#N/A,FALSE,"GLC";"glc3",#N/A,FALSE,"GLC";"glc4",#N/A,FALSE,"GLC";"glc5",#N/A,FALSE,"GLC"}</definedName>
    <definedName function="false" hidden="true" name="_________rwn7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rwn8" vbProcedure="false">{"glc1",#N/A,FALSE,"GLC";"glc2",#N/A,FALSE,"GLC";"glc3",#N/A,FALSE,"GLC";"glc4",#N/A,FALSE,"GLC";"glc5",#N/A,FALSE,"GLC"}</definedName>
    <definedName function="false" hidden="true" name="_________rwn9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wrn2" vbProcedure="false">{"glc1",#N/A,FALSE,"GLC";"glc2",#N/A,FALSE,"GLC";"glc3",#N/A,FALSE,"GLC";"glc4",#N/A,FALSE,"GLC";"glc5",#N/A,FALSE,"GLC"}</definedName>
    <definedName function="false" hidden="true" name="_________wrn222" vbProcedure="false">{"glc1",#N/A,FALSE,"GLC";"glc2",#N/A,FALSE,"GLC";"glc3",#N/A,FALSE,"GLC";"glc4",#N/A,FALSE,"GLC";"glc5",#N/A,FALSE,"GLC"}</definedName>
    <definedName function="false" hidden="true" name="_________xlfn.AVERAGEIF" vbProcedure="false">#NAME?</definedName>
    <definedName function="false" hidden="true" name="__________" vbProcedure="false">#REF!</definedName>
    <definedName function="false" hidden="true" name="__________PL1" vbProcedure="false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function="false" hidden="true" name="__________rwb2" vbProcedure="false">{#N/A,#N/A,FALSE,"Aging Summary";#N/A,#N/A,FALSE,"Ratio Analysis";#N/A,#N/A,FALSE,"Test 120 Day Accts";#N/A,#N/A,FALSE,"Tickmarks"}</definedName>
    <definedName function="false" hidden="true" name="__________rwn1" vbProcedure="false">{#N/A,#N/A,FALSE,"Aging Summary";#N/A,#N/A,FALSE,"Ratio Analysis";#N/A,#N/A,FALSE,"Test 120 Day Accts";#N/A,#N/A,FALSE,"Tickmarks"}</definedName>
    <definedName function="false" hidden="true" name="__________rwn10" vbProcedure="false">{#N/A,#N/A,FALSE,"Aging Summary";#N/A,#N/A,FALSE,"Ratio Analysis";#N/A,#N/A,FALSE,"Test 120 Day Accts";#N/A,#N/A,FALSE,"Tickmarks"}</definedName>
    <definedName function="false" hidden="true" name="__________rwn3" vbProcedure="false">{"assets",#N/A,FALSE,"historicBS";"liab",#N/A,FALSE,"historicBS";"is",#N/A,FALSE,"historicIS";"ratios",#N/A,FALSE,"ratios"}</definedName>
    <definedName function="false" hidden="true" name="__________rwn4" vbProcedure="false">{"assets",#N/A,FALSE,"historicBS";"liab",#N/A,FALSE,"historicBS";"is",#N/A,FALSE,"historicIS";"ratios",#N/A,FALSE,"ratios"}</definedName>
    <definedName function="false" hidden="true" name="__________rwn5" vbProcedure="false">{"glcbs",#N/A,FALSE,"GLCBS";"glccsbs",#N/A,FALSE,"GLCCSBS";"glcis",#N/A,FALSE,"GLCIS";"glccsis",#N/A,FALSE,"GLCCSIS";"glcrat1",#N/A,FALSE,"GLC-ratios1"}</definedName>
    <definedName function="false" hidden="true" name="__________rwn6" vbProcedure="false">{"glc1",#N/A,FALSE,"GLC";"glc2",#N/A,FALSE,"GLC";"glc3",#N/A,FALSE,"GLC";"glc4",#N/A,FALSE,"GLC";"glc5",#N/A,FALSE,"GLC"}</definedName>
    <definedName function="false" hidden="true" name="__________rwn7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rwn8" vbProcedure="false">{"glc1",#N/A,FALSE,"GLC";"glc2",#N/A,FALSE,"GLC";"glc3",#N/A,FALSE,"GLC";"glc4",#N/A,FALSE,"GLC";"glc5",#N/A,FALSE,"GLC"}</definedName>
    <definedName function="false" hidden="true" name="__________rwn9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wrn2" vbProcedure="false">{"glc1",#N/A,FALSE,"GLC";"glc2",#N/A,FALSE,"GLC";"glc3",#N/A,FALSE,"GLC";"glc4",#N/A,FALSE,"GLC";"glc5",#N/A,FALSE,"GLC"}</definedName>
    <definedName function="false" hidden="true" name="__________wrn222" vbProcedure="false">{"glc1",#N/A,FALSE,"GLC";"glc2",#N/A,FALSE,"GLC";"glc3",#N/A,FALSE,"GLC";"glc4",#N/A,FALSE,"GLC";"glc5",#N/A,FALSE,"GLC"}</definedName>
    <definedName function="false" hidden="true" name="__________xlfn.AVERAGEIF" vbProcedure="false">#NAME?</definedName>
    <definedName function="false" hidden="true" name="___________hkf8" vbProcedure="false">{"glc1",#N/A,FALSE,"GLC";"glc2",#N/A,FALSE,"GLC";"glc3",#N/A,FALSE,"GLC";"glc4",#N/A,FALSE,"GLC";"glc5",#N/A,FALSE,"GLC"}</definedName>
    <definedName function="false" hidden="true" name="___________PL1" vbProcedure="false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function="false" hidden="true" name="___________rwb2" vbProcedure="false">{#N/A,#N/A,FALSE,"Aging Summary";#N/A,#N/A,FALSE,"Ratio Analysis";#N/A,#N/A,FALSE,"Test 120 Day Accts";#N/A,#N/A,FALSE,"Tickmarks"}</definedName>
    <definedName function="false" hidden="true" name="___________rwn1" vbProcedure="false">{#N/A,#N/A,FALSE,"Aging Summary";#N/A,#N/A,FALSE,"Ratio Analysis";#N/A,#N/A,FALSE,"Test 120 Day Accts";#N/A,#N/A,FALSE,"Tickmarks"}</definedName>
    <definedName function="false" hidden="true" name="___________rwn10" vbProcedure="false">{#N/A,#N/A,FALSE,"Aging Summary";#N/A,#N/A,FALSE,"Ratio Analysis";#N/A,#N/A,FALSE,"Test 120 Day Accts";#N/A,#N/A,FALSE,"Tickmarks"}</definedName>
    <definedName function="false" hidden="true" name="___________rwn3" vbProcedure="false">{"assets",#N/A,FALSE,"historicBS";"liab",#N/A,FALSE,"historicBS";"is",#N/A,FALSE,"historicIS";"ratios",#N/A,FALSE,"ratios"}</definedName>
    <definedName function="false" hidden="true" name="___________rwn4" vbProcedure="false">{"assets",#N/A,FALSE,"historicBS";"liab",#N/A,FALSE,"historicBS";"is",#N/A,FALSE,"historicIS";"ratios",#N/A,FALSE,"ratios"}</definedName>
    <definedName function="false" hidden="true" name="___________rwn5" vbProcedure="false">{"glcbs",#N/A,FALSE,"GLCBS";"glccsbs",#N/A,FALSE,"GLCCSBS";"glcis",#N/A,FALSE,"GLCIS";"glccsis",#N/A,FALSE,"GLCCSIS";"glcrat1",#N/A,FALSE,"GLC-ratios1"}</definedName>
    <definedName function="false" hidden="true" name="___________rwn6" vbProcedure="false">{"glc1",#N/A,FALSE,"GLC";"glc2",#N/A,FALSE,"GLC";"glc3",#N/A,FALSE,"GLC";"glc4",#N/A,FALSE,"GLC";"glc5",#N/A,FALSE,"GLC"}</definedName>
    <definedName function="false" hidden="true" name="___________rwn7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rwn8" vbProcedure="false">{"glc1",#N/A,FALSE,"GLC";"glc2",#N/A,FALSE,"GLC";"glc3",#N/A,FALSE,"GLC";"glc4",#N/A,FALSE,"GLC";"glc5",#N/A,FALSE,"GLC"}</definedName>
    <definedName function="false" hidden="true" name="___________rwn9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wrn2" vbProcedure="false">{"glc1",#N/A,FALSE,"GLC";"glc2",#N/A,FALSE,"GLC";"glc3",#N/A,FALSE,"GLC";"glc4",#N/A,FALSE,"GLC";"glc5",#N/A,FALSE,"GLC"}</definedName>
    <definedName function="false" hidden="true" name="___________wrn222" vbProcedure="false">{"glc1",#N/A,FALSE,"GLC";"glc2",#N/A,FALSE,"GLC";"glc3",#N/A,FALSE,"GLC";"glc4",#N/A,FALSE,"GLC";"glc5",#N/A,FALSE,"GLC"}</definedName>
    <definedName function="false" hidden="true" name="___________xlfn.AVERAGEIF" vbProcedure="false">#NAME?</definedName>
    <definedName function="false" hidden="true" name="____________PL1" vbProcedure="false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function="false" hidden="true" name="____________rwb2" vbProcedure="false">{#N/A,#N/A,FALSE,"Aging Summary";#N/A,#N/A,FALSE,"Ratio Analysis";#N/A,#N/A,FALSE,"Test 120 Day Accts";#N/A,#N/A,FALSE,"Tickmarks"}</definedName>
    <definedName function="false" hidden="true" name="____________rwn1" vbProcedure="false">{#N/A,#N/A,FALSE,"Aging Summary";#N/A,#N/A,FALSE,"Ratio Analysis";#N/A,#N/A,FALSE,"Test 120 Day Accts";#N/A,#N/A,FALSE,"Tickmarks"}</definedName>
    <definedName function="false" hidden="true" name="____________rwn10" vbProcedure="false">{#N/A,#N/A,FALSE,"Aging Summary";#N/A,#N/A,FALSE,"Ratio Analysis";#N/A,#N/A,FALSE,"Test 120 Day Accts";#N/A,#N/A,FALSE,"Tickmarks"}</definedName>
    <definedName function="false" hidden="true" name="____________rwn3" vbProcedure="false">{"assets",#N/A,FALSE,"historicBS";"liab",#N/A,FALSE,"historicBS";"is",#N/A,FALSE,"historicIS";"ratios",#N/A,FALSE,"ratios"}</definedName>
    <definedName function="false" hidden="true" name="____________rwn4" vbProcedure="false">{"assets",#N/A,FALSE,"historicBS";"liab",#N/A,FALSE,"historicBS";"is",#N/A,FALSE,"historicIS";"ratios",#N/A,FALSE,"ratios"}</definedName>
    <definedName function="false" hidden="true" name="____________rwn5" vbProcedure="false">{"glcbs",#N/A,FALSE,"GLCBS";"glccsbs",#N/A,FALSE,"GLCCSBS";"glcis",#N/A,FALSE,"GLCIS";"glccsis",#N/A,FALSE,"GLCCSIS";"glcrat1",#N/A,FALSE,"GLC-ratios1"}</definedName>
    <definedName function="false" hidden="true" name="____________rwn6" vbProcedure="false">{"glc1",#N/A,FALSE,"GLC";"glc2",#N/A,FALSE,"GLC";"glc3",#N/A,FALSE,"GLC";"glc4",#N/A,FALSE,"GLC";"glc5",#N/A,FALSE,"GLC"}</definedName>
    <definedName function="false" hidden="true" name="____________rwn7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rwn8" vbProcedure="false">{"glc1",#N/A,FALSE,"GLC";"glc2",#N/A,FALSE,"GLC";"glc3",#N/A,FALSE,"GLC";"glc4",#N/A,FALSE,"GLC";"glc5",#N/A,FALSE,"GLC"}</definedName>
    <definedName function="false" hidden="true" name="____________rwn9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wrn2" vbProcedure="false">{"glc1",#N/A,FALSE,"GLC";"glc2",#N/A,FALSE,"GLC";"glc3",#N/A,FALSE,"GLC";"glc4",#N/A,FALSE,"GLC";"glc5",#N/A,FALSE,"GLC"}</definedName>
    <definedName function="false" hidden="true" name="____________wrn222" vbProcedure="false">{"glc1",#N/A,FALSE,"GLC";"glc2",#N/A,FALSE,"GLC";"glc3",#N/A,FALSE,"GLC";"glc4",#N/A,FALSE,"GLC";"glc5",#N/A,FALSE,"GLC"}</definedName>
    <definedName function="false" hidden="true" name="____________xlfn.AVERAGEIF" vbProcedure="false">#NAME?</definedName>
    <definedName function="false" hidden="true" name="_____________PL1" vbProcedure="false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function="false" hidden="true" name="_____________rwb2" vbProcedure="false">{#N/A,#N/A,FALSE,"Aging Summary";#N/A,#N/A,FALSE,"Ratio Analysis";#N/A,#N/A,FALSE,"Test 120 Day Accts";#N/A,#N/A,FALSE,"Tickmarks"}</definedName>
    <definedName function="false" hidden="true" name="_____________rwn1" vbProcedure="false">{#N/A,#N/A,FALSE,"Aging Summary";#N/A,#N/A,FALSE,"Ratio Analysis";#N/A,#N/A,FALSE,"Test 120 Day Accts";#N/A,#N/A,FALSE,"Tickmarks"}</definedName>
    <definedName function="false" hidden="true" name="_____________rwn10" vbProcedure="false">{#N/A,#N/A,FALSE,"Aging Summary";#N/A,#N/A,FALSE,"Ratio Analysis";#N/A,#N/A,FALSE,"Test 120 Day Accts";#N/A,#N/A,FALSE,"Tickmarks"}</definedName>
    <definedName function="false" hidden="true" name="_____________rwn3" vbProcedure="false">{"assets",#N/A,FALSE,"historicBS";"liab",#N/A,FALSE,"historicBS";"is",#N/A,FALSE,"historicIS";"ratios",#N/A,FALSE,"ratios"}</definedName>
    <definedName function="false" hidden="true" name="_____________rwn4" vbProcedure="false">{"assets",#N/A,FALSE,"historicBS";"liab",#N/A,FALSE,"historicBS";"is",#N/A,FALSE,"historicIS";"ratios",#N/A,FALSE,"ratios"}</definedName>
    <definedName function="false" hidden="true" name="_____________rwn5" vbProcedure="false">{"glcbs",#N/A,FALSE,"GLCBS";"glccsbs",#N/A,FALSE,"GLCCSBS";"glcis",#N/A,FALSE,"GLCIS";"glccsis",#N/A,FALSE,"GLCCSIS";"glcrat1",#N/A,FALSE,"GLC-ratios1"}</definedName>
    <definedName function="false" hidden="true" name="_____________rwn6" vbProcedure="false">{"glc1",#N/A,FALSE,"GLC";"glc2",#N/A,FALSE,"GLC";"glc3",#N/A,FALSE,"GLC";"glc4",#N/A,FALSE,"GLC";"glc5",#N/A,FALSE,"GLC"}</definedName>
    <definedName function="false" hidden="true" name="_____________rwn7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rwn8" vbProcedure="false">{"glc1",#N/A,FALSE,"GLC";"glc2",#N/A,FALSE,"GLC";"glc3",#N/A,FALSE,"GLC";"glc4",#N/A,FALSE,"GLC";"glc5",#N/A,FALSE,"GLC"}</definedName>
    <definedName function="false" hidden="true" name="_____________rwn9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wrn2" vbProcedure="false">{"glc1",#N/A,FALSE,"GLC";"glc2",#N/A,FALSE,"GLC";"glc3",#N/A,FALSE,"GLC";"glc4",#N/A,FALSE,"GLC";"glc5",#N/A,FALSE,"GLC"}</definedName>
    <definedName function="false" hidden="true" name="_____________wrn222" vbProcedure="false">{"glc1",#N/A,FALSE,"GLC";"glc2",#N/A,FALSE,"GLC";"glc3",#N/A,FALSE,"GLC";"glc4",#N/A,FALSE,"GLC";"glc5",#N/A,FALSE,"GLC"}</definedName>
    <definedName function="false" hidden="true" name="______________hkf8" vbProcedure="false">{"glc1",#N/A,FALSE,"GLC";"glc2",#N/A,FALSE,"GLC";"glc3",#N/A,FALSE,"GLC";"glc4",#N/A,FALSE,"GLC";"glc5",#N/A,FALSE,"GLC"}</definedName>
    <definedName function="false" hidden="true" name="______________PL1" vbProcedure="false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function="false" hidden="true" name="______________rwb2" vbProcedure="false">{#N/A,#N/A,FALSE,"Aging Summary";#N/A,#N/A,FALSE,"Ratio Analysis";#N/A,#N/A,FALSE,"Test 120 Day Accts";#N/A,#N/A,FALSE,"Tickmarks"}</definedName>
    <definedName function="false" hidden="true" name="______________rwn1" vbProcedure="false">{#N/A,#N/A,FALSE,"Aging Summary";#N/A,#N/A,FALSE,"Ratio Analysis";#N/A,#N/A,FALSE,"Test 120 Day Accts";#N/A,#N/A,FALSE,"Tickmarks"}</definedName>
    <definedName function="false" hidden="true" name="______________rwn10" vbProcedure="false">{#N/A,#N/A,FALSE,"Aging Summary";#N/A,#N/A,FALSE,"Ratio Analysis";#N/A,#N/A,FALSE,"Test 120 Day Accts";#N/A,#N/A,FALSE,"Tickmarks"}</definedName>
    <definedName function="false" hidden="true" name="______________rwn3" vbProcedure="false">{"assets",#N/A,FALSE,"historicBS";"liab",#N/A,FALSE,"historicBS";"is",#N/A,FALSE,"historicIS";"ratios",#N/A,FALSE,"ratios"}</definedName>
    <definedName function="false" hidden="true" name="______________rwn4" vbProcedure="false">{"assets",#N/A,FALSE,"historicBS";"liab",#N/A,FALSE,"historicBS";"is",#N/A,FALSE,"historicIS";"ratios",#N/A,FALSE,"ratios"}</definedName>
    <definedName function="false" hidden="true" name="______________rwn5" vbProcedure="false">{"glcbs",#N/A,FALSE,"GLCBS";"glccsbs",#N/A,FALSE,"GLCCSBS";"glcis",#N/A,FALSE,"GLCIS";"glccsis",#N/A,FALSE,"GLCCSIS";"glcrat1",#N/A,FALSE,"GLC-ratios1"}</definedName>
    <definedName function="false" hidden="true" name="______________rwn6" vbProcedure="false">{"glc1",#N/A,FALSE,"GLC";"glc2",#N/A,FALSE,"GLC";"glc3",#N/A,FALSE,"GLC";"glc4",#N/A,FALSE,"GLC";"glc5",#N/A,FALSE,"GLC"}</definedName>
    <definedName function="false" hidden="true" name="______________rwn7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rwn8" vbProcedure="false">{"glc1",#N/A,FALSE,"GLC";"glc2",#N/A,FALSE,"GLC";"glc3",#N/A,FALSE,"GLC";"glc4",#N/A,FALSE,"GLC";"glc5",#N/A,FALSE,"GLC"}</definedName>
    <definedName function="false" hidden="true" name="______________rwn9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wrn2" vbProcedure="false">{"glc1",#N/A,FALSE,"GLC";"glc2",#N/A,FALSE,"GLC";"glc3",#N/A,FALSE,"GLC";"glc4",#N/A,FALSE,"GLC";"glc5",#N/A,FALSE,"GLC"}</definedName>
    <definedName function="false" hidden="true" name="______________wrn222" vbProcedure="false">{"glc1",#N/A,FALSE,"GLC";"glc2",#N/A,FALSE,"GLC";"glc3",#N/A,FALSE,"GLC";"glc4",#N/A,FALSE,"GLC";"glc5",#N/A,FALSE,"GLC"}</definedName>
    <definedName function="false" hidden="true" name="_______________hkf8" vbProcedure="false">{"glc1",#N/A,FALSE,"GLC";"glc2",#N/A,FALSE,"GLC";"glc3",#N/A,FALSE,"GLC";"glc4",#N/A,FALSE,"GLC";"glc5",#N/A,FALSE,"GLC"}</definedName>
    <definedName function="false" hidden="true" name="_______________rwb2" vbProcedure="false">{#N/A,#N/A,FALSE,"Aging Summary";#N/A,#N/A,FALSE,"Ratio Analysis";#N/A,#N/A,FALSE,"Test 120 Day Accts";#N/A,#N/A,FALSE,"Tickmarks"}</definedName>
    <definedName function="false" hidden="true" name="_______________rwn1" vbProcedure="false">{#N/A,#N/A,FALSE,"Aging Summary";#N/A,#N/A,FALSE,"Ratio Analysis";#N/A,#N/A,FALSE,"Test 120 Day Accts";#N/A,#N/A,FALSE,"Tickmarks"}</definedName>
    <definedName function="false" hidden="true" name="_______________rwn10" vbProcedure="false">{#N/A,#N/A,FALSE,"Aging Summary";#N/A,#N/A,FALSE,"Ratio Analysis";#N/A,#N/A,FALSE,"Test 120 Day Accts";#N/A,#N/A,FALSE,"Tickmarks"}</definedName>
    <definedName function="false" hidden="true" name="_______________rwn3" vbProcedure="false">{"assets",#N/A,FALSE,"historicBS";"liab",#N/A,FALSE,"historicBS";"is",#N/A,FALSE,"historicIS";"ratios",#N/A,FALSE,"ratios"}</definedName>
    <definedName function="false" hidden="true" name="_______________rwn4" vbProcedure="false">{"assets",#N/A,FALSE,"historicBS";"liab",#N/A,FALSE,"historicBS";"is",#N/A,FALSE,"historicIS";"ratios",#N/A,FALSE,"ratios"}</definedName>
    <definedName function="false" hidden="true" name="_______________rwn5" vbProcedure="false">{"glcbs",#N/A,FALSE,"GLCBS";"glccsbs",#N/A,FALSE,"GLCCSBS";"glcis",#N/A,FALSE,"GLCIS";"glccsis",#N/A,FALSE,"GLCCSIS";"glcrat1",#N/A,FALSE,"GLC-ratios1"}</definedName>
    <definedName function="false" hidden="true" name="_______________rwn6" vbProcedure="false">{"glc1",#N/A,FALSE,"GLC";"glc2",#N/A,FALSE,"GLC";"glc3",#N/A,FALSE,"GLC";"glc4",#N/A,FALSE,"GLC";"glc5",#N/A,FALSE,"GLC"}</definedName>
    <definedName function="false" hidden="true" name="_______________rwn7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rwn8" vbProcedure="false">{"glc1",#N/A,FALSE,"GLC";"glc2",#N/A,FALSE,"GLC";"glc3",#N/A,FALSE,"GLC";"glc4",#N/A,FALSE,"GLC";"glc5",#N/A,FALSE,"GLC"}</definedName>
    <definedName function="false" hidden="true" name="_______________rwn9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wrn2" vbProcedure="false">{"glc1",#N/A,FALSE,"GLC";"glc2",#N/A,FALSE,"GLC";"glc3",#N/A,FALSE,"GLC";"glc4",#N/A,FALSE,"GLC";"glc5",#N/A,FALSE,"GLC"}</definedName>
    <definedName function="false" hidden="true" name="_______________wrn222" vbProcedure="false">{"glc1",#N/A,FALSE,"GLC";"glc2",#N/A,FALSE,"GLC";"glc3",#N/A,FALSE,"GLC";"glc4",#N/A,FALSE,"GLC";"glc5",#N/A,FALSE,"GLC"}</definedName>
    <definedName function="false" hidden="true" name="________________hkf8" vbProcedure="false">{"glc1",#N/A,FALSE,"GLC";"glc2",#N/A,FALSE,"GLC";"glc3",#N/A,FALSE,"GLC";"glc4",#N/A,FALSE,"GLC";"glc5",#N/A,FALSE,"GLC"}</definedName>
    <definedName function="false" hidden="true" name="________________rwb2" vbProcedure="false">{#N/A,#N/A,FALSE,"Aging Summary";#N/A,#N/A,FALSE,"Ratio Analysis";#N/A,#N/A,FALSE,"Test 120 Day Accts";#N/A,#N/A,FALSE,"Tickmarks"}</definedName>
    <definedName function="false" hidden="true" name="________________rwn1" vbProcedure="false">{#N/A,#N/A,FALSE,"Aging Summary";#N/A,#N/A,FALSE,"Ratio Analysis";#N/A,#N/A,FALSE,"Test 120 Day Accts";#N/A,#N/A,FALSE,"Tickmarks"}</definedName>
    <definedName function="false" hidden="true" name="________________rwn10" vbProcedure="false">{#N/A,#N/A,FALSE,"Aging Summary";#N/A,#N/A,FALSE,"Ratio Analysis";#N/A,#N/A,FALSE,"Test 120 Day Accts";#N/A,#N/A,FALSE,"Tickmarks"}</definedName>
    <definedName function="false" hidden="true" name="________________rwn3" vbProcedure="false">{"assets",#N/A,FALSE,"historicBS";"liab",#N/A,FALSE,"historicBS";"is",#N/A,FALSE,"historicIS";"ratios",#N/A,FALSE,"ratios"}</definedName>
    <definedName function="false" hidden="true" name="________________rwn4" vbProcedure="false">{"assets",#N/A,FALSE,"historicBS";"liab",#N/A,FALSE,"historicBS";"is",#N/A,FALSE,"historicIS";"ratios",#N/A,FALSE,"ratios"}</definedName>
    <definedName function="false" hidden="true" name="________________rwn5" vbProcedure="false">{"glcbs",#N/A,FALSE,"GLCBS";"glccsbs",#N/A,FALSE,"GLCCSBS";"glcis",#N/A,FALSE,"GLCIS";"glccsis",#N/A,FALSE,"GLCCSIS";"glcrat1",#N/A,FALSE,"GLC-ratios1"}</definedName>
    <definedName function="false" hidden="true" name="________________rwn6" vbProcedure="false">{"glc1",#N/A,FALSE,"GLC";"glc2",#N/A,FALSE,"GLC";"glc3",#N/A,FALSE,"GLC";"glc4",#N/A,FALSE,"GLC";"glc5",#N/A,FALSE,"GLC"}</definedName>
    <definedName function="false" hidden="true" name="________________rwn7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rwn8" vbProcedure="false">{"glc1",#N/A,FALSE,"GLC";"glc2",#N/A,FALSE,"GLC";"glc3",#N/A,FALSE,"GLC";"glc4",#N/A,FALSE,"GLC";"glc5",#N/A,FALSE,"GLC"}</definedName>
    <definedName function="false" hidden="true" name="________________rwn9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wrn2" vbProcedure="false">{"glc1",#N/A,FALSE,"GLC";"glc2",#N/A,FALSE,"GLC";"glc3",#N/A,FALSE,"GLC";"glc4",#N/A,FALSE,"GLC";"glc5",#N/A,FALSE,"GLC"}</definedName>
    <definedName function="false" hidden="true" name="________________wrn222" vbProcedure="false">{"glc1",#N/A,FALSE,"GLC";"glc2",#N/A,FALSE,"GLC";"glc3",#N/A,FALSE,"GLC";"glc4",#N/A,FALSE,"GLC";"glc5",#N/A,FALSE,"GLC"}</definedName>
    <definedName function="false" hidden="true" name="_________________rwb2" vbProcedure="false">{#N/A,#N/A,FALSE,"Aging Summary";#N/A,#N/A,FALSE,"Ratio Analysis";#N/A,#N/A,FALSE,"Test 120 Day Accts";#N/A,#N/A,FALSE,"Tickmarks"}</definedName>
    <definedName function="false" hidden="true" name="_________________rwn1" vbProcedure="false">{#N/A,#N/A,FALSE,"Aging Summary";#N/A,#N/A,FALSE,"Ratio Analysis";#N/A,#N/A,FALSE,"Test 120 Day Accts";#N/A,#N/A,FALSE,"Tickmarks"}</definedName>
    <definedName function="false" hidden="true" name="_________________rwn10" vbProcedure="false">{#N/A,#N/A,FALSE,"Aging Summary";#N/A,#N/A,FALSE,"Ratio Analysis";#N/A,#N/A,FALSE,"Test 120 Day Accts";#N/A,#N/A,FALSE,"Tickmarks"}</definedName>
    <definedName function="false" hidden="true" name="_________________rwn3" vbProcedure="false">{"assets",#N/A,FALSE,"historicBS";"liab",#N/A,FALSE,"historicBS";"is",#N/A,FALSE,"historicIS";"ratios",#N/A,FALSE,"ratios"}</definedName>
    <definedName function="false" hidden="true" name="_________________rwn4" vbProcedure="false">{"assets",#N/A,FALSE,"historicBS";"liab",#N/A,FALSE,"historicBS";"is",#N/A,FALSE,"historicIS";"ratios",#N/A,FALSE,"ratios"}</definedName>
    <definedName function="false" hidden="true" name="_________________rwn5" vbProcedure="false">{"glcbs",#N/A,FALSE,"GLCBS";"glccsbs",#N/A,FALSE,"GLCCSBS";"glcis",#N/A,FALSE,"GLCIS";"glccsis",#N/A,FALSE,"GLCCSIS";"glcrat1",#N/A,FALSE,"GLC-ratios1"}</definedName>
    <definedName function="false" hidden="true" name="_________________rwn6" vbProcedure="false">{"glc1",#N/A,FALSE,"GLC";"glc2",#N/A,FALSE,"GLC";"glc3",#N/A,FALSE,"GLC";"glc4",#N/A,FALSE,"GLC";"glc5",#N/A,FALSE,"GLC"}</definedName>
    <definedName function="false" hidden="true" name="_________________rwn7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_rwn8" vbProcedure="false">{"glc1",#N/A,FALSE,"GLC";"glc2",#N/A,FALSE,"GLC";"glc3",#N/A,FALSE,"GLC";"glc4",#N/A,FALSE,"GLC";"glc5",#N/A,FALSE,"GLC"}</definedName>
    <definedName function="false" hidden="true" name="_________________rwn9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_wrn2" vbProcedure="false">{"glc1",#N/A,FALSE,"GLC";"glc2",#N/A,FALSE,"GLC";"glc3",#N/A,FALSE,"GLC";"glc4",#N/A,FALSE,"GLC";"glc5",#N/A,FALSE,"GLC"}</definedName>
    <definedName function="false" hidden="true" name="_________________wrn222" vbProcedure="false">{"glc1",#N/A,FALSE,"GLC";"glc2",#N/A,FALSE,"GLC";"glc3",#N/A,FALSE,"GLC";"glc4",#N/A,FALSE,"GLC";"glc5",#N/A,FALSE,"GLC"}</definedName>
    <definedName function="false" hidden="true" name="__________________rwb2" vbProcedure="false">{#N/A,#N/A,FALSE,"Aging Summary";#N/A,#N/A,FALSE,"Ratio Analysis";#N/A,#N/A,FALSE,"Test 120 Day Accts";#N/A,#N/A,FALSE,"Tickmarks"}</definedName>
    <definedName function="false" hidden="true" name="__________________rwn1" vbProcedure="false">{#N/A,#N/A,FALSE,"Aging Summary";#N/A,#N/A,FALSE,"Ratio Analysis";#N/A,#N/A,FALSE,"Test 120 Day Accts";#N/A,#N/A,FALSE,"Tickmarks"}</definedName>
    <definedName function="false" hidden="true" name="__________________rwn10" vbProcedure="false">{#N/A,#N/A,FALSE,"Aging Summary";#N/A,#N/A,FALSE,"Ratio Analysis";#N/A,#N/A,FALSE,"Test 120 Day Accts";#N/A,#N/A,FALSE,"Tickmarks"}</definedName>
    <definedName function="false" hidden="true" name="__________________rwn3" vbProcedure="false">{"assets",#N/A,FALSE,"historicBS";"liab",#N/A,FALSE,"historicBS";"is",#N/A,FALSE,"historicIS";"ratios",#N/A,FALSE,"ratios"}</definedName>
    <definedName function="false" hidden="true" name="__________________rwn4" vbProcedure="false">{"assets",#N/A,FALSE,"historicBS";"liab",#N/A,FALSE,"historicBS";"is",#N/A,FALSE,"historicIS";"ratios",#N/A,FALSE,"ratios"}</definedName>
    <definedName function="false" hidden="true" name="__________________rwn5" vbProcedure="false">{"glcbs",#N/A,FALSE,"GLCBS";"glccsbs",#N/A,FALSE,"GLCCSBS";"glcis",#N/A,FALSE,"GLCIS";"glccsis",#N/A,FALSE,"GLCCSIS";"glcrat1",#N/A,FALSE,"GLC-ratios1"}</definedName>
    <definedName function="false" hidden="true" name="__________________rwn6" vbProcedure="false">{"glc1",#N/A,FALSE,"GLC";"glc2",#N/A,FALSE,"GLC";"glc3",#N/A,FALSE,"GLC";"glc4",#N/A,FALSE,"GLC";"glc5",#N/A,FALSE,"GLC"}</definedName>
    <definedName function="false" hidden="true" name="__________________rwn7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__rwn8" vbProcedure="false">{"glc1",#N/A,FALSE,"GLC";"glc2",#N/A,FALSE,"GLC";"glc3",#N/A,FALSE,"GLC";"glc4",#N/A,FALSE,"GLC";"glc5",#N/A,FALSE,"GLC"}</definedName>
    <definedName function="false" hidden="true" name="__________________rwn9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__wrn2" vbProcedure="false">{"glc1",#N/A,FALSE,"GLC";"glc2",#N/A,FALSE,"GLC";"glc3",#N/A,FALSE,"GLC";"glc4",#N/A,FALSE,"GLC";"glc5",#N/A,FALSE,"GLC"}</definedName>
    <definedName function="false" hidden="true" name="__________________wrn222" vbProcedure="false">{"glc1",#N/A,FALSE,"GLC";"glc2",#N/A,FALSE,"GLC";"glc3",#N/A,FALSE,"GLC";"glc4",#N/A,FALSE,"GLC";"glc5",#N/A,FALSE,"GLC"}</definedName>
    <definedName function="false" hidden="true" name="___________________rwb2" vbProcedure="false">{#N/A,#N/A,FALSE,"Aging Summary";#N/A,#N/A,FALSE,"Ratio Analysis";#N/A,#N/A,FALSE,"Test 120 Day Accts";#N/A,#N/A,FALSE,"Tickmarks"}</definedName>
    <definedName function="false" hidden="true" name="___________________rwn1" vbProcedure="false">{#N/A,#N/A,FALSE,"Aging Summary";#N/A,#N/A,FALSE,"Ratio Analysis";#N/A,#N/A,FALSE,"Test 120 Day Accts";#N/A,#N/A,FALSE,"Tickmarks"}</definedName>
    <definedName function="false" hidden="true" name="___________________rwn10" vbProcedure="false">{#N/A,#N/A,FALSE,"Aging Summary";#N/A,#N/A,FALSE,"Ratio Analysis";#N/A,#N/A,FALSE,"Test 120 Day Accts";#N/A,#N/A,FALSE,"Tickmarks"}</definedName>
    <definedName function="false" hidden="true" name="___________________rwn3" vbProcedure="false">{"assets",#N/A,FALSE,"historicBS";"liab",#N/A,FALSE,"historicBS";"is",#N/A,FALSE,"historicIS";"ratios",#N/A,FALSE,"ratios"}</definedName>
    <definedName function="false" hidden="true" name="___________________rwn4" vbProcedure="false">{"assets",#N/A,FALSE,"historicBS";"liab",#N/A,FALSE,"historicBS";"is",#N/A,FALSE,"historicIS";"ratios",#N/A,FALSE,"ratios"}</definedName>
    <definedName function="false" hidden="true" name="___________________rwn5" vbProcedure="false">{"glcbs",#N/A,FALSE,"GLCBS";"glccsbs",#N/A,FALSE,"GLCCSBS";"glcis",#N/A,FALSE,"GLCIS";"glccsis",#N/A,FALSE,"GLCCSIS";"glcrat1",#N/A,FALSE,"GLC-ratios1"}</definedName>
    <definedName function="false" hidden="true" name="___________________rwn6" vbProcedure="false">{"glc1",#N/A,FALSE,"GLC";"glc2",#N/A,FALSE,"GLC";"glc3",#N/A,FALSE,"GLC";"glc4",#N/A,FALSE,"GLC";"glc5",#N/A,FALSE,"GLC"}</definedName>
    <definedName function="false" hidden="true" name="___________________rwn7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___rwn8" vbProcedure="false">{"glc1",#N/A,FALSE,"GLC";"glc2",#N/A,FALSE,"GLC";"glc3",#N/A,FALSE,"GLC";"glc4",#N/A,FALSE,"GLC";"glc5",#N/A,FALSE,"GLC"}</definedName>
    <definedName function="false" hidden="true" name="___________________rwn9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___wrn2" vbProcedure="false">{"glc1",#N/A,FALSE,"GLC";"glc2",#N/A,FALSE,"GLC";"glc3",#N/A,FALSE,"GLC";"glc4",#N/A,FALSE,"GLC";"glc5",#N/A,FALSE,"GLC"}</definedName>
    <definedName function="false" hidden="true" name="___________________wrn222" vbProcedure="false">{"glc1",#N/A,FALSE,"GLC";"glc2",#N/A,FALSE,"GLC";"glc3",#N/A,FALSE,"GLC";"glc4",#N/A,FALSE,"GLC";"glc5",#N/A,FALSE,"GLC"}</definedName>
    <definedName function="false" hidden="true" name="____________________rwb2" vbProcedure="false">{#N/A,#N/A,FALSE,"Aging Summary";#N/A,#N/A,FALSE,"Ratio Analysis";#N/A,#N/A,FALSE,"Test 120 Day Accts";#N/A,#N/A,FALSE,"Tickmarks"}</definedName>
    <definedName function="false" hidden="true" name="____________________rwn1" vbProcedure="false">{#N/A,#N/A,FALSE,"Aging Summary";#N/A,#N/A,FALSE,"Ratio Analysis";#N/A,#N/A,FALSE,"Test 120 Day Accts";#N/A,#N/A,FALSE,"Tickmarks"}</definedName>
    <definedName function="false" hidden="true" name="____________________rwn10" vbProcedure="false">{#N/A,#N/A,FALSE,"Aging Summary";#N/A,#N/A,FALSE,"Ratio Analysis";#N/A,#N/A,FALSE,"Test 120 Day Accts";#N/A,#N/A,FALSE,"Tickmarks"}</definedName>
    <definedName function="false" hidden="true" name="____________________rwn3" vbProcedure="false">{"assets",#N/A,FALSE,"historicBS";"liab",#N/A,FALSE,"historicBS";"is",#N/A,FALSE,"historicIS";"ratios",#N/A,FALSE,"ratios"}</definedName>
    <definedName function="false" hidden="true" name="____________________rwn4" vbProcedure="false">{"assets",#N/A,FALSE,"historicBS";"liab",#N/A,FALSE,"historicBS";"is",#N/A,FALSE,"historicIS";"ratios",#N/A,FALSE,"ratios"}</definedName>
    <definedName function="false" hidden="true" name="____________________rwn5" vbProcedure="false">{"glcbs",#N/A,FALSE,"GLCBS";"glccsbs",#N/A,FALSE,"GLCCSBS";"glcis",#N/A,FALSE,"GLCIS";"glccsis",#N/A,FALSE,"GLCCSIS";"glcrat1",#N/A,FALSE,"GLC-ratios1"}</definedName>
    <definedName function="false" hidden="true" name="____________________rwn6" vbProcedure="false">{"glc1",#N/A,FALSE,"GLC";"glc2",#N/A,FALSE,"GLC";"glc3",#N/A,FALSE,"GLC";"glc4",#N/A,FALSE,"GLC";"glc5",#N/A,FALSE,"GLC"}</definedName>
    <definedName function="false" hidden="true" name="____________________rwn7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____rwn8" vbProcedure="false">{"glc1",#N/A,FALSE,"GLC";"glc2",#N/A,FALSE,"GLC";"glc3",#N/A,FALSE,"GLC";"glc4",#N/A,FALSE,"GLC";"glc5",#N/A,FALSE,"GLC"}</definedName>
    <definedName function="false" hidden="true" name="____________________rwn9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____wrn2" vbProcedure="false">{"glc1",#N/A,FALSE,"GLC";"glc2",#N/A,FALSE,"GLC";"glc3",#N/A,FALSE,"GLC";"glc4",#N/A,FALSE,"GLC";"glc5",#N/A,FALSE,"GLC"}</definedName>
    <definedName function="false" hidden="true" name="____________________wrn222" vbProcedure="false">{"glc1",#N/A,FALSE,"GLC";"glc2",#N/A,FALSE,"GLC";"glc3",#N/A,FALSE,"GLC";"glc4",#N/A,FALSE,"GLC";"glc5",#N/A,FALSE,"GLC"}</definedName>
    <definedName function="false" hidden="true" name="_____________________rwb2" vbProcedure="false">{#N/A,#N/A,FALSE,"Aging Summary";#N/A,#N/A,FALSE,"Ratio Analysis";#N/A,#N/A,FALSE,"Test 120 Day Accts";#N/A,#N/A,FALSE,"Tickmarks"}</definedName>
    <definedName function="false" hidden="true" name="_____________________rwn1" vbProcedure="false">{#N/A,#N/A,FALSE,"Aging Summary";#N/A,#N/A,FALSE,"Ratio Analysis";#N/A,#N/A,FALSE,"Test 120 Day Accts";#N/A,#N/A,FALSE,"Tickmarks"}</definedName>
    <definedName function="false" hidden="true" name="_____________________rwn10" vbProcedure="false">{#N/A,#N/A,FALSE,"Aging Summary";#N/A,#N/A,FALSE,"Ratio Analysis";#N/A,#N/A,FALSE,"Test 120 Day Accts";#N/A,#N/A,FALSE,"Tickmarks"}</definedName>
    <definedName function="false" hidden="true" name="_____________________rwn3" vbProcedure="false">{"assets",#N/A,FALSE,"historicBS";"liab",#N/A,FALSE,"historicBS";"is",#N/A,FALSE,"historicIS";"ratios",#N/A,FALSE,"ratios"}</definedName>
    <definedName function="false" hidden="true" name="_____________________rwn4" vbProcedure="false">{"assets",#N/A,FALSE,"historicBS";"liab",#N/A,FALSE,"historicBS";"is",#N/A,FALSE,"historicIS";"ratios",#N/A,FALSE,"ratios"}</definedName>
    <definedName function="false" hidden="true" name="_____________________rwn5" vbProcedure="false">{"glcbs",#N/A,FALSE,"GLCBS";"glccsbs",#N/A,FALSE,"GLCCSBS";"glcis",#N/A,FALSE,"GLCIS";"glccsis",#N/A,FALSE,"GLCCSIS";"glcrat1",#N/A,FALSE,"GLC-ratios1"}</definedName>
    <definedName function="false" hidden="true" name="_____________________rwn6" vbProcedure="false">{"glc1",#N/A,FALSE,"GLC";"glc2",#N/A,FALSE,"GLC";"glc3",#N/A,FALSE,"GLC";"glc4",#N/A,FALSE,"GLC";"glc5",#N/A,FALSE,"GLC"}</definedName>
    <definedName function="false" hidden="true" name="_____________________rwn7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_____rwn8" vbProcedure="false">{"glc1",#N/A,FALSE,"GLC";"glc2",#N/A,FALSE,"GLC";"glc3",#N/A,FALSE,"GLC";"glc4",#N/A,FALSE,"GLC";"glc5",#N/A,FALSE,"GLC"}</definedName>
    <definedName function="false" hidden="true" name="_____________________rwn9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_____wrn2" vbProcedure="false">{"glc1",#N/A,FALSE,"GLC";"glc2",#N/A,FALSE,"GLC";"glc3",#N/A,FALSE,"GLC";"glc4",#N/A,FALSE,"GLC";"glc5",#N/A,FALSE,"GLC"}</definedName>
    <definedName function="false" hidden="true" name="______________________" vbProcedure="false">#REF!</definedName>
    <definedName function="false" hidden="true" name="______________________rwb2" vbProcedure="false">{#N/A,#N/A,FALSE,"Aging Summary";#N/A,#N/A,FALSE,"Ratio Analysis";#N/A,#N/A,FALSE,"Test 120 Day Accts";#N/A,#N/A,FALSE,"Tickmarks"}</definedName>
    <definedName function="false" hidden="true" name="______________________rwn1" vbProcedure="false">{#N/A,#N/A,FALSE,"Aging Summary";#N/A,#N/A,FALSE,"Ratio Analysis";#N/A,#N/A,FALSE,"Test 120 Day Accts";#N/A,#N/A,FALSE,"Tickmarks"}</definedName>
    <definedName function="false" hidden="true" name="______________________rwn10" vbProcedure="false">{#N/A,#N/A,FALSE,"Aging Summary";#N/A,#N/A,FALSE,"Ratio Analysis";#N/A,#N/A,FALSE,"Test 120 Day Accts";#N/A,#N/A,FALSE,"Tickmarks"}</definedName>
    <definedName function="false" hidden="true" name="______________________rwn3" vbProcedure="false">{"assets",#N/A,FALSE,"historicBS";"liab",#N/A,FALSE,"historicBS";"is",#N/A,FALSE,"historicIS";"ratios",#N/A,FALSE,"ratios"}</definedName>
    <definedName function="false" hidden="true" name="______________________rwn4" vbProcedure="false">{"assets",#N/A,FALSE,"historicBS";"liab",#N/A,FALSE,"historicBS";"is",#N/A,FALSE,"historicIS";"ratios",#N/A,FALSE,"ratios"}</definedName>
    <definedName function="false" hidden="true" name="______________________rwn5" vbProcedure="false">{"glcbs",#N/A,FALSE,"GLCBS";"glccsbs",#N/A,FALSE,"GLCCSBS";"glcis",#N/A,FALSE,"GLCIS";"glccsis",#N/A,FALSE,"GLCCSIS";"glcrat1",#N/A,FALSE,"GLC-ratios1"}</definedName>
    <definedName function="false" hidden="true" name="______________________rwn6" vbProcedure="false">{"glc1",#N/A,FALSE,"GLC";"glc2",#N/A,FALSE,"GLC";"glc3",#N/A,FALSE,"GLC";"glc4",#N/A,FALSE,"GLC";"glc5",#N/A,FALSE,"GLC"}</definedName>
    <definedName function="false" hidden="true" name="______________________rwn7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______rwn8" vbProcedure="false">{"glc1",#N/A,FALSE,"GLC";"glc2",#N/A,FALSE,"GLC";"glc3",#N/A,FALSE,"GLC";"glc4",#N/A,FALSE,"GLC";"glc5",#N/A,FALSE,"GLC"}</definedName>
    <definedName function="false" hidden="true" name="______________________rwn9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______wrn2" vbProcedure="false">{"glc1",#N/A,FALSE,"GLC";"glc2",#N/A,FALSE,"GLC";"glc3",#N/A,FALSE,"GLC";"glc4",#N/A,FALSE,"GLC";"glc5",#N/A,FALSE,"GLC"}</definedName>
    <definedName function="false" hidden="true" name="_______________________rwb2" vbProcedure="false">{#N/A,#N/A,FALSE,"Aging Summary";#N/A,#N/A,FALSE,"Ratio Analysis";#N/A,#N/A,FALSE,"Test 120 Day Accts";#N/A,#N/A,FALSE,"Tickmarks"}</definedName>
    <definedName function="false" hidden="true" name="_______________________rwn1" vbProcedure="false">{#N/A,#N/A,FALSE,"Aging Summary";#N/A,#N/A,FALSE,"Ratio Analysis";#N/A,#N/A,FALSE,"Test 120 Day Accts";#N/A,#N/A,FALSE,"Tickmarks"}</definedName>
    <definedName function="false" hidden="true" name="_______________________rwn10" vbProcedure="false">{#N/A,#N/A,FALSE,"Aging Summary";#N/A,#N/A,FALSE,"Ratio Analysis";#N/A,#N/A,FALSE,"Test 120 Day Accts";#N/A,#N/A,FALSE,"Tickmarks"}</definedName>
    <definedName function="false" hidden="true" name="_______________________rwn3" vbProcedure="false">{"assets",#N/A,FALSE,"historicBS";"liab",#N/A,FALSE,"historicBS";"is",#N/A,FALSE,"historicIS";"ratios",#N/A,FALSE,"ratios"}</definedName>
    <definedName function="false" hidden="true" name="_______________________rwn4" vbProcedure="false">{"assets",#N/A,FALSE,"historicBS";"liab",#N/A,FALSE,"historicBS";"is",#N/A,FALSE,"historicIS";"ratios",#N/A,FALSE,"ratios"}</definedName>
    <definedName function="false" hidden="true" name="_______________________rwn5" vbProcedure="false">{"glcbs",#N/A,FALSE,"GLCBS";"glccsbs",#N/A,FALSE,"GLCCSBS";"glcis",#N/A,FALSE,"GLCIS";"glccsis",#N/A,FALSE,"GLCCSIS";"glcrat1",#N/A,FALSE,"GLC-ratios1"}</definedName>
    <definedName function="false" hidden="true" name="_______________________rwn6" vbProcedure="false">{"glc1",#N/A,FALSE,"GLC";"glc2",#N/A,FALSE,"GLC";"glc3",#N/A,FALSE,"GLC";"glc4",#N/A,FALSE,"GLC";"glc5",#N/A,FALSE,"GLC"}</definedName>
    <definedName function="false" hidden="true" name="_______________________rwn7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_______rwn8" vbProcedure="false">{"glc1",#N/A,FALSE,"GLC";"glc2",#N/A,FALSE,"GLC";"glc3",#N/A,FALSE,"GLC";"glc4",#N/A,FALSE,"GLC";"glc5",#N/A,FALSE,"GLC"}</definedName>
    <definedName function="false" hidden="true" name="_______________________rwn9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_______wrn2" vbProcedure="false">{"glc1",#N/A,FALSE,"GLC";"glc2",#N/A,FALSE,"GLC";"glc3",#N/A,FALSE,"GLC";"glc4",#N/A,FALSE,"GLC";"glc5",#N/A,FALSE,"GLC"}</definedName>
    <definedName function="false" hidden="true" name="________________________rwb2" vbProcedure="false">{#N/A,#N/A,FALSE,"Aging Summary";#N/A,#N/A,FALSE,"Ratio Analysis";#N/A,#N/A,FALSE,"Test 120 Day Accts";#N/A,#N/A,FALSE,"Tickmarks"}</definedName>
    <definedName function="false" hidden="true" name="________________________rwn1" vbProcedure="false">{#N/A,#N/A,FALSE,"Aging Summary";#N/A,#N/A,FALSE,"Ratio Analysis";#N/A,#N/A,FALSE,"Test 120 Day Accts";#N/A,#N/A,FALSE,"Tickmarks"}</definedName>
    <definedName function="false" hidden="true" name="________________________rwn10" vbProcedure="false">{#N/A,#N/A,FALSE,"Aging Summary";#N/A,#N/A,FALSE,"Ratio Analysis";#N/A,#N/A,FALSE,"Test 120 Day Accts";#N/A,#N/A,FALSE,"Tickmarks"}</definedName>
    <definedName function="false" hidden="true" name="________________________rwn3" vbProcedure="false">{"assets",#N/A,FALSE,"historicBS";"liab",#N/A,FALSE,"historicBS";"is",#N/A,FALSE,"historicIS";"ratios",#N/A,FALSE,"ratios"}</definedName>
    <definedName function="false" hidden="true" name="________________________rwn4" vbProcedure="false">{"assets",#N/A,FALSE,"historicBS";"liab",#N/A,FALSE,"historicBS";"is",#N/A,FALSE,"historicIS";"ratios",#N/A,FALSE,"ratios"}</definedName>
    <definedName function="false" hidden="true" name="________________________rwn5" vbProcedure="false">{"glcbs",#N/A,FALSE,"GLCBS";"glccsbs",#N/A,FALSE,"GLCCSBS";"glcis",#N/A,FALSE,"GLCIS";"glccsis",#N/A,FALSE,"GLCCSIS";"glcrat1",#N/A,FALSE,"GLC-ratios1"}</definedName>
    <definedName function="false" hidden="true" name="________________________rwn6" vbProcedure="false">{"glc1",#N/A,FALSE,"GLC";"glc2",#N/A,FALSE,"GLC";"glc3",#N/A,FALSE,"GLC";"glc4",#N/A,FALSE,"GLC";"glc5",#N/A,FALSE,"GLC"}</definedName>
    <definedName function="false" hidden="true" name="________________________rwn7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________rwn8" vbProcedure="false">{"glc1",#N/A,FALSE,"GLC";"glc2",#N/A,FALSE,"GLC";"glc3",#N/A,FALSE,"GLC";"glc4",#N/A,FALSE,"GLC";"glc5",#N/A,FALSE,"GLC"}</definedName>
    <definedName function="false" hidden="true" name="________________________rwn9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________wrn2" vbProcedure="false">{"glc1",#N/A,FALSE,"GLC";"glc2",#N/A,FALSE,"GLC";"glc3",#N/A,FALSE,"GLC";"glc4",#N/A,FALSE,"GLC";"glc5",#N/A,FALSE,"GLC"}</definedName>
    <definedName function="false" hidden="true" name="________________________wrn222" vbProcedure="false">{"glc1",#N/A,FALSE,"GLC";"glc2",#N/A,FALSE,"GLC";"glc3",#N/A,FALSE,"GLC";"glc4",#N/A,FALSE,"GLC";"glc5",#N/A,FALSE,"GLC"}</definedName>
    <definedName function="false" hidden="true" name="_________________________rwb2" vbProcedure="false">{#N/A,#N/A,FALSE,"Aging Summary";#N/A,#N/A,FALSE,"Ratio Analysis";#N/A,#N/A,FALSE,"Test 120 Day Accts";#N/A,#N/A,FALSE,"Tickmarks"}</definedName>
    <definedName function="false" hidden="true" name="_________________________rwn1" vbProcedure="false">{#N/A,#N/A,FALSE,"Aging Summary";#N/A,#N/A,FALSE,"Ratio Analysis";#N/A,#N/A,FALSE,"Test 120 Day Accts";#N/A,#N/A,FALSE,"Tickmarks"}</definedName>
    <definedName function="false" hidden="true" name="_________________________rwn10" vbProcedure="false">{#N/A,#N/A,FALSE,"Aging Summary";#N/A,#N/A,FALSE,"Ratio Analysis";#N/A,#N/A,FALSE,"Test 120 Day Accts";#N/A,#N/A,FALSE,"Tickmarks"}</definedName>
    <definedName function="false" hidden="true" name="_________________________rwn3" vbProcedure="false">{"assets",#N/A,FALSE,"historicBS";"liab",#N/A,FALSE,"historicBS";"is",#N/A,FALSE,"historicIS";"ratios",#N/A,FALSE,"ratios"}</definedName>
    <definedName function="false" hidden="true" name="_________________________rwn4" vbProcedure="false">{"assets",#N/A,FALSE,"historicBS";"liab",#N/A,FALSE,"historicBS";"is",#N/A,FALSE,"historicIS";"ratios",#N/A,FALSE,"ratios"}</definedName>
    <definedName function="false" hidden="true" name="_________________________rwn5" vbProcedure="false">{"glcbs",#N/A,FALSE,"GLCBS";"glccsbs",#N/A,FALSE,"GLCCSBS";"glcis",#N/A,FALSE,"GLCIS";"glccsis",#N/A,FALSE,"GLCCSIS";"glcrat1",#N/A,FALSE,"GLC-ratios1"}</definedName>
    <definedName function="false" hidden="true" name="_________________________rwn6" vbProcedure="false">{"glc1",#N/A,FALSE,"GLC";"glc2",#N/A,FALSE,"GLC";"glc3",#N/A,FALSE,"GLC";"glc4",#N/A,FALSE,"GLC";"glc5",#N/A,FALSE,"GLC"}</definedName>
    <definedName function="false" hidden="true" name="_________________________rwn7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_________rwn8" vbProcedure="false">{"glc1",#N/A,FALSE,"GLC";"glc2",#N/A,FALSE,"GLC";"glc3",#N/A,FALSE,"GLC";"glc4",#N/A,FALSE,"GLC";"glc5",#N/A,FALSE,"GLC"}</definedName>
    <definedName function="false" hidden="true" name="_________________________rwn9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_________wrn2" vbProcedure="false">{"glc1",#N/A,FALSE,"GLC";"glc2",#N/A,FALSE,"GLC";"glc3",#N/A,FALSE,"GLC";"glc4",#N/A,FALSE,"GLC";"glc5",#N/A,FALSE,"GLC"}</definedName>
    <definedName function="false" hidden="true" name="__________________________rwb2" vbProcedure="false">{#N/A,#N/A,FALSE,"Aging Summary";#N/A,#N/A,FALSE,"Ratio Analysis";#N/A,#N/A,FALSE,"Test 120 Day Accts";#N/A,#N/A,FALSE,"Tickmarks"}</definedName>
    <definedName function="false" hidden="true" name="__________________________rwn1" vbProcedure="false">{#N/A,#N/A,FALSE,"Aging Summary";#N/A,#N/A,FALSE,"Ratio Analysis";#N/A,#N/A,FALSE,"Test 120 Day Accts";#N/A,#N/A,FALSE,"Tickmarks"}</definedName>
    <definedName function="false" hidden="true" name="__________________________rwn10" vbProcedure="false">{#N/A,#N/A,FALSE,"Aging Summary";#N/A,#N/A,FALSE,"Ratio Analysis";#N/A,#N/A,FALSE,"Test 120 Day Accts";#N/A,#N/A,FALSE,"Tickmarks"}</definedName>
    <definedName function="false" hidden="true" name="__________________________rwn3" vbProcedure="false">{"assets",#N/A,FALSE,"historicBS";"liab",#N/A,FALSE,"historicBS";"is",#N/A,FALSE,"historicIS";"ratios",#N/A,FALSE,"ratios"}</definedName>
    <definedName function="false" hidden="true" name="__________________________rwn4" vbProcedure="false">{"assets",#N/A,FALSE,"historicBS";"liab",#N/A,FALSE,"historicBS";"is",#N/A,FALSE,"historicIS";"ratios",#N/A,FALSE,"ratios"}</definedName>
    <definedName function="false" hidden="true" name="__________________________rwn5" vbProcedure="false">{"glcbs",#N/A,FALSE,"GLCBS";"glccsbs",#N/A,FALSE,"GLCCSBS";"glcis",#N/A,FALSE,"GLCIS";"glccsis",#N/A,FALSE,"GLCCSIS";"glcrat1",#N/A,FALSE,"GLC-ratios1"}</definedName>
    <definedName function="false" hidden="true" name="__________________________rwn6" vbProcedure="false">{"glc1",#N/A,FALSE,"GLC";"glc2",#N/A,FALSE,"GLC";"glc3",#N/A,FALSE,"GLC";"glc4",#N/A,FALSE,"GLC";"glc5",#N/A,FALSE,"GLC"}</definedName>
    <definedName function="false" hidden="true" name="__________________________rwn7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__________rwn8" vbProcedure="false">{"glc1",#N/A,FALSE,"GLC";"glc2",#N/A,FALSE,"GLC";"glc3",#N/A,FALSE,"GLC";"glc4",#N/A,FALSE,"GLC";"glc5",#N/A,FALSE,"GLC"}</definedName>
    <definedName function="false" hidden="true" name="__________________________rwn9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__________wrn2" vbProcedure="false">{"glc1",#N/A,FALSE,"GLC";"glc2",#N/A,FALSE,"GLC";"glc3",#N/A,FALSE,"GLC";"glc4",#N/A,FALSE,"GLC";"glc5",#N/A,FALSE,"GLC"}</definedName>
    <definedName function="false" hidden="true" name="___________________________rwb2" vbProcedure="false">{#N/A,#N/A,FALSE,"Aging Summary";#N/A,#N/A,FALSE,"Ratio Analysis";#N/A,#N/A,FALSE,"Test 120 Day Accts";#N/A,#N/A,FALSE,"Tickmarks"}</definedName>
    <definedName function="false" hidden="true" name="___________________________rwn1" vbProcedure="false">{#N/A,#N/A,FALSE,"Aging Summary";#N/A,#N/A,FALSE,"Ratio Analysis";#N/A,#N/A,FALSE,"Test 120 Day Accts";#N/A,#N/A,FALSE,"Tickmarks"}</definedName>
    <definedName function="false" hidden="true" name="___________________________rwn10" vbProcedure="false">{#N/A,#N/A,FALSE,"Aging Summary";#N/A,#N/A,FALSE,"Ratio Analysis";#N/A,#N/A,FALSE,"Test 120 Day Accts";#N/A,#N/A,FALSE,"Tickmarks"}</definedName>
    <definedName function="false" hidden="true" name="___________________________rwn3" vbProcedure="false">{"assets",#N/A,FALSE,"historicBS";"liab",#N/A,FALSE,"historicBS";"is",#N/A,FALSE,"historicIS";"ratios",#N/A,FALSE,"ratios"}</definedName>
    <definedName function="false" hidden="true" name="___________________________rwn4" vbProcedure="false">{"assets",#N/A,FALSE,"historicBS";"liab",#N/A,FALSE,"historicBS";"is",#N/A,FALSE,"historicIS";"ratios",#N/A,FALSE,"ratios"}</definedName>
    <definedName function="false" hidden="true" name="___________________________rwn5" vbProcedure="false">{"glcbs",#N/A,FALSE,"GLCBS";"glccsbs",#N/A,FALSE,"GLCCSBS";"glcis",#N/A,FALSE,"GLCIS";"glccsis",#N/A,FALSE,"GLCCSIS";"glcrat1",#N/A,FALSE,"GLC-ratios1"}</definedName>
    <definedName function="false" hidden="true" name="___________________________rwn6" vbProcedure="false">{"glc1",#N/A,FALSE,"GLC";"glc2",#N/A,FALSE,"GLC";"glc3",#N/A,FALSE,"GLC";"glc4",#N/A,FALSE,"GLC";"glc5",#N/A,FALSE,"GLC"}</definedName>
    <definedName function="false" hidden="true" name="___________________________rwn7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___________rwn8" vbProcedure="false">{"glc1",#N/A,FALSE,"GLC";"glc2",#N/A,FALSE,"GLC";"glc3",#N/A,FALSE,"GLC";"glc4",#N/A,FALSE,"GLC";"glc5",#N/A,FALSE,"GLC"}</definedName>
    <definedName function="false" hidden="true" name="___________________________rwn9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___________wrn2" vbProcedure="false">{"glc1",#N/A,FALSE,"GLC";"glc2",#N/A,FALSE,"GLC";"glc3",#N/A,FALSE,"GLC";"glc4",#N/A,FALSE,"GLC";"glc5",#N/A,FALSE,"GLC"}</definedName>
    <definedName function="false" hidden="true" name="___________________________wrn222" vbProcedure="false">{"glc1",#N/A,FALSE,"GLC";"glc2",#N/A,FALSE,"GLC";"glc3",#N/A,FALSE,"GLC";"glc4",#N/A,FALSE,"GLC";"glc5",#N/A,FALSE,"GLC"}</definedName>
    <definedName function="false" hidden="true" name="____________________________rwb2" vbProcedure="false">{#N/A,#N/A,FALSE,"Aging Summary";#N/A,#N/A,FALSE,"Ratio Analysis";#N/A,#N/A,FALSE,"Test 120 Day Accts";#N/A,#N/A,FALSE,"Tickmarks"}</definedName>
    <definedName function="false" hidden="true" name="____________________________rwn1" vbProcedure="false">{#N/A,#N/A,FALSE,"Aging Summary";#N/A,#N/A,FALSE,"Ratio Analysis";#N/A,#N/A,FALSE,"Test 120 Day Accts";#N/A,#N/A,FALSE,"Tickmarks"}</definedName>
    <definedName function="false" hidden="true" name="____________________________rwn10" vbProcedure="false">{#N/A,#N/A,FALSE,"Aging Summary";#N/A,#N/A,FALSE,"Ratio Analysis";#N/A,#N/A,FALSE,"Test 120 Day Accts";#N/A,#N/A,FALSE,"Tickmarks"}</definedName>
    <definedName function="false" hidden="true" name="____________________________rwn3" vbProcedure="false">{"assets",#N/A,FALSE,"historicBS";"liab",#N/A,FALSE,"historicBS";"is",#N/A,FALSE,"historicIS";"ratios",#N/A,FALSE,"ratios"}</definedName>
    <definedName function="false" hidden="true" name="____________________________rwn4" vbProcedure="false">{"assets",#N/A,FALSE,"historicBS";"liab",#N/A,FALSE,"historicBS";"is",#N/A,FALSE,"historicIS";"ratios",#N/A,FALSE,"ratios"}</definedName>
    <definedName function="false" hidden="true" name="____________________________rwn5" vbProcedure="false">{"glcbs",#N/A,FALSE,"GLCBS";"glccsbs",#N/A,FALSE,"GLCCSBS";"glcis",#N/A,FALSE,"GLCIS";"glccsis",#N/A,FALSE,"GLCCSIS";"glcrat1",#N/A,FALSE,"GLC-ratios1"}</definedName>
    <definedName function="false" hidden="true" name="____________________________rwn6" vbProcedure="false">{"glc1",#N/A,FALSE,"GLC";"glc2",#N/A,FALSE,"GLC";"glc3",#N/A,FALSE,"GLC";"glc4",#N/A,FALSE,"GLC";"glc5",#N/A,FALSE,"GLC"}</definedName>
    <definedName function="false" hidden="true" name="____________________________rwn7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____________rwn8" vbProcedure="false">{"glc1",#N/A,FALSE,"GLC";"glc2",#N/A,FALSE,"GLC";"glc3",#N/A,FALSE,"GLC";"glc4",#N/A,FALSE,"GLC";"glc5",#N/A,FALSE,"GLC"}</definedName>
    <definedName function="false" hidden="true" name="____________________________rwn9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____________wrn2" vbProcedure="false">{"glc1",#N/A,FALSE,"GLC";"glc2",#N/A,FALSE,"GLC";"glc3",#N/A,FALSE,"GLC";"glc4",#N/A,FALSE,"GLC";"glc5",#N/A,FALSE,"GLC"}</definedName>
    <definedName function="false" hidden="true" name="_____________________________rwb2" vbProcedure="false">{#N/A,#N/A,FALSE,"Aging Summary";#N/A,#N/A,FALSE,"Ratio Analysis";#N/A,#N/A,FALSE,"Test 120 Day Accts";#N/A,#N/A,FALSE,"Tickmarks"}</definedName>
    <definedName function="false" hidden="true" name="_____________________________rwn1" vbProcedure="false">{#N/A,#N/A,FALSE,"Aging Summary";#N/A,#N/A,FALSE,"Ratio Analysis";#N/A,#N/A,FALSE,"Test 120 Day Accts";#N/A,#N/A,FALSE,"Tickmarks"}</definedName>
    <definedName function="false" hidden="true" name="_____________________________rwn10" vbProcedure="false">{#N/A,#N/A,FALSE,"Aging Summary";#N/A,#N/A,FALSE,"Ratio Analysis";#N/A,#N/A,FALSE,"Test 120 Day Accts";#N/A,#N/A,FALSE,"Tickmarks"}</definedName>
    <definedName function="false" hidden="true" name="_____________________________rwn3" vbProcedure="false">{"assets",#N/A,FALSE,"historicBS";"liab",#N/A,FALSE,"historicBS";"is",#N/A,FALSE,"historicIS";"ratios",#N/A,FALSE,"ratios"}</definedName>
    <definedName function="false" hidden="true" name="_____________________________rwn4" vbProcedure="false">{"assets",#N/A,FALSE,"historicBS";"liab",#N/A,FALSE,"historicBS";"is",#N/A,FALSE,"historicIS";"ratios",#N/A,FALSE,"ratios"}</definedName>
    <definedName function="false" hidden="true" name="_____________________________rwn5" vbProcedure="false">{"glcbs",#N/A,FALSE,"GLCBS";"glccsbs",#N/A,FALSE,"GLCCSBS";"glcis",#N/A,FALSE,"GLCIS";"glccsis",#N/A,FALSE,"GLCCSIS";"glcrat1",#N/A,FALSE,"GLC-ratios1"}</definedName>
    <definedName function="false" hidden="true" name="_____________________________rwn6" vbProcedure="false">{"glc1",#N/A,FALSE,"GLC";"glc2",#N/A,FALSE,"GLC";"glc3",#N/A,FALSE,"GLC";"glc4",#N/A,FALSE,"GLC";"glc5",#N/A,FALSE,"GLC"}</definedName>
    <definedName function="false" hidden="true" name="_____________________________rwn7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_____________rwn8" vbProcedure="false">{"glc1",#N/A,FALSE,"GLC";"glc2",#N/A,FALSE,"GLC";"glc3",#N/A,FALSE,"GLC";"glc4",#N/A,FALSE,"GLC";"glc5",#N/A,FALSE,"GLC"}</definedName>
    <definedName function="false" hidden="true" name="_____________________________rwn9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_____________wrn2" vbProcedure="false">{"glc1",#N/A,FALSE,"GLC";"glc2",#N/A,FALSE,"GLC";"glc3",#N/A,FALSE,"GLC";"glc4",#N/A,FALSE,"GLC";"glc5",#N/A,FALSE,"GLC"}</definedName>
    <definedName function="false" hidden="true" name="_____________________________wrn222" vbProcedure="false">{"glc1",#N/A,FALSE,"GLC";"glc2",#N/A,FALSE,"GLC";"glc3",#N/A,FALSE,"GLC";"glc4",#N/A,FALSE,"GLC";"glc5",#N/A,FALSE,"GLC"}</definedName>
    <definedName function="false" hidden="true" name="______________________________rwn1" vbProcedure="false">{#N/A,#N/A,FALSE,"Aging Summary";#N/A,#N/A,FALSE,"Ratio Analysis";#N/A,#N/A,FALSE,"Test 120 Day Accts";#N/A,#N/A,FALSE,"Tickmarks"}</definedName>
    <definedName function="false" hidden="true" name="______________________________rwn10" vbProcedure="false">{#N/A,#N/A,FALSE,"Aging Summary";#N/A,#N/A,FALSE,"Ratio Analysis";#N/A,#N/A,FALSE,"Test 120 Day Accts";#N/A,#N/A,FALSE,"Tickmarks"}</definedName>
    <definedName function="false" hidden="true" name="______________________________rwn3" vbProcedure="false">{"assets",#N/A,FALSE,"historicBS";"liab",#N/A,FALSE,"historicBS";"is",#N/A,FALSE,"historicIS";"ratios",#N/A,FALSE,"ratios"}</definedName>
    <definedName function="false" hidden="true" name="______________________________rwn4" vbProcedure="false">{"assets",#N/A,FALSE,"historicBS";"liab",#N/A,FALSE,"historicBS";"is",#N/A,FALSE,"historicIS";"ratios",#N/A,FALSE,"ratios"}</definedName>
    <definedName function="false" hidden="true" name="______________________________rwn5" vbProcedure="false">{"glcbs",#N/A,FALSE,"GLCBS";"glccsbs",#N/A,FALSE,"GLCCSBS";"glcis",#N/A,FALSE,"GLCIS";"glccsis",#N/A,FALSE,"GLCCSIS";"glcrat1",#N/A,FALSE,"GLC-ratios1"}</definedName>
    <definedName function="false" hidden="true" name="______________________________rwn6" vbProcedure="false">{"glc1",#N/A,FALSE,"GLC";"glc2",#N/A,FALSE,"GLC";"glc3",#N/A,FALSE,"GLC";"glc4",#N/A,FALSE,"GLC";"glc5",#N/A,FALSE,"GLC"}</definedName>
    <definedName function="false" hidden="true" name="______________________________rwn7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______________rwn8" vbProcedure="false">{"glc1",#N/A,FALSE,"GLC";"glc2",#N/A,FALSE,"GLC";"glc3",#N/A,FALSE,"GLC";"glc4",#N/A,FALSE,"GLC";"glc5",#N/A,FALSE,"GLC"}</definedName>
    <definedName function="false" hidden="true" name="______________________________rwn9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______________wrn2" vbProcedure="false">{"glc1",#N/A,FALSE,"GLC";"glc2",#N/A,FALSE,"GLC";"glc3",#N/A,FALSE,"GLC";"glc4",#N/A,FALSE,"GLC";"glc5",#N/A,FALSE,"GLC"}</definedName>
    <definedName function="false" hidden="true" name="_______________________________rwn10" vbProcedure="false">{#N/A,#N/A,FALSE,"Aging Summary";#N/A,#N/A,FALSE,"Ratio Analysis";#N/A,#N/A,FALSE,"Test 120 Day Accts";#N/A,#N/A,FALSE,"Tickmarks"}</definedName>
    <definedName function="false" hidden="true" name="_______________________________rwn3" vbProcedure="false">{"assets",#N/A,FALSE,"historicBS";"liab",#N/A,FALSE,"historicBS";"is",#N/A,FALSE,"historicIS";"ratios",#N/A,FALSE,"ratios"}</definedName>
    <definedName function="false" hidden="true" name="_______________________________rwn4" vbProcedure="false">{"assets",#N/A,FALSE,"historicBS";"liab",#N/A,FALSE,"historicBS";"is",#N/A,FALSE,"historicIS";"ratios",#N/A,FALSE,"ratios"}</definedName>
    <definedName function="false" hidden="true" name="_______________________________rwn5" vbProcedure="false">{"glcbs",#N/A,FALSE,"GLCBS";"glccsbs",#N/A,FALSE,"GLCCSBS";"glcis",#N/A,FALSE,"GLCIS";"glccsis",#N/A,FALSE,"GLCCSIS";"glcrat1",#N/A,FALSE,"GLC-ratios1"}</definedName>
    <definedName function="false" hidden="true" name="_______________________________rwn6" vbProcedure="false">{"glc1",#N/A,FALSE,"GLC";"glc2",#N/A,FALSE,"GLC";"glc3",#N/A,FALSE,"GLC";"glc4",#N/A,FALSE,"GLC";"glc5",#N/A,FALSE,"GLC"}</definedName>
    <definedName function="false" hidden="true" name="_______________________________rwn7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_______________rwn8" vbProcedure="false">{"glc1",#N/A,FALSE,"GLC";"glc2",#N/A,FALSE,"GLC";"glc3",#N/A,FALSE,"GLC";"glc4",#N/A,FALSE,"GLC";"glc5",#N/A,FALSE,"GLC"}</definedName>
    <definedName function="false" hidden="true" name="_______________________________rwn9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_______________wrn2" vbProcedure="false">{"glc1",#N/A,FALSE,"GLC";"glc2",#N/A,FALSE,"GLC";"glc3",#N/A,FALSE,"GLC";"glc4",#N/A,FALSE,"GLC";"glc5",#N/A,FALSE,"GLC"}</definedName>
    <definedName function="false" hidden="true" name="_________________________________rwb2" vbProcedure="false">{#N/A,#N/A,FALSE,"Aging Summary";#N/A,#N/A,FALSE,"Ratio Analysis";#N/A,#N/A,FALSE,"Test 120 Day Accts";#N/A,#N/A,FALSE,"Tickmarks"}</definedName>
    <definedName function="false" hidden="true" name="__________________________________rwn1" vbProcedure="false">{#N/A,#N/A,FALSE,"Aging Summary";#N/A,#N/A,FALSE,"Ratio Analysis";#N/A,#N/A,FALSE,"Test 120 Day Accts";#N/A,#N/A,FALSE,"Tickmarks"}</definedName>
    <definedName function="false" hidden="true" name="___________________________________rwn10" vbProcedure="false">{#N/A,#N/A,FALSE,"Aging Summary";#N/A,#N/A,FALSE,"Ratio Analysis";#N/A,#N/A,FALSE,"Test 120 Day Accts";#N/A,#N/A,FALSE,"Tickmarks"}</definedName>
    <definedName function="false" hidden="true" name="___________________________________rwn3" vbProcedure="false">{"assets",#N/A,FALSE,"historicBS";"liab",#N/A,FALSE,"historicBS";"is",#N/A,FALSE,"historicIS";"ratios",#N/A,FALSE,"ratios"}</definedName>
    <definedName function="false" hidden="true" name="___________________________________rwn4" vbProcedure="false">{"assets",#N/A,FALSE,"historicBS";"liab",#N/A,FALSE,"historicBS";"is",#N/A,FALSE,"historicIS";"ratios",#N/A,FALSE,"ratios"}</definedName>
    <definedName function="false" hidden="true" name="___________________________________rwn5" vbProcedure="false">{"glcbs",#N/A,FALSE,"GLCBS";"glccsbs",#N/A,FALSE,"GLCCSBS";"glcis",#N/A,FALSE,"GLCIS";"glccsis",#N/A,FALSE,"GLCCSIS";"glcrat1",#N/A,FALSE,"GLC-ratios1"}</definedName>
    <definedName function="false" hidden="true" name="___________________________________rwn6" vbProcedure="false">{"glc1",#N/A,FALSE,"GLC";"glc2",#N/A,FALSE,"GLC";"glc3",#N/A,FALSE,"GLC";"glc4",#N/A,FALSE,"GLC";"glc5",#N/A,FALSE,"GLC"}</definedName>
    <definedName function="false" hidden="true" name="___________________________________rwn7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___________________rwn8" vbProcedure="false">{"glc1",#N/A,FALSE,"GLC";"glc2",#N/A,FALSE,"GLC";"glc3",#N/A,FALSE,"GLC";"glc4",#N/A,FALSE,"GLC";"glc5",#N/A,FALSE,"GLC"}</definedName>
    <definedName function="false" hidden="true" name="___________________________________rwn9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___________________wrn2" vbProcedure="false">{"glc1",#N/A,FALSE,"GLC";"glc2",#N/A,FALSE,"GLC";"glc3",#N/A,FALSE,"GLC";"glc4",#N/A,FALSE,"GLC";"glc5",#N/A,FALSE,"GLC"}</definedName>
    <definedName function="false" hidden="true" name="____________________________________rwb2" vbProcedure="false">{#N/A,#N/A,FALSE,"Aging Summary";#N/A,#N/A,FALSE,"Ratio Analysis";#N/A,#N/A,FALSE,"Test 120 Day Accts";#N/A,#N/A,FALSE,"Tickmarks"}</definedName>
    <definedName function="false" hidden="true" name="_____________________________________rwn1" vbProcedure="false">{#N/A,#N/A,FALSE,"Aging Summary";#N/A,#N/A,FALSE,"Ratio Analysis";#N/A,#N/A,FALSE,"Test 120 Day Accts";#N/A,#N/A,FALSE,"Tickmarks"}</definedName>
    <definedName function="false" hidden="true" name="______________________________________rwb2" vbProcedure="false">{#N/A,#N/A,FALSE,"Aging Summary";#N/A,#N/A,FALSE,"Ratio Analysis";#N/A,#N/A,FALSE,"Test 120 Day Accts";#N/A,#N/A,FALSE,"Tickmarks"}</definedName>
    <definedName function="false" hidden="true" name="______________________________________rwn10" vbProcedure="false">{#N/A,#N/A,FALSE,"Aging Summary";#N/A,#N/A,FALSE,"Ratio Analysis";#N/A,#N/A,FALSE,"Test 120 Day Accts";#N/A,#N/A,FALSE,"Tickmarks"}</definedName>
    <definedName function="false" hidden="true" name="______________________________________rwn3" vbProcedure="false">{"assets",#N/A,FALSE,"historicBS";"liab",#N/A,FALSE,"historicBS";"is",#N/A,FALSE,"historicIS";"ratios",#N/A,FALSE,"ratios"}</definedName>
    <definedName function="false" hidden="true" name="______________________________________rwn4" vbProcedure="false">{"assets",#N/A,FALSE,"historicBS";"liab",#N/A,FALSE,"historicBS";"is",#N/A,FALSE,"historicIS";"ratios",#N/A,FALSE,"ratios"}</definedName>
    <definedName function="false" hidden="true" name="______________________________________rwn5" vbProcedure="false">{"glcbs",#N/A,FALSE,"GLCBS";"glccsbs",#N/A,FALSE,"GLCCSBS";"glcis",#N/A,FALSE,"GLCIS";"glccsis",#N/A,FALSE,"GLCCSIS";"glcrat1",#N/A,FALSE,"GLC-ratios1"}</definedName>
    <definedName function="false" hidden="true" name="______________________________________rwn6" vbProcedure="false">{"glc1",#N/A,FALSE,"GLC";"glc2",#N/A,FALSE,"GLC";"glc3",#N/A,FALSE,"GLC";"glc4",#N/A,FALSE,"GLC";"glc5",#N/A,FALSE,"GLC"}</definedName>
    <definedName function="false" hidden="true" name="______________________________________rwn7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______________________rwn8" vbProcedure="false">{"glc1",#N/A,FALSE,"GLC";"glc2",#N/A,FALSE,"GLC";"glc3",#N/A,FALSE,"GLC";"glc4",#N/A,FALSE,"GLC";"glc5",#N/A,FALSE,"GLC"}</definedName>
    <definedName function="false" hidden="true" name="______________________________________rwn9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______________________wrn2" vbProcedure="false">{"glc1",#N/A,FALSE,"GLC";"glc2",#N/A,FALSE,"GLC";"glc3",#N/A,FALSE,"GLC";"glc4",#N/A,FALSE,"GLC";"glc5",#N/A,FALSE,"GLC"}</definedName>
    <definedName function="false" hidden="true" name="_______________________________________rwn1" vbProcedure="false">{#N/A,#N/A,FALSE,"Aging Summary";#N/A,#N/A,FALSE,"Ratio Analysis";#N/A,#N/A,FALSE,"Test 120 Day Accts";#N/A,#N/A,FALSE,"Tickmarks"}</definedName>
    <definedName function="false" hidden="true" name="________________________________________rwn10" vbProcedure="false">{#N/A,#N/A,FALSE,"Aging Summary";#N/A,#N/A,FALSE,"Ratio Analysis";#N/A,#N/A,FALSE,"Test 120 Day Accts";#N/A,#N/A,FALSE,"Tickmarks"}</definedName>
    <definedName function="false" hidden="true" name="________________________________________rwn3" vbProcedure="false">{"assets",#N/A,FALSE,"historicBS";"liab",#N/A,FALSE,"historicBS";"is",#N/A,FALSE,"historicIS";"ratios",#N/A,FALSE,"ratios"}</definedName>
    <definedName function="false" hidden="true" name="________________________________________rwn4" vbProcedure="false">{"assets",#N/A,FALSE,"historicBS";"liab",#N/A,FALSE,"historicBS";"is",#N/A,FALSE,"historicIS";"ratios",#N/A,FALSE,"ratios"}</definedName>
    <definedName function="false" hidden="true" name="________________________________________rwn5" vbProcedure="false">{"glcbs",#N/A,FALSE,"GLCBS";"glccsbs",#N/A,FALSE,"GLCCSBS";"glcis",#N/A,FALSE,"GLCIS";"glccsis",#N/A,FALSE,"GLCCSIS";"glcrat1",#N/A,FALSE,"GLC-ratios1"}</definedName>
    <definedName function="false" hidden="true" name="________________________________________rwn6" vbProcedure="false">{"glc1",#N/A,FALSE,"GLC";"glc2",#N/A,FALSE,"GLC";"glc3",#N/A,FALSE,"GLC";"glc4",#N/A,FALSE,"GLC";"glc5",#N/A,FALSE,"GLC"}</definedName>
    <definedName function="false" hidden="true" name="________________________________________rwn7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________________________rwn8" vbProcedure="false">{"glc1",#N/A,FALSE,"GLC";"glc2",#N/A,FALSE,"GLC";"glc3",#N/A,FALSE,"GLC";"glc4",#N/A,FALSE,"GLC";"glc5",#N/A,FALSE,"GLC"}</definedName>
    <definedName function="false" hidden="true" name="________________________________________rwn9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________________________wrn2" vbProcedure="false">{"glc1",#N/A,FALSE,"GLC";"glc2",#N/A,FALSE,"GLC";"glc3",#N/A,FALSE,"GLC";"glc4",#N/A,FALSE,"GLC";"glc5",#N/A,FALSE,"GLC"}</definedName>
    <definedName function="false" hidden="true" name="_кгш" vbProcedure="false">#REF!</definedName>
    <definedName function="false" hidden="true" name="ааа" vbProcedure="false">{"'Prices'!$A$4:$J$27"}</definedName>
    <definedName function="false" hidden="true" name="ааа_1" vbProcedure="false">{#N/A,#N/A,TRUE,"Фин.рез"}</definedName>
    <definedName function="false" hidden="true" name="аааа" vbProcedure="false">{#N/A,#N/A,TRUE,"Фин.рез"}</definedName>
    <definedName function="false" hidden="true" name="аааа_1" vbProcedure="false">{#N/A,#N/A,TRUE,"Фин.рез"}</definedName>
    <definedName function="false" hidden="true" name="аааааа" vbProcedure="false">{#N/A,#N/A,TRUE,"Фин.рез"}</definedName>
    <definedName function="false" hidden="true" name="аааааа_1" vbProcedure="false">{#N/A,#N/A,TRUE,"Фин.рез"}</definedName>
    <definedName function="false" hidden="true" name="ааааааа" vbProcedure="false">{"'Sheet1'!$A$1:$G$85"}</definedName>
    <definedName function="false" hidden="true" name="ааааааааа" vbProcedure="false">{"'Sheet1'!$A$1:$G$85"}</definedName>
    <definedName function="false" hidden="true" name="аап" vbProcedure="false">{#N/A,#N/A,TRUE,"Фин.рез"}</definedName>
    <definedName function="false" hidden="true" name="аап_1" vbProcedure="false">{#N/A,#N/A,TRUE,"Фин.рез"}</definedName>
    <definedName function="false" hidden="true" name="авопавопавоп" vbProcedure="false">#REF!</definedName>
    <definedName function="false" hidden="true" name="авпа" vbProcedure="false">#REF!,#REF!,#REF!,#REF!</definedName>
    <definedName function="false" hidden="true" name="авпвап" vbProcedure="false">#REF!</definedName>
    <definedName function="false" hidden="true" name="аврваыр" vbProcedure="false">{"glcbs",#N/A,FALSE,"GLCBS";"glccsbs",#N/A,FALSE,"GLCCSBS";"glcis",#N/A,FALSE,"GLCIS";"glccsis",#N/A,FALSE,"GLCCSIS";"glcrat1",#N/A,FALSE,"GLC-ratios1"}</definedName>
    <definedName function="false" hidden="true" name="АВС" vbProcedure="false">#REF!</definedName>
    <definedName function="false" hidden="true" name="авыа" vbProcedure="false">{#N/A,#N/A,FALSE,"101"}</definedName>
    <definedName function="false" hidden="true" name="авыпвап" vbProcedure="false">#REF!</definedName>
    <definedName function="false" hidden="true" name="агсь" vbProcedure="false">{"'Северо-Никольское '!$A$6:$J$40"}</definedName>
    <definedName function="false" hidden="true" name="аег" vbProcedure="false">{#N/A,#N/A,FALSE,"Aging Summary";#N/A,#N/A,FALSE,"Ratio Analysis";#N/A,#N/A,FALSE,"Test 120 Day Accts";#N/A,#N/A,FALSE,"Tickmarks"}</definedName>
    <definedName function="false" hidden="true" name="анал.баланс" vbProcedure="false">{#N/A,#N/A,TRUE,"План продаж";#N/A,#N/A,TRUE,"Склад гот.прод";#N/A,#N/A,TRUE,"План отгрузки"}</definedName>
    <definedName function="false" hidden="true" name="Анализ2" vbProcedure="false">{#N/A,#N/A,TRUE,"План продаж";#N/A,#N/A,TRUE,"Склад гот.прод";#N/A,#N/A,TRUE,"План отгрузки"}</definedName>
    <definedName function="false" hidden="true" name="аоонегуу56" vbProcedure="false">{#N/A,#N/A,TRUE,"Фин.рез"}</definedName>
    <definedName function="false" hidden="true" name="аоонегуу56_1" vbProcedure="false">{#N/A,#N/A,TRUE,"Фин.рез"}</definedName>
    <definedName function="false" hidden="true" name="апав" vbProcedure="false">{"'Северо-Никольское '!$A$6:$J$40"}</definedName>
    <definedName function="false" hidden="true" name="апап" vbProcedure="false">{"AnalRSA",#N/A,TRUE,"PL-Anal";"AnalIAS",#N/A,TRUE,"PL-Anal"}</definedName>
    <definedName function="false" hidden="true" name="апглшданшдангд" vbProcedure="false">#REF!</definedName>
    <definedName function="false" hidden="true" name="апог" vbProcedure="false">#REF!</definedName>
    <definedName function="false" hidden="true" name="апор" vbProcedure="false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function="false" hidden="true" name="апппппппппппп" vbProcedure="false">{"'Sheet1'!$A$1:$G$85"}</definedName>
    <definedName function="false" hidden="true" name="апрв" vbProcedure="false">{#N/A,#N/A,TRUE,"Фин.рез"}</definedName>
    <definedName function="false" hidden="true" name="апрв_1" vbProcedure="false">{#N/A,#N/A,TRUE,"Фин.рез"}</definedName>
    <definedName function="false" hidden="true" name="апрц45" vbProcedure="false">{#N/A,#N/A,TRUE,"Фин.рез"}</definedName>
    <definedName function="false" hidden="true" name="апрц45_1" vbProcedure="false">{#N/A,#N/A,TRUE,"Фин.рез"}</definedName>
    <definedName function="false" hidden="true" name="апы" vbProcedure="false">{#N/A,#N/A,TRUE,"Фин.рез"}</definedName>
    <definedName function="false" hidden="true" name="апы_1" vbProcedure="false">{#N/A,#N/A,TRUE,"Фин.рез"}</definedName>
    <definedName function="false" hidden="true" name="аррап" vbProcedure="false">{#N/A,#N/A,FALSE,"Aging Summary";#N/A,#N/A,FALSE,"Ratio Analysis";#N/A,#N/A,FALSE,"Test 120 Day Accts";#N/A,#N/A,FALSE,"Tickmarks"}</definedName>
    <definedName function="false" hidden="true" name="аыи" vbProcedure="false">{"'Prices'!$A$4:$J$27"}</definedName>
    <definedName function="false" hidden="true" name="б" vbProcedure="false">{"'Северо-Никольское '!$A$6:$J$40"}</definedName>
    <definedName function="false" hidden="true" name="ббло" vbProcedure="false">{#N/A,#N/A,TRUE,"Фин.рез"}</definedName>
    <definedName function="false" hidden="true" name="ббло_1" vbProcedure="false">{#N/A,#N/A,TRUE,"Фин.рез"}</definedName>
    <definedName function="false" hidden="true" name="бва" vbProcedure="false">#REF!</definedName>
    <definedName function="false" hidden="true" name="бвк6" vbProcedure="false">#REF!</definedName>
    <definedName function="false" hidden="true" name="бвк6е" vbProcedure="false">#REF!</definedName>
    <definedName function="false" hidden="true" name="БД" vbProcedure="false">{#N/A,#N/A,TRUE,"Фин.рез"}</definedName>
    <definedName function="false" hidden="true" name="БД_1" vbProcedure="false">{#N/A,#N/A,TRUE,"Фин.рез"}</definedName>
    <definedName function="false" hidden="true" name="бдр" vbProcedure="false">{"'РП (2)'!$A$5:$S$150"}</definedName>
    <definedName function="false" hidden="true" name="бьие" vbProcedure="false">{"'Северо-Никольское '!$A$6:$J$40"}</definedName>
    <definedName function="false" hidden="true" name="В654" vbProcedure="false">#REF!</definedName>
    <definedName function="false" hidden="true" name="вёёё" vbProcedure="false">{#N/A,#N/A,TRUE,"Фин.рез"}</definedName>
    <definedName function="false" hidden="true" name="вёёё_1" vbProcedure="false">{#N/A,#N/A,TRUE,"Фин.рез"}</definedName>
    <definedName function="false" hidden="true" name="ва_1" vbProcedure="false">{#N/A,#N/A,TRUE,"Фин.рез"}</definedName>
    <definedName function="false" hidden="true" name="вавыа" vbProcedure="false">{#N/A,#N/A,TRUE,"Фин.рез"}</definedName>
    <definedName function="false" hidden="true" name="вавыа_1" vbProcedure="false">{#N/A,#N/A,TRUE,"Фин.рез"}</definedName>
    <definedName function="false" hidden="true" name="валор" vbProcedure="false">{"'Sheet1'!$A$1:$G$85"}</definedName>
    <definedName function="false" hidden="true" name="ваолуогн" vbProcedure="false">{#N/A,#N/A,TRUE,"Фин.рез"}</definedName>
    <definedName function="false" hidden="true" name="ваолуогн_1" vbProcedure="false">{#N/A,#N/A,TRUE,"Фин.рез"}</definedName>
    <definedName function="false" hidden="true" name="вап" vbProcedure="false">#REF!</definedName>
    <definedName function="false" hidden="true" name="вапав" vbProcedure="false">#REF!</definedName>
    <definedName function="false" hidden="true" name="вапап" vbProcedure="false">#REF!</definedName>
    <definedName function="false" hidden="true" name="вапроп" vbProcedure="false">{"'Sheet1'!$A$1:$G$85"}</definedName>
    <definedName function="false" hidden="true" name="вар" vbProcedure="false">#REF!</definedName>
    <definedName function="false" hidden="true" name="варр4ц5н342й" vbProcedure="false">{#N/A,#N/A,TRUE,"Фин.рез"}</definedName>
    <definedName function="false" hidden="true" name="варр4ц5н342й_1" vbProcedure="false">{#N/A,#N/A,TRUE,"Фин.рез"}</definedName>
    <definedName function="false" hidden="true" name="варрйц344444е65" vbProcedure="false">{#N/A,#N/A,TRUE,"Фин.рез"}</definedName>
    <definedName function="false" hidden="true" name="варрйц344444е65_1" vbProcedure="false">{#N/A,#N/A,TRUE,"Фин.рез"}</definedName>
    <definedName function="false" hidden="true" name="васм" vbProcedure="false">{"'Северо-Никольское '!$A$6:$J$40"}</definedName>
    <definedName function="false" hidden="true" name="ваф" vbProcedure="false">{"'РП (2)'!$A$5:$S$150"}</definedName>
    <definedName function="false" hidden="true" name="вв" vbProcedure="false">{"программа",#N/A,TRUE,"lessons";"продажа оргтехники",#N/A,TRUE,"образец"}</definedName>
    <definedName function="false" hidden="true" name="вв_1" vbProcedure="false">{#N/A,#N/A,TRUE,"Фин.рез"}</definedName>
    <definedName function="false" hidden="true" name="вваыв" vbProcedure="false">#REF!</definedName>
    <definedName function="false" hidden="true" name="ввв" vbProcedure="false">{"'Северо-Никольское '!$A$6:$J$40"}</definedName>
    <definedName function="false" hidden="true" name="вввв" vbProcedure="false">{"'Северо-Никольское '!$A$6:$J$40"}</definedName>
    <definedName function="false" hidden="true" name="ввввввввввввв" vbProcedure="false">{"'Sheet1'!$A$1:$G$85"}</definedName>
    <definedName function="false" hidden="true" name="веьг" vbProcedure="false">#REF!</definedName>
    <definedName function="false" hidden="true" name="взд" vbProcedure="false">{"NWN_Q1810",#N/A,FALSE,"Q1810_1.V";"NWN_Q1412",#N/A,FALSE,"Q1412_1"}</definedName>
    <definedName function="false" hidden="true" name="вика" vbProcedure="false">{"'Северо-Никольское '!$A$6:$J$40"}</definedName>
    <definedName function="false" hidden="true" name="Виктор" vbProcedure="false">#REF!</definedName>
    <definedName function="false" hidden="true" name="вке" vbProcedure="false">#REF!</definedName>
    <definedName function="false" hidden="true" name="вкиег" vbProcedure="false">#REF!</definedName>
    <definedName function="false" hidden="true" name="вкчннек" vbProcedure="false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function="false" hidden="true" name="вла" vbProcedure="false">{#N/A,#N/A,FALSE,"Aging Summary";#N/A,#N/A,FALSE,"Ratio Analysis";#N/A,#N/A,FALSE,"Test 120 Day Accts";#N/A,#N/A,FALSE,"Tickmarks"}</definedName>
    <definedName function="false" hidden="true" name="воавп" vbProcedure="false">{"AnalRSA",#N/A,TRUE,"PL-Anal";"AnalIAS",#N/A,TRUE,"PL-Anal"}</definedName>
    <definedName function="false" hidden="true" name="вп" vbProcedure="false">#REF!</definedName>
    <definedName function="false" hidden="true" name="впап" vbProcedure="false">{#N/A,#N/A,TRUE,"Фин.рез"}</definedName>
    <definedName function="false" hidden="true" name="впап_1" vbProcedure="false">{#N/A,#N/A,TRUE,"Фин.рез"}</definedName>
    <definedName function="false" hidden="true" name="впо" vbProcedure="false">{"'Северо-Никольское '!$A$6:$J$40"}</definedName>
    <definedName function="false" hidden="true" name="впыы" vbProcedure="false">{"glc1",#N/A,FALSE,"GLC";"glc2",#N/A,FALSE,"GLC";"glc3",#N/A,FALSE,"GLC";"glc4",#N/A,FALSE,"GLC";"glc5",#N/A,FALSE,"GLC"}</definedName>
    <definedName function="false" hidden="true" name="втыавит" vbProcedure="false">#REF!</definedName>
    <definedName function="false" hidden="true" name="вчкнн" vbProcedure="false">{"IAS Mapping",#N/A,FALSE,"RSA_FS";#N/A,#N/A,FALSE,"CHECK!";#N/A,#N/A,FALSE,"Recon";#N/A,#N/A,FALSE,"NMG";#N/A,#N/A,FALSE,"Journals";"AnalRSA",#N/A,FALSE,"PL-Anal";"AnalIAS",#N/A,FALSE,"PL-Anal";#N/A,#N/A,FALSE,"COS"}</definedName>
    <definedName function="false" hidden="true" name="выадлр" vbProcedure="false">{"glc1",#N/A,FALSE,"GLC";"glc2",#N/A,FALSE,"GLC";"glc3",#N/A,FALSE,"GLC";"glc4",#N/A,FALSE,"GLC";"glc5",#N/A,FALSE,"GLC"}</definedName>
    <definedName function="false" hidden="true" name="выбранный_период" vbProcedure="false">#REF!</definedName>
    <definedName function="false" hidden="true" name="вывывывы" vbProcedure="false">{"glc1",#N/A,FALSE,"GLC";"glc2",#N/A,FALSE,"GLC";"glc3",#N/A,FALSE,"GLC";"glc4",#N/A,FALSE,"GLC";"glc5",#N/A,FALSE,"GLC"}</definedName>
    <definedName function="false" hidden="true" name="генгуу56" vbProcedure="false">{#N/A,#N/A,TRUE,"Фин.рез"}</definedName>
    <definedName function="false" hidden="true" name="генгуу56_1" vbProcedure="false">{#N/A,#N/A,TRUE,"Фин.рез"}</definedName>
    <definedName function="false" hidden="true" name="гнл" vbProcedure="false">{"'Северо-Никольское '!$A$6:$J$40"}</definedName>
    <definedName function="false" hidden="true" name="гнрр45ен45" vbProcedure="false">{#N/A,#N/A,TRUE,"Фин.рез"}</definedName>
    <definedName function="false" hidden="true" name="гнрр45ен45_1" vbProcedure="false">{#N/A,#N/A,TRUE,"Фин.рез"}</definedName>
    <definedName function="false" hidden="true" name="гнш" vbProcedure="false">{#N/A,#N/A,FALSE,"Aging Summary";#N/A,#N/A,FALSE,"Ratio Analysis";#N/A,#N/A,FALSE,"Test 120 Day Accts";#N/A,#N/A,FALSE,"Tickmarks"}</definedName>
    <definedName function="false" hidden="true" name="гншшен" vbProcedure="false">{#N/A,"100% Success",TRUE,"Sales Forecast";#N/A,#N/A,TRUE,"Sheet2"}</definedName>
    <definedName function="false" hidden="true" name="гншщ" vbProcedure="false">{#N/A,#N/A,FALSE,"Aging Summary";#N/A,#N/A,FALSE,"Ratio Analysis";#N/A,#N/A,FALSE,"Test 120 Day Accts";#N/A,#N/A,FALSE,"Tickmarks"}</definedName>
    <definedName function="false" hidden="true" name="гогог" vbProcedure="false">#REF!</definedName>
    <definedName function="false" hidden="true" name="граф2" vbProcedure="false">#REF!</definedName>
    <definedName function="false" hidden="true" name="гукегг456г4" vbProcedure="false">{#N/A,#N/A,TRUE,"Фин.рез"}</definedName>
    <definedName function="false" hidden="true" name="гукегг456г4_1" vbProcedure="false">{#N/A,#N/A,TRUE,"Фин.рез"}</definedName>
    <definedName function="false" hidden="true" name="Д99" vbProcedure="false">#REF!</definedName>
    <definedName function="false" hidden="true" name="дбдбд" vbProcedure="false">#REF!</definedName>
    <definedName function="false" hidden="true" name="двыставыты" vbProcedure="false">{#N/A,#N/A,TRUE,"Фин.рез"}</definedName>
    <definedName function="false" hidden="true" name="двыставыты_1" vbProcedure="false">{#N/A,#N/A,TRUE,"Фин.рез"}</definedName>
    <definedName function="false" hidden="true" name="дгн" vbProcedure="false">{"'Северо-Никольское '!$A$6:$J$40"}</definedName>
    <definedName function="false" hidden="true" name="дж" vbProcedure="false">#REF!</definedName>
    <definedName function="false" hidden="true" name="джл" vbProcedure="false">{"assets",#N/A,FALSE,"historicBS";"liab",#N/A,FALSE,"historicBS";"is",#N/A,FALSE,"historicIS";"ratios",#N/A,FALSE,"ratios"}</definedName>
    <definedName function="false" hidden="true" name="ДЗ_1" vbProcedure="false">{#N/A,#N/A,FALSE,"Aging Summary";#N/A,#N/A,FALSE,"Ratio Analysis";#N/A,#N/A,FALSE,"Test 120 Day Accts";#N/A,#N/A,FALSE,"Tickmarks"}</definedName>
    <definedName function="false" hidden="true" name="ДЗЩЛЗХ" vbProcedure="false">{#N/A,#N/A,FALSE,"Aging Summary";#N/A,#N/A,FALSE,"Ratio Analysis";#N/A,#N/A,FALSE,"Test 120 Day Accts";#N/A,#N/A,FALSE,"Tickmarks"}</definedName>
    <definedName function="false" hidden="true" name="длднгш" vbProcedure="false">#REF!</definedName>
    <definedName function="false" hidden="true" name="дло" vbProcedure="false">{"'Prices'!$A$4:$J$27"}</definedName>
    <definedName function="false" hidden="true" name="дозо" vbProcedure="false">{#N/A,#N/A,FALSE,"Aging Summary";#N/A,#N/A,FALSE,"Ratio Analysis";#N/A,#N/A,FALSE,"Test 120 Day Accts";#N/A,#N/A,FALSE,"Tickmarks"}</definedName>
    <definedName function="false" hidden="true" name="дпв" vbProcedure="false">{"'Северо-Никольское '!$A$6:$J$40"}</definedName>
    <definedName function="false" hidden="true" name="Дподр09" vbProcedure="false">#REF!</definedName>
    <definedName function="false" hidden="true" name="дшн" vbProcedure="false">{"'Северо-Никольское '!$A$6:$J$40"}</definedName>
    <definedName function="false" hidden="true" name="е4е" vbProcedure="false">{"glc1",#N/A,FALSE,"GLC";"glc2",#N/A,FALSE,"GLC";"glc3",#N/A,FALSE,"GLC";"glc4",#N/A,FALSE,"GLC";"glc5",#N/A,FALSE,"GLC"}</definedName>
    <definedName function="false" hidden="true" name="еееееее" vbProcedure="false">{#N/A,"30% Success",TRUE,"Sales Forecast";#N/A,#N/A,TRUE,"Sheet2"}</definedName>
    <definedName function="false" hidden="true" name="екгуу465555" vbProcedure="false">{#N/A,#N/A,TRUE,"Фин.рез"}</definedName>
    <definedName function="false" hidden="true" name="екгуу465555_1" vbProcedure="false">{#N/A,#N/A,TRUE,"Фин.рез"}</definedName>
    <definedName function="false" hidden="true" name="екн" vbProcedure="false">{#N/A,#N/A,FALSE,"Aging Summary";#N/A,#N/A,FALSE,"Ratio Analysis";#N/A,#N/A,FALSE,"Test 120 Day Accts";#N/A,#N/A,FALSE,"Tickmarks"}</definedName>
    <definedName function="false" hidden="true" name="екп" vbProcedure="false">#REF!</definedName>
    <definedName function="false" hidden="true" name="екпр" vbProcedure="false">{"glc1",#N/A,FALSE,"GLC";"glc2",#N/A,FALSE,"GLC";"glc3",#N/A,FALSE,"GLC";"glc4",#N/A,FALSE,"GLC";"glc5",#N/A,FALSE,"GLC"}</definedName>
    <definedName function="false" hidden="true" name="екр5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енг" vbProcedure="false">{"'Северо-Никольское '!$A$6:$J$40"}</definedName>
    <definedName function="false" hidden="true" name="енгг" vbProcedure="false">{"'Sheet1'!$A$1:$G$85"}</definedName>
    <definedName function="false" hidden="true" name="енггенггу456" vbProcedure="false">{#N/A,#N/A,TRUE,"Фин.рез"}</definedName>
    <definedName function="false" hidden="true" name="енггенггу456_1" vbProcedure="false">{#N/A,#N/A,TRUE,"Фин.рез"}</definedName>
    <definedName function="false" hidden="true" name="енгпра" vbProcedure="false">{#N/A,#N/A,FALSE,"Aging Summary";#N/A,#N/A,FALSE,"Ratio Analysis";#N/A,#N/A,FALSE,"Test 120 Day Accts";#N/A,#N/A,FALSE,"Tickmarks"}</definedName>
    <definedName function="false" hidden="true" name="енлу5566" vbProcedure="false">{#N/A,#N/A,TRUE,"Фин.рез"}</definedName>
    <definedName function="false" hidden="true" name="енлу5566_1" vbProcedure="false">{#N/A,#N/A,TRUE,"Фин.рез"}</definedName>
    <definedName function="false" hidden="true" name="енлу56н" vbProcedure="false">{#N/A,#N/A,TRUE,"Фин.рез"}</definedName>
    <definedName function="false" hidden="true" name="енлу56н_1" vbProcedure="false">{#N/A,#N/A,TRUE,"Фин.рез"}</definedName>
    <definedName function="false" hidden="true" name="еноегук" vbProcedure="false">{#N/A,#N/A,TRUE,"Фин.рез"}</definedName>
    <definedName function="false" hidden="true" name="еноегук_1" vbProcedure="false">{#N/A,#N/A,TRUE,"Фин.рез"}</definedName>
    <definedName function="false" hidden="true" name="енрнро" vbProcedure="false">{"'Prices'!$A$4:$J$27"}</definedName>
    <definedName function="false" hidden="true" name="еншег456г" vbProcedure="false">{#N/A,#N/A,TRUE,"Фин.рез"}</definedName>
    <definedName function="false" hidden="true" name="еншег456г_1" vbProcedure="false">{#N/A,#N/A,TRUE,"Фин.рез"}</definedName>
    <definedName function="false" hidden="true" name="еншн" vbProcedure="false">{"IASTrail",#N/A,FALSE,"IAS"}</definedName>
    <definedName function="false" hidden="true" name="еоооавпоуке" vbProcedure="false">{#N/A,#N/A,TRUE,"Фин.рез"}</definedName>
    <definedName function="false" hidden="true" name="еоооавпоуке_1" vbProcedure="false">{#N/A,#N/A,TRUE,"Фин.рез"}</definedName>
    <definedName function="false" hidden="true" name="еоргне" vbProcedure="false">{#N/A,#N/A,FALSE,"Aging Summary";#N/A,#N/A,FALSE,"Ratio Analysis";#N/A,#N/A,FALSE,"Test 120 Day Accts";#N/A,#N/A,FALSE,"Tickmarks"}</definedName>
    <definedName function="false" hidden="true" name="епрыкепр" vbProcedure="false">{"assets",#N/A,FALSE,"historicBS";"liab",#N/A,FALSE,"historicBS";"is",#N/A,FALSE,"historicIS";"ratios",#N/A,FALSE,"ratios"}</definedName>
    <definedName function="false" hidden="true" name="еркер" vbProcedure="false">{"'Prices'!$A$4:$J$27"}</definedName>
    <definedName function="false" hidden="true" name="еррц45н4" vbProcedure="false">{#N/A,#N/A,TRUE,"Фин.рез"}</definedName>
    <definedName function="false" hidden="true" name="еррц45н4_1" vbProcedure="false">{#N/A,#N/A,TRUE,"Фин.рез"}</definedName>
    <definedName function="false" hidden="true" name="етнть" vbProcedure="false">#N/A</definedName>
    <definedName function="false" hidden="true" name="еьнувенот" vbProcedure="false">{#N/A,#N/A,TRUE,"Фин.рез"}</definedName>
    <definedName function="false" hidden="true" name="еьнувенот_1" vbProcedure="false">{#N/A,#N/A,TRUE,"Фин.рез"}</definedName>
    <definedName function="false" hidden="true" name="ж\" vbProcedure="false">{"'Prices'!$A$4:$J$27"}</definedName>
    <definedName function="false" hidden="true" name="жддж" vbProcedure="false">#REF!</definedName>
    <definedName function="false" hidden="true" name="ждджэ" vbProcedure="false">#REF!</definedName>
    <definedName function="false" hidden="true" name="ждл" vbProcedure="false">#REF!</definedName>
    <definedName function="false" hidden="true" name="жжж" vbProcedure="false">{"'Северо-Никольское '!$A$6:$J$40"}</definedName>
    <definedName function="false" hidden="true" name="жощз0" vbProcedure="false">{"'Северо-Никольское '!$A$6:$J$40"}</definedName>
    <definedName function="false" hidden="true" name="жую" vbProcedure="false">{"'Северо-Никольское '!$A$6:$J$40"}</definedName>
    <definedName function="false" hidden="true" name="жфлп" vbProcedure="false">{"'Северо-Никольское '!$A$6:$J$40"}</definedName>
    <definedName function="false" hidden="true" name="ззз" vbProcedure="false">{"'Северо-Никольское '!$A$6:$J$40"}</definedName>
    <definedName function="false" hidden="true" name="иии_1" vbProcedure="false">{#N/A,#N/A,TRUE,"Фин.рез"}</definedName>
    <definedName function="false" hidden="true" name="ииииии" vbProcedure="false">{#N/A,#N/A,FALSE,"Aging Summary";#N/A,#N/A,FALSE,"Ratio Analysis";#N/A,#N/A,FALSE,"Test 120 Day Accts";#N/A,#N/A,FALSE,"Tickmarks"}</definedName>
    <definedName function="false" hidden="true" name="иииииии" vbProcedure="false">{"data",#N/A,FALSE,"INPUT"}</definedName>
    <definedName function="false" hidden="true" name="иицу" vbProcedure="false">{#N/A,#N/A,TRUE,"MAP";#N/A,#N/A,TRUE,"STEPS";#N/A,#N/A,TRUE,"RULES"}</definedName>
    <definedName function="false" hidden="true" name="ИСХ20191" vbProcedure="false">#REF!</definedName>
    <definedName function="false" hidden="true" name="итбь" vbProcedure="false">{"'Северо-Никольское '!$A$6:$J$40"}</definedName>
    <definedName function="false" hidden="true" name="иык" vbProcedure="false">#REF!</definedName>
    <definedName function="false" hidden="true" name="йуц" vbProcedure="false">#REF!</definedName>
    <definedName function="false" hidden="true" name="йфффф" vbProcedure="false">#REF!</definedName>
    <definedName function="false" hidden="true" name="йц" vbProcedure="false">{"'Северо-Никольское '!$A$6:$J$40"}</definedName>
    <definedName function="false" hidden="true" name="йцк" vbProcedure="false">#REF!</definedName>
    <definedName function="false" hidden="true" name="йцкк" vbProcedure="false">#REF!</definedName>
    <definedName function="false" hidden="true" name="йцуу" vbProcedure="false">#REF!</definedName>
    <definedName function="false" hidden="true" name="какак" vbProcedure="false">#REF!</definedName>
    <definedName function="false" hidden="true" name="кап" vbProcedure="false">{"glc1",#N/A,FALSE,"GLC";"glc2",#N/A,FALSE,"GLC";"glc3",#N/A,FALSE,"GLC";"glc4",#N/A,FALSE,"GLC";"glc5",#N/A,FALSE,"GLC"}</definedName>
    <definedName function="false" hidden="true" name="кау" vbProcedure="false">{"assets",#N/A,FALSE,"historicBS";"liab",#N/A,FALSE,"historicBS";"is",#N/A,FALSE,"historicIS";"ratios",#N/A,FALSE,"ratios"}</definedName>
    <definedName function="false" hidden="true" name="кв" vbProcedure="false">{#N/A,#N/A,TRUE,"План продаж";#N/A,#N/A,TRUE,"Склад гот.прод";#N/A,#N/A,TRUE,"План отгрузки"}</definedName>
    <definedName function="false" hidden="true" name="квновенлвепнлвел" vbProcedure="false">#REF!,#REF!,#REF!,#REF!,#REF!,#REF!,#REF!,#REF!,#REF!,#REF!,#REF!,#REF!,#REF!,#REF!,#REF!,#REF!,#REF!,#REF!,#REF!,#REF!</definedName>
    <definedName function="false" hidden="true" name="квог" vbProcedure="false">{"glc1",#N/A,FALSE,"GLC";"glc2",#N/A,FALSE,"GLC";"glc3",#N/A,FALSE,"GLC";"glc4",#N/A,FALSE,"GLC";"glc5",#N/A,FALSE,"GLC"}</definedName>
    <definedName function="false" hidden="true" name="кгнн" vbProcedure="false">{"'Sheet1'!$A$1:$G$85"}</definedName>
    <definedName function="false" hidden="true" name="кег" vbProcedure="false">#REF!</definedName>
    <definedName function="false" hidden="true" name="кегггапог56" vbProcedure="false">{#N/A,#N/A,TRUE,"Фин.рез"}</definedName>
    <definedName function="false" hidden="true" name="кегггапог56_1" vbProcedure="false">{#N/A,#N/A,TRUE,"Фин.рез"}</definedName>
    <definedName function="false" hidden="true" name="кегкуегг54" vbProcedure="false">{#N/A,#N/A,TRUE,"Фин.рез"}</definedName>
    <definedName function="false" hidden="true" name="кегкуегг54_1" vbProcedure="false">{#N/A,#N/A,TRUE,"Фин.рез"}</definedName>
    <definedName function="false" hidden="true" name="кегнц45г" vbProcedure="false">{#N/A,#N/A,TRUE,"Фин.рез"}</definedName>
    <definedName function="false" hidden="true" name="кегнц45г_1" vbProcedure="false">{#N/A,#N/A,TRUE,"Фин.рез"}</definedName>
    <definedName function="false" hidden="true" name="кеп" vbProcedure="false">{"'Северо-Никольское '!$A$6:$J$40"}</definedName>
    <definedName function="false" hidden="true" name="керкер" vbProcedure="false">{"'Prices'!$A$4:$J$27"}</definedName>
    <definedName function="false" hidden="true" name="керо657нг43" vbProcedure="false">{#N/A,#N/A,TRUE,"Фин.рез"}</definedName>
    <definedName function="false" hidden="true" name="керо657нг43_1" vbProcedure="false">{#N/A,#N/A,TRUE,"Фин.рез"}</definedName>
    <definedName function="false" hidden="true" name="керруц4576н43" vbProcedure="false">{#N/A,#N/A,TRUE,"Фин.рез"}</definedName>
    <definedName function="false" hidden="true" name="керруц4576н43_1" vbProcedure="false">{#N/A,#N/A,TRUE,"Фин.рез"}</definedName>
    <definedName function="false" hidden="true" name="кеу" vbProcedure="false">{"'Северо-Никольское '!$A$6:$J$40"}</definedName>
    <definedName function="false" hidden="true" name="Кипр" vbProcedure="false">#REF!</definedName>
    <definedName function="false" hidden="true" name="кккк" vbProcedure="false">{"'Северо-Никольское '!$A$6:$J$40"}</definedName>
    <definedName function="false" hidden="true" name="кнн" vbProcedure="false">{#N/A,#N/A,FALSE,"Aging Summary";#N/A,#N/A,FALSE,"Ratio Analysis";#N/A,#N/A,FALSE,"Test 120 Day Accts";#N/A,#N/A,FALSE,"Tickmarks"}</definedName>
    <definedName function="false" hidden="true" name="кну" vbProcedure="false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function="false" hidden="true" name="Код_БК" vbProcedure="false">#REF!</definedName>
    <definedName function="false" hidden="true" name="Контракт2" vbProcedure="false">{"glc1",#N/A,FALSE,"GLC";"glc2",#N/A,FALSE,"GLC";"glc3",#N/A,FALSE,"GLC";"glc4",#N/A,FALSE,"GLC";"glc5",#N/A,FALSE,"GLC"}</definedName>
    <definedName function="false" hidden="true" name="конф" vbProcedure="false">{"'РП (2)'!$A$5:$S$150"}</definedName>
    <definedName function="false" hidden="true" name="кор" vbProcedure="false">{"PRINTME",#N/A,FALSE,"FINAL-10"}</definedName>
    <definedName function="false" hidden="true" name="Корр_сост" vbProcedure="false">{#N/A,#N/A,FALSE,"Aging Summary";#N/A,#N/A,FALSE,"Ratio Analysis";#N/A,#N/A,FALSE,"Test 120 Day Accts";#N/A,#N/A,FALSE,"Tickmarks"}</definedName>
    <definedName function="false" hidden="true" name="коэф." vbProcedure="false">{#N/A,#N/A,TRUE,"План продаж";#N/A,#N/A,TRUE,"Склад гот.прод";#N/A,#N/A,TRUE,"План отгрузки"}</definedName>
    <definedName function="false" hidden="true" name="коэф.эффект." vbProcedure="false">{#N/A,#N/A,TRUE,"План продаж";#N/A,#N/A,TRUE,"Склад гот.прод";#N/A,#N/A,TRUE,"План отгрузки"}</definedName>
    <definedName function="false" hidden="true" name="коэфициенты" vbProcedure="false">{#N/A,#N/A,TRUE,"План продаж";#N/A,#N/A,TRUE,"Склад гот.прод";#N/A,#N/A,TRUE,"План отгрузки"}</definedName>
    <definedName function="false" hidden="true" name="куеор5цу6н432" vbProcedure="false">{#N/A,#N/A,TRUE,"Фин.рез"}</definedName>
    <definedName function="false" hidden="true" name="куеор5цу6н432_1" vbProcedure="false">{#N/A,#N/A,TRUE,"Фин.рез"}</definedName>
    <definedName function="false" hidden="true" name="курнана" vbProcedure="false">{"assets",#N/A,FALSE,"historicBS";"liab",#N/A,FALSE,"historicBS";"is",#N/A,FALSE,"historicIS";"ratios",#N/A,FALSE,"ratios"}</definedName>
    <definedName function="false" hidden="true" name="куу" vbProcedure="false">{#N/A,#N/A,FALSE,"1996";#N/A,#N/A,FALSE,"1995";#N/A,#N/A,FALSE,"1994"}</definedName>
    <definedName function="false" hidden="true" name="кшт" vbProcedure="false">#REF!</definedName>
    <definedName function="false" hidden="true" name="КЮ" vbProcedure="false">OFFSET(#REF!,MATCH(#REF!,#REF!,0)-1,-2,COUNTIF(#REF!,#REF!),1)</definedName>
    <definedName function="false" hidden="true" name="л657ш35у" vbProcedure="false">{#N/A,#N/A,TRUE,"Фин.рез"}</definedName>
    <definedName function="false" hidden="true" name="л657ш35у_1" vbProcedure="false">{#N/A,#N/A,TRUE,"Фин.рез"}</definedName>
    <definedName function="false" hidden="true" name="лбпдщюж" vbProcedure="false">{#N/A,#N/A,TRUE,"Фин.рез"}</definedName>
    <definedName function="false" hidden="true" name="лбпдщюж_1" vbProcedure="false">{#N/A,#N/A,TRUE,"Фин.рез"}</definedName>
    <definedName function="false" hidden="true" name="лдор" vbProcedure="false">{"glc1",#N/A,FALSE,"GLC";"glc2",#N/A,FALSE,"GLC";"glc3",#N/A,FALSE,"GLC";"glc4",#N/A,FALSE,"GLC";"glc5",#N/A,FALSE,"GLC"}</definedName>
    <definedName function="false" hidden="true" name="лдт" vbProcedure="false">{"assets",#N/A,FALSE,"historicBS";"liab",#N/A,FALSE,"historicBS";"is",#N/A,FALSE,"historicIS";"ratios",#N/A,FALSE,"ratios"}</definedName>
    <definedName function="false" hidden="true" name="лера" vbProcedure="false">{"'Северо-Никольское '!$A$6:$J$40"}</definedName>
    <definedName function="false" hidden="true" name="ликвидность" vbProcedure="false">{#N/A,#N/A,TRUE,"План продаж";#N/A,#N/A,TRUE,"Склад гот.прод";#N/A,#N/A,TRUE,"План отгрузки"}</definedName>
    <definedName function="false" hidden="true" name="ллл_1" vbProcedure="false">{#N/A,#N/A,TRUE,"Фин.рез"}</definedName>
    <definedName function="false" hidden="true" name="лолол" vbProcedure="false">#REF!</definedName>
    <definedName function="false" hidden="true" name="лололльд" vbProcedure="false">{#N/A,#N/A,TRUE,"Фин.рез"}</definedName>
    <definedName function="false" hidden="true" name="лололльд_1" vbProcedure="false">{#N/A,#N/A,TRUE,"Фин.рез"}</definedName>
    <definedName function="false" hidden="true" name="лпа" vbProcedure="false">#REF!</definedName>
    <definedName function="false" hidden="true" name="лпрап" vbProcedure="false">{"'Sheet1'!$A$1:$G$85"}</definedName>
    <definedName function="false" hidden="true" name="лрпро" vbProcedure="false">{"'Sheet1'!$A$1:$G$85"}</definedName>
    <definedName function="false" hidden="true" name="лцу" vbProcedure="false">{"'Северо-Никольское '!$A$6:$J$40"}</definedName>
    <definedName function="false" hidden="true" name="лчсп" vbProcedure="false">#REF!</definedName>
    <definedName function="false" hidden="true" name="лшшш76ш" vbProcedure="false">{#N/A,#N/A,TRUE,"Фин.рез"}</definedName>
    <definedName function="false" hidden="true" name="лшшш76ш_1" vbProcedure="false">{#N/A,#N/A,TRUE,"Фин.рез"}</definedName>
    <definedName function="false" hidden="true" name="май" vbProcedure="false">{#N/A,#N/A,TRUE,"Фин.рез"}</definedName>
    <definedName function="false" hidden="true" name="май_1" vbProcedure="false">{#N/A,#N/A,TRUE,"Фин.рез"}</definedName>
    <definedName function="false" hidden="true" name="мапор" vbProcedure="false">{"'Sheet1'!$A$1:$G$85"}</definedName>
    <definedName function="false" hidden="true" name="март" vbProcedure="false">{#N/A,#N/A,TRUE,"Фин.рез"}</definedName>
    <definedName function="false" hidden="true" name="март_1" vbProcedure="false">{#N/A,#N/A,TRUE,"Фин.рез"}</definedName>
    <definedName function="false" hidden="true" name="мит" vbProcedure="false">{"assets",#N/A,FALSE,"historicBS";"liab",#N/A,FALSE,"historicBS";"is",#N/A,FALSE,"historicIS";"ratios",#N/A,FALSE,"ratios"}</definedName>
    <definedName function="false" hidden="true" name="мммм" vbProcedure="false">{"'Северо-Никольское '!$A$6:$J$40"}</definedName>
    <definedName function="false" hidden="true" name="ммммммм" vbProcedure="false">{#N/A,#N/A,TRUE,"Фин.рез"}</definedName>
    <definedName function="false" hidden="true" name="ммммммм_1" vbProcedure="false">{#N/A,#N/A,TRUE,"Фин.рез"}</definedName>
    <definedName function="false" hidden="true" name="мммммммм" vbProcedure="false">{"'РП (2)'!$A$5:$S$150"}</definedName>
    <definedName function="false" hidden="true" name="ммт" vbProcedure="false">{"'Северо-Никольское '!$A$6:$J$40"}</definedName>
    <definedName function="false" hidden="true" name="мпро" vbProcedure="false">{"IASTrail",#N/A,FALSE,"IAS"}</definedName>
    <definedName function="false" hidden="true" name="мрмр" vbProcedure="false">{#N/A,#N/A,FALSE,"Aging Summary";#N/A,#N/A,FALSE,"Ratio Analysis";#N/A,#N/A,FALSE,"Test 120 Day Accts";#N/A,#N/A,FALSE,"Tickmarks"}</definedName>
    <definedName function="false" hidden="true" name="мча" vbProcedure="false">#REF!</definedName>
    <definedName function="false" hidden="true" name="нак" vbProcedure="false">{"'Sheet1'!$A$1:$G$85"}</definedName>
    <definedName function="false" hidden="true" name="нгшг" vbProcedure="false">{"'Северо-Никольское '!$A$6:$J$40"}</definedName>
    <definedName function="false" hidden="true" name="неоеунорнеу" vbProcedure="false">{#N/A,#N/A,TRUE,"Фин.рез"}</definedName>
    <definedName function="false" hidden="true" name="неоеунорнеу_1" vbProcedure="false">{#N/A,#N/A,TRUE,"Фин.рез"}</definedName>
    <definedName function="false" hidden="true" name="ннн" vbProcedure="false">{#N/A,#N/A,TRUE,"Фин.рез"}</definedName>
    <definedName function="false" hidden="true" name="ннн_1" vbProcedure="false">{#N/A,#N/A,TRUE,"Фин.рез"}</definedName>
    <definedName function="false" hidden="true" name="новая" vbProcedure="false">{"'Северо-Никольское '!$A$6:$J$40"}</definedName>
    <definedName function="false" hidden="true" name="ноо" vbProcedure="false">#N/A</definedName>
    <definedName function="false" hidden="true" name="ноя" vbProcedure="false">{#N/A,#N/A,TRUE,"Фин.рез"}</definedName>
    <definedName function="false" hidden="true" name="ноя_1" vbProcedure="false">{#N/A,#N/A,TRUE,"Фин.рез"}</definedName>
    <definedName function="false" hidden="true" name="нр4ц5нгр45у" vbProcedure="false">{#N/A,#N/A,TRUE,"Фин.рез"}</definedName>
    <definedName function="false" hidden="true" name="нр4ц5нгр45у_1" vbProcedure="false">{#N/A,#N/A,TRUE,"Фин.рез"}</definedName>
    <definedName function="false" hidden="true" name="нрнрн" vbProcedure="false">#REF!</definedName>
    <definedName function="false" hidden="true" name="нрр" vbProcedure="false">{#N/A,#N/A,TRUE,"Фин.рез"}</definedName>
    <definedName function="false" hidden="true" name="нрр_1" vbProcedure="false">{#N/A,#N/A,TRUE,"Фин.рез"}</definedName>
    <definedName function="false" hidden="true" name="нш" vbProcedure="false">#REF!</definedName>
    <definedName function="false" hidden="true" name="о61005" vbProcedure="false">{"print95",#N/A,FALSE,"1995E.XLS";"print96",#N/A,FALSE,"1996E.XLS"}</definedName>
    <definedName function="false" hidden="true" name="ожид.ТО" vbProcedure="false">{#N/A,#N/A,TRUE,"Фин.рез"}</definedName>
    <definedName function="false" hidden="true" name="ожид.ТО_1" vbProcedure="false">{#N/A,#N/A,TRUE,"Фин.рез"}</definedName>
    <definedName function="false" hidden="true" name="океоокуаыа" vbProcedure="false">{"'Sheet1'!$A$1:$G$85"}</definedName>
    <definedName function="false" hidden="true" name="октябрь" vbProcedure="false">{#N/A,#N/A,TRUE,"План продаж";#N/A,#N/A,TRUE,"Склад гот.прод";#N/A,#N/A,TRUE,"План отгрузки"}</definedName>
    <definedName function="false" hidden="true" name="окцщ8" vbProcedure="false">{"'Северо-Никольское '!$A$6:$J$40"}</definedName>
    <definedName function="false" hidden="true" name="олдж" vbProcedure="false">{"'Северо-Никольское '!$A$6:$J$40"}</definedName>
    <definedName function="false" hidden="true" name="олол" vbProcedure="false">#REF!</definedName>
    <definedName function="false" hidden="true" name="олр" vbProcedure="false">{#N/A,#N/A,TRUE,"Фин.рез"}</definedName>
    <definedName function="false" hidden="true" name="олр_1" vbProcedure="false">{#N/A,#N/A,TRUE,"Фин.рез"}</definedName>
    <definedName function="false" hidden="true" name="онгвыкег" vbProcedure="false">{#N/A,#N/A,TRUE,"Фин.рез"}</definedName>
    <definedName function="false" hidden="true" name="онгвыкег_1" vbProcedure="false">{#N/A,#N/A,TRUE,"Фин.рез"}</definedName>
    <definedName function="false" hidden="true" name="онлгл" vbProcedure="false">{"IASBS",#N/A,TRUE,"IAS";"IASPL",#N/A,TRUE,"IAS";"IASNotes",#N/A,TRUE,"IAS";"CFDir - expanded",#N/A,TRUE,"CF DIR"}</definedName>
    <definedName function="false" hidden="true" name="оо" vbProcedure="false">{#N/A,#N/A,FALSE,"101"}</definedName>
    <definedName function="false" hidden="true" name="оолдг" vbProcedure="false">{#N/A,"10% Success",FALSE,"Sales Forecast";#N/A,#N/A,FALSE,"Sheet2"}</definedName>
    <definedName function="false" hidden="true" name="оооо_1" vbProcedure="false">{#N/A,#N/A,TRUE,"Фин.рез"}</definedName>
    <definedName function="false" hidden="true" name="ооооооо" vbProcedure="false">{#N/A,"30% Success",TRUE,"Sales Forecast";#N/A,#N/A,TRUE,"Sheet2"}</definedName>
    <definedName function="false" hidden="true" name="оооооооо" vbProcedure="false">{"'Sheet1'!$A$1:$G$85"}</definedName>
    <definedName function="false" hidden="true" name="оопаорапорпр" vbProcedure="false">{"'Северо-Никольское '!$A$6:$J$40"}</definedName>
    <definedName function="false" hidden="true" name="опоыо" vbProcedure="false">#REF!</definedName>
    <definedName function="false" hidden="true" name="опыоо" vbProcedure="false">#REF!</definedName>
    <definedName function="false" hidden="true" name="ор" vbProcedure="false">{#N/A,#N/A,TRUE,"План продаж";#N/A,#N/A,TRUE,"Склад гот.прод";#N/A,#N/A,TRUE,"План отгрузки"}</definedName>
    <definedName function="false" hidden="true" name="ор76к45го" vbProcedure="false">{#N/A,#N/A,TRUE,"Фин.рез"}</definedName>
    <definedName function="false" hidden="true" name="ор76к45го_1" vbProcedure="false">{#N/A,#N/A,TRUE,"Фин.рез"}</definedName>
    <definedName function="false" hidden="true" name="отгрузка1" vbProcedure="false">{#N/A,#N/A,TRUE,"План продаж";#N/A,#N/A,TRUE,"Склад гот.прод";#N/A,#N/A,TRUE,"План отгрузки"}</definedName>
    <definedName function="false" hidden="true" name="отменить" vbProcedure="false">{"'Описания'!$A$2:$H$114"}</definedName>
    <definedName function="false" hidden="true" name="ошибка" vbProcedure="false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function="false" hidden="true" name="паап" vbProcedure="false">#REF!</definedName>
    <definedName function="false" hidden="true" name="павап" vbProcedure="false">#REF!</definedName>
    <definedName function="false" hidden="true" name="панлуе65" vbProcedure="false">{#N/A,#N/A,TRUE,"Фин.рез"}</definedName>
    <definedName function="false" hidden="true" name="панлуе65_1" vbProcedure="false">{#N/A,#N/A,TRUE,"Фин.рез"}</definedName>
    <definedName function="false" hidden="true" name="паопв" vbProcedure="false">{"assets",#N/A,FALSE,"historicBS";"liab",#N/A,FALSE,"historicBS";"is",#N/A,FALSE,"historicIS";"ratios",#N/A,FALSE,"ratios"}</definedName>
    <definedName function="false" hidden="true" name="пар" vbProcedure="false">#REF!</definedName>
    <definedName function="false" hidden="true" name="парваопво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паыел" vbProcedure="false">{"'Северо-Никольское '!$A$6:$J$40"}</definedName>
    <definedName function="false" hidden="true" name="пвап" vbProcedure="false">#REF!</definedName>
    <definedName function="false" hidden="true" name="пеп" vbProcedure="false">{#N/A,#N/A,TRUE,"Фин.рез"}</definedName>
    <definedName function="false" hidden="true" name="пеп_1" vbProcedure="false">{#N/A,#N/A,TRUE,"Фин.рез"}</definedName>
    <definedName function="false" hidden="true" name="пй" vbProcedure="false">{#N/A,#N/A,FALSE,"Aging Summary";#N/A,#N/A,FALSE,"Ratio Analysis";#N/A,#N/A,FALSE,"Test 120 Day Accts";#N/A,#N/A,FALSE,"Tickmarks"}</definedName>
    <definedName function="false" hidden="true" name="плн" vbProcedure="false">{#N/A,"70% Success",FALSE,"Sales Forecast";#N/A,#N/A,FALSE,"Sheet2"}</definedName>
    <definedName function="false" hidden="true" name="пн" vbProcedure="false">{#N/A,#N/A,TRUE,"План продаж";#N/A,#N/A,TRUE,"Склад гот.прод";#N/A,#N/A,TRUE,"План отгрузки"}</definedName>
    <definedName function="false" hidden="true" name="пнл" vbProcedure="false">{"assets",#N/A,FALSE,"historicBS";"liab",#N/A,FALSE,"historicBS";"is",#N/A,FALSE,"historicIS";"ratios",#N/A,FALSE,"ratios"}</definedName>
    <definedName function="false" hidden="true" name="подразделения" vbProcedure="false">{"PRINTME",#N/A,FALSE,"FINAL-10"}</definedName>
    <definedName function="false" hidden="true" name="Подстатья" vbProcedure="false">OFFSET(#REF!,MATCH(#REF!,#REF!,0)-1,5,COUNTIF(#REF!,#REF!),1)</definedName>
    <definedName function="false" hidden="true" name="пон" vbProcedure="false">{#N/A,"30% Success",TRUE,"Sales Forecast";#N/A,#N/A,TRUE,"Sheet2"}</definedName>
    <definedName function="false" hidden="true" name="поонег365" vbProcedure="false">{#N/A,#N/A,TRUE,"Фин.рез"}</definedName>
    <definedName function="false" hidden="true" name="поонег365_1" vbProcedure="false">{#N/A,#N/A,TRUE,"Фин.рез"}</definedName>
    <definedName function="false" hidden="true" name="попопр" vbProcedure="false">{#N/A,#N/A,FALSE,"Kalkulace"}</definedName>
    <definedName function="false" hidden="true" name="ппол" vbProcedure="false">{#N/A,#N/A,FALSE,"Aging Summary";#N/A,#N/A,FALSE,"Ratio Analysis";#N/A,#N/A,FALSE,"Test 120 Day Accts";#N/A,#N/A,FALSE,"Tickmarks"}</definedName>
    <definedName function="false" hidden="true" name="пппппп" vbProcedure="false">main.sapf4help()</definedName>
    <definedName function="false" hidden="true" name="ппппппп" vbProcedure="false">{#N/A,"100% Success",TRUE,"Sales Forecast";#N/A,#N/A,TRUE,"Sheet2"}</definedName>
    <definedName function="false" hidden="true" name="пппппппп" vbProcedure="false">{#N/A,"70% Success",FALSE,"Sales Forecast";#N/A,#N/A,FALSE,"Sheet2"}</definedName>
    <definedName function="false" hidden="true" name="првопд" vbProcedure="false">{#N/A,#N/A,FALSE,"Infl_fact"}</definedName>
    <definedName function="false" hidden="true" name="привет" vbProcedure="false">{"'Описания'!$A$2:$H$114"}</definedName>
    <definedName function="false" hidden="true" name="прил19" vbProcedure="false">#REF!</definedName>
    <definedName function="false" hidden="true" name="проав" vbProcedure="false">{"glc1",#N/A,FALSE,"GLC";"glc2",#N/A,FALSE,"GLC";"glc3",#N/A,FALSE,"GLC";"glc4",#N/A,FALSE,"GLC";"glc5",#N/A,FALSE,"GLC"}</definedName>
    <definedName function="false" hidden="true" name="проба" vbProcedure="false">{"NWN_Q1810",#N/A,FALSE,"Q1810_1.V";"NWN_Q1412",#N/A,FALSE,"Q1412_1"}</definedName>
    <definedName function="false" hidden="true" name="проба1" vbProcedure="false">{"NWN_Q1810",#N/A,FALSE,"Q1810_1.V";"NWN_Q1412",#N/A,FALSE,"Q1412_1"}</definedName>
    <definedName function="false" hidden="true" name="прорплорп" vbProcedure="false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function="false" hidden="true" name="ПроцентЗавершенияВБудущем" vbProcedure="false">(#REF!=MEDIAN(#REF!,#REF!,#REF!+#REF!)*(#REF!&gt;0))*((#REF!&lt;(INT(#REF!+#REF!*#REF!)))+(#REF!=#REF!))*(#REF!&gt;0)</definedName>
    <definedName function="false" hidden="true" name="прпол" vbProcedure="false">{"'Северо-Никольское '!$A$6:$J$40"}</definedName>
    <definedName function="false" hidden="true" name="прроовопрвсо" vbProcedure="false">#REF!</definedName>
    <definedName function="false" hidden="true" name="прьь" vbProcedure="false">{"'Prices'!$A$4:$J$27"}</definedName>
    <definedName function="false" hidden="true" name="птг" vbProcedure="false">#REF!</definedName>
    <definedName function="false" hidden="true" name="птш" vbProcedure="false">#REF!</definedName>
    <definedName function="false" hidden="true" name="пук" vbProcedure="false">{"'Северо-Никольское '!$A$6:$J$40"}</definedName>
    <definedName function="false" hidden="true" name="пфыукп" vbProcedure="false">#REF!</definedName>
    <definedName function="false" hidden="true" name="рап" vbProcedure="false">{#N/A,#N/A,TRUE,"Фин.рез"}</definedName>
    <definedName function="false" hidden="true" name="рап_1" vbProcedure="false">{#N/A,#N/A,TRUE,"Фин.рез"}</definedName>
    <definedName function="false" hidden="true" name="рас" vbProcedure="false">{#N/A,#N/A,TRUE,"Фин.рез"}</definedName>
    <definedName function="false" hidden="true" name="рас_1" vbProcedure="false">{#N/A,#N/A,TRUE,"Фин.рез"}</definedName>
    <definedName function="false" hidden="true" name="расходы07" vbProcedure="false">{#N/A,#N/A,TRUE,"Фин.рез"}</definedName>
    <definedName function="false" hidden="true" name="расходы07_1" vbProcedure="false">{#N/A,#N/A,TRUE,"Фин.рез"}</definedName>
    <definedName function="false" hidden="true" name="расходы_07" vbProcedure="false">{#N/A,#N/A,TRUE,"Фин.рез"}</definedName>
    <definedName function="false" hidden="true" name="расходы_07_1" vbProcedure="false">{#N/A,#N/A,TRUE,"Фин.рез"}</definedName>
    <definedName function="false" hidden="true" name="раяыорч" vbProcedure="false">{#N/A,#N/A,FALSE,"Aging Summary";#N/A,#N/A,FALSE,"Ratio Analysis";#N/A,#N/A,FALSE,"Test 120 Day Accts";#N/A,#N/A,FALSE,"Tickmarks"}</definedName>
    <definedName function="false" hidden="true" name="рз" vbProcedure="false">{"'Sheet1'!$A$1:$G$85"}</definedName>
    <definedName function="false" hidden="true" name="рол_1" vbProcedure="false">{#N/A,#N/A,TRUE,"Фин.рез"}</definedName>
    <definedName function="false" hidden="true" name="ророп" vbProcedure="false">{"AnalRSA",#N/A,TRUE,"PL-Anal";"AnalIAS",#N/A,TRUE,"PL-Anal"}</definedName>
    <definedName function="false" hidden="true" name="рпл" vbProcedure="false">{#N/A,#N/A,FALSE,"FA_1";#N/A,#N/A,FALSE,"Dep'n SE";#N/A,#N/A,FALSE,"Dep'n FC"}</definedName>
    <definedName function="false" hidden="true" name="рпло" vbProcedure="false">{"'Северо-Никольское '!$A$6:$J$40"}</definedName>
    <definedName function="false" hidden="true" name="рпоыо" vbProcedure="false">#REF!</definedName>
    <definedName function="false" hidden="true" name="рпра" vbProcedure="false">#REF!</definedName>
    <definedName function="false" hidden="true" name="рр" vbProcedure="false">{#N/A,#N/A,TRUE,"Фин.рез"}</definedName>
    <definedName function="false" hidden="true" name="рр_1" vbProcedure="false">{#N/A,#N/A,TRUE,"Фин.рез"}</definedName>
    <definedName function="false" hidden="true" name="ррр" vbProcedure="false">{#N/A,#N/A,TRUE,"Фин.рез"}</definedName>
    <definedName function="false" hidden="true" name="ррр_1" vbProcedure="false">{#N/A,#N/A,TRUE,"Фин.рез"}</definedName>
    <definedName function="false" hidden="true" name="РРУ" vbProcedure="false">#REF!</definedName>
    <definedName function="false" hidden="true" name="рунер34у5" vbProcedure="false">{#N/A,#N/A,TRUE,"Фин.рез"}</definedName>
    <definedName function="false" hidden="true" name="рунер34у5_1" vbProcedure="false">{#N/A,#N/A,TRUE,"Фин.рез"}</definedName>
    <definedName function="false" hidden="true" name="рьрь" vbProcedure="false">{"'Prices'!$A$4:$J$27"}</definedName>
    <definedName function="false" hidden="true" name="с6" vbProcedure="false">{#N/A,#N/A,FALSE,"101"}</definedName>
    <definedName function="false" hidden="true" name="сао" vbProcedure="false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function="false" hidden="true" name="саша" vbProcedure="false">#REF!</definedName>
    <definedName function="false" hidden="true" name="СВА" vbProcedure="false">#REF!</definedName>
    <definedName function="false" hidden="true" name="Свод1" vbProcedure="false">{"'Описания'!$A$2:$H$114"}</definedName>
    <definedName function="false" hidden="true" name="Свод2" vbProcedure="false">{"'Описания'!$A$2:$H$114"}</definedName>
    <definedName function="false" hidden="true" name="свод9" vbProcedure="false">{"'Описания'!$A$2:$H$114"}</definedName>
    <definedName function="false" hidden="true" name="сгб" vbProcedure="false">{"NWN_Q1810",#N/A,FALSE,"Q1810_1.V";"NWN_Q1412",#N/A,FALSE,"Q1412_1"}</definedName>
    <definedName function="false" hidden="true" name="сен" vbProcedure="false">{#N/A,#N/A,TRUE,"Фин.рез"}</definedName>
    <definedName function="false" hidden="true" name="сен_1" vbProcedure="false">{#N/A,#N/A,TRUE,"Фин.рез"}</definedName>
    <definedName function="false" hidden="true" name="СКР1" vbProcedure="false">#REF!,#REF!,#REF!,#REF!</definedName>
    <definedName function="false" hidden="true" name="Смета" vbProcedure="false">{"NWN_Q1810",#N/A,FALSE,"Q1810_1.V";"NWN_Q1412",#N/A,FALSE,"Q1412_1"}</definedName>
    <definedName function="false" hidden="true" name="Смета_2" vbProcedure="false">{"NWN_Q1810",#N/A,FALSE,"Q1810_1.V";"NWN_Q1412",#N/A,FALSE,"Q1412_1"}</definedName>
    <definedName function="false" hidden="true" name="Смета_21" vbProcedure="false">{"NWN_Q1810",#N/A,FALSE,"Q1810_1.V";"NWN_Q1412",#N/A,FALSE,"Q1412_1"}</definedName>
    <definedName function="false" hidden="true" name="смни" vbProcedure="false">{"'Северо-Никольское '!$A$6:$J$40"}</definedName>
    <definedName function="false" hidden="true" name="СостаВЫП" vbProcedure="false">OFFSET(#REF!,MATCH(#REF!,#REF!,0)-1,5,COUNTIF(#REF!,#REF!),1)</definedName>
    <definedName function="false" hidden="true" name="сп" vbProcedure="false">{#N/A,#N/A,FALSE,"Aging Summary";#N/A,#N/A,FALSE,"Ratio Analysis";#N/A,#N/A,FALSE,"Test 120 Day Accts";#N/A,#N/A,FALSE,"Tickmarks"}</definedName>
    <definedName function="false" hidden="true" name="Сравн" vbProcedure="false">{"assets",#N/A,FALSE,"historicBS";"liab",#N/A,FALSE,"historicBS";"is",#N/A,FALSE,"historicIS";"ratios",#N/A,FALSE,"ratios"}</definedName>
    <definedName function="false" hidden="true" name="ссс" vbProcedure="false">{"'Северо-Никольское '!$A$6:$J$40"}</definedName>
    <definedName function="false" hidden="true" name="сссс" vbProcedure="false">{"'Северо-Никольское '!$A$6:$J$40"}</definedName>
    <definedName function="false" hidden="true" name="ссссссссссс" vbProcedure="false">{#N/A,#N/A,FALSE,"Aging Summary";#N/A,#N/A,FALSE,"Ratio Analysis";#N/A,#N/A,FALSE,"Test 120 Day Accts";#N/A,#N/A,FALSE,"Tickmarks"}</definedName>
    <definedName function="false" hidden="true" name="СтатьяБК" vbProcedure="false">#REF!</definedName>
    <definedName function="false" hidden="true" name="стройрегионинвест" vbProcedure="false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function="false" hidden="true" name="сыч" vbProcedure="false">#REF!</definedName>
    <definedName function="false" hidden="true" name="сячсяч" vbProcedure="false">#REF!</definedName>
    <definedName function="false" hidden="true" name="Т5" vbProcedure="false">{#N/A,#N/A,FALSE,"101"}</definedName>
    <definedName function="false" hidden="true" name="Т5." vbProcedure="false">{#N/A,#N/A,FALSE,"101"}</definedName>
    <definedName function="false" hidden="true" name="т7нш" vbProcedure="false">#REF!</definedName>
    <definedName function="false" hidden="true" name="Тайм" vbProcedure="false">{"PRINTME",#N/A,FALSE,"FINAL-10"}</definedName>
    <definedName function="false" hidden="true" name="тг" vbProcedure="false">#REF!</definedName>
    <definedName function="false" hidden="true" name="тга" vbProcedure="false">#REF!</definedName>
    <definedName function="false" hidden="true" name="тетт" vbProcedure="false">#N/A</definedName>
    <definedName function="false" hidden="true" name="Тип_бюджета" vbProcedure="false">#REF!</definedName>
    <definedName function="false" hidden="true" name="Типогр" vbProcedure="false">{"NWN_Q1810",#N/A,FALSE,"Q1810_1.V";"NWN_Q1412",#N/A,FALSE,"Q1412_1"}</definedName>
    <definedName function="false" hidden="true" name="тм" vbProcedure="false">{#N/A,#N/A,TRUE,"План продаж";#N/A,#N/A,TRUE,"Склад гот.прод";#N/A,#N/A,TRUE,"План отгрузки"}</definedName>
    <definedName function="false" hidden="true" name="тнеш" vbProcedure="false">#REF!</definedName>
    <definedName function="false" hidden="true" name="ТЭО" vbProcedure="false">{"'Prices'!$A$4:$J$27"}</definedName>
    <definedName function="false" hidden="true" name="тю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у56огавпо" vbProcedure="false">{#N/A,#N/A,TRUE,"Фин.рез"}</definedName>
    <definedName function="false" hidden="true" name="у56огавпо_1" vbProcedure="false">{#N/A,#N/A,TRUE,"Фин.рез"}</definedName>
    <definedName function="false" hidden="true" name="увуву" vbProcedure="false">#REF!</definedName>
    <definedName function="false" hidden="true" name="увчм" vbProcedure="false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function="false" hidden="true" name="уеееекн" vbProcedure="false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function="false" hidden="true" name="уеке" vbProcedure="false">#REF!</definedName>
    <definedName function="false" hidden="true" name="уекн" vbProcedure="false">{"'Северо-Никольское '!$A$6:$J$40"}</definedName>
    <definedName function="false" hidden="true" name="уекцу" vbProcedure="false">{#N/A,#N/A,FALSE,"Aging Summary";#N/A,#N/A,FALSE,"Ratio Analysis";#N/A,#N/A,FALSE,"Test 120 Day Accts";#N/A,#N/A,FALSE,"Tickmarks"}</definedName>
    <definedName function="false" hidden="true" name="уеп" vbProcedure="false">#REF!</definedName>
    <definedName function="false" hidden="true" name="уеуке4е" vbProcedure="false">#REF!</definedName>
    <definedName function="false" hidden="true" name="ук" vbProcedure="false">#REF!</definedName>
    <definedName function="false" hidden="true" name="укв" vbProcedure="false">{"'Северо-Никольское '!$A$6:$J$40"}</definedName>
    <definedName function="false" hidden="true" name="укее" vbProcedure="false">{#N/A,#N/A,FALSE,"Aging Summary";#N/A,#N/A,FALSE,"Ratio Analysis";#N/A,#N/A,FALSE,"Test 120 Day Accts";#N/A,#N/A,FALSE,"Tickmarks"}</definedName>
    <definedName function="false" hidden="true" name="укеку" vbProcedure="false">#REF!</definedName>
    <definedName function="false" hidden="true" name="укеуке" vbProcedure="false">#REF!</definedName>
    <definedName function="false" hidden="true" name="укме" vbProcedure="false">#REF!</definedName>
    <definedName function="false" hidden="true" name="укпукп" vbProcedure="false">{"'Prices'!$A$4:$J$27"}</definedName>
    <definedName function="false" hidden="true" name="укрр" vbProcedure="false">{"'Prices'!$A$4:$J$27"}</definedName>
    <definedName function="false" hidden="true" name="укц" vbProcedure="false">main.sapf4help()</definedName>
    <definedName function="false" hidden="true" name="укыер" vbProcedure="false">{"'Sheet1'!$A$1:$G$85"}</definedName>
    <definedName function="false" hidden="true" name="ун" vbProcedure="false">#REF!</definedName>
    <definedName function="false" hidden="true" name="ункук" vbProcedure="false">{"glcbs",#N/A,FALSE,"GLCBS";"glccsbs",#N/A,FALSE,"GLCCSBS";"glcis",#N/A,FALSE,"GLCIS";"glccsis",#N/A,FALSE,"GLCCSIS";"glcrat1",#N/A,FALSE,"GLC-ratios1"}</definedName>
    <definedName function="false" hidden="true" name="уо5уго56" vbProcedure="false">{#N/A,#N/A,TRUE,"Фин.рез"}</definedName>
    <definedName function="false" hidden="true" name="уо5уго56_1" vbProcedure="false">{#N/A,#N/A,TRUE,"Фин.рез"}</definedName>
    <definedName function="false" hidden="true" name="уотео65цу" vbProcedure="false">{#N/A,#N/A,TRUE,"Фин.рез"}</definedName>
    <definedName function="false" hidden="true" name="уотео65цу_1" vbProcedure="false">{#N/A,#N/A,TRUE,"Фин.рез"}</definedName>
    <definedName function="false" hidden="true" name="уу" vbProcedure="false">{#N/A,#N/A,FALSE,"Aging Summary";#N/A,#N/A,FALSE,"Ratio Analysis";#N/A,#N/A,FALSE,"Test 120 Day Accts";#N/A,#N/A,FALSE,"Tickmarks"}</definedName>
    <definedName function="false" hidden="true" name="уце" vbProcedure="false">{#N/A,"100% Success",TRUE,"Sales Forecast";#N/A,#N/A,TRUE,"Sheet2"}</definedName>
    <definedName function="false" hidden="true" name="уцка3" vbProcedure="false">{"glc1",#N/A,FALSE,"GLC";"glc2",#N/A,FALSE,"GLC";"glc3",#N/A,FALSE,"GLC";"glc4",#N/A,FALSE,"GLC";"glc5",#N/A,FALSE,"GLC"}</definedName>
    <definedName function="false" hidden="true" name="уцкпцуирцим" vbProcedure="false">#REF!,#REF!</definedName>
    <definedName function="false" hidden="true" name="уцннв" vbProcedure="false">{"glc1",#N/A,FALSE,"GLC";"glc2",#N/A,FALSE,"GLC";"glc3",#N/A,FALSE,"GLC";"glc4",#N/A,FALSE,"GLC";"glc5",#N/A,FALSE,"GLC"}</definedName>
    <definedName function="false" hidden="true" name="уцпек" vbProcedure="false">{#N/A,#N/A,FALSE,"Aging Summary";#N/A,#N/A,FALSE,"Ratio Analysis";#N/A,#N/A,FALSE,"Test 120 Day Accts";#N/A,#N/A,FALSE,"Tickmarks"}</definedName>
    <definedName function="false" hidden="true" name="уцукц" vbProcedure="false">#REF!</definedName>
    <definedName function="false" hidden="true" name="ФактическиеДатыВБудущем" vbProcedure="false">фактическийпериод*(#REF!&gt;0)</definedName>
    <definedName function="false" hidden="true" name="фаыр" vbProcedure="false">{#N/A,#N/A,FALSE,"Aging Summary";#N/A,#N/A,FALSE,"Ratio Analysis";#N/A,#N/A,FALSE,"Test 120 Day Accts";#N/A,#N/A,FALSE,"Tickmarks"}</definedName>
    <definedName function="false" hidden="true" name="фва" vbProcedure="false">{#N/A,#N/A,FALSE,"Aging Summary";#N/A,#N/A,FALSE,"Ratio Analysis";#N/A,#N/A,FALSE,"Test 120 Day Accts";#N/A,#N/A,FALSE,"Tickmarks"}</definedName>
    <definedName function="false" hidden="true" name="фвв" vbProcedure="false">#N/A</definedName>
    <definedName function="false" hidden="true" name="фвввц" vbProcedure="false">{#N/A,#N/A,FALSE,"Aging Summary";#N/A,#N/A,FALSE,"Ratio Analysis";#N/A,#N/A,FALSE,"Test 120 Day Accts";#N/A,#N/A,FALSE,"Tickmarks"}</definedName>
    <definedName function="false" hidden="true" name="фвк" vbProcedure="false">#REF!</definedName>
    <definedName function="false" hidden="true" name="фвп" vbProcedure="false">{#N/A,#N/A,FALSE,"Aging Summary";#N/A,#N/A,FALSE,"Ratio Analysis";#N/A,#N/A,FALSE,"Test 120 Day Accts";#N/A,#N/A,FALSE,"Tickmarks"}</definedName>
    <definedName function="false" hidden="true" name="фвуц" vbProcedure="false">{"AnalRSA",#N/A,TRUE,"PL-Anal";"AnalIAS",#N/A,TRUE,"PL-Anal"}</definedName>
    <definedName function="false" hidden="true" name="фвыфыв" vbProcedure="false">#REF!</definedName>
    <definedName function="false" hidden="true" name="фев" vbProcedure="false">{#N/A,#N/A,TRUE,"Фин.рез"}</definedName>
    <definedName function="false" hidden="true" name="фев_1" vbProcedure="false">{#N/A,#N/A,TRUE,"Фин.рез"}</definedName>
    <definedName function="false" hidden="true" name="ФНП" vbProcedure="false">{"'Северо-Никольское '!$A$6:$J$40"}</definedName>
    <definedName function="false" hidden="true" name="фпи" vbProcedure="false">{"'Sheet1'!$A$1:$G$85"}</definedName>
    <definedName function="false" hidden="true" name="фукн" vbProcedure="false">#REF!</definedName>
    <definedName function="false" hidden="true" name="ффф" vbProcedure="false">{#N/A,#N/A,TRUE,"Фин.рез"}</definedName>
    <definedName function="false" hidden="true" name="ффф_1" vbProcedure="false">{#N/A,#N/A,TRUE,"Фин.рез"}</definedName>
    <definedName function="false" hidden="true" name="фффф" vbProcedure="false">{"'Северо-Никольское '!$A$6:$J$40"}</definedName>
    <definedName function="false" hidden="true" name="ффыыа" vbProcedure="false">{#N/A,"10% Success",FALSE,"Sales Forecast";#N/A,#N/A,FALSE,"Sheet2"}</definedName>
    <definedName function="false" hidden="true" name="фц" vbProcedure="false">{"'РП (2)'!$A$5:$S$150"}</definedName>
    <definedName function="false" hidden="true" name="фцпу" vbProcedure="false">#REF!</definedName>
    <definedName function="false" hidden="true" name="фцуе" vbProcedure="false">{#N/A,#N/A,FALSE,"Aging Summary";#N/A,#N/A,FALSE,"Ratio Analysis";#N/A,#N/A,FALSE,"Test 120 Day Accts";#N/A,#N/A,FALSE,"Tickmarks"}</definedName>
    <definedName function="false" hidden="true" name="фцуеп" vbProcedure="false">{"data",#N/A,FALSE,"INPUT"}</definedName>
    <definedName function="false" hidden="true" name="фцукнец43гнр" vbProcedure="false">{#N/A,#N/A,TRUE,"Фин.рез"}</definedName>
    <definedName function="false" hidden="true" name="фцукнец43гнр_1" vbProcedure="false">{#N/A,#N/A,TRUE,"Фин.рез"}</definedName>
    <definedName function="false" hidden="true" name="фчяяф" vbProcedure="false">{#N/A,"70% Success",FALSE,"Sales Forecast";#N/A,#N/A,FALSE,"Sheet2"}</definedName>
    <definedName function="false" hidden="true" name="фыа" vbProcedure="false">#REF!</definedName>
    <definedName function="false" hidden="true" name="фыв" vbProcedure="false">{#N/A,#N/A,TRUE,"Фин.рез"}</definedName>
    <definedName function="false" hidden="true" name="фыв_1" vbProcedure="false">{#N/A,#N/A,TRUE,"Фин.рез"}</definedName>
    <definedName function="false" hidden="true" name="фыва" vbProcedure="false">{"'Северо-Никольское '!$A$6:$J$40"}</definedName>
    <definedName function="false" hidden="true" name="фыпек" vbProcedure="false">{#N/A,"70% Success",FALSE,"Sales Forecast";#N/A,#N/A,FALSE,"Sheet2"}</definedName>
    <definedName function="false" hidden="true" name="фыыпв" vbProcedure="false">{#N/A,#N/A,FALSE,"Aging Summary";#N/A,#N/A,FALSE,"Ratio Analysis";#N/A,#N/A,FALSE,"Test 120 Day Accts";#N/A,#N/A,FALSE,"Tickmarks"}</definedName>
    <definedName function="false" hidden="true" name="ххх" vbProcedure="false">{"print95",#N/A,FALSE,"1995E.XLS";"print96",#N/A,FALSE,"1996E.XLS"}</definedName>
    <definedName function="false" hidden="true" name="цбоп" vbProcedure="false">{"'Северо-Никольское '!$A$6:$J$40"}</definedName>
    <definedName function="false" hidden="true" name="цвцвцвц" vbProcedure="false">#REF!</definedName>
    <definedName function="false" hidden="true" name="цйук" vbProcedure="false">{#N/A,#N/A,FALSE,"Aging Summary";#N/A,#N/A,FALSE,"Ratio Analysis";#N/A,#N/A,FALSE,"Test 120 Day Accts";#N/A,#N/A,FALSE,"Tickmarks"}</definedName>
    <definedName function="false" hidden="true" name="цйцй" vbProcedure="false">{#N/A,#N/A,FALSE,"Aging Summary";#N/A,#N/A,FALSE,"Ratio Analysis";#N/A,#N/A,FALSE,"Test 120 Day Accts";#N/A,#N/A,FALSE,"Tickmarks"}</definedName>
    <definedName function="false" hidden="true" name="цк" vbProcedure="false">#REF!</definedName>
    <definedName function="false" hidden="true" name="цлонеортвы" vbProcedure="false">{#N/A,#N/A,TRUE,"Фин.рез"}</definedName>
    <definedName function="false" hidden="true" name="цлонеортвы_1" vbProcedure="false">{#N/A,#N/A,TRUE,"Фин.рез"}</definedName>
    <definedName function="false" hidden="true" name="цмавмвмавмвма" vbProcedure="false">#REF!</definedName>
    <definedName function="false" hidden="true" name="цпимцуицкумчвмв" vbProcedure="false">#REF!</definedName>
    <definedName function="false" hidden="true" name="цпмцукимпуцицу" vbProcedure="false">#REF!</definedName>
    <definedName function="false" hidden="true" name="цпуцупцупимимцук" vbProcedure="false">#REF!,#REF!,#REF!,#REF!</definedName>
    <definedName function="false" hidden="true" name="цу" vbProcedure="false">main.sapf4help()</definedName>
    <definedName function="false" hidden="true" name="цуее" vbProcedure="false">#REF!</definedName>
    <definedName function="false" hidden="true" name="цуеекн" vbProcedure="false">{#N/A,#N/A,FALSE,"Aging Summary";#N/A,#N/A,FALSE,"Ratio Analysis";#N/A,#N/A,FALSE,"Test 120 Day Accts";#N/A,#N/A,FALSE,"Tickmarks"}</definedName>
    <definedName function="false" hidden="true" name="цуек" vbProcedure="false">{#N/A,#N/A,FALSE,"Aging Summary";#N/A,#N/A,FALSE,"Ratio Analysis";#N/A,#N/A,FALSE,"Test 120 Day Accts";#N/A,#N/A,FALSE,"Tickmarks"}</definedName>
    <definedName function="false" hidden="true" name="цуекуцек" vbProcedure="false">#REF!</definedName>
    <definedName function="false" hidden="true" name="цуен" vbProcedure="false">{"'РП (2)'!$A$5:$S$150"}</definedName>
    <definedName function="false" hidden="true" name="цуец" vbProcedure="false">{"data",#N/A,FALSE,"INPUT"}</definedName>
    <definedName function="false" hidden="true" name="цуеце" vbProcedure="false">#REF!</definedName>
    <definedName function="false" hidden="true" name="цук" vbProcedure="false">{"'Северо-Никольское '!$A$6:$J$40"}</definedName>
    <definedName function="false" hidden="true" name="цуке" vbProcedure="false">{#N/A,#N/A,TRUE,"План продаж";#N/A,#N/A,TRUE,"Склад гот.прод";#N/A,#N/A,TRUE,"План отгрузки"}</definedName>
    <definedName function="false" hidden="true" name="цукпикепипц" vbProcedure="false">#REF!</definedName>
    <definedName function="false" hidden="true" name="цукпимцмкуцмцукм" vbProcedure="false">#REF!,#REF!,#REF!,#REF!</definedName>
    <definedName function="false" hidden="true" name="цфуее" vbProcedure="false">{#N/A,#N/A,FALSE,"Aging Summary";#N/A,#N/A,FALSE,"Ratio Analysis";#N/A,#N/A,FALSE,"Test 120 Day Accts";#N/A,#N/A,FALSE,"Tickmarks"}</definedName>
    <definedName function="false" hidden="true" name="чвкнвк" vbProcedure="false">{#N/A,#N/A,FALSE,"Infl_fact"}</definedName>
    <definedName function="false" hidden="true" name="чвп" vbProcedure="false">{"data",#N/A,FALSE,"INPUT"}</definedName>
    <definedName function="false" hidden="true" name="чврннне" vbProcedure="false">{"IAS Mapping",#N/A,TRUE,"RSA_FS"}</definedName>
    <definedName function="false" hidden="true" name="чмси" vbProcedure="false">#REF!</definedName>
    <definedName function="false" hidden="true" name="чпава" vbProcedure="false">{"'Sheet1'!$A$1:$G$85"}</definedName>
    <definedName function="false" hidden="true" name="чпкн" vbProcedure="false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function="false" hidden="true" name="чсвыаы" vbProcedure="false">#N/A</definedName>
    <definedName function="false" hidden="true" name="чсм" vbProcedure="false">{"'Северо-Никольское '!$A$6:$J$40"}</definedName>
    <definedName function="false" hidden="true" name="чсми" vbProcedure="false">{"'Северо-Никольское '!$A$6:$J$40"}</definedName>
    <definedName function="false" hidden="true" name="ччч" vbProcedure="false">{"'Северо-Никольское '!$A$6:$J$40"}</definedName>
    <definedName function="false" hidden="true" name="шдл" vbProcedure="false">{"'Северо-Никольское '!$A$6:$J$40"}</definedName>
    <definedName function="false" hidden="true" name="шйю" vbProcedure="false">{"'Северо-Никольское '!$A$6:$J$40"}</definedName>
    <definedName function="false" hidden="true" name="шоенг56" vbProcedure="false">{#N/A,#N/A,TRUE,"Фин.рез"}</definedName>
    <definedName function="false" hidden="true" name="шоенг56_1" vbProcedure="false">{#N/A,#N/A,TRUE,"Фин.рез"}</definedName>
    <definedName function="false" hidden="true" name="шшшш" vbProcedure="false">{"'Северо-Никольское '!$A$6:$J$40"}</definedName>
    <definedName function="false" hidden="true" name="що" vbProcedure="false">{"'Северо-Никольское '!$A$6:$J$40"}</definedName>
    <definedName function="false" hidden="true" name="Щука2" vbProcedure="false">#REF!</definedName>
    <definedName function="false" hidden="true" name="щшз" vbProcedure="false">#REF!</definedName>
    <definedName function="false" hidden="true" name="ЫАиА" vbProcedure="false">{"'Prices'!$A$4:$J$27"}</definedName>
    <definedName function="false" hidden="true" name="ыауауа" vbProcedure="false">#N/A</definedName>
    <definedName function="false" hidden="true" name="ывав" vbProcedure="false">#REF!</definedName>
    <definedName function="false" hidden="true" name="ываждло" vbProcedure="false">{"glc1",#N/A,FALSE,"GLC";"glc2",#N/A,FALSE,"GLC";"glc3",#N/A,FALSE,"GLC";"glc4",#N/A,FALSE,"GLC";"glc5",#N/A,FALSE,"GLC"}</definedName>
    <definedName function="false" hidden="true" name="ывапра" vbProcedure="false">{"'Sheet1'!$A$1:$G$85"}</definedName>
    <definedName function="false" hidden="true" name="ываыва" vbProcedure="false">#REF!</definedName>
    <definedName function="false" hidden="true" name="ЫВВЫВЫВ" vbProcedure="false">#REF!</definedName>
    <definedName function="false" hidden="true" name="Ывмыцкп" vbProcedure="false">{"'Prices'!$A$4:$J$27"}</definedName>
    <definedName function="false" hidden="true" name="Ыгь" vbProcedure="false">{#N/A,#N/A,FALSE,"Aging Summary";#N/A,#N/A,FALSE,"Ratio Analysis";#N/A,#N/A,FALSE,"Test 120 Day Accts";#N/A,#N/A,FALSE,"Tickmarks"}</definedName>
    <definedName function="false" hidden="true" name="ыерот" vbProcedure="false">{"'Prices'!$A$4:$J$27"}</definedName>
    <definedName function="false" hidden="true" name="ыка" vbProcedure="false">{"glc1",#N/A,FALSE,"GLC";"glc2",#N/A,FALSE,"GLC";"glc3",#N/A,FALSE,"GLC";"glc4",#N/A,FALSE,"GLC";"glc5",#N/A,FALSE,"GLC"}</definedName>
    <definedName function="false" hidden="true" name="ыкиег" vbProcedure="false">#REF!</definedName>
    <definedName function="false" hidden="true" name="ымп" vbProcedure="false">{"'Prices'!$A$4:$J$27"}</definedName>
    <definedName function="false" hidden="true" name="ыуееук" vbProcedure="false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function="false" hidden="true" name="ыууу" vbProcedure="false">#REF!</definedName>
    <definedName function="false" hidden="true" name="ыфва" vbProcedure="false">{#N/A,#N/A,FALSE,"101"}</definedName>
    <definedName function="false" hidden="true" name="ыы" vbProcedure="false">{#N/A,#N/A,FALSE,"101"}</definedName>
    <definedName function="false" hidden="true" name="ыыыцй" vbProcedure="false">{#N/A,#N/A,FALSE,"Aging Summary";#N/A,#N/A,FALSE,"Ratio Analysis";#N/A,#N/A,FALSE,"Test 120 Day Accts";#N/A,#N/A,FALSE,"Tickmarks"}</definedName>
    <definedName function="false" hidden="true" name="ыыыыыыыыы" vbProcedure="false">{"'Sheet1'!$A$1:$G$85"}</definedName>
    <definedName function="false" hidden="true" name="ь" vbProcedure="false">{"'Северо-Никольское '!$A$6:$J$40"}</definedName>
    <definedName function="false" hidden="true" name="ьрпср" vbProcedure="false">{"'Sheet1'!$A$1:$G$85"}</definedName>
    <definedName function="false" hidden="true" name="ьщпан" vbProcedure="false">#REF!</definedName>
    <definedName function="false" hidden="true" name="ььь" vbProcedure="false">#REF!</definedName>
    <definedName function="false" hidden="true" name="ььььььььь" vbProcedure="false">{"'Sheet1'!$A$1:$G$85"}</definedName>
    <definedName function="false" hidden="true" name="эжд" vbProcedure="false">{"'Северо-Никольское '!$A$6:$J$40"}</definedName>
    <definedName function="false" hidden="true" name="эждлло" vbProcedure="false">{"'Северо-Никольское '!$A$6:$J$40"}</definedName>
    <definedName function="false" hidden="true" name="эл.энергия" vbProcedure="false">{"'Северо-Никольское '!$A$6:$J$40"}</definedName>
    <definedName function="false" hidden="true" name="эээ" vbProcedure="false">{"'Северо-Никольское '!$A$6:$J$40"}</definedName>
    <definedName function="false" hidden="true" name="эээд" vbProcedure="false">{"'Северо-Никольское '!$A$6:$J$40"}</definedName>
    <definedName function="false" hidden="true" name="ээээ" vbProcedure="false">{"'Prices'!$A$4:$J$27"}</definedName>
    <definedName function="false" hidden="true" name="Юг_PL" vbProcedure="false">#REF!</definedName>
    <definedName function="false" hidden="true" name="ющо" vbProcedure="false">#REF!</definedName>
    <definedName function="false" hidden="true" name="ява" vbProcedure="false">{"'Sheet1'!$A$1:$G$85"}</definedName>
    <definedName function="false" hidden="true" name="яваи" vbProcedure="false">{"'Sheet1'!$A$1:$G$85"}</definedName>
    <definedName function="false" hidden="true" name="яс" vbProcedure="false">#REF!</definedName>
    <definedName function="false" hidden="true" name="ясм" vbProcedure="false">#REF!</definedName>
    <definedName function="false" hidden="true" name="яф" vbProcedure="false">{#N/A,#N/A,FALSE,"Aging Summary";#N/A,#N/A,FALSE,"Ratio Analysis";#N/A,#N/A,FALSE,"Test 120 Day Accts";#N/A,#N/A,FALSE,"Tickmarks"}</definedName>
    <definedName function="false" hidden="true" name="ячсм" vbProcedure="false">{"'Северо-Никольское '!$A$6:$J$40"}</definedName>
    <definedName function="false" hidden="true" name="ячыре" vbProcedure="false">{#N/A,#N/A,FALSE,"Aging Summary";#N/A,#N/A,FALSE,"Ratio Analysis";#N/A,#N/A,FALSE,"Test 120 Day Accts";#N/A,#N/A,FALSE,"Tickmarks"}</definedName>
    <definedName function="false" hidden="true" name="ㄱㄱㄱㄱ" vbProcedure="false">{#N/A,#N/A,FALSE,"지침";#N/A,#N/A,FALSE,"환경분석";#N/A,#N/A,FALSE,"Sheet16"}</definedName>
    <definedName function="false" hidden="true" name="ㄴㅇㄹ호" vbProcedure="false">{#N/A,#N/A,FALSE,"지침";#N/A,#N/A,FALSE,"환경분석";#N/A,#N/A,FALSE,"Sheet16"}</definedName>
    <definedName function="false" hidden="true" name="ㅀ효ㅇㄱ쇼셔ㅓ쇼ㅓ" vbProcedure="false">{#N/A,#N/A,FALSE,"지침";#N/A,#N/A,FALSE,"환경분석";#N/A,#N/A,FALSE,"Sheet16"}</definedName>
    <definedName function="false" hidden="true" name="ㅁ" vbProcedure="false">{#N/A,#N/A,FALSE,"지침";#N/A,#N/A,FALSE,"환경분석";#N/A,#N/A,FALSE,"Sheet16"}</definedName>
    <definedName function="false" hidden="true" name="ㅁㅁ" vbProcedure="false">{"det (May)",#N/A,FALSE,"June";"sum (MAY YTD)",#N/A,FALSE,"June YTD"}</definedName>
    <definedName function="false" hidden="true" name="ㅁㅁㅁ" vbProcedure="false">{#N/A,#N/A,FALSE,"지침";#N/A,#N/A,FALSE,"환경분석";#N/A,#N/A,FALSE,"Sheet16"}</definedName>
    <definedName function="false" hidden="true" name="ㅇ" vbProcedure="false">{#N/A,#N/A,FALSE,"지침";#N/A,#N/A,FALSE,"환경분석";#N/A,#N/A,FALSE,"Sheet16"}</definedName>
    <definedName function="false" hidden="true" name="ㅇㅇㅇㅇㅇ" vbProcedure="false">{#N/A,#N/A,FALSE,"지침";#N/A,#N/A,FALSE,"환경분석";#N/A,#N/A,FALSE,"Sheet16"}</definedName>
    <definedName function="false" hidden="true" name="ㅈㅈㅈ" vbProcedure="false">{#N/A,#N/A,FALSE,"지침";#N/A,#N/A,FALSE,"환경분석";#N/A,#N/A,FALSE,"Sheet16"}</definedName>
    <definedName function="false" hidden="true" name="ㅏㅓ" vbProcedure="false">{#N/A,#N/A,FALSE,"지침";#N/A,#N/A,FALSE,"환경분석";#N/A,#N/A,FALSE,"Sheet16"}</definedName>
    <definedName function="false" hidden="true" name="ㅐㅐㅐ" vbProcedure="false">{#N/A,#N/A,FALSE,"지침";#N/A,#N/A,FALSE,"환경분석";#N/A,#N/A,FALSE,"Sheet16"}</definedName>
    <definedName function="false" hidden="true" name="ㅓㅗㅎ헛" vbProcedure="false">{#N/A,#N/A,FALSE,"지침";#N/A,#N/A,FALSE,"환경분석";#N/A,#N/A,FALSE,"Sheet16"}</definedName>
    <definedName function="false" hidden="true" name="ㅔ" vbProcedure="false">{#N/A,#N/A,FALSE,"지침";#N/A,#N/A,FALSE,"환경분석";#N/A,#N/A,FALSE,"Sheet16"}</definedName>
    <definedName function="false" hidden="true" name="ㅠㅠㅠ" vbProcedure="false">{#N/A,#N/A,FALSE,"지침";#N/A,#N/A,FALSE,"환경분석";#N/A,#N/A,FALSE,"Sheet16"}</definedName>
    <definedName function="false" hidden="true" name="ㅡㅡㅡ" vbProcedure="false">{#N/A,#N/A,FALSE,"지침";#N/A,#N/A,FALSE,"환경분석";#N/A,#N/A,FALSE,"Sheet16"}</definedName>
    <definedName function="false" hidden="true" name="가나" vbProcedure="false">{#N/A,#N/A,FALSE,"지침";#N/A,#N/A,FALSE,"환경분석";#N/A,#N/A,FALSE,"Sheet16"}</definedName>
    <definedName function="false" hidden="true" name="경제성" vbProcedure="false">{#N/A,#N/A,FALSE,"지침";#N/A,#N/A,FALSE,"환경분석";#N/A,#N/A,FALSE,"Sheet16"}</definedName>
    <definedName function="false" hidden="true" name="고" vbProcedure="false">{#N/A,#N/A,FALSE,"지침";#N/A,#N/A,FALSE,"환경분석";#N/A,#N/A,FALSE,"Sheet16"}</definedName>
    <definedName function="false" hidden="true" name="광" vbProcedure="false">{#N/A,#N/A,FALSE,"지침";#N/A,#N/A,FALSE,"환경분석";#N/A,#N/A,FALSE,"Sheet16"}</definedName>
    <definedName function="false" hidden="true" name="김재현" vbProcedure="false">{#N/A,#N/A,FALSE,"지침";#N/A,#N/A,FALSE,"환경분석";#N/A,#N/A,FALSE,"Sheet16"}</definedName>
    <definedName function="false" hidden="true" name="도면" vbProcedure="false">#REF!</definedName>
    <definedName function="false" hidden="true" name="비상l" vbProcedure="false">{#N/A,#N/A,FALSE,"지침";#N/A,#N/A,FALSE,"환경분석";#N/A,#N/A,FALSE,"Sheet16"}</definedName>
    <definedName function="false" hidden="true" name="사" vbProcedure="false">{#N/A,#N/A,FALSE,"지침";#N/A,#N/A,FALSE,"환경분석";#N/A,#N/A,FALSE,"Sheet16"}</definedName>
    <definedName function="false" hidden="true" name="사1" vbProcedure="false">{#N/A,#N/A,FALSE,"지침";#N/A,#N/A,FALSE,"환경분석";#N/A,#N/A,FALSE,"Sheet16"}</definedName>
    <definedName function="false" hidden="true" name="생2" vbProcedure="false">{#N/A,#N/A,FALSE,"지침";#N/A,#N/A,FALSE,"환경분석";#N/A,#N/A,FALSE,"Sheet16"}</definedName>
    <definedName function="false" hidden="true" name="양식" vbProcedure="false">{#N/A,#N/A,FALSE,"지침";#N/A,#N/A,FALSE,"환경분석";#N/A,#N/A,FALSE,"Sheet16"}</definedName>
    <definedName function="false" hidden="true" name="인쇄" vbProcedure="false">{#N/A,#N/A,FALSE,"지침";#N/A,#N/A,FALSE,"환경분석";#N/A,#N/A,FALSE,"Sheet16"}</definedName>
    <definedName function="false" hidden="true" name="인쇄BU" vbProcedure="false">{#N/A,#N/A,FALSE,"지침";#N/A,#N/A,FALSE,"환경분석";#N/A,#N/A,FALSE,"Sheet16"}</definedName>
    <definedName function="false" hidden="true" name="전략부품" vbProcedure="false">{#N/A,#N/A,FALSE,"지침";#N/A,#N/A,FALSE,"환경분석";#N/A,#N/A,FALSE,"Sheet16"}</definedName>
    <definedName function="false" hidden="true" name="제품I067606" vbProcedure="false">{#N/A,#N/A,FALSE,"지침";#N/A,#N/A,FALSE,"환경분석";#N/A,#N/A,FALSE,"Sheet16"}</definedName>
    <definedName function="false" hidden="true" name="주" vbProcedure="false">{#N/A,#N/A,FALSE,"지침";#N/A,#N/A,FALSE,"환경분석";#N/A,#N/A,FALSE,"Sheet16"}</definedName>
    <definedName function="false" hidden="true" name="청원공장1" vbProcedure="false">{#N/A,#N/A,FALSE,"지침";#N/A,#N/A,FALSE,"환경분석";#N/A,#N/A,FALSE,"Sheet16"}</definedName>
    <definedName function="false" hidden="true" localSheetId="1" name="gdsg" vbProcedure="false">фактическийпериод*(#REF!&gt;0)</definedName>
    <definedName function="false" hidden="true" localSheetId="1" name="SAPFuncF4" vbProcedure="false">main.sapf4help()</definedName>
    <definedName function="false" hidden="true" localSheetId="1" name="SAPFuncF4Help" vbProcedure="false">main.sapf4help()</definedName>
    <definedName function="false" hidden="true" localSheetId="1" name="пппппп" vbProcedure="false">main.sapf4help()</definedName>
    <definedName function="false" hidden="true" localSheetId="1" name="укц" vbProcedure="false">main.sapf4help()</definedName>
    <definedName function="false" hidden="true" localSheetId="1" name="ФактическиеДатыВБудущем" vbProcedure="false">фактическийпериод*(#REF!&gt;0)</definedName>
    <definedName function="false" hidden="true" localSheetId="1" name="цу" vbProcedure="false">main.sapf4help()</definedName>
    <definedName function="false" hidden="true" localSheetId="3" name="gdsg" vbProcedure="false">фактическийпериод*(#REF!&gt;0)</definedName>
    <definedName function="false" hidden="true" localSheetId="3" name="SAPFuncF4" vbProcedure="false">main.sapf4help()</definedName>
    <definedName function="false" hidden="true" localSheetId="3" name="SAPFuncF4Help" vbProcedure="false">main.sapf4help()</definedName>
    <definedName function="false" hidden="true" localSheetId="3" name="пппппп" vbProcedure="false">main.sapf4help()</definedName>
    <definedName function="false" hidden="true" localSheetId="3" name="укц" vbProcedure="false">main.sapf4help()</definedName>
    <definedName function="false" hidden="true" localSheetId="3" name="ФактическиеДатыВБудущем" vbProcedure="false">фактическийпериод*(#REF!&gt;0)</definedName>
    <definedName function="false" hidden="true" localSheetId="3" name="цу" vbProcedure="false">main.sapf4help()</definedName>
    <definedName function="false" hidden="true" localSheetId="13" name="gdsg" vbProcedure="false">фактическийпериод*(#REF!&gt;0)</definedName>
    <definedName function="false" hidden="true" localSheetId="13" name="SAPFuncF4" vbProcedure="false">main.sapf4help()</definedName>
    <definedName function="false" hidden="true" localSheetId="13" name="SAPFuncF4Help" vbProcedure="false">main.sapf4help()</definedName>
    <definedName function="false" hidden="true" localSheetId="13" name="пппппп" vbProcedure="false">main.sapf4help()</definedName>
    <definedName function="false" hidden="true" localSheetId="13" name="укц" vbProcedure="false">main.sapf4help()</definedName>
    <definedName function="false" hidden="true" localSheetId="13" name="ФактическиеДатыВБудущем" vbProcedure="false">фактическийпериод*(#REF!&gt;0)</definedName>
    <definedName function="false" hidden="true" localSheetId="13" name="цу" vbProcedure="false">main.sapf4help()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3" authorId="0">
      <text>
        <r>
          <rPr>
            <sz val="10"/>
            <rFont val="Arial"/>
            <family val="2"/>
          </rPr>
          <t xml:space="preserve">Применимо только для ИТ расходов</t>
        </r>
      </text>
    </comment>
    <comment ref="F3" authorId="0">
      <text>
        <r>
          <rPr>
            <sz val="10"/>
            <rFont val="Arial"/>
            <family val="2"/>
          </rPr>
          <t xml:space="preserve">Если применимо. Если не применимо, проставить "н.п."</t>
        </r>
      </text>
    </comment>
    <comment ref="G3" authorId="0">
      <text>
        <r>
          <rPr>
            <sz val="10"/>
            <rFont val="Arial"/>
            <family val="2"/>
          </rPr>
          <t xml:space="preserve">Если применимо. Если не применимо, проставить "н.п."</t>
        </r>
      </text>
    </comment>
  </commentList>
</comments>
</file>

<file path=xl/sharedStrings.xml><?xml version="1.0" encoding="utf-8"?>
<sst xmlns="http://schemas.openxmlformats.org/spreadsheetml/2006/main" count="2125" uniqueCount="710">
  <si>
    <t xml:space="preserve">BU 2027</t>
  </si>
  <si>
    <t xml:space="preserve">Описание: сводный P&amp;L AdTech 2027 по месяцам и за год vs FC 2026, млн ₽. Логика: ссылки на «P&amp;L 2027»</t>
  </si>
  <si>
    <t xml:space="preserve">Bridge to strategy</t>
  </si>
  <si>
    <t xml:space="preserve">Описание: сверка BU 2027 со стратегией.</t>
  </si>
  <si>
    <t xml:space="preserve">CONS BU 2027</t>
  </si>
  <si>
    <t xml:space="preserve">Описание: вид для консолидации. Логика: E-comm / Offline = прирост выручки 2027 к FC 2026 (кол. DIFF); расходы - BU 2027</t>
  </si>
  <si>
    <t xml:space="preserve">CONS STR 2027</t>
  </si>
  <si>
    <t xml:space="preserve">Описание: сверка BU 2027 с консолидационной формой в стратегии</t>
  </si>
  <si>
    <t xml:space="preserve">Статья</t>
  </si>
  <si>
    <t xml:space="preserve">янв</t>
  </si>
  <si>
    <t xml:space="preserve">фев</t>
  </si>
  <si>
    <t xml:space="preserve">мар</t>
  </si>
  <si>
    <t xml:space="preserve">апр</t>
  </si>
  <si>
    <t xml:space="preserve">май</t>
  </si>
  <si>
    <t xml:space="preserve">июн</t>
  </si>
  <si>
    <t xml:space="preserve">июл</t>
  </si>
  <si>
    <t xml:space="preserve">авг</t>
  </si>
  <si>
    <t xml:space="preserve">сен</t>
  </si>
  <si>
    <t xml:space="preserve">окт</t>
  </si>
  <si>
    <t xml:space="preserve">ноя</t>
  </si>
  <si>
    <t xml:space="preserve">дек</t>
  </si>
  <si>
    <t xml:space="preserve">2027 BU</t>
  </si>
  <si>
    <t xml:space="preserve">2026 FC</t>
  </si>
  <si>
    <t xml:space="preserve">DIFF</t>
  </si>
  <si>
    <t xml:space="preserve">YoY</t>
  </si>
  <si>
    <t xml:space="preserve">Strategy 2027</t>
  </si>
  <si>
    <t xml:space="preserve">%</t>
  </si>
  <si>
    <t xml:space="preserve">2027 STR</t>
  </si>
  <si>
    <t xml:space="preserve">APP</t>
  </si>
  <si>
    <t xml:space="preserve">E-comm</t>
  </si>
  <si>
    <t xml:space="preserve">E-commerce</t>
  </si>
  <si>
    <t xml:space="preserve">Online DMP</t>
  </si>
  <si>
    <t xml:space="preserve">Offline</t>
  </si>
  <si>
    <t xml:space="preserve">МК</t>
  </si>
  <si>
    <t xml:space="preserve">ММ</t>
  </si>
  <si>
    <t xml:space="preserve">МЭ</t>
  </si>
  <si>
    <t xml:space="preserve">МС</t>
  </si>
  <si>
    <t xml:space="preserve">DMP</t>
  </si>
  <si>
    <t xml:space="preserve">Без формата</t>
  </si>
  <si>
    <t xml:space="preserve">Instore digital</t>
  </si>
  <si>
    <t xml:space="preserve">МС Лайт</t>
  </si>
  <si>
    <t xml:space="preserve">Content factory отдельное ЮЛ</t>
  </si>
  <si>
    <t xml:space="preserve">-</t>
  </si>
  <si>
    <t xml:space="preserve">RMN (Brand budgets call) отдельное ЮЛ</t>
  </si>
  <si>
    <t xml:space="preserve">Gross Revenue</t>
  </si>
  <si>
    <t xml:space="preserve">Revenue increase YOY</t>
  </si>
  <si>
    <t xml:space="preserve">COGS (расходы, привязанные к выручке)</t>
  </si>
  <si>
    <t xml:space="preserve">COGS</t>
  </si>
  <si>
    <t xml:space="preserve">Net Revenue</t>
  </si>
  <si>
    <t xml:space="preserve">Net Revenue increase</t>
  </si>
  <si>
    <t xml:space="preserve">PEX</t>
  </si>
  <si>
    <t xml:space="preserve">Other PEX</t>
  </si>
  <si>
    <t xml:space="preserve">Marketing</t>
  </si>
  <si>
    <t xml:space="preserve">Other OPEX</t>
  </si>
  <si>
    <t xml:space="preserve">IT</t>
  </si>
  <si>
    <t xml:space="preserve">OPEX</t>
  </si>
  <si>
    <t xml:space="preserve">EBITDA</t>
  </si>
  <si>
    <t xml:space="preserve">Разработка рекламной платформы</t>
  </si>
  <si>
    <t xml:space="preserve">Проекты Digital Instore (оснащение ТТ)</t>
  </si>
  <si>
    <t xml:space="preserve">CAPEX</t>
  </si>
  <si>
    <t xml:space="preserve">FCF</t>
  </si>
  <si>
    <t xml:space="preserve">Revenue М+</t>
  </si>
  <si>
    <t xml:space="preserve">Справочно экономия CAPEX ГК благодаря собственной разработке AdTech</t>
  </si>
  <si>
    <t xml:space="preserve">CAPEX adj.</t>
  </si>
  <si>
    <t xml:space="preserve">Add. OPEX</t>
  </si>
  <si>
    <t xml:space="preserve">Total saving</t>
  </si>
  <si>
    <t xml:space="preserve">Cubic</t>
  </si>
  <si>
    <t xml:space="preserve">InAppStory</t>
  </si>
  <si>
    <t xml:space="preserve">Total</t>
  </si>
  <si>
    <t xml:space="preserve">P&amp;L AdTech 2027 - BOTTOM-UP</t>
  </si>
  <si>
    <t xml:space="preserve">Описание: bottom-up P&amp;L AdTech 2027 по месяцам, млн ₽ без НДС. Логика: выручка - из листов направлений (APP = Медиа + Перформанс, Content factory, DMP, In-store; RMN), логика по распределению на форматы см. на листе «RevSplit»; расходы - из листа «Расходы»</t>
  </si>
  <si>
    <t xml:space="preserve">Млн руб. без НДС.</t>
  </si>
  <si>
    <t xml:space="preserve">2027</t>
  </si>
  <si>
    <t xml:space="preserve">2026</t>
  </si>
  <si>
    <t xml:space="preserve">Content factory</t>
  </si>
  <si>
    <t xml:space="preserve">DMP+ Analitycs</t>
  </si>
  <si>
    <t xml:space="preserve">DMP+Online</t>
  </si>
  <si>
    <t xml:space="preserve">RMN (Brand budgets call)</t>
  </si>
  <si>
    <t xml:space="preserve">Расходы на маркетинг в сети интернет</t>
  </si>
  <si>
    <t xml:space="preserve">Вознаграждения креаторам</t>
  </si>
  <si>
    <t xml:space="preserve">Вознаграждения рекламным агентствам</t>
  </si>
  <si>
    <t xml:space="preserve">Налоги и взносы, связанные с расходами на оплату труда (ФОТ)</t>
  </si>
  <si>
    <t xml:space="preserve">Индексация</t>
  </si>
  <si>
    <t xml:space="preserve">Оплата труда - постоянная часть</t>
  </si>
  <si>
    <t xml:space="preserve">Оплата труда - премии</t>
  </si>
  <si>
    <t xml:space="preserve">Оплата труда - отпускные</t>
  </si>
  <si>
    <t xml:space="preserve">Начисление резерва STI 100%, годовой бонус</t>
  </si>
  <si>
    <t xml:space="preserve">Начисление резерва STI 100%, квартальные бонусы</t>
  </si>
  <si>
    <t xml:space="preserve">Материальная помощь</t>
  </si>
  <si>
    <t xml:space="preserve">Затраты на корп. мероприятие кроме проезда и проживания</t>
  </si>
  <si>
    <t xml:space="preserve">ДМС и НС</t>
  </si>
  <si>
    <t xml:space="preserve">Подбор массовых позиций</t>
  </si>
  <si>
    <t xml:space="preserve">Подбор офисных позиций</t>
  </si>
  <si>
    <t xml:space="preserve">Расходы на внешнее обучение</t>
  </si>
  <si>
    <t xml:space="preserve">Развитие HR бренда</t>
  </si>
  <si>
    <t xml:space="preserve">Карты лояльности (мотивация сотрудников)</t>
  </si>
  <si>
    <t xml:space="preserve">Прочие компенсации и льготы</t>
  </si>
  <si>
    <t xml:space="preserve">Резерв на оплату отпусков</t>
  </si>
  <si>
    <t xml:space="preserve">PR/GR</t>
  </si>
  <si>
    <t xml:space="preserve">Организация бизнес-мероприятий для партнеров</t>
  </si>
  <si>
    <t xml:space="preserve">Маркетинговые исследования</t>
  </si>
  <si>
    <t xml:space="preserve">Маркетинг ВГО (не поставщики)</t>
  </si>
  <si>
    <t xml:space="preserve">Техподдержка и сопровождение программного обеспечения</t>
  </si>
  <si>
    <t xml:space="preserve">Аренда</t>
  </si>
  <si>
    <t xml:space="preserve">Сервисный договор</t>
  </si>
  <si>
    <t xml:space="preserve">Рекламный сбор</t>
  </si>
  <si>
    <t xml:space="preserve">Командировочные - Проезд</t>
  </si>
  <si>
    <t xml:space="preserve">Командировочные - Проживание</t>
  </si>
  <si>
    <t xml:space="preserve">Командировочные - Суточные</t>
  </si>
  <si>
    <t xml:space="preserve">Представительские расходы</t>
  </si>
  <si>
    <t xml:space="preserve">Почтовые, курьерские услуги</t>
  </si>
  <si>
    <t xml:space="preserve">СПРАВОЧНО</t>
  </si>
  <si>
    <t xml:space="preserve">Выручка М+</t>
  </si>
  <si>
    <t xml:space="preserve">P&amp;L AdTech 2027 - BOTTOM-UP Advertising Inventory</t>
  </si>
  <si>
    <t xml:space="preserve">Описание: bottom-up P&amp;L AdTech 2027 по месяцам, млн ₽ без НДС. Логика: выручка - из листов направлений (APP = Медиа + Перформанс, Content factory, DMP, In-store; RMN); расходы - из листа «Расходы»</t>
  </si>
  <si>
    <t xml:space="preserve">P&amp;L AdTech 2027 - BOTTOM-UP Formats</t>
  </si>
  <si>
    <t xml:space="preserve">Описание: bottom-up P&amp;L AdTech 2027 по месяцам, млн ₽ без НДС. Логика: выручка трансформированная из направлений в форматы - лист «RevSplit»; расходы - из листа «Расходы»</t>
  </si>
  <si>
    <t xml:space="preserve">ВВОДНЫЕ - АУДИТОРИЯ ПРИЛОЖЕНИЯ</t>
  </si>
  <si>
    <t xml:space="preserve">От М+</t>
  </si>
  <si>
    <t xml:space="preserve">Описание: аудитория приложения (DAC) по месяцам: 2026 - факт, 2027 - прогноз М+. Логика: FY = Σ месяцев; доля месяца = DAC месяца / FY 2027 - используется для раскладки годовой выручки APP Медиа по месяцам.</t>
  </si>
  <si>
    <t xml:space="preserve">Year</t>
  </si>
  <si>
    <t xml:space="preserve">Line 1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</si>
  <si>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</si>
  <si>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</si>
  <si>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</si>
  <si>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</si>
  <si>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</si>
  <si>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</si>
  <si>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</si>
  <si>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</si>
  <si>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</si>
  <si>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</si>
  <si>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</si>
  <si>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</si>
  <si>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FY</t>
  </si>
  <si>
    <t xml:space="preserve">DAC, млн чел.</t>
  </si>
  <si>
    <t xml:space="preserve">Факт</t>
  </si>
  <si>
    <t xml:space="preserve">Прогноз</t>
  </si>
  <si>
    <t xml:space="preserve">Доля месяца в объёме</t>
  </si>
  <si>
    <t xml:space="preserve">DAC - пользователи, совершившие хотя бы одно действие в приложении. Профиль по месяцам задаёт сезонность выручки.</t>
  </si>
  <si>
    <t xml:space="preserve">DATA - ПЕРВИЧНЫЕ ДАННЫЕ ПО ПОКАЗАМ И КАМПАНИЯМ</t>
  </si>
  <si>
    <t xml:space="preserve">Факт янв–авг 2026 из отчётов даталенз.</t>
  </si>
  <si>
    <t xml:space="preserve">1. ПОКАЗЫ APP ПО ПЛЕЙСМЕНТАМ - ТОЛЬКО AdTech, ФАКТ ЯНВ–АВГ 2026, шт.</t>
  </si>
  <si>
    <t xml:space="preserve">Описание: исходные показы AdTech по плейсментам, янв–авг 2026 (даталенз). Логика: итог 8м = Σ месяцев; квота факт = показы AdTech / тотал показов (табл. 2). Используется в «APP Медиа».</t>
  </si>
  <si>
    <t xml:space="preserve">Плейсмент</t>
  </si>
  <si>
    <t xml:space="preserve">Итого 8м</t>
  </si>
  <si>
    <t xml:space="preserve">Квота факт</t>
  </si>
  <si>
    <t xml:space="preserve">Главная | Hero-Banner</t>
  </si>
  <si>
    <t xml:space="preserve">Доставка | Категории</t>
  </si>
  <si>
    <t xml:space="preserve">Главная | QR</t>
  </si>
  <si>
    <t xml:space="preserve">Главная</t>
  </si>
  <si>
    <t xml:space="preserve">Доставка | Каталог 1 уровня</t>
  </si>
  <si>
    <t xml:space="preserve">Постчекаут | Онлайн</t>
  </si>
  <si>
    <t xml:space="preserve">Сплешскрин</t>
  </si>
  <si>
    <t xml:space="preserve">Главная | Профиль</t>
  </si>
  <si>
    <t xml:space="preserve">Доставка | Косметик</t>
  </si>
  <si>
    <t xml:space="preserve">В магазине | Акции и каталог розницы</t>
  </si>
  <si>
    <t xml:space="preserve">Доставка экспресс главная</t>
  </si>
  <si>
    <t xml:space="preserve">Главная | Баннер в рекомендациях</t>
  </si>
  <si>
    <t xml:space="preserve">Прочие плейсменты</t>
  </si>
  <si>
    <t xml:space="preserve">Постчекаут | Маркет</t>
  </si>
  <si>
    <t xml:space="preserve">В магазине | Категории</t>
  </si>
  <si>
    <t xml:space="preserve">Доставка косметик главная</t>
  </si>
  <si>
    <t xml:space="preserve">Доставка гипер главная</t>
  </si>
  <si>
    <t xml:space="preserve">Маркет | Главный экран</t>
  </si>
  <si>
    <t xml:space="preserve">Доставка | Мигом</t>
  </si>
  <si>
    <t xml:space="preserve">Доставка | Рестораны</t>
  </si>
  <si>
    <t xml:space="preserve">Главная | Тапбар</t>
  </si>
  <si>
    <t xml:space="preserve">Главная | Рецепты</t>
  </si>
  <si>
    <t xml:space="preserve">Эксперимент на Главной (2x2 баннер)</t>
  </si>
  <si>
    <t xml:space="preserve">ИТОГО</t>
  </si>
  <si>
    <t xml:space="preserve">2. ПОКАЗЫ APP ПО ПЛЕЙСМЕНТАМ - ТОТАЛ (все рекламодатели), ФАКТ ЯНВ–АВГ 2026, шт.</t>
  </si>
  <si>
    <t xml:space="preserve">Описание: тотал показов всех рекламодателей по плейсментам, янв–авг 2026. Логика: итог 8м = Σ месяцев; база для квоты AdTech и прогноза показов 2027.</t>
  </si>
  <si>
    <t xml:space="preserve">3. УНИКАЛЬНЫЕ РЕКЛАМНЫЕ КАМПАНИИ APP - ФАКТ ЯНВ–АВГ 2026, ед.</t>
  </si>
  <si>
    <t xml:space="preserve">Описание: уникальные рекламные кампании по форматам (медиа, сторис, закрепы). Логика: доля AdTech = кампании AdTech / всего; «В месяц» = среднее за 8 мес. Драйвер объёма для сторис и перформанса.</t>
  </si>
  <si>
    <t xml:space="preserve">Показатель</t>
  </si>
  <si>
    <t xml:space="preserve">В месяц</t>
  </si>
  <si>
    <t xml:space="preserve">Медиа - всего рекламодателей</t>
  </si>
  <si>
    <t xml:space="preserve">Медиа - AdTech</t>
  </si>
  <si>
    <t xml:space="preserve">Доля AdTech</t>
  </si>
  <si>
    <t xml:space="preserve">Сторис - всего рекламодателей</t>
  </si>
  <si>
    <t xml:space="preserve">Сторис - AdTech</t>
  </si>
  <si>
    <t xml:space="preserve">Закрепы (перформанс) - всего рекламодателей</t>
  </si>
  <si>
    <t xml:space="preserve">Закрепы (перформанс) - AdTech</t>
  </si>
  <si>
    <t xml:space="preserve">4. IN-STORE - ПАРК ОБОРУДОВАНИЯ, ФАКТ 2026</t>
  </si>
  <si>
    <t xml:space="preserve">Описание: парк in-store оборудования 2026 и месяцы работы. Логика: средний парк = Σ(устройства × месяцы) / 12; сверка базового парка с файлом стратегии. Используется в «In-store».</t>
  </si>
  <si>
    <t xml:space="preserve">Тип оборудования</t>
  </si>
  <si>
    <t xml:space="preserve">Устройств 2026</t>
  </si>
  <si>
    <t xml:space="preserve">Месяцев работы 2026</t>
  </si>
  <si>
    <t xml:space="preserve">КСО</t>
  </si>
  <si>
    <t xml:space="preserve">КСО - новые</t>
  </si>
  <si>
    <t xml:space="preserve">Шелф-баннеры</t>
  </si>
  <si>
    <t xml:space="preserve">Шелф-баннеры - новые</t>
  </si>
  <si>
    <t xml:space="preserve">Фасадные экраны</t>
  </si>
  <si>
    <t xml:space="preserve">Фасадные экраны - новые</t>
  </si>
  <si>
    <t xml:space="preserve">TFT</t>
  </si>
  <si>
    <t xml:space="preserve">Дисплеи покупателя</t>
  </si>
  <si>
    <t xml:space="preserve">Радио</t>
  </si>
  <si>
    <t xml:space="preserve">Прайсчекеры</t>
  </si>
  <si>
    <t xml:space="preserve">Медиа-фасады</t>
  </si>
  <si>
    <t xml:space="preserve">Медиа-фасады - новые</t>
  </si>
  <si>
    <t xml:space="preserve">LED</t>
  </si>
  <si>
    <t xml:space="preserve">Парк на конец 2026, всего</t>
  </si>
  <si>
    <t xml:space="preserve">в т.ч. базовый парк на начало 2026</t>
  </si>
  <si>
    <t xml:space="preserve">в т.ч. введено в течение 2026</t>
  </si>
  <si>
    <t xml:space="preserve">Средний парк 2026, взвешенный по месяцам работы</t>
  </si>
  <si>
    <t xml:space="preserve">Справочно: факт по файлу стратегии, лист «инвентарь»</t>
  </si>
  <si>
    <t xml:space="preserve">Отклонение базового парка от стратегии</t>
  </si>
  <si>
    <t xml:space="preserve">ПРАЙС - ЦЕНЫ РАЗМЕЩЕНИЙ</t>
  </si>
  <si>
    <t xml:space="preserve">Описание: прайс-лист размещений APP до и после 09.2026. Цены используются в «APP Медиа» и «APP Перформанс».</t>
  </si>
  <si>
    <t xml:space="preserve">1. APP - ПРАЙС-ЛИСТ РАЗМЕЩЕНИЙ</t>
  </si>
  <si>
    <t xml:space="preserve">Прайс-позиция</t>
  </si>
  <si>
    <t xml:space="preserve">Тип формата</t>
  </si>
  <si>
    <t xml:space="preserve">Модель оплаты</t>
  </si>
  <si>
    <t xml:space="preserve">Цена до 09.2026, ₽</t>
  </si>
  <si>
    <t xml:space="preserve">Цена с 09.2026, ₽</t>
  </si>
  <si>
    <t xml:space="preserve">Рост</t>
  </si>
  <si>
    <t xml:space="preserve">Инкремент, ₽/мес</t>
  </si>
  <si>
    <t xml:space="preserve">Брендированная именная категория</t>
  </si>
  <si>
    <t xml:space="preserve">Перфоманс</t>
  </si>
  <si>
    <t xml:space="preserve">CPD</t>
  </si>
  <si>
    <t xml:space="preserve">Splash screen</t>
  </si>
  <si>
    <t xml:space="preserve">Медийный инвентарь</t>
  </si>
  <si>
    <t xml:space="preserve">CPM</t>
  </si>
  <si>
    <t xml:space="preserve">Hero-баннер</t>
  </si>
  <si>
    <t xml:space="preserve">Баннер на странице оформления заказа</t>
  </si>
  <si>
    <t xml:space="preserve">Баннер в листинге рекомендаций</t>
  </si>
  <si>
    <t xml:space="preserve">Баннер над профилем пользователя</t>
  </si>
  <si>
    <t xml:space="preserve">Баннеры в категориях и подкатегориях</t>
  </si>
  <si>
    <t xml:space="preserve">Баннер на первом экране Магнит Маркета</t>
  </si>
  <si>
    <t xml:space="preserve">Баннер в листинге Магнит Маркета</t>
  </si>
  <si>
    <t xml:space="preserve">Подборка в разделе «Покупайте с выгодой»</t>
  </si>
  <si>
    <t xml:space="preserve">Доставка | Экспресс  Самовывоз | Экспресс</t>
  </si>
  <si>
    <t xml:space="preserve">Доставка | Мигом  Самовывоз | Мигом</t>
  </si>
  <si>
    <t xml:space="preserve">Доставка  |Аптеки  Самовывоз | Аптеки</t>
  </si>
  <si>
    <t xml:space="preserve">Рекламная полка (clickout полка)</t>
  </si>
  <si>
    <t xml:space="preserve">clickout-инструменты</t>
  </si>
  <si>
    <t xml:space="preserve">Баннер на экране  QR-карты Магнит Плюс</t>
  </si>
  <si>
    <t xml:space="preserve">Сторис</t>
  </si>
  <si>
    <t xml:space="preserve">Именная товарная полка в разделе «Доставка»</t>
  </si>
  <si>
    <t xml:space="preserve">Полка «новинки»  в магнит косметик</t>
  </si>
  <si>
    <t xml:space="preserve">(без названия - доп. позиция предыдущей строки)</t>
  </si>
  <si>
    <t xml:space="preserve">Подборка в разделе «Не забудьте заказать»</t>
  </si>
  <si>
    <t xml:space="preserve">Приоритетный вывод в категории</t>
  </si>
  <si>
    <t xml:space="preserve">Размещение на товарной полке в разделе «Доставка»</t>
  </si>
  <si>
    <t xml:space="preserve">Подборка, обогащенная баннером и дополнительной информацией</t>
  </si>
  <si>
    <t xml:space="preserve">Скрытая подборка</t>
  </si>
  <si>
    <t xml:space="preserve">Участие в тематических подборках</t>
  </si>
  <si>
    <t xml:space="preserve">Брендирование иконки в категории</t>
  </si>
  <si>
    <t xml:space="preserve">Приоритетная выдача в поисковом запросе</t>
  </si>
  <si>
    <t xml:space="preserve">Модальное окно в разделах Главная/Доставка/Самовывоз/ Магнит Маркет</t>
  </si>
  <si>
    <t xml:space="preserve">Доставка | Косметик  Самовывоз | Косметик</t>
  </si>
  <si>
    <t xml:space="preserve">Рекомендация в корзине</t>
  </si>
  <si>
    <t xml:space="preserve">Именная подкатегория</t>
  </si>
  <si>
    <t xml:space="preserve">Полка «Похожие» в продуктовой карточке Мкосметик</t>
  </si>
  <si>
    <t xml:space="preserve">Полка «Похожие» в продуктовой карточке Экспресс, Гипер</t>
  </si>
  <si>
    <t xml:space="preserve">Полка «Рекомендуем» в продуктовой карточке Мкосметик</t>
  </si>
  <si>
    <t xml:space="preserve">Полка «Рекомендуем» в продуктовой карточке Экспресс, Гипер</t>
  </si>
  <si>
    <t xml:space="preserve">Полка "Рекомендуем" в Доставке и Самовывозе (разделы Экспресс и Гипер)</t>
  </si>
  <si>
    <t xml:space="preserve">Эффективный комплект</t>
  </si>
  <si>
    <t xml:space="preserve">Пакетное предложение</t>
  </si>
  <si>
    <t xml:space="preserve">Видео в карточке товара</t>
  </si>
  <si>
    <t xml:space="preserve">Дополнительные услуги</t>
  </si>
  <si>
    <t xml:space="preserve">Оформление карточки товара</t>
  </si>
  <si>
    <t xml:space="preserve">А/b-тестирование новых форматов рекламы</t>
  </si>
  <si>
    <t xml:space="preserve">ИТОГО инкремент прайса, ₽/мес</t>
  </si>
  <si>
    <t xml:space="preserve">2. СВОДКА ИНКРЕМЕНТОВ ПО ТИПАМ ИНВЕНТАРЯ</t>
  </si>
  <si>
    <t xml:space="preserve">Описание: инкремент нового прайса по типам инвентаря. Логика: SUMIFS инкремента из табл. 1 по типу формата и модели оплаты; «Прочее» = итог − три группы. Используется в «APP Перформанс» (блок 4).</t>
  </si>
  <si>
    <t xml:space="preserve">Медийный инвентарь, CPM</t>
  </si>
  <si>
    <t xml:space="preserve">Медийный инвентарь, CPD (сторис)</t>
  </si>
  <si>
    <t xml:space="preserve">Перформанс, CPD</t>
  </si>
  <si>
    <t xml:space="preserve">Прочее (clickout, пакеты, доп. услуги)</t>
  </si>
  <si>
    <t xml:space="preserve">3. IN-STORE - СРЕДНИЙ ДОХОД НА УСТРОЙСТВО В МЕСЯЦ, ₽</t>
  </si>
  <si>
    <t xml:space="preserve">Описание: средний доход на устройство в месяц по типам оборудования, 2026 и 2027 (ввод). Логика: изменение = 2027 / 2026 − 1. Используется в «In-store».</t>
  </si>
  <si>
    <t xml:space="preserve">Изменение</t>
  </si>
  <si>
    <t xml:space="preserve">4. CONTENT FACTORY - ЦЕНА ПРОСМОТРА</t>
  </si>
  <si>
    <t xml:space="preserve">Описание: цена просмотра и ставка креатора для Content factory. Логика: цена 2027 = цена 2026 × (1 + коэффициент в строке 92); ставка = 60 000 / 0,94 (гросс-ап под НПД).</t>
  </si>
  <si>
    <t xml:space="preserve">Рыночная цена просмотра 2026, руб.</t>
  </si>
  <si>
    <t xml:space="preserve">НПД</t>
  </si>
  <si>
    <t xml:space="preserve">Рыночная цена просмотра 2027, руб.</t>
  </si>
  <si>
    <t xml:space="preserve">Ставка креатора в месяц, руб.</t>
  </si>
  <si>
    <t xml:space="preserve">APP МЕДИА - БЮДЖЕТ 2027</t>
  </si>
  <si>
    <t xml:space="preserve">Выручка считается по каждому плейсменту его собственным CPM. Сторис - медийный инвентарь с оплатой по CPD. Суммы в млн руб. без НДС.</t>
  </si>
  <si>
    <t xml:space="preserve">Сезонные коэффициенты цены</t>
  </si>
  <si>
    <t xml:space="preserve">1 - цена месяца умножается на сезонный коэффициент. 0 - цена равна прайсу во всех месяцах.</t>
  </si>
  <si>
    <t xml:space="preserve">Месяц</t>
  </si>
  <si>
    <t xml:space="preserve">Сумма за год</t>
  </si>
  <si>
    <t xml:space="preserve">Коэффициент</t>
  </si>
  <si>
    <t xml:space="preserve">ДРАЙВЕРЫ АУДИТОРИИ</t>
  </si>
  <si>
    <t xml:space="preserve">Описание: драйверы аудитории для прогноза показов. Логика: пересчёт 8м → год = DAC 2026 за год / DAC янв–авг; рост 2027 = DAC 2027 / DAC 2026 − 1 (из «Вводные»).</t>
  </si>
  <si>
    <t xml:space="preserve">Значение</t>
  </si>
  <si>
    <t xml:space="preserve">DAC-месяцев 2026, всего</t>
  </si>
  <si>
    <t xml:space="preserve">DAC-месяцев 2026, январь-август</t>
  </si>
  <si>
    <t xml:space="preserve">DAC-месяцев 2027, всего</t>
  </si>
  <si>
    <t xml:space="preserve">Коэффициент пересчёта 8 месяцев в год 2026</t>
  </si>
  <si>
    <t xml:space="preserve">Рост аудитории 2027 к 2026</t>
  </si>
  <si>
    <t xml:space="preserve">Индекс роста показов на 1 DAC</t>
  </si>
  <si>
    <t xml:space="preserve">1. ПЛЕЙСМЕНТЫ CPM - ФАКТ 2026 И ПЛАН 2027</t>
  </si>
  <si>
    <t xml:space="preserve">Описание: выручка CPM-плейсментов 2026 и 2027. Логика: квота = показы AdTech / тотал (DATA); показы 2027 = тотал 8м × пересчёт в год × (1 + рост аудитории) × индекс показов × квота 2027; выручка = показы × CPM (ПРАЙС) / 10⁹; в 2026 сен–дек - по новому CPM.</t>
  </si>
  <si>
    <t xml:space="preserve">Показы тотал
8м 2026</t>
  </si>
  <si>
    <t xml:space="preserve">Показы AdTech
8м 2026</t>
  </si>
  <si>
    <t xml:space="preserve">Квота
факт</t>
  </si>
  <si>
    <t xml:space="preserve">Квота
2027</t>
  </si>
  <si>
    <t xml:space="preserve">CPM
старый</t>
  </si>
  <si>
    <t xml:space="preserve">CPM
новый</t>
  </si>
  <si>
    <t xml:space="preserve">Показы AdTech
2026, год</t>
  </si>
  <si>
    <t xml:space="preserve">Показы AdTech
2027</t>
  </si>
  <si>
    <t xml:space="preserve">Выручка
2026</t>
  </si>
  <si>
    <t xml:space="preserve">Выручка
2027</t>
  </si>
  <si>
    <t xml:space="preserve">Главная (модальное окно)</t>
  </si>
  <si>
    <t xml:space="preserve">CPM в колонках F и G взвешен по фактической структуре показов</t>
  </si>
  <si>
    <t xml:space="preserve">2. СТОРИС - МЕДИЙНЫЙ ИНВЕНТАРЬ С ОПЛАТОЙ ПО CPD</t>
  </si>
  <si>
    <t xml:space="preserve">Описание: выручка сторис (оплата за день, CPD). Логика: кампании AdTech в месяц (DATA; 2027 = × (1 + рост аудитории)) × дней на кампанию × CPD (ПРАЙС) × 12 мес; 2026 = 8 мес по старому CPD + 4 мес по новому.</t>
  </si>
  <si>
    <t xml:space="preserve">Ед. изм.</t>
  </si>
  <si>
    <t xml:space="preserve">Уникальных кампаний AdTech в месяц</t>
  </si>
  <si>
    <t xml:space="preserve">ед.</t>
  </si>
  <si>
    <t xml:space="preserve">Среднемесячное число кампаний AdTech в сторис</t>
  </si>
  <si>
    <t xml:space="preserve">Размещений-дней на 1 кампанию в месяц</t>
  </si>
  <si>
    <t xml:space="preserve">дн.</t>
  </si>
  <si>
    <t xml:space="preserve">CPD сторис, ₽</t>
  </si>
  <si>
    <t xml:space="preserve">₽</t>
  </si>
  <si>
    <t xml:space="preserve">CPD сторис - лист «ПРАЙС», строка «Сторис»</t>
  </si>
  <si>
    <t xml:space="preserve">ВЫРУЧКА СТОРИС, млн ₽</t>
  </si>
  <si>
    <t xml:space="preserve">млн ₽</t>
  </si>
  <si>
    <t xml:space="preserve">3. ВЫРУЧКА МЕДИА ПО МЕСЯЦАМ</t>
  </si>
  <si>
    <t xml:space="preserve">Описание: помесячная выручка APP Медиа 2027. Логика: годовая выручка блоков 1–2 × доля месяца по DAC («Вводные») × сезонный коэффициент цены (вкл/выкл в B4). Итог идёт в P&amp;L, строка APP.</t>
  </si>
  <si>
    <t xml:space="preserve">Комментарий</t>
  </si>
  <si>
    <t xml:space="preserve">Доля месяца в объёме (по DAC)</t>
  </si>
  <si>
    <t xml:space="preserve">Внутри года выручка распределяется так же, как растёт аудитория</t>
  </si>
  <si>
    <t xml:space="preserve">Сезонный коэффициент цены (с учётом календаризации)</t>
  </si>
  <si>
    <t xml:space="preserve">×</t>
  </si>
  <si>
    <t xml:space="preserve">Цена месяца × коэффициент. Выключатель - ячейка B4 сверху</t>
  </si>
  <si>
    <t xml:space="preserve">Медиа CPM - выручка</t>
  </si>
  <si>
    <t xml:space="preserve">Годовая выручка по CPM, разложенная по месяцам</t>
  </si>
  <si>
    <t xml:space="preserve">Сторис CPD - выручка</t>
  </si>
  <si>
    <t xml:space="preserve">Годовая выручка сторис, разложенная по месяцам</t>
  </si>
  <si>
    <t xml:space="preserve">ВЫРУЧКА APP МЕДИА</t>
  </si>
  <si>
    <t xml:space="preserve">Итого медиа: CPM + сторис</t>
  </si>
  <si>
    <t xml:space="preserve">APP ПЕРФОРМАНС - БЮДЖЕТ 2027</t>
  </si>
  <si>
    <t xml:space="preserve">Закрепы монетизируются по CPD. Драйвер объёма - уникальные кампании в месяц. Суммы в млн руб. без НДС.</t>
  </si>
  <si>
    <t xml:space="preserve">ПЕРЕКЛЮЧАТЕЛИ</t>
  </si>
  <si>
    <t xml:space="preserve">1 - цена месяца умножается на коэффициент. 0 - цена равна прайсу во всех месяцах.</t>
  </si>
  <si>
    <t xml:space="preserve">1. ДРАЙВЕРЫ</t>
  </si>
  <si>
    <t xml:space="preserve">Описание: драйверы перформанса (закрепы, CPD). Логика: кампании AdTech 2026 (DATA) → 2027 = × (1 + рост аудитории); средний чек 2027 = чек по старому прайсу (блок 3) × индексация нового прайса (блок 4); сезонность - по переключателю B5.</t>
  </si>
  <si>
    <t xml:space="preserve">Уникальных кампаний AdTech, 2026</t>
  </si>
  <si>
    <t xml:space="preserve">Уникальных кампаний AdTech, 2027</t>
  </si>
  <si>
    <t xml:space="preserve">Средний чек кампании в месяц, старый прайс</t>
  </si>
  <si>
    <t xml:space="preserve">Индексация чека по новому прайсу</t>
  </si>
  <si>
    <t xml:space="preserve">Средний чек кампании в месяц, 2027</t>
  </si>
  <si>
    <t xml:space="preserve">Сезонный коэффициент цены</t>
  </si>
  <si>
    <t xml:space="preserve">2. ВЫРУЧКА</t>
  </si>
  <si>
    <t xml:space="preserve">Описание: выручка перформанса по месяцам. Логика: кампании × средний чек × сезонный коэффициент / 10⁶. Строка 2027 идёт в P&amp;L, строка APP.</t>
  </si>
  <si>
    <t xml:space="preserve">Выручка перформанса 2026</t>
  </si>
  <si>
    <t xml:space="preserve">ВЫРУЧКА ПЕРФОРМАНСА 2027</t>
  </si>
  <si>
    <t xml:space="preserve">3. РАСЧЁТ СРЕДНЕГО ЧЕКА КАМПАНИИ (калибровка на факт 2026)</t>
  </si>
  <si>
    <t xml:space="preserve">Описание: калибровка среднего чека на факт 2026. Логика: выручка перформанса = APP 2026 − APP Медиа 2026; чек = (остаток − надбавка нового прайса за сен–дек) / Σ(кампании × сезонность).</t>
  </si>
  <si>
    <t xml:space="preserve">Выручка перформанса не наблюдается напрямую: в отчётности APP она сидит внутри общей выручки. Считаем её как остаток и делим на кампании-месяцы.</t>
  </si>
  <si>
    <t xml:space="preserve">APP факт + прогноз 2026 </t>
  </si>
  <si>
    <t xml:space="preserve">минус выручка APP Медиа 2026 (CPM + сторис)</t>
  </si>
  <si>
    <t xml:space="preserve">Выручка перформанса 2026, млн ₽ (остаток)</t>
  </si>
  <si>
    <t xml:space="preserve">Кампании-месяцы × сезонный коэффициент, янв–авг</t>
  </si>
  <si>
    <t xml:space="preserve">Кампании-месяцы × сезонный коэффициент, сен–дек</t>
  </si>
  <si>
    <t xml:space="preserve">Прирост чека от нового прайса, ₽ (из блока 4)</t>
  </si>
  <si>
    <t xml:space="preserve">Надбавка нового прайса за сен–дек, млн ₽</t>
  </si>
  <si>
    <t xml:space="preserve">СРЕДНИЙ ЧЕК КАМПАНИИ, СТАРЫЙ ПРАЙС, ₽</t>
  </si>
  <si>
    <t xml:space="preserve">4. РАСЧЁТ ИНДЕКСАЦИИ ЧЕКА ПО НОВОМУ ПРАЙСУ</t>
  </si>
  <si>
    <t xml:space="preserve">Описание: индексация чека от нового прайса. Логика: прирост чека = инкремент прайса по перформансу, ₽/мес (ПРАЙС) / среднее число кампаний янв–авг; индексация = 1 + прирост / чек по старому прайсу.</t>
  </si>
  <si>
    <t xml:space="preserve">Приоритетный вывод в категории</t>
  </si>
  <si>
    <t xml:space="preserve">Подборка «Покупайте с выгодой»</t>
  </si>
  <si>
    <t xml:space="preserve">ИТОГО инкремент прайса по перформансу, ₽/мес</t>
  </si>
  <si>
    <t xml:space="preserve">Справочно: инкремент по медийным CPM-форматам, ₽/мес</t>
  </si>
  <si>
    <t xml:space="preserve">Справочно: инкремент по сторис, ₽/мес</t>
  </si>
  <si>
    <t xml:space="preserve">Кампаний AdTech в месяц, среднее янв–авг 2026</t>
  </si>
  <si>
    <t xml:space="preserve">Прирост среднего чека, ₽</t>
  </si>
  <si>
    <t xml:space="preserve">ИНДЕКСАЦИЯ ЧЕКА</t>
  </si>
  <si>
    <t xml:space="preserve">IN-STORE DIGITAL - БЮДЖЕТ 2027</t>
  </si>
  <si>
    <t xml:space="preserve">Устройства × средний доход на устройство в месяц × месяцев работы × реализация. Суммы в млн руб. без НДС.</t>
  </si>
  <si>
    <t xml:space="preserve">Описание: вводные In-Store</t>
  </si>
  <si>
    <t xml:space="preserve">Утилизация 2027, %</t>
  </si>
  <si>
    <t xml:space="preserve">Утилизация 2026, %</t>
  </si>
  <si>
    <t xml:space="preserve">1. СПРАВОЧНИК ОБОРУДОВАНИЯ</t>
  </si>
  <si>
    <t xml:space="preserve">Описание: выручка по типам оборудования. Логика: устройства × доход на устройство в мес (ПРАЙС) × месяцев работы × % реализации / 10⁶; 2026 - парк из DATA, 2027 - план парка (ввод).</t>
  </si>
  <si>
    <t xml:space="preserve">Устройств
2026</t>
  </si>
  <si>
    <t xml:space="preserve">Устройств
2027</t>
  </si>
  <si>
    <t xml:space="preserve">Доход/устр.
мес 2026, ₽</t>
  </si>
  <si>
    <t xml:space="preserve">Доход/устр.
мес 2027, ₽</t>
  </si>
  <si>
    <t xml:space="preserve">Месяцев
2026</t>
  </si>
  <si>
    <t xml:space="preserve">Месяцев
2027</t>
  </si>
  <si>
    <t xml:space="preserve">Реализация
2026</t>
  </si>
  <si>
    <t xml:space="preserve">Реализация
2027</t>
  </si>
  <si>
    <t xml:space="preserve">ИТОГО (парк на конец года)</t>
  </si>
  <si>
    <t xml:space="preserve">2. РАСКЛАДКА ПО МЕСЯЦАМ</t>
  </si>
  <si>
    <t xml:space="preserve">Описание: помесячная выручка in-store. Логика: 2027 = годовая выручка (блок 1) × коэффициент (строка 5) × утилизация (строка 6) / Σ(коэффициент × утилизация); 2026 - помесячный факт + прогноз (ввод). Итог 2027 идёт в P&amp;L.</t>
  </si>
  <si>
    <t xml:space="preserve">ВЫРУЧКА IN-STORE 2027</t>
  </si>
  <si>
    <t xml:space="preserve">Выручка in-store 2026</t>
  </si>
  <si>
    <t xml:space="preserve">ПАРК ОБОРУДОВАНИЯ - РАСШИФРОВКА</t>
  </si>
  <si>
    <t xml:space="preserve">Описание: справочная расшифровка парка. Логика: базовый парк + ввод за 2026 = парк на конец года; средний парк = Σ(устройства × месяцы) / 12.</t>
  </si>
  <si>
    <t xml:space="preserve">Базовый парк на начало 2026</t>
  </si>
  <si>
    <t xml:space="preserve">Устройства, работавшие все 12 месяцев</t>
  </si>
  <si>
    <t xml:space="preserve">Введено в течение 2026</t>
  </si>
  <si>
    <t xml:space="preserve">40 500 КСО и 2 725 шелф-баннеров - по 3 месяца, 831 фасадный экран - 5 месяцев</t>
  </si>
  <si>
    <t xml:space="preserve">Парк на конец 2026</t>
  </si>
  <si>
    <t xml:space="preserve">Он же - базовый парк на начало 2027</t>
  </si>
  <si>
    <t xml:space="preserve">Сколько устройств в среднем монетизировалось в течение года</t>
  </si>
  <si>
    <t xml:space="preserve">DMP + ONLINE И DMP + ANALYTICS - БЮДЖЕТ 2027</t>
  </si>
  <si>
    <t xml:space="preserve">Выручка по проектам и маржинальность трафика. Источник - план команды DMP. Суммы в млн руб. без НДС.</t>
  </si>
  <si>
    <t xml:space="preserve">1. DMP + ONLINE, 2027</t>
  </si>
  <si>
    <t xml:space="preserve">Описание: выручка DMP + Online по направлениям (план команды DMP). Логика: выручка = Σ трёх направлений; закупка трафика = Σ выручка × (1 − маржинальность) → расходы на маркетинг в интернете; итоговая маржа = 1 − закупка / выручка.</t>
  </si>
  <si>
    <t xml:space="preserve">Пакеты и Онлайн+ТВ</t>
  </si>
  <si>
    <t xml:space="preserve">План команды DMP</t>
  </si>
  <si>
    <t xml:space="preserve">Баннеры и OLV</t>
  </si>
  <si>
    <t xml:space="preserve">Развитие новых площадок (SmartTV, Авито, МР)</t>
  </si>
  <si>
    <t xml:space="preserve">ВЫРУЧКА DMP + ONLINE</t>
  </si>
  <si>
    <t xml:space="preserve">Маржинальность: пакеты и Онлайн+ТВ</t>
  </si>
  <si>
    <t xml:space="preserve">Маржинальность: баннеры и OLV</t>
  </si>
  <si>
    <t xml:space="preserve">Маржинальность: новые площадки</t>
  </si>
  <si>
    <t xml:space="preserve">ЗАКУПКА ТРАФИКА</t>
  </si>
  <si>
    <t xml:space="preserve">Маржинальность итоговая</t>
  </si>
  <si>
    <t xml:space="preserve">2. DMP + ANALYTICS, 2027</t>
  </si>
  <si>
    <t xml:space="preserve">Описание: выручка DMP + Analytics (план команды DMP). Логика: выручка = DMP + Adhoc, без закупки трафика. Итог идёт в P&amp;L.</t>
  </si>
  <si>
    <t xml:space="preserve">Adhoc</t>
  </si>
  <si>
    <t xml:space="preserve">ВЫРУЧКА DMP + ANALYTICS</t>
  </si>
  <si>
    <t xml:space="preserve">3. БАЗА 2026 (факт + прогноз, Master File, блок ACT)</t>
  </si>
  <si>
    <t xml:space="preserve">Описание: база 2026 (факт + прогноз, Master File). Логика: справочные значения для сравнения 2027 с 2026 (YoY).</t>
  </si>
  <si>
    <t xml:space="preserve">DMP + Online 2026</t>
  </si>
  <si>
    <t xml:space="preserve">DMP + Analytics 2026</t>
  </si>
  <si>
    <t xml:space="preserve">Закупка трафика 2026</t>
  </si>
  <si>
    <t xml:space="preserve">План команды DMP на 2026</t>
  </si>
  <si>
    <t xml:space="preserve">CONTENT FACTORY - БЮДЖЕТ 2027</t>
  </si>
  <si>
    <t xml:space="preserve">Ячейка креаторов производит публикации, публикации дают просмотры. Просмотры делятся на внутренних заказчиков и внешних рекламодателей. Суммы в млн руб. без НДС.</t>
  </si>
  <si>
    <t xml:space="preserve">1. ПРОИЗВОДСТВО: ОТ ЯЧЕЕК К ПРОСМОТРАМ</t>
  </si>
  <si>
    <t xml:space="preserve">Описание: производственная воронка. Логика: публикации = ячейки × креаторы × контент-ед. на креатора × коэф. дублирования; просмотры = публикации × просмотры на публикацию × загруженность / 10⁶.</t>
  </si>
  <si>
    <t xml:space="preserve">Ячеек в работе</t>
  </si>
  <si>
    <t xml:space="preserve">Креаторов на ячейку</t>
  </si>
  <si>
    <t xml:space="preserve">чел.</t>
  </si>
  <si>
    <t xml:space="preserve">Контент-единиц на креатора в месяц</t>
  </si>
  <si>
    <t xml:space="preserve">Коэффициент дублирования</t>
  </si>
  <si>
    <t xml:space="preserve">Публикаций всего</t>
  </si>
  <si>
    <t xml:space="preserve">Просмотров на публикацию</t>
  </si>
  <si>
    <t xml:space="preserve">Коэффициент загруженности</t>
  </si>
  <si>
    <t xml:space="preserve">ПРОСМОТРЫ ВСЕГО</t>
  </si>
  <si>
    <t xml:space="preserve">млн</t>
  </si>
  <si>
    <t xml:space="preserve">2. СПЛИТ ПРОСМОТРОВ</t>
  </si>
  <si>
    <t xml:space="preserve">Описание: сплит просмотров. Логика: внешние рекламодатели = просмотры × доля; внутренние заказчики (ВГО) = просмотры × (1 − доля).</t>
  </si>
  <si>
    <t xml:space="preserve">Доля внешних рекламодателей</t>
  </si>
  <si>
    <t xml:space="preserve">Просмотры внешних рекламодателей</t>
  </si>
  <si>
    <t xml:space="preserve">Просмотры внутренних заказчиков</t>
  </si>
  <si>
    <t xml:space="preserve">3. ЭКОНОМИКА ПРОСМОТРА</t>
  </si>
  <si>
    <t xml:space="preserve">Описание: юнит-экономика просмотра. Логика: цены и ставка креатора - из ПРАЙС; OPEX ячеек = ячейки × креаторы × ставка; себестоимость = (OPEX + PEX команды) / просмотры; маржа = цена − себестоимость.</t>
  </si>
  <si>
    <t xml:space="preserve">Рыночная цена просмотра</t>
  </si>
  <si>
    <t xml:space="preserve">руб.</t>
  </si>
  <si>
    <t xml:space="preserve">Внутренняя цена просмтра ВГО</t>
  </si>
  <si>
    <t xml:space="preserve">Ставка креатора в месяц</t>
  </si>
  <si>
    <t xml:space="preserve">OPEX ячеек (оплата креаторам)</t>
  </si>
  <si>
    <t xml:space="preserve">млн руб.</t>
  </si>
  <si>
    <t xml:space="preserve">PEX Content Factory (общая команда)</t>
  </si>
  <si>
    <t xml:space="preserve">Себестоимость просмотра</t>
  </si>
  <si>
    <t xml:space="preserve">Маржа с просмотра ВГО</t>
  </si>
  <si>
    <t xml:space="preserve">Маржа с просмотра</t>
  </si>
  <si>
    <t xml:space="preserve">4. РЕЗУЛЬТАТ</t>
  </si>
  <si>
    <t xml:space="preserve">Описание: финансовый результат Content factory. Логика: выручка = просмотры × цена (внешние - рыночная, ВГО - внутренняя); результат = выручка − OPEX ячеек − PEX команды. Выручка → P&amp;L, оплата креаторам → Marketing.</t>
  </si>
  <si>
    <t xml:space="preserve">ВЫРУЧКА - внешние рекламодатели</t>
  </si>
  <si>
    <t xml:space="preserve">ВЫРУЧКА (ВГО) - внутренние заказчики</t>
  </si>
  <si>
    <t xml:space="preserve">Выручка всего</t>
  </si>
  <si>
    <t xml:space="preserve">Расходы: OPEX ячеек</t>
  </si>
  <si>
    <t xml:space="preserve">Расходы: PEX Content Factory (общая команда)</t>
  </si>
  <si>
    <t xml:space="preserve">Расходы всего</t>
  </si>
  <si>
    <t xml:space="preserve">Результат Content factory</t>
  </si>
  <si>
    <t xml:space="preserve">Рентабельность</t>
  </si>
  <si>
    <t xml:space="preserve">RMN - сделки с бренд-бюджетами, План 2026, руб.</t>
  </si>
  <si>
    <t xml:space="preserve">Описание: справочно - сделки с бренд-бюджетами 2026</t>
  </si>
  <si>
    <t xml:space="preserve">Бренд</t>
  </si>
  <si>
    <t xml:space="preserve">Возмещение</t>
  </si>
  <si>
    <t xml:space="preserve">Нестле </t>
  </si>
  <si>
    <t xml:space="preserve">Ферерро </t>
  </si>
  <si>
    <t xml:space="preserve">Монделиз </t>
  </si>
  <si>
    <t xml:space="preserve">Логика Молока</t>
  </si>
  <si>
    <t xml:space="preserve">Марс</t>
  </si>
  <si>
    <t xml:space="preserve">РОСТ</t>
  </si>
  <si>
    <t xml:space="preserve">Дамате</t>
  </si>
  <si>
    <t xml:space="preserve">P&amp;G</t>
  </si>
  <si>
    <t xml:space="preserve">JDE</t>
  </si>
  <si>
    <t xml:space="preserve">Поставщики</t>
  </si>
  <si>
    <t xml:space="preserve">Пепси</t>
  </si>
  <si>
    <t xml:space="preserve">RMN - План 2027, млн руб.</t>
  </si>
  <si>
    <t xml:space="preserve">Расходы 2027, млн руб.</t>
  </si>
  <si>
    <t xml:space="preserve">Описание: расходы 2027 по статьям P&amp;L, млн ₽ (со знаком «–»). Логика: большинство статей - SUMIFS из «Потребности» по колонке «Мэппинг к отчетности» / 10⁶; ФОТ - из PEX; рекламный сбор = 0,7% выручки; часть статей - ввод; AT Platform = потребности − CAPEX-часть ФОТ (PEX).</t>
  </si>
  <si>
    <t xml:space="preserve">Янв.2027</t>
  </si>
  <si>
    <t xml:space="preserve">Фев.2027</t>
  </si>
  <si>
    <t xml:space="preserve">Мар.2027</t>
  </si>
  <si>
    <t xml:space="preserve">Апр.2027</t>
  </si>
  <si>
    <t xml:space="preserve">Май.2027</t>
  </si>
  <si>
    <t xml:space="preserve">Июн.2027</t>
  </si>
  <si>
    <t xml:space="preserve">Июл.2027</t>
  </si>
  <si>
    <t xml:space="preserve">Авг.2027</t>
  </si>
  <si>
    <t xml:space="preserve">Сен.2027</t>
  </si>
  <si>
    <t xml:space="preserve">Окт.2027</t>
  </si>
  <si>
    <t xml:space="preserve">Ноя.2027</t>
  </si>
  <si>
    <t xml:space="preserve">Дек.2027</t>
  </si>
  <si>
    <t xml:space="preserve">Командировочные расходы</t>
  </si>
  <si>
    <t xml:space="preserve">AT Platform</t>
  </si>
  <si>
    <t xml:space="preserve">Instore Digital</t>
  </si>
  <si>
    <t xml:space="preserve">Capex</t>
  </si>
  <si>
    <t xml:space="preserve">М+ (МАГНИТ ПЛЮС) - СПРАВОЧНО</t>
  </si>
  <si>
    <t xml:space="preserve">Выручка М+ приходит из того же пула маркетинговой бек-маржи, но в P&amp;L AdTech не входит и на EBITDA не влияет.</t>
  </si>
  <si>
    <t xml:space="preserve">Описание: выручка М+ по продуктам (справочно). Логика: выручка = объём × цена (охват × цена контакта, поставщики × бюджет, офферы × стоимость, отправки × цена); партнёрские продукты - ввод. Итог → P&amp;L, блок «Справочно».</t>
  </si>
  <si>
    <t xml:space="preserve">1. ДРАЙВЕРЫ И ВЫРУЧКА ПО ПРОДУКТАМ</t>
  </si>
  <si>
    <t xml:space="preserve">CVM: охват</t>
  </si>
  <si>
    <t xml:space="preserve">млн контактов</t>
  </si>
  <si>
    <t xml:space="preserve">CVM: цена контакта</t>
  </si>
  <si>
    <t xml:space="preserve">Заморожена на весь год - индексации нет</t>
  </si>
  <si>
    <t xml:space="preserve">CVM: конверсия оффера</t>
  </si>
  <si>
    <t xml:space="preserve">CVM - выручка</t>
  </si>
  <si>
    <t xml:space="preserve">Кешбек на SKU: количество поставщиков</t>
  </si>
  <si>
    <t xml:space="preserve">Рост с 38 до 176 поставщиков за год </t>
  </si>
  <si>
    <t xml:space="preserve">Кешбек на SKU: темп роста числа поставщиков</t>
  </si>
  <si>
    <t xml:space="preserve">Кешбек на SKU: средний бюджет поставщика</t>
  </si>
  <si>
    <t xml:space="preserve">Зафиксирован на весь год</t>
  </si>
  <si>
    <t xml:space="preserve">Кешбек на SKU - выручка</t>
  </si>
  <si>
    <t xml:space="preserve">Любимые категории: офферов в месяц</t>
  </si>
  <si>
    <t xml:space="preserve">Любимые категории: стоимость оффера</t>
  </si>
  <si>
    <t xml:space="preserve">Любимые категории - выручка</t>
  </si>
  <si>
    <t xml:space="preserve">Подписка: офферов в месяц</t>
  </si>
  <si>
    <t xml:space="preserve">Подписка: стоимость оффера</t>
  </si>
  <si>
    <t xml:space="preserve">Подписка - выручка</t>
  </si>
  <si>
    <t xml:space="preserve">Цели: охват</t>
  </si>
  <si>
    <t xml:space="preserve">Цели: цена контакта</t>
  </si>
  <si>
    <t xml:space="preserve">Цели - выручка</t>
  </si>
  <si>
    <t xml:space="preserve">CRM: квота push</t>
  </si>
  <si>
    <t xml:space="preserve">млн отправок</t>
  </si>
  <si>
    <t xml:space="preserve">CRM: цена отправки</t>
  </si>
  <si>
    <t xml:space="preserve">CRM - выручка</t>
  </si>
  <si>
    <t xml:space="preserve">Партнёрские продукты - выручка</t>
  </si>
  <si>
    <t xml:space="preserve">ВЫРУЧКА М+ ВСЕГО</t>
  </si>
  <si>
    <t xml:space="preserve">В руб. без НДС</t>
  </si>
  <si>
    <t xml:space="preserve">Описание: реестр потребностей 2027, руб. без НДС. Логика: строка = расход с разбивкой по месяцам; 2027 = Σ месяцев; «Мэппинг к отчетности» (кол. Y) - ключ SUMIFS для листа «Расходы»; BU'26 и факт 7м26 - для сравнения.</t>
  </si>
  <si>
    <t xml:space="preserve">Калькулятор прогноза расходов по IT софт + облака</t>
  </si>
  <si>
    <t xml:space="preserve">Описание: прогноз IT-софта. Логика: цена за ед. 2027 = стоимость 2026 / кол-во 2026 × (1 + инфляция); прогноз = кол-во 2027 × цена; дельта = прогноз − стратегия; итоги → реестр через SUMIFS.</t>
  </si>
  <si>
    <t xml:space="preserve">Вознаграждения рекламным агентствам 2027</t>
  </si>
  <si>
    <t xml:space="preserve">Описание: премия рекламных агентств 2027. Логика: премия = выручка × % СК по группам (не поставщики / поставщики ММ); итог → строка «Вознаграждения рекламным агентствам» реестра (÷ 12 по месяцам).</t>
  </si>
  <si>
    <t xml:space="preserve">Модификатор</t>
  </si>
  <si>
    <t xml:space="preserve">Вид расхода</t>
  </si>
  <si>
    <t xml:space="preserve">Статья бюджета</t>
  </si>
  <si>
    <t xml:space="preserve">Модель</t>
  </si>
  <si>
    <t xml:space="preserve">CAPEX/OPEX</t>
  </si>
  <si>
    <t xml:space="preserve">Вид ИТ расхода</t>
  </si>
  <si>
    <t xml:space="preserve">Кол-во, ед.</t>
  </si>
  <si>
    <t xml:space="preserve">Ст-ть, руб.</t>
  </si>
  <si>
    <t xml:space="preserve">Заказчик/Ответственный</t>
  </si>
  <si>
    <t xml:space="preserve">BU'26</t>
  </si>
  <si>
    <t xml:space="preserve">ACT 7m26</t>
  </si>
  <si>
    <t xml:space="preserve">Мэппинг к отчетности</t>
  </si>
  <si>
    <t xml:space="preserve">Инфляция, год</t>
  </si>
  <si>
    <t xml:space="preserve">н.п.</t>
  </si>
  <si>
    <t xml:space="preserve">Мухутдинов Дамир, Соколов Павел</t>
  </si>
  <si>
    <t xml:space="preserve">В руб.</t>
  </si>
  <si>
    <t xml:space="preserve">Выручка</t>
  </si>
  <si>
    <t xml:space="preserve">%% СК</t>
  </si>
  <si>
    <t xml:space="preserve">Премия СК</t>
  </si>
  <si>
    <t xml:space="preserve">Тарасов Михаил, Кирилова Анастасия</t>
  </si>
  <si>
    <t xml:space="preserve">Суммы взяты из бюджета 2027 файла Астемира, рассчитаны от прогнозируемой выручки </t>
  </si>
  <si>
    <t xml:space="preserve">Софт</t>
  </si>
  <si>
    <t xml:space="preserve">Ответственный</t>
  </si>
  <si>
    <t xml:space="preserve">Дельта</t>
  </si>
  <si>
    <t xml:space="preserve">Не поставщики</t>
  </si>
  <si>
    <t xml:space="preserve">DMP+Online (ЦМ)</t>
  </si>
  <si>
    <t xml:space="preserve">Ардаширов Денис</t>
  </si>
  <si>
    <t xml:space="preserve">Кол-во</t>
  </si>
  <si>
    <t xml:space="preserve">Стоимость</t>
  </si>
  <si>
    <t xml:space="preserve">Цена за ед.</t>
  </si>
  <si>
    <t xml:space="preserve">прогноз</t>
  </si>
  <si>
    <t xml:space="preserve">стратегия</t>
  </si>
  <si>
    <t xml:space="preserve">Поставщики ММ</t>
  </si>
  <si>
    <t xml:space="preserve">Собственные клиентские мероприятия</t>
  </si>
  <si>
    <t xml:space="preserve">Вайнштейн Роман, Чистякова Катерина</t>
  </si>
  <si>
    <t xml:space="preserve">Allure TestOps</t>
  </si>
  <si>
    <t xml:space="preserve">IT - Буров Глеб, Сидоренко Ирина</t>
  </si>
  <si>
    <t xml:space="preserve">Итого</t>
  </si>
  <si>
    <t xml:space="preserve">Участие в мероприятиях рыночных</t>
  </si>
  <si>
    <t xml:space="preserve">Miro Starter</t>
  </si>
  <si>
    <t xml:space="preserve">Пиар (платные публикации и посевы)</t>
  </si>
  <si>
    <t xml:space="preserve">Postman Professional</t>
  </si>
  <si>
    <t xml:space="preserve">MIP/CF</t>
  </si>
  <si>
    <t xml:space="preserve">Егор Юркевич, Аксенова Татьяна, Заворина Диана</t>
  </si>
  <si>
    <t xml:space="preserve">Yonote</t>
  </si>
  <si>
    <t xml:space="preserve">Claude Code</t>
  </si>
  <si>
    <t xml:space="preserve">IT - Буров Глеб</t>
  </si>
  <si>
    <t xml:space="preserve">Service soft</t>
  </si>
  <si>
    <t xml:space="preserve">Буров Глеб (IT), Сидоренко Ирина</t>
  </si>
  <si>
    <t xml:space="preserve">Codex Pro/ChatGPT </t>
  </si>
  <si>
    <t xml:space="preserve">Finance</t>
  </si>
  <si>
    <t xml:space="preserve">Proxyman Team</t>
  </si>
  <si>
    <t xml:space="preserve">Zoom</t>
  </si>
  <si>
    <t xml:space="preserve">Вайнштейн Роман</t>
  </si>
  <si>
    <t xml:space="preserve">JetBrains IDE</t>
  </si>
  <si>
    <t xml:space="preserve">Think-cell</t>
  </si>
  <si>
    <t xml:space="preserve">JetBrains AI Assistant</t>
  </si>
  <si>
    <t xml:space="preserve">Буров: при наличии Codex/Claude подписка не нужна</t>
  </si>
  <si>
    <t xml:space="preserve">Optimacros</t>
  </si>
  <si>
    <t xml:space="preserve">Finance (Елена Белявская)</t>
  </si>
  <si>
    <t xml:space="preserve">Brand Analytics</t>
  </si>
  <si>
    <t xml:space="preserve">Вайнштейн Роман/Питьева Татьяна</t>
  </si>
  <si>
    <t xml:space="preserve">Soft</t>
  </si>
  <si>
    <t xml:space="preserve">InAppStory (ПО «Редактор и партнерские SDK для повествований») </t>
  </si>
  <si>
    <t xml:space="preserve">Алеманова Юлия/Карагодина Тамара</t>
  </si>
  <si>
    <t xml:space="preserve">ПО Pitchdeck Pro 1 year Subscription</t>
  </si>
  <si>
    <t xml:space="preserve">Ожаровская Вероника</t>
  </si>
  <si>
    <t xml:space="preserve">Finance/Белявская Елена</t>
  </si>
  <si>
    <t xml:space="preserve">ИТОГО CAPEX</t>
  </si>
  <si>
    <t xml:space="preserve">Figma DevMode</t>
  </si>
  <si>
    <t xml:space="preserve">MacBook</t>
  </si>
  <si>
    <t xml:space="preserve">Laptops</t>
  </si>
  <si>
    <t xml:space="preserve">Нет единого</t>
  </si>
  <si>
    <t xml:space="preserve">К выходу планируется 30 чел. + 5% на замену</t>
  </si>
  <si>
    <t xml:space="preserve">Figma Organization</t>
  </si>
  <si>
    <t xml:space="preserve">Вайнштейн Роман, Питьева Татьяна</t>
  </si>
  <si>
    <t xml:space="preserve">Алеманова Юлия, Карагодина Тамара</t>
  </si>
  <si>
    <t xml:space="preserve">Tilda</t>
  </si>
  <si>
    <t xml:space="preserve">Целевая система управления медиаконтентом</t>
  </si>
  <si>
    <t xml:space="preserve">Горяйнов Евгений, Тарасов Михаил</t>
  </si>
  <si>
    <t xml:space="preserve">Phygital</t>
  </si>
  <si>
    <t xml:space="preserve">AdFox</t>
  </si>
  <si>
    <t xml:space="preserve">Оснащение ТТ Фасадными экранами</t>
  </si>
  <si>
    <t xml:space="preserve">Unisender</t>
  </si>
  <si>
    <t xml:space="preserve">SendSay</t>
  </si>
  <si>
    <t xml:space="preserve">Киселев Николай</t>
  </si>
  <si>
    <t xml:space="preserve">Интеграция Медиа с КСО</t>
  </si>
  <si>
    <t xml:space="preserve">не закладываем</t>
  </si>
  <si>
    <t xml:space="preserve">ELMA365</t>
  </si>
  <si>
    <t xml:space="preserve">Апсалон Мария, Бондарук Андрей</t>
  </si>
  <si>
    <t xml:space="preserve">Внедрение целевой системы управления медиа-контентом</t>
  </si>
  <si>
    <t xml:space="preserve">Kinescope</t>
  </si>
  <si>
    <t xml:space="preserve">Лаптев Дмитрий</t>
  </si>
  <si>
    <t xml:space="preserve">Streamerce</t>
  </si>
  <si>
    <t xml:space="preserve">Оснащение БФ фасадным экраном и билбордом</t>
  </si>
  <si>
    <t xml:space="preserve">ML</t>
  </si>
  <si>
    <t xml:space="preserve">Модерация</t>
  </si>
  <si>
    <t xml:space="preserve">Аудит Digital shelf banner</t>
  </si>
  <si>
    <t xml:space="preserve">Шелф баннеры ММ/БФ 1 и 2 волна, +20%</t>
  </si>
  <si>
    <t xml:space="preserve">LiveDune</t>
  </si>
  <si>
    <t xml:space="preserve">Аксенова Татьяна</t>
  </si>
  <si>
    <t xml:space="preserve">ИТОГО OPEX</t>
  </si>
  <si>
    <t xml:space="preserve">Итого Софт</t>
  </si>
  <si>
    <t xml:space="preserve">Clouds</t>
  </si>
  <si>
    <t xml:space="preserve">Итого Софт+облака</t>
  </si>
  <si>
    <t xml:space="preserve">Русов Дмитрий (Product)</t>
  </si>
  <si>
    <t xml:space="preserve">модерация</t>
  </si>
  <si>
    <t xml:space="preserve">Аксенова Татьяна, Заворина Диана</t>
  </si>
  <si>
    <t xml:space="preserve">Бондарук: заложено потенциальное повышение цены или лицензий потребуется больше на 25%</t>
  </si>
  <si>
    <t xml:space="preserve">Буров Глеб (IT)</t>
  </si>
  <si>
    <t xml:space="preserve">Стратегическая сессия (цели и промежуточная)</t>
  </si>
  <si>
    <t xml:space="preserve">T&amp;D (Утов Алим)</t>
  </si>
  <si>
    <t xml:space="preserve">Ибатуллина Виолетта</t>
  </si>
  <si>
    <t xml:space="preserve">Реферальная программа</t>
  </si>
  <si>
    <t xml:space="preserve">Recr (Сибгатуллина Алина)</t>
  </si>
  <si>
    <t xml:space="preserve">Автоматический сорсинг Leadl recruit</t>
  </si>
  <si>
    <t xml:space="preserve">Прочие информационные и консультационные услуги</t>
  </si>
  <si>
    <t xml:space="preserve">HR боты для сорсинга и скоринга</t>
  </si>
  <si>
    <t xml:space="preserve">IP Телефония</t>
  </si>
  <si>
    <t xml:space="preserve">Оплата внешнего обучения для сотрудников НОН ТЕК</t>
  </si>
  <si>
    <t xml:space="preserve">Оплата внешнего обучения для сотрудников ТЕК</t>
  </si>
  <si>
    <t xml:space="preserve">Развитие ЛТ и ИЛТ команд - кастомные запросы </t>
  </si>
  <si>
    <t xml:space="preserve">Развитие ЛТ и ИЛТ команд - кастомные запросы - 
функций OMNI (аналитика, продукт, разработка, платформа, HR, финансы)</t>
  </si>
  <si>
    <t xml:space="preserve">Обновление EVP (Бренд-платформа, стратегия и визуальная айдентика
Исследование на узнаваемость бренда работодателя)</t>
  </si>
  <si>
    <t xml:space="preserve">Внешком (Ковалёва Екатерина)</t>
  </si>
  <si>
    <t xml:space="preserve">South Hub (1/2 партнерства (вместе с М-тех)</t>
  </si>
  <si>
    <t xml:space="preserve">Вознаграждение за результаты интеллектуальной деятельности - разработка программы ЭВМ</t>
  </si>
  <si>
    <t xml:space="preserve">Компенсация за использование личного имущества (не л/а) день</t>
  </si>
  <si>
    <t xml:space="preserve">Other OPEX (HR)</t>
  </si>
  <si>
    <t xml:space="preserve">HR</t>
  </si>
  <si>
    <t xml:space="preserve">ССЧ</t>
  </si>
  <si>
    <t xml:space="preserve">FTE</t>
  </si>
  <si>
    <t xml:space="preserve">OPEX+CAPEX</t>
  </si>
  <si>
    <t xml:space="preserve">Описание: численность и затраты на персонал по функциям, руб. (исходные данные). Логика: ССЧ, FTE, затраты OPEX+CAPEX и их разделение на OPEX и CAPEX по месяцам; Total = Σ функций.</t>
  </si>
  <si>
    <t xml:space="preserve">ANALYTICS</t>
  </si>
  <si>
    <t xml:space="preserve">BIZDEV</t>
  </si>
  <si>
    <t xml:space="preserve">BIZDEV IT</t>
  </si>
  <si>
    <t xml:space="preserve">COMMERCE</t>
  </si>
  <si>
    <t xml:space="preserve">FINANCE</t>
  </si>
  <si>
    <t xml:space="preserve">LOYALTY</t>
  </si>
  <si>
    <t xml:space="preserve">MANAGEMENT</t>
  </si>
  <si>
    <t xml:space="preserve">MARKETING</t>
  </si>
  <si>
    <t xml:space="preserve">OPS</t>
  </si>
  <si>
    <t xml:space="preserve">PRODUCT</t>
  </si>
  <si>
    <t xml:space="preserve">SOCIAL COM</t>
  </si>
  <si>
    <t xml:space="preserve">Описание: дополнительный PEX по Content factory из листа "Content factory"</t>
  </si>
  <si>
    <t xml:space="preserve">PEX Content Factory (доп. таблица, не входит в PEX ИТОГО), млн руб.</t>
  </si>
  <si>
    <t xml:space="preserve">Описание: PEX по статьям, млн ₽. Логика: OPEX-часть ФОТ за месяц (Total блока OPEX) × доля статьи; результат → «Расходы» → P&amp;L. CAPEX-часть ФОТ вычитается из AT Platform на листе «Расходы».</t>
  </si>
  <si>
    <t xml:space="preserve">Статья PEX</t>
  </si>
  <si>
    <t xml:space="preserve">Доля</t>
  </si>
  <si>
    <t xml:space="preserve">PEX ИТОГО</t>
  </si>
  <si>
    <t xml:space="preserve">Описание: выручка - из листов направлений (APP = Медиа + Перформанс, Content factory, DMP, In-store; RMN)</t>
  </si>
  <si>
    <t xml:space="preserve">Распределение выручки по рекламному инвентарю</t>
  </si>
  <si>
    <t xml:space="preserve">Распределение выручки по форматам</t>
  </si>
  <si>
    <t xml:space="preserve">&gt;&gt;&gt;</t>
  </si>
  <si>
    <t xml:space="preserve">Формат</t>
  </si>
  <si>
    <t xml:space="preserve">check</t>
  </si>
  <si>
    <t xml:space="preserve">Трансформация в форматы:</t>
  </si>
  <si>
    <t xml:space="preserve">формат "E-commerce" в полном объеме</t>
  </si>
  <si>
    <t xml:space="preserve">ввиду старта развития в 2027 году не прогнозируем в разрезе форматов, выручка будет отражена в строке "Без формата"</t>
  </si>
  <si>
    <t xml:space="preserve">Content factory ВГО</t>
  </si>
  <si>
    <t xml:space="preserve">невозможно прогнозировать в разрезе форматов ввиду специфики доходов направления, выручка будет отражена в строке "Без формата"</t>
  </si>
  <si>
    <t xml:space="preserve">Факт % распр-я выручки на форматы 8м2026</t>
  </si>
  <si>
    <t xml:space="preserve">Скорр-й % для 2027</t>
  </si>
  <si>
    <t xml:space="preserve">ДС</t>
  </si>
  <si>
    <t xml:space="preserve">нерегулярный доход на формате</t>
  </si>
  <si>
    <t xml:space="preserve">В1</t>
  </si>
  <si>
    <t xml:space="preserve">УЛК</t>
  </si>
  <si>
    <t xml:space="preserve"> +5% - рост доли ожидаемой выручки ввиду увеличения оборудования на ТТ МК</t>
  </si>
  <si>
    <t xml:space="preserve">МА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</si>
</sst>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_-* #,##0.00_-;\-* #,##0.00_-;_-* \-??_-;_-@_-"/>
    <numFmt numFmtId="166" formatCode="_-* #,##0_-;\(#,##0\)_-;_-* \-??_-;_-@_-"/>
    <numFmt numFmtId="167" formatCode="0%"/>
    <numFmt numFmtId="168" formatCode="#,##0;&quot; (&quot;#,##0\);&quot; -&quot;"/>
    <numFmt numFmtId="169" formatCode="_-* #,##0_-;\-* #,##0_-;_-* \-??_-;_-@_-"/>
    <numFmt numFmtId="170" formatCode="0.0%"/>
    <numFmt numFmtId="171" formatCode="_-* #,##0.0\ _₽_-;\-* #,##0.0\ _₽_-;_-* \-?\ _₽_-;_-@_-"/>
    <numFmt numFmtId="172" formatCode="#,##0.0;&quot; (&quot;#,##0.0\);&quot; -&quot;"/>
    <numFmt numFmtId="173" formatCode="0.00%"/>
    <numFmt numFmtId="174" formatCode="0"/>
    <numFmt numFmtId="175" formatCode="_-* #,##0.00_-;\-* #,##0.00_-;_-* \-??_-;_-@"/>
    <numFmt numFmtId="176" formatCode="_-* #,##0_-;\-* #,##0_-;_-* \-??_-;_-@"/>
    <numFmt numFmtId="177" formatCode="_-* #,##0.0_-;\-* #,##0.0_-;_-* \-??_-;_-@"/>
    <numFmt numFmtId="178" formatCode="_-* #,##0.0_-;\-* #,##0.0_-;_-* \-??_-;_-@_-"/>
    <numFmt numFmtId="179" formatCode="#,##0"/>
    <numFmt numFmtId="180" formatCode="###\ ###\ ###\ ###,"/>
    <numFmt numFmtId="181" formatCode="#,##0.00"/>
    <numFmt numFmtId="182" formatCode="mmm\-yy"/>
    <numFmt numFmtId="183" formatCode="[$-409]mmm\-yy;@"/>
    <numFmt numFmtId="184" formatCode="m/d/yyyy"/>
  </numFmts>
  <fonts count="6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204"/>
    </font>
    <font>
      <b val="true"/>
      <sz val="10"/>
      <color theme="1"/>
      <name val="Arial"/>
      <family val="2"/>
      <charset val="1"/>
    </font>
    <font>
      <i val="true"/>
      <sz val="9"/>
      <color rgb="FF7F7F7F"/>
      <name val="Calibri"/>
      <family val="2"/>
      <charset val="1"/>
    </font>
    <font>
      <b val="true"/>
      <sz val="10"/>
      <color theme="0"/>
      <name val="Arial"/>
      <family val="2"/>
      <charset val="204"/>
    </font>
    <font>
      <b val="true"/>
      <sz val="10"/>
      <color theme="0" tint="-0.05"/>
      <name val="Arial"/>
      <family val="2"/>
      <charset val="204"/>
    </font>
    <font>
      <b val="true"/>
      <i val="true"/>
      <sz val="10"/>
      <color theme="1"/>
      <name val="Arial"/>
      <family val="2"/>
      <charset val="204"/>
    </font>
    <font>
      <sz val="10"/>
      <name val="Arial"/>
      <family val="2"/>
      <charset val="204"/>
    </font>
    <font>
      <b val="true"/>
      <sz val="10"/>
      <name val="Arial"/>
      <family val="2"/>
      <charset val="1"/>
    </font>
    <font>
      <sz val="10"/>
      <color theme="1"/>
      <name val="Arial"/>
      <family val="2"/>
      <charset val="1"/>
    </font>
    <font>
      <i val="true"/>
      <sz val="10"/>
      <color theme="1"/>
      <name val="Arial"/>
      <family val="2"/>
      <charset val="204"/>
    </font>
    <font>
      <b val="true"/>
      <i val="true"/>
      <sz val="10"/>
      <color theme="3" tint="0.3999"/>
      <name val="Arial"/>
      <family val="2"/>
      <charset val="204"/>
    </font>
    <font>
      <b val="true"/>
      <sz val="10"/>
      <color theme="3" tint="0.3999"/>
      <name val="Arial"/>
      <family val="2"/>
      <charset val="1"/>
    </font>
    <font>
      <i val="true"/>
      <sz val="10"/>
      <color theme="3" tint="0.3999"/>
      <name val="Arial"/>
      <family val="2"/>
      <charset val="204"/>
    </font>
    <font>
      <sz val="10"/>
      <color theme="3" tint="0.3999"/>
      <name val="Arial"/>
      <family val="2"/>
      <charset val="204"/>
    </font>
    <font>
      <b val="true"/>
      <sz val="10"/>
      <name val="Arial"/>
      <family val="2"/>
      <charset val="204"/>
    </font>
    <font>
      <i val="true"/>
      <sz val="11"/>
      <color theme="1"/>
      <name val="Calibri"/>
      <family val="2"/>
      <charset val="204"/>
    </font>
    <font>
      <sz val="10"/>
      <color theme="0"/>
      <name val="Arial"/>
      <family val="2"/>
      <charset val="1"/>
    </font>
    <font>
      <sz val="11"/>
      <name val="Calibri"/>
      <family val="2"/>
      <charset val="204"/>
    </font>
    <font>
      <i val="true"/>
      <sz val="11"/>
      <color theme="0" tint="-0.25"/>
      <name val="Calibri"/>
      <family val="2"/>
      <charset val="1"/>
    </font>
    <font>
      <b val="true"/>
      <i val="true"/>
      <sz val="10"/>
      <name val="Arial"/>
      <family val="2"/>
      <charset val="204"/>
    </font>
    <font>
      <i val="true"/>
      <sz val="10"/>
      <color theme="1"/>
      <name val="Arial"/>
      <family val="2"/>
      <charset val="1"/>
    </font>
    <font>
      <i val="true"/>
      <sz val="10"/>
      <name val="Arial"/>
      <family val="2"/>
      <charset val="1"/>
    </font>
    <font>
      <sz val="10"/>
      <color theme="1"/>
      <name val="Arial"/>
      <family val="2"/>
      <charset val="204"/>
    </font>
    <font>
      <i val="true"/>
      <sz val="10"/>
      <color rgb="FF7F7F7F"/>
      <name val="Arial"/>
      <family val="2"/>
      <charset val="204"/>
    </font>
    <font>
      <i val="true"/>
      <sz val="10"/>
      <color rgb="FF808080"/>
      <name val="Arial"/>
      <family val="2"/>
      <charset val="204"/>
    </font>
    <font>
      <i val="true"/>
      <sz val="10"/>
      <color theme="0" tint="-0.35"/>
      <name val="Arial"/>
      <family val="2"/>
      <charset val="1"/>
    </font>
    <font>
      <b val="true"/>
      <sz val="10"/>
      <color theme="0" tint="-0.5"/>
      <name val="Arial"/>
      <family val="2"/>
      <charset val="204"/>
    </font>
    <font>
      <sz val="10"/>
      <color theme="0" tint="-0.5"/>
      <name val="Arial"/>
      <family val="2"/>
      <charset val="204"/>
    </font>
    <font>
      <b val="true"/>
      <sz val="10"/>
      <color theme="1"/>
      <name val="Arial"/>
      <family val="2"/>
      <charset val="204"/>
    </font>
    <font>
      <b val="true"/>
      <sz val="10"/>
      <color rgb="FFFFFFFF"/>
      <name val="Arial"/>
      <family val="2"/>
      <charset val="204"/>
    </font>
    <font>
      <i val="true"/>
      <sz val="10"/>
      <name val="Arial"/>
      <family val="2"/>
      <charset val="204"/>
    </font>
    <font>
      <i val="true"/>
      <sz val="10"/>
      <color rgb="FFFF0000"/>
      <name val="Arial"/>
      <family val="2"/>
      <charset val="204"/>
    </font>
    <font>
      <sz val="10"/>
      <color theme="9" tint="-0.25"/>
      <name val="Arial"/>
      <family val="2"/>
      <charset val="204"/>
    </font>
    <font>
      <sz val="7"/>
      <color rgb="FF172B4D"/>
      <name val="Segoe UI"/>
      <family val="2"/>
      <charset val="204"/>
    </font>
    <font>
      <i val="true"/>
      <sz val="9"/>
      <color rgb="FF7F7F7F"/>
      <name val="Arial"/>
      <family val="2"/>
      <charset val="204"/>
    </font>
    <font>
      <sz val="10"/>
      <color rgb="FF0000FF"/>
      <name val="Arial"/>
      <family val="2"/>
      <charset val="204"/>
    </font>
    <font>
      <b val="true"/>
      <sz val="10"/>
      <color rgb="FF0000FF"/>
      <name val="Arial"/>
      <family val="2"/>
      <charset val="204"/>
    </font>
    <font>
      <sz val="10"/>
      <color rgb="FF008000"/>
      <name val="Arial"/>
      <family val="2"/>
      <charset val="204"/>
    </font>
    <font>
      <sz val="10"/>
      <color rgb="FF000000"/>
      <name val="Arial"/>
      <family val="2"/>
      <charset val="204"/>
    </font>
    <font>
      <b val="true"/>
      <sz val="10"/>
      <color theme="0"/>
      <name val="Arial"/>
      <family val="2"/>
      <charset val="1"/>
    </font>
    <font>
      <b val="true"/>
      <i val="true"/>
      <sz val="11"/>
      <color theme="1"/>
      <name val="Calibri"/>
      <family val="2"/>
      <charset val="204"/>
    </font>
    <font>
      <b val="true"/>
      <i val="true"/>
      <sz val="10"/>
      <color theme="1"/>
      <name val="Arial"/>
      <family val="2"/>
      <charset val="1"/>
    </font>
    <font>
      <i val="true"/>
      <sz val="10"/>
      <color rgb="FF0000C7"/>
      <name val="Arial"/>
      <family val="2"/>
      <charset val="204"/>
    </font>
    <font>
      <sz val="10"/>
      <color rgb="FF0000C7"/>
      <name val="Arial"/>
      <family val="2"/>
      <charset val="204"/>
    </font>
    <font>
      <b val="true"/>
      <sz val="10"/>
      <color rgb="FF0000C7"/>
      <name val="Arial"/>
      <family val="2"/>
      <charset val="204"/>
    </font>
    <font>
      <sz val="9"/>
      <color theme="1"/>
      <name val="Arial"/>
      <family val="2"/>
      <charset val="204"/>
    </font>
    <font>
      <b val="true"/>
      <i val="true"/>
      <sz val="9"/>
      <color theme="1"/>
      <name val="Arial"/>
      <family val="2"/>
      <charset val="204"/>
    </font>
    <font>
      <b val="true"/>
      <sz val="11"/>
      <name val="Arial"/>
      <family val="2"/>
      <charset val="204"/>
    </font>
    <font>
      <b val="true"/>
      <sz val="9"/>
      <name val="Arial"/>
      <family val="2"/>
      <charset val="204"/>
    </font>
    <font>
      <b val="true"/>
      <sz val="9"/>
      <color theme="1"/>
      <name val="Arial"/>
      <family val="2"/>
      <charset val="204"/>
    </font>
    <font>
      <i val="true"/>
      <sz val="9"/>
      <color rgb="FF808080"/>
      <name val="Arial"/>
      <family val="2"/>
      <charset val="204"/>
    </font>
    <font>
      <sz val="9"/>
      <color rgb="FF0000FF"/>
      <name val="Arial"/>
      <family val="2"/>
      <charset val="204"/>
    </font>
    <font>
      <i val="true"/>
      <sz val="9"/>
      <color theme="1"/>
      <name val="Arial"/>
      <family val="2"/>
      <charset val="204"/>
    </font>
    <font>
      <sz val="10"/>
      <name val="Arial"/>
      <family val="2"/>
    </font>
    <font>
      <b val="true"/>
      <sz val="10"/>
      <color rgb="FF000000"/>
      <name val="Arial"/>
      <family val="2"/>
      <charset val="1"/>
    </font>
    <font>
      <b val="true"/>
      <sz val="12"/>
      <color theme="0"/>
      <name val="Calibri"/>
      <family val="2"/>
      <charset val="1"/>
    </font>
    <font>
      <sz val="12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0"/>
      <color rgb="FF008000"/>
      <name val="Arial"/>
      <family val="2"/>
      <charset val="204"/>
    </font>
    <font>
      <b val="true"/>
      <sz val="10"/>
      <color rgb="FFC00000"/>
      <name val="Arial"/>
      <family val="2"/>
      <charset val="204"/>
    </font>
    <font>
      <sz val="10"/>
      <color rgb="FF00B050"/>
      <name val="Arial"/>
      <family val="2"/>
      <charset val="204"/>
    </font>
    <font>
      <i val="true"/>
      <sz val="10"/>
      <color theme="0" tint="-0.5"/>
      <name val="Arial"/>
      <family val="2"/>
      <charset val="204"/>
    </font>
  </fonts>
  <fills count="22">
    <fill>
      <patternFill patternType="none"/>
    </fill>
    <fill>
      <patternFill patternType="gray125"/>
    </fill>
    <fill>
      <patternFill patternType="solid">
        <fgColor rgb="FFC00000"/>
        <bgColor rgb="FFFF0000"/>
      </patternFill>
    </fill>
    <fill>
      <patternFill patternType="solid">
        <fgColor rgb="FF002060"/>
        <bgColor rgb="FF172B4D"/>
      </patternFill>
    </fill>
    <fill>
      <patternFill patternType="solid">
        <fgColor theme="0" tint="-0.15"/>
        <bgColor rgb="FFDCE6F2"/>
      </patternFill>
    </fill>
    <fill>
      <patternFill patternType="solid">
        <fgColor theme="3" tint="0.7999"/>
        <bgColor rgb="FFB7DEE8"/>
      </patternFill>
    </fill>
    <fill>
      <patternFill patternType="solid">
        <fgColor theme="0"/>
        <bgColor rgb="FFF2F2F2"/>
      </patternFill>
    </fill>
    <fill>
      <patternFill patternType="solid">
        <fgColor theme="9" tint="0.7999"/>
        <bgColor rgb="FFEBF1DE"/>
      </patternFill>
    </fill>
    <fill>
      <patternFill patternType="solid">
        <fgColor theme="8" tint="0.7999"/>
        <bgColor rgb="FFDCE6F2"/>
      </patternFill>
    </fill>
    <fill>
      <patternFill patternType="solid">
        <fgColor rgb="FFD9EAD3"/>
        <bgColor rgb="FFDCE6F2"/>
      </patternFill>
    </fill>
    <fill>
      <patternFill patternType="solid">
        <fgColor theme="0" tint="-0.05"/>
        <bgColor rgb="FFEBF1DE"/>
      </patternFill>
    </fill>
    <fill>
      <patternFill patternType="solid">
        <fgColor theme="6" tint="0.7999"/>
        <bgColor rgb="FFF2F2F2"/>
      </patternFill>
    </fill>
    <fill>
      <patternFill patternType="solid">
        <fgColor theme="0" tint="-0.25"/>
        <bgColor rgb="FFA6A6A6"/>
      </patternFill>
    </fill>
    <fill>
      <patternFill patternType="solid">
        <fgColor theme="8" tint="0.5999"/>
        <bgColor rgb="FFC6D9F1"/>
      </patternFill>
    </fill>
    <fill>
      <patternFill patternType="solid">
        <fgColor theme="9" tint="0.5999"/>
        <bgColor rgb="FFFDEADA"/>
      </patternFill>
    </fill>
    <fill>
      <patternFill patternType="solid">
        <fgColor theme="4" tint="0.7999"/>
        <bgColor rgb="FFDBEEF4"/>
      </patternFill>
    </fill>
    <fill>
      <patternFill patternType="solid">
        <fgColor rgb="FFFF0000"/>
        <bgColor rgb="FFC00000"/>
      </patternFill>
    </fill>
    <fill>
      <patternFill patternType="solid">
        <fgColor theme="3"/>
        <bgColor rgb="FF172B4D"/>
      </patternFill>
    </fill>
    <fill>
      <patternFill patternType="solid">
        <fgColor theme="3" tint="0.3999"/>
        <bgColor rgb="FF808080"/>
      </patternFill>
    </fill>
    <fill>
      <patternFill patternType="solid">
        <fgColor rgb="FF0070C0"/>
        <bgColor rgb="FF008080"/>
      </patternFill>
    </fill>
    <fill>
      <patternFill patternType="solid">
        <fgColor rgb="FF00B050"/>
        <bgColor rgb="FF008080"/>
      </patternFill>
    </fill>
    <fill>
      <patternFill patternType="solid">
        <fgColor rgb="FFC39BE1"/>
        <bgColor rgb="FFA6A6A6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double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/>
      <top style="thin">
        <color theme="6"/>
      </top>
      <bottom/>
      <diagonal/>
    </border>
    <border diagonalUp="false" diagonalDown="false">
      <left/>
      <right/>
      <top style="thin">
        <color theme="6"/>
      </top>
      <bottom style="thin">
        <color theme="6"/>
      </bottom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medium">
        <color rgb="FF0000FF"/>
      </bottom>
      <diagonal/>
    </border>
    <border diagonalUp="false" diagonalDown="false">
      <left/>
      <right/>
      <top style="thin">
        <color rgb="FF0000FF"/>
      </top>
      <bottom style="medium">
        <color rgb="FF0000FF"/>
      </bottom>
      <diagonal/>
    </border>
    <border diagonalUp="false" diagonalDown="false">
      <left/>
      <right/>
      <top/>
      <bottom style="hair"/>
      <diagonal/>
    </border>
    <border diagonalUp="false" diagonalDown="false">
      <left/>
      <right/>
      <top style="hair"/>
      <bottom/>
      <diagonal/>
    </border>
    <border diagonalUp="false" diagonalDown="false">
      <left/>
      <right/>
      <top style="hair"/>
      <bottom style="hair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7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0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11" fillId="0" borderId="0" xfId="15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11" fillId="0" borderId="0" xfId="15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10" fillId="0" borderId="0" xfId="15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10" fillId="0" borderId="0" xfId="15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center" textRotation="0" wrapText="false" indent="3" shrinkToFit="false"/>
      <protection locked="true" hidden="false"/>
    </xf>
    <xf numFmtId="164" fontId="1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15" fillId="0" borderId="0" xfId="15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15" fillId="0" borderId="0" xfId="15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left" vertical="center" textRotation="0" wrapText="false" indent="3" shrinkToFit="false"/>
      <protection locked="true" hidden="false"/>
    </xf>
    <xf numFmtId="166" fontId="17" fillId="0" borderId="0" xfId="15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17" fillId="0" borderId="0" xfId="15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8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" fillId="4" borderId="3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8" fillId="4" borderId="3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8" fillId="5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" fillId="5" borderId="3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8" fillId="5" borderId="3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18" fillId="5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8" fillId="4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" fillId="4" borderId="4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0" fillId="0" borderId="5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5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0" fillId="0" borderId="5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2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11" fillId="0" borderId="5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9" fillId="0" borderId="0" xfId="19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8" fillId="6" borderId="0" xfId="15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30" fillId="6" borderId="0" xfId="15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18" fillId="0" borderId="0" xfId="19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0" fillId="6" borderId="0" xfId="15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31" fillId="0" borderId="0" xfId="15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31" fillId="6" borderId="0" xfId="15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18" fillId="0" borderId="0" xfId="15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30" fillId="0" borderId="0" xfId="15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3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4" borderId="3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30" fillId="5" borderId="3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30" fillId="4" borderId="3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3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3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9" fontId="10" fillId="0" borderId="0" xfId="15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0" xfId="19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0" fontId="3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1" fontId="3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7" fontId="36" fillId="0" borderId="0" xfId="19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31" fillId="4" borderId="3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7" fillId="2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6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6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2" fontId="26" fillId="7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26" fillId="8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0" fillId="0" borderId="2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9" fontId="1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9" fontId="1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0" fontId="1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9" fontId="18" fillId="9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0" fontId="18" fillId="9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38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9" fontId="3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9" fontId="4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8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0" fontId="3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18" fillId="9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4" fontId="39" fillId="9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6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26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5" fontId="3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5" fontId="1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0" fontId="1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41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0" fontId="42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6" fontId="1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6" fontId="3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9" fontId="10" fillId="0" borderId="0" xfId="15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8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8" fillId="0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18" fillId="0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0" fillId="0" borderId="3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7" fontId="41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7" fontId="1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5" fontId="3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5" fontId="42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7" fontId="18" fillId="0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5" fontId="1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9" fontId="31" fillId="0" borderId="0" xfId="15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28" fillId="0" borderId="0" xfId="19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8" fillId="1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1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8" fillId="10" borderId="3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30" fillId="10" borderId="3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41" fillId="0" borderId="0" xfId="15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9" fontId="39" fillId="0" borderId="0" xfId="15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41" fillId="0" borderId="0" xfId="15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10" fillId="0" borderId="0" xfId="15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9" fontId="10" fillId="0" borderId="0" xfId="15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10" fillId="0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0" fillId="0" borderId="3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18" fillId="9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8" fontId="39" fillId="9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8" fontId="41" fillId="9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8" fontId="18" fillId="9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9" fontId="10" fillId="9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9" fontId="41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8" fontId="1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0" fontId="26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3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6" fontId="1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7" fontId="1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9" fontId="10" fillId="0" borderId="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0" fillId="0" borderId="5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8" fillId="0" borderId="5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0" fillId="0" borderId="0" xfId="15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0" fillId="9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7" fontId="18" fillId="9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7" fontId="41" fillId="9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5" fontId="1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5" fontId="41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39" fillId="0" borderId="0" xfId="15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7" fontId="39" fillId="9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0" fillId="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18" fillId="5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5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1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3" fillId="2" borderId="9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2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44" fillId="11" borderId="3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5" fillId="11" borderId="3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26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38" fillId="0" borderId="0" xfId="21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7" fillId="2" borderId="0" xfId="22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80" fontId="13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22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81" fontId="46" fillId="0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10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1" fontId="47" fillId="10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xfId="22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81" fontId="47" fillId="0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2" fillId="4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1" fontId="48" fillId="4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2" fillId="4" borderId="0" xfId="22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9" fontId="32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8" fontId="1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8" fontId="40" fillId="9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8" fontId="49" fillId="0" borderId="0" xfId="22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8" fontId="49" fillId="0" borderId="0" xfId="22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49" fillId="0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0" fillId="0" borderId="0" xfId="22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8" fontId="38" fillId="0" borderId="0" xfId="22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1" fillId="0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2" fillId="0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xfId="22" applyFont="true" applyBorder="true" applyAlignment="true" applyProtection="true">
      <alignment horizontal="left" vertical="top" textRotation="0" wrapText="true" indent="0" shrinkToFit="false"/>
      <protection locked="true" hidden="false"/>
    </xf>
    <xf numFmtId="168" fontId="38" fillId="0" borderId="0" xfId="22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8" fontId="49" fillId="0" borderId="0" xfId="22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53" fillId="12" borderId="0" xfId="22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4" fillId="0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3" fillId="4" borderId="2" xfId="22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3" fillId="4" borderId="2" xfId="22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82" fontId="55" fillId="10" borderId="2" xfId="22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3" fontId="55" fillId="10" borderId="2" xfId="22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3" fontId="55" fillId="13" borderId="2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3" fontId="55" fillId="14" borderId="2" xfId="22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3" fontId="49" fillId="0" borderId="0" xfId="22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49" fillId="0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49" fillId="0" borderId="0" xfId="22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8" fontId="56" fillId="0" borderId="0" xfId="22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3" fillId="0" borderId="1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10" xfId="22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3" fillId="15" borderId="10" xfId="22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3" fillId="0" borderId="0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3" fillId="0" borderId="0" xfId="22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49" fillId="0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49" fillId="15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xfId="22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9" fillId="0" borderId="0" xfId="22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9" fillId="0" borderId="0" xfId="22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49" fillId="0" borderId="0" xfId="22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8" fontId="49" fillId="0" borderId="0" xfId="22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3" fillId="0" borderId="11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3" fillId="0" borderId="11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3" fillId="15" borderId="11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xfId="22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8" fontId="53" fillId="0" borderId="0" xfId="22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8" fontId="53" fillId="0" borderId="0" xfId="22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3" fillId="0" borderId="5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3" fillId="0" borderId="5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53" fillId="0" borderId="5" xfId="22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53" fillId="0" borderId="5" xfId="22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53" fillId="0" borderId="0" xfId="22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8" fontId="49" fillId="0" borderId="0" xfId="22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5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9" fillId="16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4" fontId="43" fillId="1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84" fontId="43" fillId="18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84" fontId="43" fillId="19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84" fontId="43" fillId="2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84" fontId="43" fillId="21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9" fontId="12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6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12" fillId="1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12" fillId="1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9" fontId="12" fillId="1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0" fillId="0" borderId="0" xfId="19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0" fillId="0" borderId="0" xfId="19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5" fillId="0" borderId="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9" fontId="61" fillId="0" borderId="0" xfId="15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9" fontId="5" fillId="0" borderId="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62" fillId="9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8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1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2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9" fontId="2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26" fillId="0" borderId="0" xfId="15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6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1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6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6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6" fillId="0" borderId="1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26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73" fontId="10" fillId="0" borderId="0" xfId="19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65" fillId="0" borderId="0" xfId="19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10" fillId="0" borderId="12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65" fillId="0" borderId="12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0" fillId="0" borderId="1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10" fillId="10" borderId="0" xfId="19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1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73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26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2" xfId="21"/>
    <cellStyle name="Обычный 4" xfId="22"/>
  </cellStyles>
  <dxfs count="7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B7DEE8"/>
          <bgColor rgb="FF000000"/>
        </patternFill>
      </fill>
    </dxf>
    <dxf>
      <fill>
        <patternFill patternType="solid">
          <fgColor rgb="FFFCD5B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C00000"/>
      <rgbColor rgb="FF008000"/>
      <rgbColor rgb="FF000080"/>
      <rgbColor rgb="FFAB7942"/>
      <rgbColor rgb="FF800080"/>
      <rgbColor rgb="FF1F6F3C"/>
      <rgbColor rgb="FFBFBFBF"/>
      <rgbColor rgb="FF808080"/>
      <rgbColor rgb="FF7F7F7F"/>
      <rgbColor rgb="FFC0504D"/>
      <rgbColor rgb="FFEBF1DE"/>
      <rgbColor rgb="FFDBEEF4"/>
      <rgbColor rgb="FF660066"/>
      <rgbColor rgb="FFFF8080"/>
      <rgbColor rgb="FF0070C0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C7"/>
      <rgbColor rgb="FF00CCFF"/>
      <rgbColor rgb="FFDCE6F2"/>
      <rgbColor rgb="FFD9EAD3"/>
      <rgbColor rgb="FFFDEADA"/>
      <rgbColor rgb="FFB7DEE8"/>
      <rgbColor rgb="FFD9D9D9"/>
      <rgbColor rgb="FFC39BE1"/>
      <rgbColor rgb="FFFCD5B5"/>
      <rgbColor rgb="FF558ED5"/>
      <rgbColor rgb="FF33CCCC"/>
      <rgbColor rgb="FF9BBB59"/>
      <rgbColor rgb="FFFFCC00"/>
      <rgbColor rgb="FFFF9900"/>
      <rgbColor rgb="FFE46C0A"/>
      <rgbColor rgb="FF604A7B"/>
      <rgbColor rgb="FFA6A6A6"/>
      <rgbColor rgb="FF002060"/>
      <rgbColor rgb="FF00B050"/>
      <rgbColor rgb="FF003300"/>
      <rgbColor rgb="FF333300"/>
      <rgbColor rgb="FF993300"/>
      <rgbColor rgb="FF993366"/>
      <rgbColor rgb="FF1F497D"/>
      <rgbColor rgb="FF172B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2060"/>
    <pageSetUpPr fitToPage="false"/>
  </sheetPr>
  <dimension ref="A1:AG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zeroHeight="false" outlineLevelRow="1" outlineLevelCol="1"/>
  <cols>
    <col collapsed="false" customWidth="true" hidden="false" outlineLevel="0" max="1" min="1" style="1" width="38.33"/>
    <col collapsed="false" customWidth="false" hidden="true" outlineLevel="1" max="13" min="2" style="1" width="8.83"/>
    <col collapsed="false" customWidth="true" hidden="false" outlineLevel="0" max="16" min="14" style="1" width="9.33"/>
    <col collapsed="false" customWidth="true" hidden="false" outlineLevel="0" max="17" min="17" style="1" width="9.16"/>
    <col collapsed="false" customWidth="true" hidden="false" outlineLevel="0" max="19" min="19" style="1" width="16.67"/>
    <col collapsed="false" customWidth="true" hidden="false" outlineLevel="0" max="21" min="21" style="1" width="11.67"/>
    <col collapsed="false" customWidth="true" hidden="false" outlineLevel="0" max="24" min="24" style="1" width="20.33"/>
    <col collapsed="false" customWidth="true" hidden="false" outlineLevel="0" max="25" min="25" style="1" width="9.16"/>
    <col collapsed="false" customWidth="true" hidden="false" outlineLevel="0" max="28" min="28" style="1" width="20.33"/>
    <col collapsed="false" customWidth="true" hidden="false" outlineLevel="0" max="29" min="29" style="1" width="10.33"/>
  </cols>
  <sheetData>
    <row r="1" customFormat="false" ht="58.5" hidden="false" customHeight="true" outlineLevel="0" collapsed="false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2" t="s">
        <v>2</v>
      </c>
      <c r="U1" s="3" t="s">
        <v>3</v>
      </c>
      <c r="V1" s="3"/>
      <c r="W1" s="3"/>
      <c r="X1" s="2" t="s">
        <v>4</v>
      </c>
      <c r="Y1" s="3" t="s">
        <v>5</v>
      </c>
      <c r="Z1" s="3"/>
      <c r="AA1" s="3"/>
      <c r="AB1" s="2" t="s">
        <v>6</v>
      </c>
      <c r="AC1" s="4"/>
      <c r="AE1" s="3" t="s">
        <v>7</v>
      </c>
      <c r="AF1" s="3"/>
      <c r="AG1" s="3"/>
    </row>
    <row r="2" customFormat="false" ht="18.75" hidden="false" customHeight="true" outlineLevel="0" collapsed="false">
      <c r="A2" s="5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6" t="s">
        <v>14</v>
      </c>
      <c r="H2" s="6" t="s">
        <v>15</v>
      </c>
      <c r="I2" s="6" t="s">
        <v>16</v>
      </c>
      <c r="J2" s="6" t="s">
        <v>17</v>
      </c>
      <c r="K2" s="6" t="s">
        <v>18</v>
      </c>
      <c r="L2" s="6" t="s">
        <v>19</v>
      </c>
      <c r="M2" s="6" t="s">
        <v>20</v>
      </c>
      <c r="N2" s="6" t="s">
        <v>21</v>
      </c>
      <c r="O2" s="7" t="s">
        <v>22</v>
      </c>
      <c r="P2" s="8" t="s">
        <v>23</v>
      </c>
      <c r="Q2" s="9" t="s">
        <v>24</v>
      </c>
      <c r="S2" s="7" t="s">
        <v>25</v>
      </c>
      <c r="T2" s="8" t="s">
        <v>23</v>
      </c>
      <c r="U2" s="8" t="s">
        <v>26</v>
      </c>
      <c r="X2" s="5" t="s">
        <v>8</v>
      </c>
      <c r="Y2" s="6" t="s">
        <v>21</v>
      </c>
      <c r="AB2" s="7" t="s">
        <v>8</v>
      </c>
      <c r="AC2" s="7" t="s">
        <v>27</v>
      </c>
      <c r="AD2" s="8" t="s">
        <v>23</v>
      </c>
      <c r="AE2" s="8" t="s">
        <v>26</v>
      </c>
    </row>
    <row r="3" customFormat="false" ht="15" hidden="false" customHeight="false" outlineLevel="0" collapsed="false">
      <c r="A3" s="10" t="s">
        <v>28</v>
      </c>
      <c r="B3" s="11" t="n">
        <f aca="false">'P&amp;L 2027'!B5</f>
        <v>153.924683950421</v>
      </c>
      <c r="C3" s="11" t="n">
        <f aca="false">'P&amp;L 2027'!C5</f>
        <v>384.811709876052</v>
      </c>
      <c r="D3" s="11" t="n">
        <f aca="false">'P&amp;L 2027'!D5</f>
        <v>538.736393826474</v>
      </c>
      <c r="E3" s="11" t="n">
        <f aca="false">'P&amp;L 2027'!E5</f>
        <v>538.736393826472</v>
      </c>
      <c r="F3" s="11" t="n">
        <f aca="false">'P&amp;L 2027'!F5</f>
        <v>538.736393826475</v>
      </c>
      <c r="G3" s="11" t="n">
        <f aca="false">'P&amp;L 2027'!G5</f>
        <v>538.736393826474</v>
      </c>
      <c r="H3" s="11" t="n">
        <f aca="false">'P&amp;L 2027'!H5</f>
        <v>538.736393826474</v>
      </c>
      <c r="I3" s="11" t="n">
        <f aca="false">'P&amp;L 2027'!I5</f>
        <v>615.698735801682</v>
      </c>
      <c r="J3" s="11" t="n">
        <f aca="false">'P&amp;L 2027'!J5</f>
        <v>615.698735801684</v>
      </c>
      <c r="K3" s="11" t="n">
        <f aca="false">'P&amp;L 2027'!K5</f>
        <v>846.585761727311</v>
      </c>
      <c r="L3" s="11" t="n">
        <f aca="false">'P&amp;L 2027'!L5</f>
        <v>1077.47278765294</v>
      </c>
      <c r="M3" s="11" t="n">
        <f aca="false">'P&amp;L 2027'!M5</f>
        <v>1308.35981357858</v>
      </c>
      <c r="N3" s="11" t="n">
        <f aca="false">'P&amp;L 2027'!N5</f>
        <v>7696.23419752104</v>
      </c>
      <c r="O3" s="11" t="n">
        <f aca="false">'P&amp;L 2027'!O5</f>
        <v>6195.4</v>
      </c>
      <c r="P3" s="11" t="n">
        <f aca="false">N3-O3</f>
        <v>1500.83419752104</v>
      </c>
      <c r="Q3" s="12" t="n">
        <f aca="false">(N3/O3)-1</f>
        <v>0.242249765555257</v>
      </c>
      <c r="S3" s="13" t="n">
        <v>7250.8</v>
      </c>
      <c r="T3" s="13" t="n">
        <f aca="false">N3-S3</f>
        <v>445.434197521039</v>
      </c>
      <c r="U3" s="14" t="n">
        <f aca="false">T3/S3</f>
        <v>0.061432420908181</v>
      </c>
      <c r="V3" s="15"/>
      <c r="X3" s="16" t="s">
        <v>29</v>
      </c>
      <c r="Y3" s="17" t="n">
        <f aca="false">SUM(P3)</f>
        <v>1500.83419752104</v>
      </c>
      <c r="AB3" s="16" t="s">
        <v>29</v>
      </c>
      <c r="AC3" s="17" t="n">
        <f aca="false">1012275179.86692/10^6</f>
        <v>1012.27517986692</v>
      </c>
      <c r="AD3" s="13" t="n">
        <f aca="false">Y3-AC3</f>
        <v>488.55901765412</v>
      </c>
      <c r="AE3" s="14" t="n">
        <f aca="false">AD3/AC3</f>
        <v>0.482634591236692</v>
      </c>
    </row>
    <row r="4" customFormat="false" ht="15" hidden="true" customHeight="false" outlineLevel="1" collapsed="false">
      <c r="A4" s="18" t="s">
        <v>30</v>
      </c>
      <c r="B4" s="13" t="n">
        <f aca="false">'P&amp;L 2027'!B6</f>
        <v>153.924683950421</v>
      </c>
      <c r="C4" s="13" t="n">
        <f aca="false">'P&amp;L 2027'!C6</f>
        <v>384.811709876052</v>
      </c>
      <c r="D4" s="13" t="n">
        <f aca="false">'P&amp;L 2027'!D6</f>
        <v>538.736393826474</v>
      </c>
      <c r="E4" s="13" t="n">
        <f aca="false">'P&amp;L 2027'!E6</f>
        <v>538.736393826472</v>
      </c>
      <c r="F4" s="13" t="n">
        <f aca="false">'P&amp;L 2027'!F6</f>
        <v>538.736393826475</v>
      </c>
      <c r="G4" s="13" t="n">
        <f aca="false">'P&amp;L 2027'!G6</f>
        <v>538.736393826474</v>
      </c>
      <c r="H4" s="13" t="n">
        <f aca="false">'P&amp;L 2027'!H6</f>
        <v>538.736393826474</v>
      </c>
      <c r="I4" s="13" t="n">
        <f aca="false">'P&amp;L 2027'!I6</f>
        <v>615.698735801682</v>
      </c>
      <c r="J4" s="13" t="n">
        <f aca="false">'P&amp;L 2027'!J6</f>
        <v>615.698735801684</v>
      </c>
      <c r="K4" s="13" t="n">
        <f aca="false">'P&amp;L 2027'!K6</f>
        <v>846.585761727311</v>
      </c>
      <c r="L4" s="13" t="n">
        <f aca="false">'P&amp;L 2027'!L6</f>
        <v>1077.47278765294</v>
      </c>
      <c r="M4" s="13" t="n">
        <f aca="false">'P&amp;L 2027'!M6</f>
        <v>1308.35981357858</v>
      </c>
      <c r="N4" s="13" t="n">
        <f aca="false">'P&amp;L 2027'!N6</f>
        <v>7696.23419752104</v>
      </c>
      <c r="O4" s="13" t="n">
        <f aca="false">'P&amp;L 2027'!O6</f>
        <v>6195.4</v>
      </c>
      <c r="P4" s="13" t="n">
        <f aca="false">N4-O4</f>
        <v>1500.83419752104</v>
      </c>
      <c r="Q4" s="14"/>
      <c r="S4" s="13"/>
      <c r="T4" s="13"/>
      <c r="U4" s="14"/>
      <c r="V4" s="15"/>
      <c r="Y4" s="15"/>
      <c r="AC4" s="15"/>
      <c r="AD4" s="13"/>
      <c r="AE4" s="14"/>
    </row>
    <row r="5" customFormat="false" ht="15" hidden="false" customHeight="false" outlineLevel="0" collapsed="false">
      <c r="A5" s="10" t="s">
        <v>31</v>
      </c>
      <c r="B5" s="11" t="n">
        <f aca="false">'P&amp;L 2027'!B11</f>
        <v>32</v>
      </c>
      <c r="C5" s="11" t="n">
        <f aca="false">'P&amp;L 2027'!C11</f>
        <v>80</v>
      </c>
      <c r="D5" s="11" t="n">
        <f aca="false">'P&amp;L 2027'!D11</f>
        <v>112</v>
      </c>
      <c r="E5" s="11" t="n">
        <f aca="false">'P&amp;L 2027'!E11</f>
        <v>112</v>
      </c>
      <c r="F5" s="11" t="n">
        <f aca="false">'P&amp;L 2027'!F11</f>
        <v>112</v>
      </c>
      <c r="G5" s="11" t="n">
        <f aca="false">'P&amp;L 2027'!G11</f>
        <v>112</v>
      </c>
      <c r="H5" s="11" t="n">
        <f aca="false">'P&amp;L 2027'!H11</f>
        <v>112</v>
      </c>
      <c r="I5" s="11" t="n">
        <f aca="false">'P&amp;L 2027'!I11</f>
        <v>128</v>
      </c>
      <c r="J5" s="11" t="n">
        <f aca="false">'P&amp;L 2027'!J11</f>
        <v>128</v>
      </c>
      <c r="K5" s="11" t="n">
        <f aca="false">'P&amp;L 2027'!K11</f>
        <v>176</v>
      </c>
      <c r="L5" s="11" t="n">
        <f aca="false">'P&amp;L 2027'!L11</f>
        <v>224</v>
      </c>
      <c r="M5" s="11" t="n">
        <f aca="false">'P&amp;L 2027'!M11</f>
        <v>272</v>
      </c>
      <c r="N5" s="11" t="n">
        <f aca="false">'P&amp;L 2027'!N11</f>
        <v>1600</v>
      </c>
      <c r="O5" s="11" t="n">
        <f aca="false">'P&amp;L 2027'!O11</f>
        <v>987</v>
      </c>
      <c r="P5" s="11" t="n">
        <f aca="false">N5-O5</f>
        <v>612.999999999999</v>
      </c>
      <c r="Q5" s="12" t="n">
        <f aca="false">(N5/O5)-1</f>
        <v>0.621073961499493</v>
      </c>
      <c r="S5" s="13" t="n">
        <v>1063.44485254242</v>
      </c>
      <c r="T5" s="13" t="n">
        <f aca="false">N5-S5</f>
        <v>536.555147457579</v>
      </c>
      <c r="U5" s="14" t="n">
        <f aca="false">T5/S5</f>
        <v>0.504544402255383</v>
      </c>
      <c r="X5" s="16" t="s">
        <v>32</v>
      </c>
      <c r="Y5" s="17" t="n">
        <f aca="false">SUM(P5,P10,P12,P18,P20)</f>
        <v>2741.95167151177</v>
      </c>
      <c r="AB5" s="16" t="s">
        <v>32</v>
      </c>
      <c r="AC5" s="17" t="n">
        <f aca="false">1792170775.52776/10^6+675</f>
        <v>2467.17077552776</v>
      </c>
      <c r="AD5" s="13" t="n">
        <f aca="false">Y5-AC5</f>
        <v>274.780895984005</v>
      </c>
      <c r="AE5" s="14" t="n">
        <f aca="false">AD5/AC5</f>
        <v>0.111374899017773</v>
      </c>
    </row>
    <row r="6" customFormat="false" ht="15" hidden="true" customHeight="false" outlineLevel="1" collapsed="false">
      <c r="A6" s="18" t="s">
        <v>33</v>
      </c>
      <c r="B6" s="13" t="n">
        <f aca="false">'P&amp;L 2027'!B12</f>
        <v>24.9263199484238</v>
      </c>
      <c r="C6" s="13" t="n">
        <f aca="false">'P&amp;L 2027'!C12</f>
        <v>62.3157998710594</v>
      </c>
      <c r="D6" s="13" t="n">
        <f aca="false">'P&amp;L 2027'!D12</f>
        <v>87.2421198194832</v>
      </c>
      <c r="E6" s="13" t="n">
        <f aca="false">'P&amp;L 2027'!E12</f>
        <v>87.2421198194832</v>
      </c>
      <c r="F6" s="13" t="n">
        <f aca="false">'P&amp;L 2027'!F12</f>
        <v>87.2421198194833</v>
      </c>
      <c r="G6" s="13" t="n">
        <f aca="false">'P&amp;L 2027'!G12</f>
        <v>87.2421198194832</v>
      </c>
      <c r="H6" s="13" t="n">
        <f aca="false">'P&amp;L 2027'!H12</f>
        <v>87.2421198194832</v>
      </c>
      <c r="I6" s="13" t="n">
        <f aca="false">'P&amp;L 2027'!I12</f>
        <v>99.7052797936951</v>
      </c>
      <c r="J6" s="13" t="n">
        <f aca="false">'P&amp;L 2027'!J12</f>
        <v>99.7052797936951</v>
      </c>
      <c r="K6" s="13" t="n">
        <f aca="false">'P&amp;L 2027'!K12</f>
        <v>137.094759716331</v>
      </c>
      <c r="L6" s="13" t="n">
        <f aca="false">'P&amp;L 2027'!L12</f>
        <v>174.484239638966</v>
      </c>
      <c r="M6" s="13" t="n">
        <f aca="false">'P&amp;L 2027'!M12</f>
        <v>211.873719561602</v>
      </c>
      <c r="N6" s="13" t="n">
        <f aca="false">'P&amp;L 2027'!N12</f>
        <v>1246.31599742119</v>
      </c>
      <c r="O6" s="13" t="n">
        <f aca="false">'P&amp;L 2027'!O12</f>
        <v>768.821180909196</v>
      </c>
      <c r="P6" s="13" t="n">
        <f aca="false">N6-O6</f>
        <v>477.494816511992</v>
      </c>
      <c r="Q6" s="14"/>
      <c r="S6" s="13"/>
      <c r="T6" s="13"/>
      <c r="U6" s="14"/>
      <c r="Y6" s="15"/>
      <c r="AC6" s="15"/>
      <c r="AD6" s="13"/>
      <c r="AE6" s="14"/>
    </row>
    <row r="7" customFormat="false" ht="15" hidden="true" customHeight="false" outlineLevel="1" collapsed="false">
      <c r="A7" s="18" t="s">
        <v>34</v>
      </c>
      <c r="B7" s="13" t="n">
        <f aca="false">'P&amp;L 2027'!B13</f>
        <v>6.25059012563303</v>
      </c>
      <c r="C7" s="13" t="n">
        <f aca="false">'P&amp;L 2027'!C13</f>
        <v>15.6264753140826</v>
      </c>
      <c r="D7" s="13" t="n">
        <f aca="false">'P&amp;L 2027'!D13</f>
        <v>21.8770654397156</v>
      </c>
      <c r="E7" s="13" t="n">
        <f aca="false">'P&amp;L 2027'!E13</f>
        <v>21.8770654397156</v>
      </c>
      <c r="F7" s="13" t="n">
        <f aca="false">'P&amp;L 2027'!F13</f>
        <v>21.8770654397156</v>
      </c>
      <c r="G7" s="13" t="n">
        <f aca="false">'P&amp;L 2027'!G13</f>
        <v>21.8770654397156</v>
      </c>
      <c r="H7" s="13" t="n">
        <f aca="false">'P&amp;L 2027'!H13</f>
        <v>21.8770654397156</v>
      </c>
      <c r="I7" s="13" t="n">
        <f aca="false">'P&amp;L 2027'!I13</f>
        <v>25.0023605025321</v>
      </c>
      <c r="J7" s="13" t="n">
        <f aca="false">'P&amp;L 2027'!J13</f>
        <v>25.0023605025321</v>
      </c>
      <c r="K7" s="13" t="n">
        <f aca="false">'P&amp;L 2027'!K13</f>
        <v>34.3782456909816</v>
      </c>
      <c r="L7" s="13" t="n">
        <f aca="false">'P&amp;L 2027'!L13</f>
        <v>43.7541308794311</v>
      </c>
      <c r="M7" s="13" t="n">
        <f aca="false">'P&amp;L 2027'!M13</f>
        <v>53.1300160678806</v>
      </c>
      <c r="N7" s="13" t="n">
        <f aca="false">'P&amp;L 2027'!N13</f>
        <v>312.529506281651</v>
      </c>
      <c r="O7" s="13" t="n">
        <f aca="false">'P&amp;L 2027'!O13</f>
        <v>192.791639187494</v>
      </c>
      <c r="P7" s="13" t="n">
        <f aca="false">N7-O7</f>
        <v>119.737867094157</v>
      </c>
      <c r="Q7" s="14"/>
      <c r="S7" s="13"/>
      <c r="T7" s="13"/>
      <c r="U7" s="14"/>
      <c r="Y7" s="15"/>
      <c r="AC7" s="15"/>
      <c r="AD7" s="13"/>
      <c r="AE7" s="14"/>
    </row>
    <row r="8" customFormat="false" ht="15" hidden="true" customHeight="false" outlineLevel="1" collapsed="false">
      <c r="A8" s="18" t="s">
        <v>35</v>
      </c>
      <c r="B8" s="13" t="n">
        <f aca="false">'P&amp;L 2027'!B14</f>
        <v>0.614137611169783</v>
      </c>
      <c r="C8" s="13" t="n">
        <f aca="false">'P&amp;L 2027'!C14</f>
        <v>1.53534402792446</v>
      </c>
      <c r="D8" s="13" t="n">
        <f aca="false">'P&amp;L 2027'!D14</f>
        <v>2.14948163909424</v>
      </c>
      <c r="E8" s="13" t="n">
        <f aca="false">'P&amp;L 2027'!E14</f>
        <v>2.14948163909424</v>
      </c>
      <c r="F8" s="13" t="n">
        <f aca="false">'P&amp;L 2027'!F14</f>
        <v>2.14948163909424</v>
      </c>
      <c r="G8" s="13" t="n">
        <f aca="false">'P&amp;L 2027'!G14</f>
        <v>2.14948163909424</v>
      </c>
      <c r="H8" s="13" t="n">
        <f aca="false">'P&amp;L 2027'!H14</f>
        <v>2.14948163909424</v>
      </c>
      <c r="I8" s="13" t="n">
        <f aca="false">'P&amp;L 2027'!I14</f>
        <v>2.45655044467913</v>
      </c>
      <c r="J8" s="13" t="n">
        <f aca="false">'P&amp;L 2027'!J14</f>
        <v>2.45655044467913</v>
      </c>
      <c r="K8" s="13" t="n">
        <f aca="false">'P&amp;L 2027'!K14</f>
        <v>3.3777568614338</v>
      </c>
      <c r="L8" s="13" t="n">
        <f aca="false">'P&amp;L 2027'!L14</f>
        <v>4.29896327818847</v>
      </c>
      <c r="M8" s="13" t="n">
        <f aca="false">'P&amp;L 2027'!M14</f>
        <v>5.22016969494314</v>
      </c>
      <c r="N8" s="13" t="n">
        <f aca="false">'P&amp;L 2027'!N14</f>
        <v>30.7068805584891</v>
      </c>
      <c r="O8" s="13" t="n">
        <f aca="false">'P&amp;L 2027'!O14</f>
        <v>18.942306944518</v>
      </c>
      <c r="P8" s="13" t="n">
        <f aca="false">N8-O8</f>
        <v>11.7645736139711</v>
      </c>
      <c r="Q8" s="14"/>
      <c r="S8" s="13"/>
      <c r="T8" s="13"/>
      <c r="U8" s="14"/>
      <c r="Y8" s="15"/>
      <c r="AC8" s="15"/>
      <c r="AD8" s="13"/>
      <c r="AE8" s="14"/>
    </row>
    <row r="9" customFormat="false" ht="15" hidden="true" customHeight="false" outlineLevel="1" collapsed="false">
      <c r="A9" s="18" t="s">
        <v>36</v>
      </c>
      <c r="B9" s="13" t="n">
        <f aca="false">'P&amp;L 2027'!B15</f>
        <v>0.208952314773415</v>
      </c>
      <c r="C9" s="13" t="n">
        <f aca="false">'P&amp;L 2027'!C15</f>
        <v>0.522380786933538</v>
      </c>
      <c r="D9" s="13" t="n">
        <f aca="false">'P&amp;L 2027'!D15</f>
        <v>0.731333101706953</v>
      </c>
      <c r="E9" s="13" t="n">
        <f aca="false">'P&amp;L 2027'!E15</f>
        <v>0.731333101706953</v>
      </c>
      <c r="F9" s="13" t="n">
        <f aca="false">'P&amp;L 2027'!F15</f>
        <v>0.731333101706954</v>
      </c>
      <c r="G9" s="13" t="n">
        <f aca="false">'P&amp;L 2027'!G15</f>
        <v>0.731333101706953</v>
      </c>
      <c r="H9" s="13" t="n">
        <f aca="false">'P&amp;L 2027'!H15</f>
        <v>0.731333101706953</v>
      </c>
      <c r="I9" s="13" t="n">
        <f aca="false">'P&amp;L 2027'!I15</f>
        <v>0.835809259093661</v>
      </c>
      <c r="J9" s="13" t="n">
        <f aca="false">'P&amp;L 2027'!J15</f>
        <v>0.835809259093661</v>
      </c>
      <c r="K9" s="13" t="n">
        <f aca="false">'P&amp;L 2027'!K15</f>
        <v>1.14923773125378</v>
      </c>
      <c r="L9" s="13" t="n">
        <f aca="false">'P&amp;L 2027'!L15</f>
        <v>1.4626662034139</v>
      </c>
      <c r="M9" s="13" t="n">
        <f aca="false">'P&amp;L 2027'!M15</f>
        <v>1.77609467557403</v>
      </c>
      <c r="N9" s="13" t="n">
        <f aca="false">'P&amp;L 2027'!N15</f>
        <v>10.4476157386708</v>
      </c>
      <c r="O9" s="13" t="n">
        <f aca="false">'P&amp;L 2027'!O15</f>
        <v>6.44487295879252</v>
      </c>
      <c r="P9" s="13" t="n">
        <f aca="false">N9-O9</f>
        <v>4.00274277987823</v>
      </c>
      <c r="Q9" s="14"/>
      <c r="S9" s="13"/>
      <c r="T9" s="13"/>
      <c r="U9" s="14"/>
      <c r="Y9" s="15"/>
      <c r="AC9" s="15"/>
      <c r="AD9" s="13"/>
      <c r="AE9" s="14"/>
    </row>
    <row r="10" customFormat="false" ht="15" hidden="false" customHeight="false" outlineLevel="0" collapsed="false">
      <c r="A10" s="10" t="s">
        <v>37</v>
      </c>
      <c r="B10" s="11" t="n">
        <f aca="false">'P&amp;L 2027'!B9</f>
        <v>3.74</v>
      </c>
      <c r="C10" s="11" t="n">
        <f aca="false">'P&amp;L 2027'!C9</f>
        <v>9.35</v>
      </c>
      <c r="D10" s="11" t="n">
        <f aca="false">'P&amp;L 2027'!D9</f>
        <v>13.09</v>
      </c>
      <c r="E10" s="11" t="n">
        <f aca="false">'P&amp;L 2027'!E9</f>
        <v>13.09</v>
      </c>
      <c r="F10" s="11" t="n">
        <f aca="false">'P&amp;L 2027'!F9</f>
        <v>13.09</v>
      </c>
      <c r="G10" s="11" t="n">
        <f aca="false">'P&amp;L 2027'!G9</f>
        <v>13.09</v>
      </c>
      <c r="H10" s="11" t="n">
        <f aca="false">'P&amp;L 2027'!H9</f>
        <v>13.09</v>
      </c>
      <c r="I10" s="11" t="n">
        <f aca="false">'P&amp;L 2027'!I9</f>
        <v>14.96</v>
      </c>
      <c r="J10" s="11" t="n">
        <f aca="false">'P&amp;L 2027'!J9</f>
        <v>14.96</v>
      </c>
      <c r="K10" s="11" t="n">
        <f aca="false">'P&amp;L 2027'!K9</f>
        <v>20.57</v>
      </c>
      <c r="L10" s="11" t="n">
        <f aca="false">'P&amp;L 2027'!L9</f>
        <v>26.18</v>
      </c>
      <c r="M10" s="11" t="n">
        <f aca="false">'P&amp;L 2027'!M9</f>
        <v>31.7900000000001</v>
      </c>
      <c r="N10" s="11" t="n">
        <f aca="false">'P&amp;L 2027'!N9</f>
        <v>187</v>
      </c>
      <c r="O10" s="11" t="n">
        <f aca="false">'P&amp;L 2027'!O9</f>
        <v>102.4</v>
      </c>
      <c r="P10" s="11" t="n">
        <f aca="false">N10-O10</f>
        <v>84.6</v>
      </c>
      <c r="Q10" s="12" t="n">
        <f aca="false">(N10/O10)-1</f>
        <v>0.826171875</v>
      </c>
      <c r="S10" s="13" t="n">
        <v>124.68</v>
      </c>
      <c r="T10" s="13" t="n">
        <f aca="false">N10-S10</f>
        <v>62.32</v>
      </c>
      <c r="U10" s="14" t="n">
        <f aca="false">T10/S10</f>
        <v>0.499839589348733</v>
      </c>
      <c r="AD10" s="13"/>
      <c r="AE10" s="14"/>
    </row>
    <row r="11" customFormat="false" ht="15" hidden="true" customHeight="false" outlineLevel="1" collapsed="false">
      <c r="A11" s="18" t="s">
        <v>38</v>
      </c>
      <c r="B11" s="13" t="n">
        <f aca="false">'P&amp;L 2027'!B10</f>
        <v>3.74</v>
      </c>
      <c r="C11" s="13" t="n">
        <f aca="false">'P&amp;L 2027'!C10</f>
        <v>9.35</v>
      </c>
      <c r="D11" s="13" t="n">
        <f aca="false">'P&amp;L 2027'!D10</f>
        <v>13.09</v>
      </c>
      <c r="E11" s="13" t="n">
        <f aca="false">'P&amp;L 2027'!E10</f>
        <v>13.09</v>
      </c>
      <c r="F11" s="13" t="n">
        <f aca="false">'P&amp;L 2027'!F10</f>
        <v>13.09</v>
      </c>
      <c r="G11" s="13" t="n">
        <f aca="false">'P&amp;L 2027'!G10</f>
        <v>13.09</v>
      </c>
      <c r="H11" s="13" t="n">
        <f aca="false">'P&amp;L 2027'!H10</f>
        <v>13.09</v>
      </c>
      <c r="I11" s="13" t="n">
        <f aca="false">'P&amp;L 2027'!I10</f>
        <v>14.96</v>
      </c>
      <c r="J11" s="13" t="n">
        <f aca="false">'P&amp;L 2027'!J10</f>
        <v>14.96</v>
      </c>
      <c r="K11" s="13" t="n">
        <f aca="false">'P&amp;L 2027'!K10</f>
        <v>20.57</v>
      </c>
      <c r="L11" s="13" t="n">
        <f aca="false">'P&amp;L 2027'!L10</f>
        <v>26.18</v>
      </c>
      <c r="M11" s="13" t="n">
        <f aca="false">'P&amp;L 2027'!M10</f>
        <v>31.7900000000001</v>
      </c>
      <c r="N11" s="13" t="n">
        <f aca="false">'P&amp;L 2027'!N10</f>
        <v>187</v>
      </c>
      <c r="O11" s="13" t="n">
        <f aca="false">'P&amp;L 2027'!O10</f>
        <v>102.4</v>
      </c>
      <c r="P11" s="13" t="n">
        <f aca="false">N11-O11</f>
        <v>84.6</v>
      </c>
      <c r="Q11" s="14"/>
      <c r="S11" s="13"/>
      <c r="T11" s="13"/>
      <c r="U11" s="14"/>
      <c r="AD11" s="13"/>
      <c r="AE11" s="14"/>
    </row>
    <row r="12" customFormat="false" ht="15" hidden="false" customHeight="false" outlineLevel="0" collapsed="false">
      <c r="A12" s="10" t="s">
        <v>39</v>
      </c>
      <c r="B12" s="11" t="n">
        <f aca="false">'P&amp;L 2027'!B16</f>
        <v>80.3909071359999</v>
      </c>
      <c r="C12" s="11" t="n">
        <f aca="false">'P&amp;L 2027'!C16</f>
        <v>200.981734001507</v>
      </c>
      <c r="D12" s="11" t="n">
        <f aca="false">'P&amp;L 2027'!D16</f>
        <v>281.368174976</v>
      </c>
      <c r="E12" s="11" t="n">
        <f aca="false">'P&amp;L 2027'!E16</f>
        <v>281.354776491477</v>
      </c>
      <c r="F12" s="11" t="n">
        <f aca="false">'P&amp;L 2027'!F16</f>
        <v>281.368174976</v>
      </c>
      <c r="G12" s="11" t="n">
        <f aca="false">'P&amp;L 2027'!G16</f>
        <v>281.368174976</v>
      </c>
      <c r="H12" s="11" t="n">
        <f aca="false">'P&amp;L 2027'!H16</f>
        <v>281.368174976</v>
      </c>
      <c r="I12" s="11" t="n">
        <f aca="false">'P&amp;L 2027'!I16</f>
        <v>321.541297736462</v>
      </c>
      <c r="J12" s="11" t="n">
        <f aca="false">'P&amp;L 2027'!J16</f>
        <v>321.541297736462</v>
      </c>
      <c r="K12" s="11" t="n">
        <f aca="false">'P&amp;L 2027'!K16</f>
        <v>442.149989248</v>
      </c>
      <c r="L12" s="11" t="n">
        <f aca="false">'P&amp;L 2027'!L16</f>
        <v>562.736349952</v>
      </c>
      <c r="M12" s="11" t="n">
        <f aca="false">'P&amp;L 2027'!M16</f>
        <v>683.322710656</v>
      </c>
      <c r="N12" s="11" t="n">
        <f aca="false">'P&amp;L 2027'!N16</f>
        <v>4019.49176286191</v>
      </c>
      <c r="O12" s="11" t="n">
        <f aca="false">'P&amp;L 2027'!O16</f>
        <v>2446.0892363</v>
      </c>
      <c r="P12" s="11" t="n">
        <f aca="false">N12-O12</f>
        <v>1573.40252656191</v>
      </c>
      <c r="Q12" s="12" t="n">
        <f aca="false">(N12/O12)-1</f>
        <v>0.643231858925091</v>
      </c>
      <c r="S12" s="13" t="n">
        <v>4509.17031997707</v>
      </c>
      <c r="T12" s="13" t="n">
        <f aca="false">N12-S12</f>
        <v>-489.678557115163</v>
      </c>
      <c r="U12" s="14" t="n">
        <f aca="false">T12/S12</f>
        <v>-0.108596154584299</v>
      </c>
      <c r="AD12" s="13"/>
      <c r="AE12" s="14"/>
    </row>
    <row r="13" customFormat="false" ht="15" hidden="true" customHeight="false" outlineLevel="1" collapsed="false">
      <c r="A13" s="18" t="s">
        <v>34</v>
      </c>
      <c r="B13" s="13" t="n">
        <f aca="false">'P&amp;L 2027'!B17</f>
        <v>54.8689472245532</v>
      </c>
      <c r="C13" s="13" t="n">
        <f aca="false">'P&amp;L 2027'!C17</f>
        <v>137.175416336229</v>
      </c>
      <c r="D13" s="13" t="n">
        <f aca="false">'P&amp;L 2027'!D17</f>
        <v>192.041315285936</v>
      </c>
      <c r="E13" s="13" t="n">
        <f aca="false">'P&amp;L 2027'!E17</f>
        <v>192.032170461399</v>
      </c>
      <c r="F13" s="13" t="n">
        <f aca="false">'P&amp;L 2027'!F17</f>
        <v>192.041315285936</v>
      </c>
      <c r="G13" s="13" t="n">
        <f aca="false">'P&amp;L 2027'!G17</f>
        <v>192.041315285937</v>
      </c>
      <c r="H13" s="13" t="n">
        <f aca="false">'P&amp;L 2027'!H17</f>
        <v>192.041315285937</v>
      </c>
      <c r="I13" s="13" t="n">
        <f aca="false">'P&amp;L 2027'!I17</f>
        <v>219.460547523984</v>
      </c>
      <c r="J13" s="13" t="n">
        <f aca="false">'P&amp;L 2027'!J17</f>
        <v>219.460547523984</v>
      </c>
      <c r="K13" s="13" t="n">
        <f aca="false">'P&amp;L 2027'!K17</f>
        <v>301.779209735043</v>
      </c>
      <c r="L13" s="13" t="n">
        <f aca="false">'P&amp;L 2027'!L17</f>
        <v>384.082630571873</v>
      </c>
      <c r="M13" s="13" t="n">
        <f aca="false">'P&amp;L 2027'!M17</f>
        <v>466.386051408703</v>
      </c>
      <c r="N13" s="13" t="n">
        <f aca="false">'P&amp;L 2027'!N17</f>
        <v>2743.41078192951</v>
      </c>
      <c r="O13" s="13" t="n">
        <f aca="false">'P&amp;L 2027'!O17</f>
        <v>1669.52141721747</v>
      </c>
      <c r="P13" s="13" t="n">
        <f aca="false">N13-O13</f>
        <v>1073.88936471205</v>
      </c>
      <c r="Q13" s="14"/>
      <c r="S13" s="13"/>
      <c r="T13" s="13"/>
      <c r="U13" s="14"/>
      <c r="AD13" s="13"/>
      <c r="AE13" s="14"/>
    </row>
    <row r="14" customFormat="false" ht="15" hidden="true" customHeight="false" outlineLevel="1" collapsed="false">
      <c r="A14" s="18" t="s">
        <v>35</v>
      </c>
      <c r="B14" s="13" t="n">
        <f aca="false">'P&amp;L 2027'!B18</f>
        <v>10.5433053972943</v>
      </c>
      <c r="C14" s="13" t="n">
        <f aca="false">'P&amp;L 2027'!C18</f>
        <v>26.3588492324244</v>
      </c>
      <c r="D14" s="13" t="n">
        <f aca="false">'P&amp;L 2027'!D18</f>
        <v>36.90156889053</v>
      </c>
      <c r="E14" s="13" t="n">
        <f aca="false">'P&amp;L 2027'!E18</f>
        <v>36.8998116729638</v>
      </c>
      <c r="F14" s="13" t="n">
        <f aca="false">'P&amp;L 2027'!F18</f>
        <v>36.90156889053</v>
      </c>
      <c r="G14" s="13" t="n">
        <f aca="false">'P&amp;L 2027'!G18</f>
        <v>36.90156889053</v>
      </c>
      <c r="H14" s="13" t="n">
        <f aca="false">'P&amp;L 2027'!H18</f>
        <v>36.90156889053</v>
      </c>
      <c r="I14" s="13" t="n">
        <f aca="false">'P&amp;L 2027'!I18</f>
        <v>42.1702928932335</v>
      </c>
      <c r="J14" s="13" t="n">
        <f aca="false">'P&amp;L 2027'!J18</f>
        <v>42.1702928932335</v>
      </c>
      <c r="K14" s="13" t="n">
        <f aca="false">'P&amp;L 2027'!K18</f>
        <v>57.9881796851186</v>
      </c>
      <c r="L14" s="13" t="n">
        <f aca="false">'P&amp;L 2027'!L18</f>
        <v>73.80313778106</v>
      </c>
      <c r="M14" s="13" t="n">
        <f aca="false">'P&amp;L 2027'!M18</f>
        <v>89.6180958770015</v>
      </c>
      <c r="N14" s="13" t="n">
        <f aca="false">'P&amp;L 2027'!N18</f>
        <v>527.15824099445</v>
      </c>
      <c r="O14" s="13" t="n">
        <f aca="false">'P&amp;L 2027'!O18</f>
        <v>320.80575734412</v>
      </c>
      <c r="P14" s="13" t="n">
        <f aca="false">N14-O14</f>
        <v>206.35248365033</v>
      </c>
      <c r="Q14" s="14"/>
      <c r="S14" s="13"/>
      <c r="T14" s="13"/>
      <c r="U14" s="14"/>
      <c r="AD14" s="13"/>
      <c r="AE14" s="14"/>
    </row>
    <row r="15" customFormat="false" ht="15" hidden="true" customHeight="false" outlineLevel="1" collapsed="false">
      <c r="A15" s="18" t="s">
        <v>36</v>
      </c>
      <c r="B15" s="13" t="n">
        <f aca="false">'P&amp;L 2027'!B19</f>
        <v>4.77168558556976</v>
      </c>
      <c r="C15" s="13" t="n">
        <f aca="false">'P&amp;L 2027'!C19</f>
        <v>11.929479057568</v>
      </c>
      <c r="D15" s="13" t="n">
        <f aca="false">'P&amp;L 2027'!D19</f>
        <v>16.7008995494942</v>
      </c>
      <c r="E15" s="13" t="n">
        <f aca="false">'P&amp;L 2027'!E19</f>
        <v>16.7001042685632</v>
      </c>
      <c r="F15" s="13" t="n">
        <f aca="false">'P&amp;L 2027'!F19</f>
        <v>16.7008995494942</v>
      </c>
      <c r="G15" s="13" t="n">
        <f aca="false">'P&amp;L 2027'!G19</f>
        <v>16.7008995494942</v>
      </c>
      <c r="H15" s="13" t="n">
        <f aca="false">'P&amp;L 2027'!H19</f>
        <v>16.7008995494942</v>
      </c>
      <c r="I15" s="13" t="n">
        <f aca="false">'P&amp;L 2027'!I19</f>
        <v>19.0854168740608</v>
      </c>
      <c r="J15" s="13" t="n">
        <f aca="false">'P&amp;L 2027'!J19</f>
        <v>19.0854168740608</v>
      </c>
      <c r="K15" s="13" t="n">
        <f aca="false">'P&amp;L 2027'!K19</f>
        <v>26.2442707206337</v>
      </c>
      <c r="L15" s="13" t="n">
        <f aca="false">'P&amp;L 2027'!L19</f>
        <v>33.4017990989883</v>
      </c>
      <c r="M15" s="13" t="n">
        <f aca="false">'P&amp;L 2027'!M19</f>
        <v>40.559327477343</v>
      </c>
      <c r="N15" s="13" t="n">
        <f aca="false">'P&amp;L 2027'!N19</f>
        <v>238.581098154764</v>
      </c>
      <c r="O15" s="13" t="n">
        <f aca="false">'P&amp;L 2027'!O19</f>
        <v>145.190160998236</v>
      </c>
      <c r="P15" s="13" t="n">
        <f aca="false">N15-O15</f>
        <v>93.3909371565286</v>
      </c>
      <c r="Q15" s="14"/>
      <c r="S15" s="13"/>
      <c r="T15" s="13"/>
      <c r="U15" s="14"/>
      <c r="AD15" s="13"/>
      <c r="AE15" s="14"/>
    </row>
    <row r="16" customFormat="false" ht="15" hidden="true" customHeight="false" outlineLevel="1" collapsed="false">
      <c r="A16" s="18" t="s">
        <v>33</v>
      </c>
      <c r="B16" s="13" t="n">
        <f aca="false">'P&amp;L 2027'!B20</f>
        <v>7.86964336271295</v>
      </c>
      <c r="C16" s="13" t="n">
        <f aca="false">'P&amp;L 2027'!C20</f>
        <v>19.6745456091914</v>
      </c>
      <c r="D16" s="13" t="n">
        <f aca="false">'P&amp;L 2027'!D20</f>
        <v>27.5437517694953</v>
      </c>
      <c r="E16" s="13" t="n">
        <f aca="false">'P&amp;L 2027'!E20</f>
        <v>27.5424401622682</v>
      </c>
      <c r="F16" s="13" t="n">
        <f aca="false">'P&amp;L 2027'!F20</f>
        <v>27.5437517694953</v>
      </c>
      <c r="G16" s="13" t="n">
        <f aca="false">'P&amp;L 2027'!G20</f>
        <v>27.5437517694954</v>
      </c>
      <c r="H16" s="13" t="n">
        <f aca="false">'P&amp;L 2027'!H20</f>
        <v>27.5437517694954</v>
      </c>
      <c r="I16" s="13" t="n">
        <f aca="false">'P&amp;L 2027'!I20</f>
        <v>31.4763874388066</v>
      </c>
      <c r="J16" s="13" t="n">
        <f aca="false">'P&amp;L 2027'!J20</f>
        <v>31.4763874388066</v>
      </c>
      <c r="K16" s="13" t="n">
        <f aca="false">'P&amp;L 2027'!K20</f>
        <v>43.2830384949213</v>
      </c>
      <c r="L16" s="13" t="n">
        <f aca="false">'P&amp;L 2027'!L20</f>
        <v>55.0875035389907</v>
      </c>
      <c r="M16" s="13" t="n">
        <f aca="false">'P&amp;L 2027'!M20</f>
        <v>66.8919685830601</v>
      </c>
      <c r="N16" s="13" t="n">
        <f aca="false">'P&amp;L 2027'!N20</f>
        <v>393.476921706739</v>
      </c>
      <c r="O16" s="13" t="n">
        <f aca="false">'P&amp;L 2027'!O20</f>
        <v>239.453075090772</v>
      </c>
      <c r="P16" s="13" t="n">
        <f aca="false">N16-O16</f>
        <v>154.023846615967</v>
      </c>
      <c r="Q16" s="14"/>
      <c r="S16" s="13"/>
      <c r="T16" s="13"/>
      <c r="U16" s="14"/>
      <c r="AD16" s="13"/>
      <c r="AE16" s="14"/>
    </row>
    <row r="17" customFormat="false" ht="15" hidden="true" customHeight="false" outlineLevel="1" collapsed="false">
      <c r="A17" s="18" t="s">
        <v>40</v>
      </c>
      <c r="B17" s="13" t="n">
        <f aca="false">'P&amp;L 2027'!B21</f>
        <v>2.33732556586968</v>
      </c>
      <c r="C17" s="13" t="n">
        <f aca="false">'P&amp;L 2027'!C21</f>
        <v>5.84344376609452</v>
      </c>
      <c r="D17" s="13" t="n">
        <f aca="false">'P&amp;L 2027'!D21</f>
        <v>8.18063948054387</v>
      </c>
      <c r="E17" s="13" t="n">
        <f aca="false">'P&amp;L 2027'!E21</f>
        <v>8.1802499262829</v>
      </c>
      <c r="F17" s="13" t="n">
        <f aca="false">'P&amp;L 2027'!F21</f>
        <v>8.18063948054387</v>
      </c>
      <c r="G17" s="13" t="n">
        <f aca="false">'P&amp;L 2027'!G21</f>
        <v>8.18063948054388</v>
      </c>
      <c r="H17" s="13" t="n">
        <f aca="false">'P&amp;L 2027'!H21</f>
        <v>8.18063948054388</v>
      </c>
      <c r="I17" s="13" t="n">
        <f aca="false">'P&amp;L 2027'!I21</f>
        <v>9.34865300637709</v>
      </c>
      <c r="J17" s="13" t="n">
        <f aca="false">'P&amp;L 2027'!J21</f>
        <v>9.34865300637709</v>
      </c>
      <c r="K17" s="13" t="n">
        <f aca="false">'P&amp;L 2027'!K21</f>
        <v>12.8552906122832</v>
      </c>
      <c r="L17" s="13" t="n">
        <f aca="false">'P&amp;L 2027'!L21</f>
        <v>16.3612789610878</v>
      </c>
      <c r="M17" s="13" t="n">
        <f aca="false">'P&amp;L 2027'!M21</f>
        <v>19.8672673098923</v>
      </c>
      <c r="N17" s="13" t="n">
        <f aca="false">'P&amp;L 2027'!N21</f>
        <v>116.86472007644</v>
      </c>
      <c r="O17" s="13" t="n">
        <f aca="false">'P&amp;L 2027'!O21</f>
        <v>71.1188256494042</v>
      </c>
      <c r="P17" s="13" t="n">
        <f aca="false">N17-O17</f>
        <v>45.7458944270358</v>
      </c>
      <c r="Q17" s="14"/>
      <c r="S17" s="13"/>
      <c r="T17" s="13"/>
      <c r="U17" s="14"/>
      <c r="AD17" s="13"/>
      <c r="AE17" s="14"/>
    </row>
    <row r="18" customFormat="false" ht="15" hidden="false" customHeight="false" outlineLevel="0" collapsed="false">
      <c r="A18" s="19" t="s">
        <v>41</v>
      </c>
      <c r="B18" s="20" t="n">
        <f aca="false">'P&amp;L 2027'!B7</f>
        <v>4.266</v>
      </c>
      <c r="C18" s="20" t="n">
        <f aca="false">'P&amp;L 2027'!C7</f>
        <v>10.665</v>
      </c>
      <c r="D18" s="20" t="n">
        <f aca="false">'P&amp;L 2027'!D7</f>
        <v>14.931</v>
      </c>
      <c r="E18" s="20" t="n">
        <f aca="false">'P&amp;L 2027'!E7</f>
        <v>14.931</v>
      </c>
      <c r="F18" s="20" t="n">
        <f aca="false">'P&amp;L 2027'!F7</f>
        <v>14.931</v>
      </c>
      <c r="G18" s="20" t="n">
        <f aca="false">'P&amp;L 2027'!G7</f>
        <v>14.931</v>
      </c>
      <c r="H18" s="20" t="n">
        <f aca="false">'P&amp;L 2027'!H7</f>
        <v>14.931</v>
      </c>
      <c r="I18" s="20" t="n">
        <f aca="false">'P&amp;L 2027'!I7</f>
        <v>17.064</v>
      </c>
      <c r="J18" s="20" t="n">
        <f aca="false">'P&amp;L 2027'!J7</f>
        <v>17.064</v>
      </c>
      <c r="K18" s="20" t="n">
        <f aca="false">'P&amp;L 2027'!K7</f>
        <v>23.4630000000001</v>
      </c>
      <c r="L18" s="20" t="n">
        <f aca="false">'P&amp;L 2027'!L7</f>
        <v>29.862</v>
      </c>
      <c r="M18" s="20" t="n">
        <f aca="false">'P&amp;L 2027'!M7</f>
        <v>36.2609999999999</v>
      </c>
      <c r="N18" s="20" t="n">
        <f aca="false">'P&amp;L 2027'!N7</f>
        <v>213.3</v>
      </c>
      <c r="O18" s="20" t="n">
        <f aca="false">'P&amp;L 2027'!O7</f>
        <v>0</v>
      </c>
      <c r="P18" s="20" t="n">
        <f aca="false">N18-O18</f>
        <v>213.3</v>
      </c>
      <c r="Q18" s="21" t="s">
        <v>42</v>
      </c>
    </row>
    <row r="19" customFormat="false" ht="15" hidden="true" customHeight="false" outlineLevel="1" collapsed="false">
      <c r="A19" s="22" t="s">
        <v>38</v>
      </c>
      <c r="B19" s="23" t="n">
        <f aca="false">'P&amp;L 2027'!B8</f>
        <v>4.266</v>
      </c>
      <c r="C19" s="23" t="n">
        <f aca="false">'P&amp;L 2027'!C8</f>
        <v>10.665</v>
      </c>
      <c r="D19" s="23" t="n">
        <f aca="false">'P&amp;L 2027'!D8</f>
        <v>14.931</v>
      </c>
      <c r="E19" s="23" t="n">
        <f aca="false">'P&amp;L 2027'!E8</f>
        <v>14.931</v>
      </c>
      <c r="F19" s="23" t="n">
        <f aca="false">'P&amp;L 2027'!F8</f>
        <v>14.931</v>
      </c>
      <c r="G19" s="23" t="n">
        <f aca="false">'P&amp;L 2027'!G8</f>
        <v>14.931</v>
      </c>
      <c r="H19" s="23" t="n">
        <f aca="false">'P&amp;L 2027'!H8</f>
        <v>14.931</v>
      </c>
      <c r="I19" s="23" t="n">
        <f aca="false">'P&amp;L 2027'!I8</f>
        <v>17.064</v>
      </c>
      <c r="J19" s="23" t="n">
        <f aca="false">'P&amp;L 2027'!J8</f>
        <v>17.064</v>
      </c>
      <c r="K19" s="23" t="n">
        <f aca="false">'P&amp;L 2027'!K8</f>
        <v>23.4630000000001</v>
      </c>
      <c r="L19" s="23" t="n">
        <f aca="false">'P&amp;L 2027'!L8</f>
        <v>29.862</v>
      </c>
      <c r="M19" s="23" t="n">
        <f aca="false">'P&amp;L 2027'!M8</f>
        <v>36.2609999999999</v>
      </c>
      <c r="N19" s="23" t="n">
        <f aca="false">'P&amp;L 2027'!N8</f>
        <v>213.3</v>
      </c>
      <c r="O19" s="23" t="n">
        <f aca="false">'P&amp;L 2027'!O8</f>
        <v>0</v>
      </c>
      <c r="P19" s="23" t="n">
        <f aca="false">N19-O19</f>
        <v>213.3</v>
      </c>
      <c r="Q19" s="24"/>
    </row>
    <row r="20" customFormat="false" ht="15" hidden="false" customHeight="false" outlineLevel="0" collapsed="false">
      <c r="A20" s="19" t="s">
        <v>43</v>
      </c>
      <c r="B20" s="20" t="n">
        <f aca="false">'P&amp;L 2027'!B22</f>
        <v>17.0041828989972</v>
      </c>
      <c r="C20" s="20" t="n">
        <f aca="false">'P&amp;L 2027'!C22</f>
        <v>42.510457247493</v>
      </c>
      <c r="D20" s="20" t="n">
        <f aca="false">'P&amp;L 2027'!D22</f>
        <v>59.5146401464902</v>
      </c>
      <c r="E20" s="20" t="n">
        <f aca="false">'P&amp;L 2027'!E22</f>
        <v>59.5146401464902</v>
      </c>
      <c r="F20" s="20" t="n">
        <f aca="false">'P&amp;L 2027'!F22</f>
        <v>59.5146401464902</v>
      </c>
      <c r="G20" s="20" t="n">
        <f aca="false">'P&amp;L 2027'!G22</f>
        <v>59.5146401464902</v>
      </c>
      <c r="H20" s="20" t="n">
        <f aca="false">'P&amp;L 2027'!H22</f>
        <v>59.5146401464902</v>
      </c>
      <c r="I20" s="20" t="n">
        <f aca="false">'P&amp;L 2027'!I22</f>
        <v>68.0167315959888</v>
      </c>
      <c r="J20" s="20" t="n">
        <f aca="false">'P&amp;L 2027'!J22</f>
        <v>68.0167315959888</v>
      </c>
      <c r="K20" s="20" t="n">
        <f aca="false">'P&amp;L 2027'!K22</f>
        <v>93.5230059444846</v>
      </c>
      <c r="L20" s="20" t="n">
        <f aca="false">'P&amp;L 2027'!L22</f>
        <v>119.02928029298</v>
      </c>
      <c r="M20" s="20" t="n">
        <f aca="false">'P&amp;L 2027'!M22</f>
        <v>144.535554641476</v>
      </c>
      <c r="N20" s="20" t="n">
        <f aca="false">'P&amp;L 2027'!N22</f>
        <v>850.209144949859</v>
      </c>
      <c r="O20" s="20" t="n">
        <f aca="false">'P&amp;L 2027'!O22</f>
        <v>592.56</v>
      </c>
      <c r="P20" s="20" t="n">
        <f aca="false">N20-O20</f>
        <v>257.649144949859</v>
      </c>
      <c r="Q20" s="21" t="n">
        <f aca="false">(N20/O20)-1</f>
        <v>0.434806846479444</v>
      </c>
      <c r="S20" s="23" t="n">
        <v>0</v>
      </c>
      <c r="T20" s="23" t="n">
        <f aca="false">N20-S20</f>
        <v>850.209144949859</v>
      </c>
      <c r="U20" s="24"/>
      <c r="AD20" s="23"/>
      <c r="AE20" s="24"/>
    </row>
    <row r="21" customFormat="false" ht="15" hidden="true" customHeight="false" outlineLevel="1" collapsed="false">
      <c r="A21" s="22" t="s">
        <v>38</v>
      </c>
      <c r="B21" s="23" t="n">
        <f aca="false">'P&amp;L 2027'!B23</f>
        <v>17.0041828989972</v>
      </c>
      <c r="C21" s="23" t="n">
        <f aca="false">'P&amp;L 2027'!C23</f>
        <v>42.510457247493</v>
      </c>
      <c r="D21" s="23" t="n">
        <f aca="false">'P&amp;L 2027'!D23</f>
        <v>59.5146401464902</v>
      </c>
      <c r="E21" s="23" t="n">
        <f aca="false">'P&amp;L 2027'!E23</f>
        <v>59.5146401464902</v>
      </c>
      <c r="F21" s="23" t="n">
        <f aca="false">'P&amp;L 2027'!F23</f>
        <v>59.5146401464902</v>
      </c>
      <c r="G21" s="23" t="n">
        <f aca="false">'P&amp;L 2027'!G23</f>
        <v>59.5146401464902</v>
      </c>
      <c r="H21" s="23" t="n">
        <f aca="false">'P&amp;L 2027'!H23</f>
        <v>59.5146401464902</v>
      </c>
      <c r="I21" s="23" t="n">
        <f aca="false">'P&amp;L 2027'!I23</f>
        <v>68.0167315959888</v>
      </c>
      <c r="J21" s="23" t="n">
        <f aca="false">'P&amp;L 2027'!J23</f>
        <v>68.0167315959888</v>
      </c>
      <c r="K21" s="23" t="n">
        <f aca="false">'P&amp;L 2027'!K23</f>
        <v>93.5230059444846</v>
      </c>
      <c r="L21" s="23" t="n">
        <f aca="false">'P&amp;L 2027'!L23</f>
        <v>119.02928029298</v>
      </c>
      <c r="M21" s="23" t="n">
        <f aca="false">'P&amp;L 2027'!M23</f>
        <v>144.535554641476</v>
      </c>
      <c r="N21" s="23" t="n">
        <f aca="false">'P&amp;L 2027'!N23</f>
        <v>850.209144949859</v>
      </c>
      <c r="O21" s="23" t="n">
        <f aca="false">'P&amp;L 2027'!O23</f>
        <v>592.56</v>
      </c>
      <c r="P21" s="23" t="n">
        <f aca="false">N21-O21</f>
        <v>257.649144949859</v>
      </c>
      <c r="Q21" s="24"/>
      <c r="S21" s="23"/>
      <c r="T21" s="23"/>
      <c r="U21" s="24"/>
      <c r="AD21" s="23"/>
      <c r="AE21" s="24"/>
    </row>
    <row r="22" customFormat="false" ht="15" hidden="false" customHeight="false" outlineLevel="0" collapsed="false">
      <c r="A22" s="25" t="s">
        <v>44</v>
      </c>
      <c r="B22" s="26" t="n">
        <f aca="false">SUM(B3,B5,B10,B12,B18,B20)</f>
        <v>291.325773985418</v>
      </c>
      <c r="C22" s="26" t="n">
        <f aca="false">SUM(C3,C5,C10,C12,C18,C20)</f>
        <v>728.318901125052</v>
      </c>
      <c r="D22" s="26" t="n">
        <f aca="false">SUM(D3,D5,D10,D12,D18,D20)</f>
        <v>1019.64020894896</v>
      </c>
      <c r="E22" s="26" t="n">
        <f aca="false">SUM(E3,E5,E10,E12,E18,E20)</f>
        <v>1019.62681046444</v>
      </c>
      <c r="F22" s="26" t="n">
        <f aca="false">SUM(F3,F5,F10,F12,F18,F20)</f>
        <v>1019.64020894897</v>
      </c>
      <c r="G22" s="26" t="n">
        <f aca="false">SUM(G3,G5,G10,G12,G18,G20)</f>
        <v>1019.64020894896</v>
      </c>
      <c r="H22" s="26" t="n">
        <f aca="false">SUM(H3,H5,H10,H12,H18,H20)</f>
        <v>1019.64020894896</v>
      </c>
      <c r="I22" s="26" t="n">
        <f aca="false">SUM(I3,I5,I10,I12,I18,I20)</f>
        <v>1165.28076513413</v>
      </c>
      <c r="J22" s="26" t="n">
        <f aca="false">SUM(J3,J5,J10,J12,J18,J20)</f>
        <v>1165.28076513414</v>
      </c>
      <c r="K22" s="26" t="n">
        <f aca="false">SUM(K3,K5,K10,K12,K18,K20)</f>
        <v>1602.2917569198</v>
      </c>
      <c r="L22" s="26" t="n">
        <f aca="false">SUM(L3,L5,L10,L12,L18,L20)</f>
        <v>2039.28041789792</v>
      </c>
      <c r="M22" s="26" t="n">
        <f aca="false">SUM(M3,M5,M10,M12,M18,M20)</f>
        <v>2476.26907887605</v>
      </c>
      <c r="N22" s="26" t="n">
        <f aca="false">SUM(N3,N5,N10,N12,N18,N20)</f>
        <v>14566.2351053328</v>
      </c>
      <c r="O22" s="26" t="n">
        <f aca="false">SUM(O3,O5,O10,O12,O18,O20)</f>
        <v>10323.4492363</v>
      </c>
      <c r="P22" s="26" t="n">
        <f aca="false">N22-O22</f>
        <v>4242.78586903281</v>
      </c>
      <c r="Q22" s="27" t="n">
        <f aca="false">(N22/O22)-1</f>
        <v>0.410985298800525</v>
      </c>
      <c r="S22" s="26" t="n">
        <f aca="false">SUM(S3:S20)</f>
        <v>12948.0951725195</v>
      </c>
      <c r="T22" s="26" t="n">
        <f aca="false">N22-S22</f>
        <v>1618.13993281332</v>
      </c>
      <c r="U22" s="27" t="n">
        <f aca="false">T22/S22</f>
        <v>0.124971272704852</v>
      </c>
      <c r="X22" s="25" t="s">
        <v>45</v>
      </c>
      <c r="Y22" s="26" t="n">
        <f aca="false">SUM(Y3:Y20)</f>
        <v>4242.78586903281</v>
      </c>
      <c r="AB22" s="25" t="s">
        <v>45</v>
      </c>
      <c r="AC22" s="26" t="n">
        <f aca="false">AC3+AC5</f>
        <v>3479.44595539468</v>
      </c>
      <c r="AD22" s="26" t="n">
        <f aca="false">Y22-AC22</f>
        <v>763.339913638125</v>
      </c>
      <c r="AE22" s="27" t="n">
        <f aca="false">AD22/AC22</f>
        <v>0.21938547786742</v>
      </c>
    </row>
    <row r="23" customFormat="false" ht="15" hidden="true" customHeight="false" outlineLevel="0" collapsed="false">
      <c r="A23" s="25" t="s">
        <v>46</v>
      </c>
      <c r="B23" s="26" t="n">
        <f aca="false">'P&amp;L 2027'!B28</f>
        <v>-89.8692999412308</v>
      </c>
      <c r="C23" s="26" t="n">
        <f aca="false">'P&amp;L 2027'!C28</f>
        <v>-125.27429364453</v>
      </c>
      <c r="D23" s="26" t="n">
        <f aca="false">'P&amp;L 2027'!D28</f>
        <v>-148.837732616909</v>
      </c>
      <c r="E23" s="26" t="n">
        <f aca="false">'P&amp;L 2027'!E28</f>
        <v>-152.621631349173</v>
      </c>
      <c r="F23" s="26" t="n">
        <f aca="false">'P&amp;L 2027'!F28</f>
        <v>-153.651031416338</v>
      </c>
      <c r="G23" s="26" t="n">
        <f aca="false">'P&amp;L 2027'!G28</f>
        <v>-154.559410796743</v>
      </c>
      <c r="H23" s="26" t="n">
        <f aca="false">'P&amp;L 2027'!H28</f>
        <v>-154.512725178407</v>
      </c>
      <c r="I23" s="26" t="n">
        <f aca="false">'P&amp;L 2027'!I28</f>
        <v>-164.495994710772</v>
      </c>
      <c r="J23" s="26" t="n">
        <f aca="false">'P&amp;L 2027'!J28</f>
        <v>-161.961631987239</v>
      </c>
      <c r="K23" s="26" t="n">
        <f aca="false">'P&amp;L 2027'!K28</f>
        <v>-197.159261674083</v>
      </c>
      <c r="L23" s="26" t="n">
        <f aca="false">'P&amp;L 2027'!L28</f>
        <v>-218.989611938544</v>
      </c>
      <c r="M23" s="26" t="n">
        <f aca="false">'P&amp;L 2027'!M28</f>
        <v>-249.133374746033</v>
      </c>
      <c r="N23" s="26" t="n">
        <f aca="false">'P&amp;L 2027'!N28</f>
        <v>-1971.066</v>
      </c>
      <c r="O23" s="26" t="n">
        <f aca="false">'P&amp;L 2027'!O28</f>
        <v>-880.54</v>
      </c>
      <c r="P23" s="26" t="n">
        <f aca="false">N23-O23</f>
        <v>-1090.526</v>
      </c>
      <c r="Q23" s="27" t="n">
        <f aca="false">(N23/O23)-1</f>
        <v>1.23847411815477</v>
      </c>
      <c r="S23" s="26" t="n">
        <v>-1292.18907502249</v>
      </c>
      <c r="T23" s="26" t="n">
        <f aca="false">N23-S23</f>
        <v>-678.87692497751</v>
      </c>
      <c r="U23" s="27" t="n">
        <f aca="false">T23/S23</f>
        <v>0.525369652243573</v>
      </c>
      <c r="X23" s="25" t="s">
        <v>47</v>
      </c>
      <c r="Y23" s="26" t="n">
        <f aca="false">N23</f>
        <v>-1971.066</v>
      </c>
      <c r="AB23" s="25" t="s">
        <v>47</v>
      </c>
      <c r="AC23" s="26" t="n">
        <f aca="false">S23</f>
        <v>-1292.18907502249</v>
      </c>
      <c r="AD23" s="26" t="n">
        <f aca="false">Y23-AC23</f>
        <v>-678.87692497751</v>
      </c>
      <c r="AE23" s="27" t="n">
        <f aca="false">AD23/AC23</f>
        <v>0.525369652243573</v>
      </c>
    </row>
    <row r="24" customFormat="false" ht="15" hidden="true" customHeight="false" outlineLevel="0" collapsed="false">
      <c r="A24" s="25" t="s">
        <v>48</v>
      </c>
      <c r="B24" s="26" t="n">
        <f aca="false">B22+B23</f>
        <v>201.456474044187</v>
      </c>
      <c r="C24" s="26" t="n">
        <f aca="false">C22+C23</f>
        <v>603.044607480521</v>
      </c>
      <c r="D24" s="26" t="n">
        <f aca="false">D22+D23</f>
        <v>870.802476332055</v>
      </c>
      <c r="E24" s="26" t="n">
        <f aca="false">E22+E23</f>
        <v>867.005179115267</v>
      </c>
      <c r="F24" s="26" t="n">
        <f aca="false">F22+F23</f>
        <v>865.989177532628</v>
      </c>
      <c r="G24" s="26" t="n">
        <f aca="false">G22+G23</f>
        <v>865.080798152222</v>
      </c>
      <c r="H24" s="26" t="n">
        <f aca="false">H22+H23</f>
        <v>865.127483770558</v>
      </c>
      <c r="I24" s="26" t="n">
        <f aca="false">I22+I23</f>
        <v>1000.78477042336</v>
      </c>
      <c r="J24" s="26" t="n">
        <f aca="false">J22+J23</f>
        <v>1003.3191331469</v>
      </c>
      <c r="K24" s="26" t="n">
        <f aca="false">K22+K23</f>
        <v>1405.13249524571</v>
      </c>
      <c r="L24" s="26" t="n">
        <f aca="false">L22+L23</f>
        <v>1820.29080595938</v>
      </c>
      <c r="M24" s="26" t="n">
        <f aca="false">M22+M23</f>
        <v>2227.13570413002</v>
      </c>
      <c r="N24" s="26" t="n">
        <f aca="false">N22+N23</f>
        <v>12595.1691053328</v>
      </c>
      <c r="O24" s="26" t="n">
        <f aca="false">O22+O23</f>
        <v>9442.9092363</v>
      </c>
      <c r="P24" s="26" t="n">
        <f aca="false">N24-O24</f>
        <v>3152.2598690328</v>
      </c>
      <c r="Q24" s="27" t="n">
        <f aca="false">(N24/O24)-1</f>
        <v>0.333822955420881</v>
      </c>
      <c r="S24" s="26" t="n">
        <f aca="false">S22+S23</f>
        <v>11655.906097497</v>
      </c>
      <c r="T24" s="26" t="n">
        <f aca="false">N24-S24</f>
        <v>939.263007835805</v>
      </c>
      <c r="U24" s="27" t="n">
        <f aca="false">T24/S24</f>
        <v>0.0805825819099129</v>
      </c>
      <c r="X24" s="25" t="s">
        <v>49</v>
      </c>
      <c r="Y24" s="26" t="n">
        <f aca="false">Y22+Y23</f>
        <v>2271.71986903281</v>
      </c>
      <c r="AB24" s="25" t="s">
        <v>49</v>
      </c>
      <c r="AC24" s="26" t="n">
        <f aca="false">AC22+AC23</f>
        <v>2187.25688037219</v>
      </c>
      <c r="AD24" s="26" t="n">
        <f aca="false">Y24-AC24</f>
        <v>84.4629886606144</v>
      </c>
      <c r="AE24" s="27" t="n">
        <f aca="false">AD24/AC24</f>
        <v>0.0386159437506224</v>
      </c>
    </row>
    <row r="25" customFormat="false" ht="15" hidden="true" customHeight="false" outlineLevel="1" collapsed="false">
      <c r="A25" s="28" t="s">
        <v>50</v>
      </c>
      <c r="B25" s="29" t="n">
        <f aca="false">'P&amp;L 2027'!B37</f>
        <v>-113.964046852421</v>
      </c>
      <c r="C25" s="29" t="n">
        <f aca="false">'P&amp;L 2027'!C37</f>
        <v>-116.10616442779</v>
      </c>
      <c r="D25" s="29" t="n">
        <f aca="false">'P&amp;L 2027'!D37</f>
        <v>-116.710569276869</v>
      </c>
      <c r="E25" s="29" t="n">
        <f aca="false">'P&amp;L 2027'!E37</f>
        <v>-118.662842973061</v>
      </c>
      <c r="F25" s="29" t="n">
        <f aca="false">'P&amp;L 2027'!F37</f>
        <v>-120.878049200388</v>
      </c>
      <c r="G25" s="29" t="n">
        <f aca="false">'P&amp;L 2027'!G37</f>
        <v>-117.838601751365</v>
      </c>
      <c r="H25" s="29" t="n">
        <f aca="false">'P&amp;L 2027'!H37</f>
        <v>-120.784079044911</v>
      </c>
      <c r="I25" s="29" t="n">
        <f aca="false">'P&amp;L 2027'!I37</f>
        <v>-102.883619444708</v>
      </c>
      <c r="J25" s="29" t="n">
        <f aca="false">'P&amp;L 2027'!J37</f>
        <v>-119.844979381682</v>
      </c>
      <c r="K25" s="29" t="n">
        <f aca="false">'P&amp;L 2027'!K37</f>
        <v>-127.968972077443</v>
      </c>
      <c r="L25" s="29" t="n">
        <f aca="false">'P&amp;L 2027'!L37</f>
        <v>-128.01786718941</v>
      </c>
      <c r="M25" s="29" t="n">
        <f aca="false">'P&amp;L 2027'!M37</f>
        <v>-132.703144979921</v>
      </c>
      <c r="N25" s="29" t="n">
        <f aca="false">'P&amp;L 2027'!N37</f>
        <v>-1436.36293659997</v>
      </c>
      <c r="O25" s="29" t="n">
        <f aca="false">'P&amp;L 2027'!O37</f>
        <v>-1120.07144</v>
      </c>
      <c r="P25" s="29" t="n">
        <f aca="false">N25-O25</f>
        <v>-316.291496599969</v>
      </c>
      <c r="Q25" s="30" t="n">
        <f aca="false">(N25/O25)-1</f>
        <v>0.282385109828324</v>
      </c>
      <c r="S25" s="29" t="n">
        <v>-1478.51466094806</v>
      </c>
      <c r="T25" s="29" t="n">
        <f aca="false">N25-S25</f>
        <v>42.1517243480914</v>
      </c>
      <c r="U25" s="30" t="n">
        <f aca="false">T25/S25</f>
        <v>-0.028509507184097</v>
      </c>
      <c r="X25" s="28" t="s">
        <v>50</v>
      </c>
      <c r="Y25" s="31" t="n">
        <f aca="false">N25</f>
        <v>-1436.36293659997</v>
      </c>
      <c r="AB25" s="28" t="s">
        <v>50</v>
      </c>
      <c r="AC25" s="31" t="n">
        <f aca="false">S25</f>
        <v>-1478.51466094806</v>
      </c>
      <c r="AD25" s="29" t="n">
        <f aca="false">Y25-AC25</f>
        <v>42.1517243480914</v>
      </c>
      <c r="AE25" s="30" t="n">
        <f aca="false">AD25/AC25</f>
        <v>-0.028509507184097</v>
      </c>
    </row>
    <row r="26" customFormat="false" ht="15" hidden="true" customHeight="false" outlineLevel="1" collapsed="false">
      <c r="A26" s="28" t="s">
        <v>51</v>
      </c>
      <c r="B26" s="29" t="n">
        <f aca="false">'P&amp;L 2027'!B48</f>
        <v>-1.1561945499232</v>
      </c>
      <c r="C26" s="29" t="n">
        <f aca="false">'P&amp;L 2027'!C48</f>
        <v>-5.1511945499232</v>
      </c>
      <c r="D26" s="29" t="n">
        <f aca="false">'P&amp;L 2027'!D48</f>
        <v>-1.8032845499232</v>
      </c>
      <c r="E26" s="29" t="n">
        <f aca="false">'P&amp;L 2027'!E48</f>
        <v>-12.2532852199232</v>
      </c>
      <c r="F26" s="29" t="n">
        <f aca="false">'P&amp;L 2027'!F48</f>
        <v>-1.6682845499232</v>
      </c>
      <c r="G26" s="29" t="n">
        <f aca="false">'P&amp;L 2027'!G48</f>
        <v>-1.6632845499232</v>
      </c>
      <c r="H26" s="29" t="n">
        <f aca="false">'P&amp;L 2027'!H48</f>
        <v>-7.8032845499232</v>
      </c>
      <c r="I26" s="29" t="n">
        <f aca="false">'P&amp;L 2027'!I48</f>
        <v>-2.0029545499232</v>
      </c>
      <c r="J26" s="29" t="n">
        <f aca="false">'P&amp;L 2027'!J48</f>
        <v>-1.6682845499232</v>
      </c>
      <c r="K26" s="29" t="n">
        <f aca="false">'P&amp;L 2027'!K48</f>
        <v>-1.6632845499232</v>
      </c>
      <c r="L26" s="29" t="n">
        <f aca="false">'P&amp;L 2027'!L48</f>
        <v>-1.68150634062704</v>
      </c>
      <c r="M26" s="29" t="n">
        <f aca="false">'P&amp;L 2027'!M48</f>
        <v>-1.7715893986895</v>
      </c>
      <c r="N26" s="29" t="n">
        <f aca="false">'P&amp;L 2027'!N48</f>
        <v>-40.2864319085485</v>
      </c>
      <c r="O26" s="29" t="n">
        <f aca="false">'P&amp;L 2027'!O48</f>
        <v>-32.7</v>
      </c>
      <c r="P26" s="29" t="n">
        <f aca="false">N26-O26</f>
        <v>-7.5864319085485</v>
      </c>
      <c r="Q26" s="30" t="n">
        <f aca="false">(N26/O26)-1</f>
        <v>0.23200097579659</v>
      </c>
      <c r="S26" s="29" t="n">
        <v>-26.2098756079167</v>
      </c>
      <c r="T26" s="29" t="n">
        <f aca="false">N26-S26</f>
        <v>-14.0765563006318</v>
      </c>
      <c r="U26" s="30" t="n">
        <f aca="false">T26/S26</f>
        <v>0.537070702326415</v>
      </c>
      <c r="X26" s="28" t="s">
        <v>51</v>
      </c>
      <c r="Y26" s="31" t="n">
        <f aca="false">N26</f>
        <v>-40.2864319085485</v>
      </c>
      <c r="AB26" s="28" t="s">
        <v>51</v>
      </c>
      <c r="AC26" s="31" t="n">
        <f aca="false">S26</f>
        <v>-26.2098756079167</v>
      </c>
      <c r="AD26" s="29" t="n">
        <f aca="false">Y26-AC26</f>
        <v>-14.0765563006318</v>
      </c>
      <c r="AE26" s="30" t="n">
        <f aca="false">AD26/AC26</f>
        <v>0.537070702326415</v>
      </c>
    </row>
    <row r="27" customFormat="false" ht="15" hidden="true" customHeight="false" outlineLevel="1" collapsed="false">
      <c r="A27" s="28" t="s">
        <v>52</v>
      </c>
      <c r="B27" s="29" t="n">
        <f aca="false">'P&amp;L 2027'!B53</f>
        <v>-5.96769226666667</v>
      </c>
      <c r="C27" s="29" t="n">
        <f aca="false">'P&amp;L 2027'!C53</f>
        <v>-10.3176922666667</v>
      </c>
      <c r="D27" s="29" t="n">
        <f aca="false">'P&amp;L 2027'!D53</f>
        <v>-9.54269226666667</v>
      </c>
      <c r="E27" s="29" t="n">
        <f aca="false">'P&amp;L 2027'!E53</f>
        <v>-7.96769226666667</v>
      </c>
      <c r="F27" s="29" t="n">
        <f aca="false">'P&amp;L 2027'!F53</f>
        <v>-6.16769226666667</v>
      </c>
      <c r="G27" s="29" t="n">
        <f aca="false">'P&amp;L 2027'!G53</f>
        <v>-7.34269226666667</v>
      </c>
      <c r="H27" s="29" t="n">
        <f aca="false">'P&amp;L 2027'!H53</f>
        <v>-10.3086770666667</v>
      </c>
      <c r="I27" s="29" t="n">
        <f aca="false">'P&amp;L 2027'!I53</f>
        <v>-7.65867706666667</v>
      </c>
      <c r="J27" s="29" t="n">
        <f aca="false">'P&amp;L 2027'!J53</f>
        <v>-9.23367706666667</v>
      </c>
      <c r="K27" s="29" t="n">
        <f aca="false">'P&amp;L 2027'!K53</f>
        <v>-7.60867706666667</v>
      </c>
      <c r="L27" s="29" t="n">
        <f aca="false">'P&amp;L 2027'!L53</f>
        <v>-11.5086770666667</v>
      </c>
      <c r="M27" s="29" t="n">
        <f aca="false">'P&amp;L 2027'!M53</f>
        <v>-7.03367706666667</v>
      </c>
      <c r="N27" s="29" t="n">
        <f aca="false">'P&amp;L 2027'!N53</f>
        <v>-100.658216</v>
      </c>
      <c r="O27" s="29" t="n">
        <f aca="false">'P&amp;L 2027'!O53</f>
        <v>-55.25</v>
      </c>
      <c r="P27" s="29" t="n">
        <f aca="false">N27-O27</f>
        <v>-45.408216</v>
      </c>
      <c r="Q27" s="30" t="n">
        <f aca="false">(N27/O27)-1</f>
        <v>0.821868162895928</v>
      </c>
      <c r="S27" s="29" t="n">
        <v>-37.5</v>
      </c>
      <c r="T27" s="29" t="n">
        <f aca="false">N27-S27</f>
        <v>-63.158216</v>
      </c>
      <c r="U27" s="30" t="n">
        <f aca="false">T27/S27</f>
        <v>1.68421909333333</v>
      </c>
      <c r="X27" s="28" t="s">
        <v>52</v>
      </c>
      <c r="Y27" s="31" t="n">
        <f aca="false">N27</f>
        <v>-100.658216</v>
      </c>
      <c r="AB27" s="28" t="s">
        <v>52</v>
      </c>
      <c r="AC27" s="31" t="n">
        <f aca="false">S27</f>
        <v>-37.5</v>
      </c>
      <c r="AD27" s="29" t="n">
        <f aca="false">Y27-AC27</f>
        <v>-63.158216</v>
      </c>
      <c r="AE27" s="30" t="n">
        <f aca="false">AD27/AC27</f>
        <v>1.68421909333333</v>
      </c>
    </row>
    <row r="28" customFormat="false" ht="15" hidden="true" customHeight="false" outlineLevel="1" collapsed="false">
      <c r="A28" s="28" t="s">
        <v>53</v>
      </c>
      <c r="B28" s="29" t="n">
        <f aca="false">'P&amp;L 2027'!B64</f>
        <v>-2.44525113760494</v>
      </c>
      <c r="C28" s="29" t="n">
        <f aca="false">'P&amp;L 2027'!C64</f>
        <v>-5.32565910714291</v>
      </c>
      <c r="D28" s="29" t="n">
        <f aca="false">'P&amp;L 2027'!D64</f>
        <v>-7.24587898161732</v>
      </c>
      <c r="E28" s="29" t="n">
        <f aca="false">'P&amp;L 2027'!E64</f>
        <v>-7.24578519222565</v>
      </c>
      <c r="F28" s="29" t="n">
        <f aca="false">'P&amp;L 2027'!F64</f>
        <v>-7.24587898161733</v>
      </c>
      <c r="G28" s="29" t="n">
        <f aca="false">'P&amp;L 2027'!G64</f>
        <v>-7.24587898161732</v>
      </c>
      <c r="H28" s="29" t="n">
        <f aca="false">'P&amp;L 2027'!H64</f>
        <v>-7.24587898161732</v>
      </c>
      <c r="I28" s="29" t="n">
        <f aca="false">'P&amp;L 2027'!I64</f>
        <v>-8.205848234767</v>
      </c>
      <c r="J28" s="29" t="n">
        <f aca="false">'P&amp;L 2027'!J64</f>
        <v>-8.20584823476702</v>
      </c>
      <c r="K28" s="29" t="n">
        <f aca="false">'P&amp;L 2027'!K64</f>
        <v>-11.0863812568272</v>
      </c>
      <c r="L28" s="29" t="n">
        <f aca="false">'P&amp;L 2027'!L64</f>
        <v>-13.9667579632346</v>
      </c>
      <c r="M28" s="29" t="n">
        <f aca="false">'P&amp;L 2027'!M64</f>
        <v>-16.847134669642</v>
      </c>
      <c r="N28" s="29" t="n">
        <f aca="false">'P&amp;L 2027'!N64</f>
        <v>-102.312181722681</v>
      </c>
      <c r="O28" s="29" t="n">
        <f aca="false">'P&amp;L 2027'!O64</f>
        <v>-91.6</v>
      </c>
      <c r="P28" s="29" t="n">
        <f aca="false">N28-O28</f>
        <v>-10.7121817226806</v>
      </c>
      <c r="Q28" s="30" t="n">
        <f aca="false">(N28/O28)-1</f>
        <v>0.116945215313107</v>
      </c>
      <c r="S28" s="29" t="n">
        <v>-98.2017685106629</v>
      </c>
      <c r="T28" s="29" t="n">
        <f aca="false">N28-S28</f>
        <v>-4.1104132120177</v>
      </c>
      <c r="U28" s="30" t="n">
        <f aca="false">T28/S28</f>
        <v>0.0418568145396627</v>
      </c>
      <c r="X28" s="28" t="s">
        <v>53</v>
      </c>
      <c r="Y28" s="31" t="n">
        <f aca="false">N28</f>
        <v>-102.312181722681</v>
      </c>
      <c r="AB28" s="28" t="s">
        <v>53</v>
      </c>
      <c r="AC28" s="31" t="n">
        <f aca="false">S28</f>
        <v>-98.2017685106629</v>
      </c>
      <c r="AD28" s="29" t="n">
        <f aca="false">Y28-AC28</f>
        <v>-4.1104132120177</v>
      </c>
      <c r="AE28" s="30" t="n">
        <f aca="false">AD28/AC28</f>
        <v>0.0418568145396627</v>
      </c>
    </row>
    <row r="29" customFormat="false" ht="15" hidden="true" customHeight="false" outlineLevel="1" collapsed="false">
      <c r="A29" s="28" t="s">
        <v>54</v>
      </c>
      <c r="B29" s="29" t="n">
        <f aca="false">'P&amp;L 2027'!B55</f>
        <v>-6.44907272921417</v>
      </c>
      <c r="C29" s="29" t="n">
        <f aca="false">'P&amp;L 2027'!C55</f>
        <v>-6.44907272921417</v>
      </c>
      <c r="D29" s="29" t="n">
        <f aca="false">'P&amp;L 2027'!D55</f>
        <v>-6.84907272921417</v>
      </c>
      <c r="E29" s="29" t="n">
        <f aca="false">'P&amp;L 2027'!E55</f>
        <v>-6.64907272921417</v>
      </c>
      <c r="F29" s="29" t="n">
        <f aca="false">'P&amp;L 2027'!F55</f>
        <v>-7.14907272921417</v>
      </c>
      <c r="G29" s="29" t="n">
        <f aca="false">'P&amp;L 2027'!G55</f>
        <v>-7.09957968014875</v>
      </c>
      <c r="H29" s="29" t="n">
        <f aca="false">'P&amp;L 2027'!H55</f>
        <v>-7.04200677321728</v>
      </c>
      <c r="I29" s="29" t="n">
        <f aca="false">'P&amp;L 2027'!I55</f>
        <v>-7.30994301384494</v>
      </c>
      <c r="J29" s="29" t="n">
        <f aca="false">'P&amp;L 2027'!J55</f>
        <v>-8.82134158688551</v>
      </c>
      <c r="K29" s="29" t="n">
        <f aca="false">'P&amp;L 2027'!K55</f>
        <v>-9.42744069455684</v>
      </c>
      <c r="L29" s="29" t="n">
        <f aca="false">'P&amp;L 2027'!L55</f>
        <v>-9.42744069455684</v>
      </c>
      <c r="M29" s="29" t="n">
        <f aca="false">'P&amp;L 2027'!M55</f>
        <v>-9.42744069455684</v>
      </c>
      <c r="N29" s="29" t="n">
        <f aca="false">'P&amp;L 2027'!N55</f>
        <v>-92.1005567838379</v>
      </c>
      <c r="O29" s="29" t="n">
        <f aca="false">'P&amp;L 2027'!O55</f>
        <v>-58.6</v>
      </c>
      <c r="P29" s="29" t="n">
        <f aca="false">N29-O29</f>
        <v>-33.5005567838378</v>
      </c>
      <c r="Q29" s="30" t="n">
        <f aca="false">(N29/O29)-1</f>
        <v>0.571681856379485</v>
      </c>
      <c r="S29" s="29" t="n">
        <v>-62.06</v>
      </c>
      <c r="T29" s="29" t="n">
        <f aca="false">N29-S29</f>
        <v>-30.0405567838378</v>
      </c>
      <c r="U29" s="30" t="n">
        <f aca="false">T29/S29</f>
        <v>0.484056667480468</v>
      </c>
      <c r="X29" s="28" t="s">
        <v>54</v>
      </c>
      <c r="Y29" s="31" t="n">
        <f aca="false">N29</f>
        <v>-92.1005567838379</v>
      </c>
      <c r="AB29" s="28" t="s">
        <v>54</v>
      </c>
      <c r="AC29" s="31" t="n">
        <f aca="false">S29</f>
        <v>-62.06</v>
      </c>
      <c r="AD29" s="29" t="n">
        <f aca="false">Y29-AC29</f>
        <v>-30.0405567838378</v>
      </c>
      <c r="AE29" s="30" t="n">
        <f aca="false">AD29/AC29</f>
        <v>0.484056667480468</v>
      </c>
    </row>
    <row r="30" customFormat="false" ht="15" hidden="false" customHeight="false" outlineLevel="0" collapsed="false">
      <c r="A30" s="25" t="s">
        <v>55</v>
      </c>
      <c r="B30" s="26" t="n">
        <f aca="false">SUM(B25:B29)</f>
        <v>-129.98225753583</v>
      </c>
      <c r="C30" s="26" t="n">
        <f aca="false">SUM(C25:C29)</f>
        <v>-143.349783080737</v>
      </c>
      <c r="D30" s="26" t="n">
        <f aca="false">SUM(D25:D29)</f>
        <v>-142.15149780429</v>
      </c>
      <c r="E30" s="26" t="n">
        <f aca="false">SUM(E25:E29)</f>
        <v>-152.778678381091</v>
      </c>
      <c r="F30" s="26" t="n">
        <f aca="false">SUM(F25:F29)</f>
        <v>-143.108977727809</v>
      </c>
      <c r="G30" s="26" t="n">
        <f aca="false">SUM(G25:G29)</f>
        <v>-141.190037229721</v>
      </c>
      <c r="H30" s="26" t="n">
        <f aca="false">SUM(H25:H29)</f>
        <v>-153.183926416335</v>
      </c>
      <c r="I30" s="26" t="n">
        <f aca="false">SUM(I25:I29)</f>
        <v>-128.06104230991</v>
      </c>
      <c r="J30" s="26" t="n">
        <f aca="false">SUM(J25:J29)</f>
        <v>-147.774130819924</v>
      </c>
      <c r="K30" s="26" t="n">
        <f aca="false">SUM(K25:K29)</f>
        <v>-157.754755645417</v>
      </c>
      <c r="L30" s="26" t="n">
        <f aca="false">SUM(L25:L29)</f>
        <v>-164.602249254495</v>
      </c>
      <c r="M30" s="26" t="n">
        <f aca="false">SUM(M25:M29)</f>
        <v>-167.782986809476</v>
      </c>
      <c r="N30" s="26" t="n">
        <f aca="false">SUM(N25:N29)</f>
        <v>-1771.72032301504</v>
      </c>
      <c r="O30" s="26" t="n">
        <f aca="false">SUM(O25:O29)</f>
        <v>-1358.22144</v>
      </c>
      <c r="P30" s="26" t="n">
        <f aca="false">N30-O30</f>
        <v>-413.498883015036</v>
      </c>
      <c r="Q30" s="27" t="n">
        <f aca="false">(N30/O30)-1</f>
        <v>0.304441434097106</v>
      </c>
      <c r="S30" s="26" t="n">
        <f aca="false">SUM(S25:S29)</f>
        <v>-1702.48630506664</v>
      </c>
      <c r="T30" s="26" t="n">
        <f aca="false">N30-S30</f>
        <v>-69.2340179483958</v>
      </c>
      <c r="U30" s="27" t="n">
        <f aca="false">T30/S30</f>
        <v>0.0406664169587466</v>
      </c>
      <c r="V30" s="32"/>
      <c r="W30" s="33" t="s">
        <v>42</v>
      </c>
      <c r="X30" s="25" t="s">
        <v>55</v>
      </c>
      <c r="Y30" s="34" t="n">
        <f aca="false">SUM(Y25:Y29)</f>
        <v>-1771.72032301504</v>
      </c>
      <c r="AB30" s="25" t="s">
        <v>55</v>
      </c>
      <c r="AC30" s="34" t="n">
        <f aca="false">SUM(AC25:AC29)</f>
        <v>-1702.48630506664</v>
      </c>
      <c r="AD30" s="26" t="n">
        <f aca="false">Y30-AC30</f>
        <v>-69.2340179483961</v>
      </c>
      <c r="AE30" s="27" t="n">
        <f aca="false">AD30/AC30</f>
        <v>0.0406664169587467</v>
      </c>
    </row>
    <row r="31" customFormat="false" ht="15" hidden="false" customHeight="false" outlineLevel="0" collapsed="false">
      <c r="A31" s="25" t="s">
        <v>56</v>
      </c>
      <c r="B31" s="26" t="n">
        <f aca="false">B30+B24</f>
        <v>71.4742165083571</v>
      </c>
      <c r="C31" s="26" t="n">
        <f aca="false">C30+C24</f>
        <v>459.694824399784</v>
      </c>
      <c r="D31" s="26" t="n">
        <f aca="false">D30+D24</f>
        <v>728.650978527765</v>
      </c>
      <c r="E31" s="26" t="n">
        <f aca="false">E30+E24</f>
        <v>714.226500734176</v>
      </c>
      <c r="F31" s="26" t="n">
        <f aca="false">F30+F24</f>
        <v>722.880199804818</v>
      </c>
      <c r="G31" s="26" t="n">
        <f aca="false">G30+G24</f>
        <v>723.890760922501</v>
      </c>
      <c r="H31" s="26" t="n">
        <f aca="false">H30+H24</f>
        <v>711.943557354222</v>
      </c>
      <c r="I31" s="26" t="n">
        <f aca="false">I30+I24</f>
        <v>872.723728113451</v>
      </c>
      <c r="J31" s="26" t="n">
        <f aca="false">J30+J24</f>
        <v>855.545002326972</v>
      </c>
      <c r="K31" s="26" t="n">
        <f aca="false">K30+K24</f>
        <v>1247.3777396003</v>
      </c>
      <c r="L31" s="26" t="n">
        <f aca="false">L30+L24</f>
        <v>1655.68855670488</v>
      </c>
      <c r="M31" s="26" t="n">
        <f aca="false">M30+M24</f>
        <v>2059.35271732054</v>
      </c>
      <c r="N31" s="26" t="n">
        <f aca="false">N30+N24</f>
        <v>10823.4487823178</v>
      </c>
      <c r="O31" s="26" t="n">
        <f aca="false">O30+O24</f>
        <v>8084.6877963</v>
      </c>
      <c r="P31" s="26" t="n">
        <f aca="false">N31-O31</f>
        <v>2738.76098601777</v>
      </c>
      <c r="Q31" s="27" t="n">
        <f aca="false">(N31/O31)-1</f>
        <v>0.338759028799006</v>
      </c>
      <c r="S31" s="26" t="n">
        <f aca="false">S30+S24</f>
        <v>9953.41979243036</v>
      </c>
      <c r="T31" s="26" t="n">
        <f aca="false">N31-S31</f>
        <v>870.028989887409</v>
      </c>
      <c r="U31" s="27" t="n">
        <f aca="false">T31/S31</f>
        <v>0.0874100568479058</v>
      </c>
      <c r="X31" s="25" t="s">
        <v>56</v>
      </c>
      <c r="Y31" s="35" t="n">
        <f aca="false">Y24+Y30</f>
        <v>499.99954601777</v>
      </c>
      <c r="AB31" s="25" t="s">
        <v>56</v>
      </c>
      <c r="AC31" s="35" t="n">
        <f aca="false">AC30+AC24</f>
        <v>484.770575305551</v>
      </c>
      <c r="AD31" s="26" t="n">
        <f aca="false">Y31-AC31</f>
        <v>15.2289707122184</v>
      </c>
      <c r="AE31" s="27" t="n">
        <f aca="false">AD31/AC31</f>
        <v>0.0314148000889277</v>
      </c>
    </row>
    <row r="32" customFormat="false" ht="15" hidden="true" customHeight="false" outlineLevel="1" collapsed="false">
      <c r="A32" s="36" t="s">
        <v>57</v>
      </c>
      <c r="B32" s="13" t="n">
        <f aca="false">'P&amp;L 2027_AdvInventory'!B54</f>
        <v>-42.4589221570622</v>
      </c>
      <c r="C32" s="13" t="n">
        <f aca="false">'P&amp;L 2027_AdvInventory'!C54</f>
        <v>-43.0455801144657</v>
      </c>
      <c r="D32" s="13" t="n">
        <f aca="false">'P&amp;L 2027_AdvInventory'!D54</f>
        <v>-44.5059008430205</v>
      </c>
      <c r="E32" s="13" t="n">
        <f aca="false">'P&amp;L 2027_AdvInventory'!E54</f>
        <v>-44.3697992096137</v>
      </c>
      <c r="F32" s="13" t="n">
        <f aca="false">'P&amp;L 2027_AdvInventory'!F54</f>
        <v>-44.5288118210764</v>
      </c>
      <c r="G32" s="13" t="n">
        <f aca="false">'P&amp;L 2027_AdvInventory'!G54</f>
        <v>-44.1829047514327</v>
      </c>
      <c r="H32" s="13" t="n">
        <f aca="false">'P&amp;L 2027_AdvInventory'!H54</f>
        <v>-47.1088453652662</v>
      </c>
      <c r="I32" s="13" t="n">
        <f aca="false">'P&amp;L 2027_AdvInventory'!I54</f>
        <v>-46.6230449100597</v>
      </c>
      <c r="J32" s="13" t="n">
        <f aca="false">'P&amp;L 2027_AdvInventory'!J54</f>
        <v>-46.2426262744877</v>
      </c>
      <c r="K32" s="13" t="n">
        <f aca="false">'P&amp;L 2027_AdvInventory'!K54</f>
        <v>-46.092339570551</v>
      </c>
      <c r="L32" s="13" t="n">
        <f aca="false">'P&amp;L 2027_AdvInventory'!L54</f>
        <v>-45.9706611366441</v>
      </c>
      <c r="M32" s="13" t="n">
        <f aca="false">'P&amp;L 2027_AdvInventory'!M54</f>
        <v>-45.904436886102</v>
      </c>
      <c r="N32" s="13" t="n">
        <f aca="false">'P&amp;L 2027_AdvInventory'!N54</f>
        <v>-541.033873039782</v>
      </c>
      <c r="O32" s="13" t="n">
        <f aca="false">'P&amp;L 2027_AdvInventory'!O54</f>
        <v>-447.2</v>
      </c>
      <c r="P32" s="13" t="n">
        <f aca="false">N32-O32</f>
        <v>-93.8338730397823</v>
      </c>
      <c r="Q32" s="14" t="n">
        <f aca="false">(N32/O32)-1</f>
        <v>0.209825297495041</v>
      </c>
    </row>
    <row r="33" customFormat="false" ht="15" hidden="true" customHeight="false" outlineLevel="1" collapsed="false">
      <c r="A33" s="36" t="s">
        <v>58</v>
      </c>
      <c r="B33" s="13" t="n">
        <f aca="false">'P&amp;L 2027_AdvInventory'!B55</f>
        <v>-0</v>
      </c>
      <c r="C33" s="13" t="n">
        <f aca="false">'P&amp;L 2027_AdvInventory'!C55</f>
        <v>-0</v>
      </c>
      <c r="D33" s="13" t="n">
        <f aca="false">'P&amp;L 2027_AdvInventory'!D55</f>
        <v>-0</v>
      </c>
      <c r="E33" s="13" t="n">
        <f aca="false">'P&amp;L 2027_AdvInventory'!E55</f>
        <v>-10.23056</v>
      </c>
      <c r="F33" s="13" t="n">
        <f aca="false">'P&amp;L 2027_AdvInventory'!F55</f>
        <v>-18.36096</v>
      </c>
      <c r="G33" s="13" t="n">
        <f aca="false">'P&amp;L 2027_AdvInventory'!G55</f>
        <v>-52.57255814</v>
      </c>
      <c r="H33" s="13" t="n">
        <f aca="false">'P&amp;L 2027_AdvInventory'!H55</f>
        <v>-45.67833721</v>
      </c>
      <c r="I33" s="13" t="n">
        <f aca="false">'P&amp;L 2027_AdvInventory'!I55</f>
        <v>-56.6199534892</v>
      </c>
      <c r="J33" s="13" t="n">
        <f aca="false">'P&amp;L 2027_AdvInventory'!J55</f>
        <v>-155.41</v>
      </c>
      <c r="K33" s="13" t="n">
        <f aca="false">'P&amp;L 2027_AdvInventory'!K55</f>
        <v>-170.7335</v>
      </c>
      <c r="L33" s="13" t="n">
        <f aca="false">'P&amp;L 2027_AdvInventory'!L55</f>
        <v>-0</v>
      </c>
      <c r="M33" s="13" t="n">
        <f aca="false">'P&amp;L 2027_AdvInventory'!M55</f>
        <v>-100</v>
      </c>
      <c r="N33" s="13" t="n">
        <f aca="false">'P&amp;L 2027_AdvInventory'!N55</f>
        <v>-609.6058688392</v>
      </c>
      <c r="O33" s="13" t="n">
        <f aca="false">'P&amp;L 2027_AdvInventory'!O55</f>
        <v>-732.4</v>
      </c>
      <c r="P33" s="13" t="n">
        <f aca="false">N33-O33</f>
        <v>122.7941311608</v>
      </c>
      <c r="Q33" s="14" t="n">
        <f aca="false">(N33/O33)-1</f>
        <v>-0.167659927854724</v>
      </c>
    </row>
    <row r="34" customFormat="false" ht="15" hidden="false" customHeight="false" outlineLevel="0" collapsed="false">
      <c r="A34" s="25" t="s">
        <v>59</v>
      </c>
      <c r="B34" s="26" t="n">
        <f aca="false">SUM(B32:B33)</f>
        <v>-42.4589221570622</v>
      </c>
      <c r="C34" s="26" t="n">
        <f aca="false">SUM(C32:C33)</f>
        <v>-43.0455801144657</v>
      </c>
      <c r="D34" s="26" t="n">
        <f aca="false">SUM(D32:D33)</f>
        <v>-44.5059008430205</v>
      </c>
      <c r="E34" s="26" t="n">
        <f aca="false">SUM(E32:E33)</f>
        <v>-54.6003592096137</v>
      </c>
      <c r="F34" s="26" t="n">
        <f aca="false">SUM(F32:F33)</f>
        <v>-62.8897718210764</v>
      </c>
      <c r="G34" s="26" t="n">
        <f aca="false">SUM(G32:G33)</f>
        <v>-96.7554628914327</v>
      </c>
      <c r="H34" s="26" t="n">
        <f aca="false">SUM(H32:H33)</f>
        <v>-92.7871825752662</v>
      </c>
      <c r="I34" s="26" t="n">
        <f aca="false">SUM(I32:I33)</f>
        <v>-103.24299839926</v>
      </c>
      <c r="J34" s="26" t="n">
        <f aca="false">SUM(J32:J33)</f>
        <v>-201.652626274488</v>
      </c>
      <c r="K34" s="26" t="n">
        <f aca="false">SUM(K32:K33)</f>
        <v>-216.825839570551</v>
      </c>
      <c r="L34" s="26" t="n">
        <f aca="false">SUM(L32:L33)</f>
        <v>-45.9706611366441</v>
      </c>
      <c r="M34" s="26" t="n">
        <f aca="false">SUM(M32:M33)</f>
        <v>-145.904436886102</v>
      </c>
      <c r="N34" s="26" t="n">
        <f aca="false">SUM(N32:N33)</f>
        <v>-1150.63974187898</v>
      </c>
      <c r="O34" s="26" t="n">
        <f aca="false">SUM(O32:O33)</f>
        <v>-1179.6</v>
      </c>
      <c r="P34" s="26" t="n">
        <f aca="false">N34-O34</f>
        <v>28.9602581210177</v>
      </c>
      <c r="Q34" s="27" t="n">
        <f aca="false">(N34/O34)-1</f>
        <v>-0.0245509139717003</v>
      </c>
      <c r="S34" s="26" t="n">
        <v>-1242.35027179251</v>
      </c>
      <c r="T34" s="26" t="n">
        <f aca="false">N34-S34</f>
        <v>91.7105299135278</v>
      </c>
      <c r="U34" s="27" t="n">
        <f aca="false">T34/S34</f>
        <v>-0.0738201874268554</v>
      </c>
      <c r="X34" s="25" t="str">
        <f aca="false">A34</f>
        <v>CAPEX</v>
      </c>
      <c r="Y34" s="26" t="n">
        <f aca="false">N34</f>
        <v>-1150.63974187898</v>
      </c>
      <c r="AB34" s="25" t="s">
        <v>59</v>
      </c>
      <c r="AC34" s="26" t="n">
        <f aca="false">S34</f>
        <v>-1242.35027179251</v>
      </c>
      <c r="AD34" s="26" t="n">
        <f aca="false">Y34-AC34</f>
        <v>91.7105299135278</v>
      </c>
      <c r="AE34" s="27" t="n">
        <f aca="false">AD34/AC34</f>
        <v>-0.0738201874268554</v>
      </c>
    </row>
    <row r="35" customFormat="false" ht="15" hidden="false" customHeight="false" outlineLevel="0" collapsed="false">
      <c r="A35" s="25" t="s">
        <v>60</v>
      </c>
      <c r="B35" s="26" t="n">
        <f aca="false">B34+B31</f>
        <v>29.0152943512949</v>
      </c>
      <c r="C35" s="26" t="n">
        <f aca="false">C34+C31</f>
        <v>416.649244285319</v>
      </c>
      <c r="D35" s="26" t="n">
        <f aca="false">D34+D31</f>
        <v>684.145077684745</v>
      </c>
      <c r="E35" s="26" t="n">
        <f aca="false">E34+E31</f>
        <v>659.626141524562</v>
      </c>
      <c r="F35" s="26" t="n">
        <f aca="false">F34+F31</f>
        <v>659.990427983742</v>
      </c>
      <c r="G35" s="26" t="n">
        <f aca="false">G34+G31</f>
        <v>627.135298031068</v>
      </c>
      <c r="H35" s="26" t="n">
        <f aca="false">H34+H31</f>
        <v>619.156374778956</v>
      </c>
      <c r="I35" s="26" t="n">
        <f aca="false">I34+I31</f>
        <v>769.480729714192</v>
      </c>
      <c r="J35" s="26" t="n">
        <f aca="false">J34+J31</f>
        <v>653.892376052484</v>
      </c>
      <c r="K35" s="26" t="n">
        <f aca="false">K34+K31</f>
        <v>1030.55190002974</v>
      </c>
      <c r="L35" s="26" t="n">
        <f aca="false">L34+L31</f>
        <v>1609.71789556824</v>
      </c>
      <c r="M35" s="26" t="n">
        <f aca="false">M34+M31</f>
        <v>1913.44828043444</v>
      </c>
      <c r="N35" s="26" t="n">
        <f aca="false">N34+N31</f>
        <v>9672.80904043879</v>
      </c>
      <c r="O35" s="26" t="n">
        <f aca="false">O34+O31</f>
        <v>6905.0877963</v>
      </c>
      <c r="P35" s="26" t="n">
        <f aca="false">N35-O35</f>
        <v>2767.72124413879</v>
      </c>
      <c r="Q35" s="27" t="n">
        <f aca="false">(N35/O35)-1</f>
        <v>0.400823468982079</v>
      </c>
      <c r="S35" s="26" t="n">
        <f aca="false">S34+S31</f>
        <v>8711.06952063785</v>
      </c>
      <c r="T35" s="26" t="n">
        <f aca="false">N35-S35</f>
        <v>961.739519800936</v>
      </c>
      <c r="U35" s="27" t="n">
        <f aca="false">T35/S35</f>
        <v>0.110404298521832</v>
      </c>
      <c r="X35" s="25" t="s">
        <v>60</v>
      </c>
      <c r="Y35" s="35" t="n">
        <f aca="false">Y31+Y34</f>
        <v>-650.640195861213</v>
      </c>
      <c r="AB35" s="25" t="s">
        <v>60</v>
      </c>
      <c r="AC35" s="35" t="n">
        <f aca="false">AC34+AC31</f>
        <v>-757.579696486959</v>
      </c>
      <c r="AD35" s="26" t="n">
        <f aca="false">Y35-AC35</f>
        <v>106.939500625746</v>
      </c>
      <c r="AE35" s="27" t="n">
        <f aca="false">AD35/AC35</f>
        <v>-0.141159406887018</v>
      </c>
    </row>
    <row r="36" customFormat="false" ht="15" hidden="false" customHeight="false" outlineLevel="0" collapsed="false">
      <c r="O36" s="37"/>
      <c r="P36" s="37"/>
      <c r="X36" s="38"/>
      <c r="Y36" s="39"/>
    </row>
    <row r="37" customFormat="false" ht="15" hidden="false" customHeight="false" outlineLevel="0" collapsed="false">
      <c r="A37" s="40" t="s">
        <v>61</v>
      </c>
      <c r="B37" s="41" t="n">
        <f aca="false">'P&amp;L 2027'!B73</f>
        <v>337.892813337882</v>
      </c>
      <c r="C37" s="41" t="n">
        <f aca="false">'P&amp;L 2027'!C73</f>
        <v>365.733248557982</v>
      </c>
      <c r="D37" s="41" t="n">
        <f aca="false">'P&amp;L 2027'!D73</f>
        <v>377.391899028058</v>
      </c>
      <c r="E37" s="41" t="n">
        <f aca="false">'P&amp;L 2027'!E73</f>
        <v>394.581850118611</v>
      </c>
      <c r="F37" s="41" t="n">
        <f aca="false">'P&amp;L 2027'!F73</f>
        <v>414.447459792765</v>
      </c>
      <c r="G37" s="41" t="n">
        <f aca="false">'P&amp;L 2027'!G73</f>
        <v>435.072522501306</v>
      </c>
      <c r="H37" s="41" t="n">
        <f aca="false">'P&amp;L 2027'!H73</f>
        <v>455.651586281225</v>
      </c>
      <c r="I37" s="41" t="n">
        <f aca="false">'P&amp;L 2027'!I73</f>
        <v>478.679739499093</v>
      </c>
      <c r="J37" s="41" t="n">
        <f aca="false">'P&amp;L 2027'!J73</f>
        <v>507.061642781086</v>
      </c>
      <c r="K37" s="41" t="n">
        <f aca="false">'P&amp;L 2027'!K73</f>
        <v>532.802642929373</v>
      </c>
      <c r="L37" s="41" t="n">
        <f aca="false">'P&amp;L 2027'!L73</f>
        <v>559.060379177406</v>
      </c>
      <c r="M37" s="41" t="n">
        <f aca="false">'P&amp;L 2027'!M73</f>
        <v>586.026104037395</v>
      </c>
      <c r="N37" s="41" t="n">
        <f aca="false">'P&amp;L 2027'!N73</f>
        <v>5444.40188804218</v>
      </c>
      <c r="O37" s="41" t="n">
        <f aca="false">'P&amp;L 2027'!O73</f>
        <v>3007</v>
      </c>
      <c r="P37" s="42" t="n">
        <f aca="false">N37-O37</f>
        <v>2437.40188804218</v>
      </c>
      <c r="Q37" s="43" t="n">
        <f aca="false">(N37/O37)-1</f>
        <v>0.810575952125767</v>
      </c>
      <c r="AC37" s="17" t="n">
        <f aca="false">AC31-500</f>
        <v>-15.2294246944489</v>
      </c>
    </row>
    <row r="39" customFormat="false" ht="15" hidden="false" customHeight="false" outlineLevel="0" collapsed="false">
      <c r="N39" s="15"/>
    </row>
    <row r="40" customFormat="false" ht="15" hidden="false" customHeight="false" outlineLevel="0" collapsed="false">
      <c r="A40" s="10" t="s">
        <v>62</v>
      </c>
      <c r="N40" s="15"/>
    </row>
    <row r="41" customFormat="false" ht="15" hidden="false" customHeight="false" outlineLevel="0" collapsed="false">
      <c r="A41" s="10"/>
      <c r="N41" s="44" t="s">
        <v>63</v>
      </c>
      <c r="O41" s="45" t="s">
        <v>64</v>
      </c>
      <c r="P41" s="45" t="s">
        <v>65</v>
      </c>
    </row>
    <row r="42" customFormat="false" ht="15" hidden="false" customHeight="false" outlineLevel="0" collapsed="false">
      <c r="A42" s="46" t="s">
        <v>66</v>
      </c>
      <c r="N42" s="47" t="n">
        <v>-28.46873</v>
      </c>
      <c r="O42" s="47" t="n">
        <v>14.234365</v>
      </c>
      <c r="P42" s="47" t="n">
        <f aca="false">SUM(N42:O42)</f>
        <v>-14.234365</v>
      </c>
    </row>
    <row r="43" customFormat="false" ht="15" hidden="false" customHeight="false" outlineLevel="0" collapsed="false">
      <c r="A43" s="46" t="s">
        <v>67</v>
      </c>
      <c r="N43" s="47" t="n">
        <v>-7.3794</v>
      </c>
      <c r="O43" s="47" t="n">
        <v>0</v>
      </c>
      <c r="P43" s="47" t="n">
        <f aca="false">SUM(N43:O43)</f>
        <v>-7.3794</v>
      </c>
    </row>
    <row r="44" customFormat="false" ht="15" hidden="false" customHeight="false" outlineLevel="0" collapsed="false">
      <c r="A44" s="40" t="s">
        <v>68</v>
      </c>
      <c r="N44" s="48" t="n">
        <f aca="false">SUM(N42:N43)</f>
        <v>-35.84813</v>
      </c>
      <c r="O44" s="48" t="n">
        <f aca="false">SUM(O42:O43)</f>
        <v>14.234365</v>
      </c>
      <c r="P44" s="48" t="n">
        <f aca="false">SUM(P42:P43)</f>
        <v>-21.613765</v>
      </c>
    </row>
  </sheetData>
  <mergeCells count="4">
    <mergeCell ref="B1:R1"/>
    <mergeCell ref="U1:W1"/>
    <mergeCell ref="Y1:AA1"/>
    <mergeCell ref="AE1:AG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2060"/>
    <pageSetUpPr fitToPage="false"/>
  </sheetPr>
  <dimension ref="A1:U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2.75" zeroHeight="false" outlineLevelRow="1" outlineLevelCol="0"/>
  <cols>
    <col collapsed="false" customWidth="true" hidden="false" outlineLevel="0" max="1" min="1" style="49" width="58"/>
    <col collapsed="false" customWidth="true" hidden="false" outlineLevel="0" max="13" min="2" style="49" width="10"/>
    <col collapsed="false" customWidth="true" hidden="false" outlineLevel="0" max="15" min="14" style="49" width="13"/>
    <col collapsed="false" customWidth="false" hidden="false" outlineLevel="0" max="16384" min="16" style="49" width="8.67"/>
  </cols>
  <sheetData>
    <row r="1" customFormat="false" ht="12.75" hidden="false" customHeight="false" outlineLevel="0" collapsed="false">
      <c r="A1" s="50" t="s">
        <v>69</v>
      </c>
      <c r="Q1" s="51" t="s">
        <v>70</v>
      </c>
    </row>
    <row r="2" customFormat="false" ht="12.75" hidden="false" customHeight="false" outlineLevel="0" collapsed="false">
      <c r="A2" s="52" t="s">
        <v>71</v>
      </c>
    </row>
    <row r="3" customFormat="false" ht="12.75" hidden="false" customHeight="false" outlineLevel="0" collapsed="false">
      <c r="B3" s="53" t="n">
        <f aca="false">B24/$N$24</f>
        <v>0.0200000735865345</v>
      </c>
      <c r="C3" s="53" t="n">
        <f aca="false">C24/$N$24</f>
        <v>0.0500004905768965</v>
      </c>
      <c r="D3" s="53" t="n">
        <f aca="false">D24/$N$24</f>
        <v>0.0700002575528708</v>
      </c>
      <c r="E3" s="53" t="n">
        <f aca="false">E24/$N$24</f>
        <v>0.0699993377211897</v>
      </c>
      <c r="F3" s="53" t="n">
        <f aca="false">F24/$N$24</f>
        <v>0.0700002575528709</v>
      </c>
      <c r="G3" s="53" t="n">
        <f aca="false">G24/$N$24</f>
        <v>0.0700002575528708</v>
      </c>
      <c r="H3" s="53" t="n">
        <f aca="false">H24/$N$24</f>
        <v>0.0700002575528708</v>
      </c>
      <c r="I3" s="53" t="n">
        <f aca="false">I24/$N$24</f>
        <v>0.0799987612933362</v>
      </c>
      <c r="J3" s="53" t="n">
        <f aca="false">J24/$N$24</f>
        <v>0.0799987612933363</v>
      </c>
      <c r="K3" s="53" t="n">
        <f aca="false">K24/$N$24</f>
        <v>0.110000404725939</v>
      </c>
      <c r="L3" s="53" t="n">
        <f aca="false">L24/$N$24</f>
        <v>0.140000515105741</v>
      </c>
      <c r="M3" s="53" t="n">
        <f aca="false">M24/$N$24</f>
        <v>0.170000625485543</v>
      </c>
      <c r="N3" s="53" t="n">
        <f aca="false">N24/$N$24</f>
        <v>1</v>
      </c>
    </row>
    <row r="4" customFormat="false" ht="12.75" hidden="false" customHeight="false" outlineLevel="0" collapsed="false">
      <c r="A4" s="5" t="s">
        <v>8</v>
      </c>
      <c r="B4" s="6" t="s">
        <v>9</v>
      </c>
      <c r="C4" s="6" t="s">
        <v>10</v>
      </c>
      <c r="D4" s="6" t="s">
        <v>11</v>
      </c>
      <c r="E4" s="6" t="s">
        <v>12</v>
      </c>
      <c r="F4" s="6" t="s">
        <v>13</v>
      </c>
      <c r="G4" s="6" t="s">
        <v>14</v>
      </c>
      <c r="H4" s="6" t="s">
        <v>15</v>
      </c>
      <c r="I4" s="6" t="s">
        <v>16</v>
      </c>
      <c r="J4" s="6" t="s">
        <v>17</v>
      </c>
      <c r="K4" s="6" t="s">
        <v>18</v>
      </c>
      <c r="L4" s="6" t="s">
        <v>19</v>
      </c>
      <c r="M4" s="6" t="s">
        <v>20</v>
      </c>
      <c r="N4" s="6" t="s">
        <v>72</v>
      </c>
      <c r="O4" s="6" t="s">
        <v>73</v>
      </c>
    </row>
    <row r="5" customFormat="false" ht="12.75" hidden="false" customHeight="false" outlineLevel="0" collapsed="false">
      <c r="A5" s="10" t="s">
        <v>28</v>
      </c>
      <c r="B5" s="54" t="n">
        <f aca="false">B6</f>
        <v>153.924683950421</v>
      </c>
      <c r="C5" s="54" t="n">
        <f aca="false">C6</f>
        <v>384.811709876052</v>
      </c>
      <c r="D5" s="54" t="n">
        <f aca="false">D6</f>
        <v>538.736393826474</v>
      </c>
      <c r="E5" s="54" t="n">
        <f aca="false">E6</f>
        <v>538.736393826472</v>
      </c>
      <c r="F5" s="54" t="n">
        <f aca="false">F6</f>
        <v>538.736393826475</v>
      </c>
      <c r="G5" s="54" t="n">
        <f aca="false">G6</f>
        <v>538.736393826474</v>
      </c>
      <c r="H5" s="54" t="n">
        <f aca="false">H6</f>
        <v>538.736393826474</v>
      </c>
      <c r="I5" s="54" t="n">
        <f aca="false">I6</f>
        <v>615.698735801682</v>
      </c>
      <c r="J5" s="54" t="n">
        <f aca="false">J6</f>
        <v>615.698735801684</v>
      </c>
      <c r="K5" s="54" t="n">
        <f aca="false">K6</f>
        <v>846.585761727311</v>
      </c>
      <c r="L5" s="54" t="n">
        <f aca="false">L6</f>
        <v>1077.47278765294</v>
      </c>
      <c r="M5" s="54" t="n">
        <f aca="false">M6</f>
        <v>1308.35981357858</v>
      </c>
      <c r="N5" s="54" t="n">
        <f aca="false">N6</f>
        <v>7696.23419752104</v>
      </c>
      <c r="O5" s="55" t="n">
        <f aca="false">O6</f>
        <v>6195.4</v>
      </c>
      <c r="P5" s="56" t="n">
        <f aca="false">IFERROR(N5/O5-1,"")</f>
        <v>0.242249765555257</v>
      </c>
    </row>
    <row r="6" customFormat="false" ht="12.75" hidden="false" customHeight="false" outlineLevel="1" collapsed="false">
      <c r="A6" s="18" t="str">
        <f aca="false">RevSplit!W5</f>
        <v>E-commerce</v>
      </c>
      <c r="B6" s="57" t="n">
        <f aca="false">RevSplit!X5</f>
        <v>153.924683950421</v>
      </c>
      <c r="C6" s="57" t="n">
        <f aca="false">RevSplit!Y5</f>
        <v>384.811709876052</v>
      </c>
      <c r="D6" s="57" t="n">
        <f aca="false">RevSplit!Z5</f>
        <v>538.736393826474</v>
      </c>
      <c r="E6" s="57" t="n">
        <f aca="false">RevSplit!AA5</f>
        <v>538.736393826472</v>
      </c>
      <c r="F6" s="57" t="n">
        <f aca="false">RevSplit!AB5</f>
        <v>538.736393826475</v>
      </c>
      <c r="G6" s="57" t="n">
        <f aca="false">RevSplit!AC5</f>
        <v>538.736393826474</v>
      </c>
      <c r="H6" s="57" t="n">
        <f aca="false">RevSplit!AD5</f>
        <v>538.736393826474</v>
      </c>
      <c r="I6" s="57" t="n">
        <f aca="false">RevSplit!AE5</f>
        <v>615.698735801682</v>
      </c>
      <c r="J6" s="57" t="n">
        <f aca="false">RevSplit!AF5</f>
        <v>615.698735801684</v>
      </c>
      <c r="K6" s="57" t="n">
        <f aca="false">RevSplit!AG5</f>
        <v>846.585761727311</v>
      </c>
      <c r="L6" s="57" t="n">
        <f aca="false">RevSplit!AH5</f>
        <v>1077.47278765294</v>
      </c>
      <c r="M6" s="57" t="n">
        <f aca="false">RevSplit!AI5</f>
        <v>1308.35981357858</v>
      </c>
      <c r="N6" s="13" t="n">
        <f aca="false">SUM(B6:M6)</f>
        <v>7696.23419752104</v>
      </c>
      <c r="O6" s="58" t="n">
        <f aca="false">RevSplit!AK5</f>
        <v>6195.4</v>
      </c>
      <c r="P6" s="56"/>
    </row>
    <row r="7" customFormat="false" ht="12.75" hidden="false" customHeight="false" outlineLevel="0" collapsed="false">
      <c r="A7" s="10" t="s">
        <v>74</v>
      </c>
      <c r="B7" s="54" t="n">
        <f aca="false">B8</f>
        <v>4.266</v>
      </c>
      <c r="C7" s="54" t="n">
        <f aca="false">C8</f>
        <v>10.665</v>
      </c>
      <c r="D7" s="54" t="n">
        <f aca="false">D8</f>
        <v>14.931</v>
      </c>
      <c r="E7" s="54" t="n">
        <f aca="false">E8</f>
        <v>14.931</v>
      </c>
      <c r="F7" s="54" t="n">
        <f aca="false">F8</f>
        <v>14.931</v>
      </c>
      <c r="G7" s="54" t="n">
        <f aca="false">G8</f>
        <v>14.931</v>
      </c>
      <c r="H7" s="54" t="n">
        <f aca="false">H8</f>
        <v>14.931</v>
      </c>
      <c r="I7" s="54" t="n">
        <f aca="false">I8</f>
        <v>17.064</v>
      </c>
      <c r="J7" s="54" t="n">
        <f aca="false">J8</f>
        <v>17.064</v>
      </c>
      <c r="K7" s="54" t="n">
        <f aca="false">K8</f>
        <v>23.4630000000001</v>
      </c>
      <c r="L7" s="54" t="n">
        <f aca="false">L8</f>
        <v>29.862</v>
      </c>
      <c r="M7" s="54" t="n">
        <f aca="false">M8</f>
        <v>36.2609999999999</v>
      </c>
      <c r="N7" s="54" t="n">
        <f aca="false">N8</f>
        <v>213.3</v>
      </c>
      <c r="O7" s="55" t="n">
        <f aca="false">O8</f>
        <v>0</v>
      </c>
      <c r="P7" s="56" t="str">
        <f aca="false">IFERROR(N7/O7-1,"")</f>
        <v/>
      </c>
    </row>
    <row r="8" customFormat="false" ht="12.75" hidden="false" customHeight="false" outlineLevel="1" collapsed="false">
      <c r="A8" s="18" t="s">
        <v>38</v>
      </c>
      <c r="B8" s="57" t="n">
        <f aca="false">RevSplit!F6</f>
        <v>4.266</v>
      </c>
      <c r="C8" s="57" t="n">
        <f aca="false">RevSplit!G6</f>
        <v>10.665</v>
      </c>
      <c r="D8" s="57" t="n">
        <f aca="false">RevSplit!H6</f>
        <v>14.931</v>
      </c>
      <c r="E8" s="57" t="n">
        <f aca="false">RevSplit!I6</f>
        <v>14.931</v>
      </c>
      <c r="F8" s="57" t="n">
        <f aca="false">RevSplit!J6</f>
        <v>14.931</v>
      </c>
      <c r="G8" s="57" t="n">
        <f aca="false">RevSplit!K6</f>
        <v>14.931</v>
      </c>
      <c r="H8" s="57" t="n">
        <f aca="false">RevSplit!L6</f>
        <v>14.931</v>
      </c>
      <c r="I8" s="57" t="n">
        <f aca="false">RevSplit!M6</f>
        <v>17.064</v>
      </c>
      <c r="J8" s="57" t="n">
        <f aca="false">RevSplit!N6</f>
        <v>17.064</v>
      </c>
      <c r="K8" s="57" t="n">
        <f aca="false">RevSplit!O6</f>
        <v>23.4630000000001</v>
      </c>
      <c r="L8" s="57" t="n">
        <f aca="false">RevSplit!P6</f>
        <v>29.862</v>
      </c>
      <c r="M8" s="57" t="n">
        <f aca="false">RevSplit!Q6</f>
        <v>36.2609999999999</v>
      </c>
      <c r="N8" s="13" t="n">
        <f aca="false">SUM(B8:M8)</f>
        <v>213.3</v>
      </c>
      <c r="O8" s="59" t="n">
        <f aca="false">RevSplit!S6</f>
        <v>0</v>
      </c>
      <c r="P8" s="56"/>
    </row>
    <row r="9" customFormat="false" ht="12.75" hidden="false" customHeight="false" outlineLevel="0" collapsed="false">
      <c r="A9" s="10" t="s">
        <v>75</v>
      </c>
      <c r="B9" s="54" t="n">
        <f aca="false">B10</f>
        <v>3.74</v>
      </c>
      <c r="C9" s="54" t="n">
        <f aca="false">C10</f>
        <v>9.35</v>
      </c>
      <c r="D9" s="54" t="n">
        <f aca="false">D10</f>
        <v>13.09</v>
      </c>
      <c r="E9" s="54" t="n">
        <f aca="false">E10</f>
        <v>13.09</v>
      </c>
      <c r="F9" s="54" t="n">
        <f aca="false">F10</f>
        <v>13.09</v>
      </c>
      <c r="G9" s="54" t="n">
        <f aca="false">G10</f>
        <v>13.09</v>
      </c>
      <c r="H9" s="54" t="n">
        <f aca="false">H10</f>
        <v>13.09</v>
      </c>
      <c r="I9" s="54" t="n">
        <f aca="false">I10</f>
        <v>14.96</v>
      </c>
      <c r="J9" s="54" t="n">
        <f aca="false">J10</f>
        <v>14.96</v>
      </c>
      <c r="K9" s="54" t="n">
        <f aca="false">K10</f>
        <v>20.57</v>
      </c>
      <c r="L9" s="54" t="n">
        <f aca="false">L10</f>
        <v>26.18</v>
      </c>
      <c r="M9" s="54" t="n">
        <f aca="false">M10</f>
        <v>31.7900000000001</v>
      </c>
      <c r="N9" s="54" t="n">
        <f aca="false">N10</f>
        <v>187</v>
      </c>
      <c r="O9" s="55" t="n">
        <f aca="false">O10</f>
        <v>102.4</v>
      </c>
      <c r="P9" s="56" t="n">
        <f aca="false">IFERROR(N9/O9-1,"")</f>
        <v>0.826171875</v>
      </c>
    </row>
    <row r="10" customFormat="false" ht="12.75" hidden="false" customHeight="false" outlineLevel="1" collapsed="false">
      <c r="A10" s="18" t="s">
        <v>38</v>
      </c>
      <c r="B10" s="13" t="n">
        <f aca="false">RevSplit!F7</f>
        <v>3.74</v>
      </c>
      <c r="C10" s="13" t="n">
        <f aca="false">RevSplit!G7</f>
        <v>9.35</v>
      </c>
      <c r="D10" s="13" t="n">
        <f aca="false">RevSplit!H7</f>
        <v>13.09</v>
      </c>
      <c r="E10" s="13" t="n">
        <f aca="false">RevSplit!I7</f>
        <v>13.09</v>
      </c>
      <c r="F10" s="13" t="n">
        <f aca="false">RevSplit!J7</f>
        <v>13.09</v>
      </c>
      <c r="G10" s="13" t="n">
        <f aca="false">RevSplit!K7</f>
        <v>13.09</v>
      </c>
      <c r="H10" s="13" t="n">
        <f aca="false">RevSplit!L7</f>
        <v>13.09</v>
      </c>
      <c r="I10" s="13" t="n">
        <f aca="false">RevSplit!M7</f>
        <v>14.96</v>
      </c>
      <c r="J10" s="13" t="n">
        <f aca="false">RevSplit!N7</f>
        <v>14.96</v>
      </c>
      <c r="K10" s="13" t="n">
        <f aca="false">RevSplit!O7</f>
        <v>20.57</v>
      </c>
      <c r="L10" s="13" t="n">
        <f aca="false">RevSplit!P7</f>
        <v>26.18</v>
      </c>
      <c r="M10" s="13" t="n">
        <f aca="false">RevSplit!Q7</f>
        <v>31.7900000000001</v>
      </c>
      <c r="N10" s="13" t="n">
        <f aca="false">SUM(B10:M10)</f>
        <v>187</v>
      </c>
      <c r="O10" s="58" t="n">
        <f aca="false">RevSplit!S7</f>
        <v>102.4</v>
      </c>
      <c r="P10" s="56"/>
    </row>
    <row r="11" customFormat="false" ht="12.75" hidden="false" customHeight="false" outlineLevel="0" collapsed="false">
      <c r="A11" s="10" t="s">
        <v>76</v>
      </c>
      <c r="B11" s="60" t="n">
        <f aca="false">SUM(B12:B15)</f>
        <v>32</v>
      </c>
      <c r="C11" s="60" t="n">
        <f aca="false">SUM(C12:C15)</f>
        <v>80</v>
      </c>
      <c r="D11" s="60" t="n">
        <f aca="false">SUM(D12:D15)</f>
        <v>112</v>
      </c>
      <c r="E11" s="60" t="n">
        <f aca="false">SUM(E12:E15)</f>
        <v>112</v>
      </c>
      <c r="F11" s="60" t="n">
        <f aca="false">SUM(F12:F15)</f>
        <v>112</v>
      </c>
      <c r="G11" s="60" t="n">
        <f aca="false">SUM(G12:G15)</f>
        <v>112</v>
      </c>
      <c r="H11" s="60" t="n">
        <f aca="false">SUM(H12:H15)</f>
        <v>112</v>
      </c>
      <c r="I11" s="60" t="n">
        <f aca="false">SUM(I12:I15)</f>
        <v>128</v>
      </c>
      <c r="J11" s="60" t="n">
        <f aca="false">SUM(J12:J15)</f>
        <v>128</v>
      </c>
      <c r="K11" s="60" t="n">
        <f aca="false">SUM(K12:K15)</f>
        <v>176</v>
      </c>
      <c r="L11" s="60" t="n">
        <f aca="false">SUM(L12:L15)</f>
        <v>224</v>
      </c>
      <c r="M11" s="60" t="n">
        <f aca="false">SUM(M12:M15)</f>
        <v>272</v>
      </c>
      <c r="N11" s="60" t="n">
        <f aca="false">SUM(N12:N15)</f>
        <v>1600</v>
      </c>
      <c r="O11" s="61" t="n">
        <f aca="false">SUM(O12:O15)</f>
        <v>987</v>
      </c>
      <c r="P11" s="56" t="n">
        <f aca="false">IFERROR(N11/O11-1,"")</f>
        <v>0.621073961499493</v>
      </c>
      <c r="Q11" s="62"/>
      <c r="R11" s="62"/>
      <c r="S11" s="62"/>
      <c r="T11" s="62"/>
      <c r="U11" s="62"/>
    </row>
    <row r="12" customFormat="false" ht="12.75" hidden="false" customHeight="false" outlineLevel="1" collapsed="false">
      <c r="A12" s="18" t="s">
        <v>33</v>
      </c>
      <c r="B12" s="13" t="n">
        <f aca="false">RevSplit!F21</f>
        <v>24.9263199484238</v>
      </c>
      <c r="C12" s="13" t="n">
        <f aca="false">RevSplit!G21</f>
        <v>62.3157998710594</v>
      </c>
      <c r="D12" s="13" t="n">
        <f aca="false">RevSplit!H21</f>
        <v>87.2421198194832</v>
      </c>
      <c r="E12" s="13" t="n">
        <f aca="false">RevSplit!I21</f>
        <v>87.2421198194832</v>
      </c>
      <c r="F12" s="13" t="n">
        <f aca="false">RevSplit!J21</f>
        <v>87.2421198194833</v>
      </c>
      <c r="G12" s="13" t="n">
        <f aca="false">RevSplit!K21</f>
        <v>87.2421198194832</v>
      </c>
      <c r="H12" s="13" t="n">
        <f aca="false">RevSplit!L21</f>
        <v>87.2421198194832</v>
      </c>
      <c r="I12" s="13" t="n">
        <f aca="false">RevSplit!M21</f>
        <v>99.7052797936951</v>
      </c>
      <c r="J12" s="13" t="n">
        <f aca="false">RevSplit!N21</f>
        <v>99.7052797936951</v>
      </c>
      <c r="K12" s="13" t="n">
        <f aca="false">RevSplit!O21</f>
        <v>137.094759716331</v>
      </c>
      <c r="L12" s="13" t="n">
        <f aca="false">RevSplit!P21</f>
        <v>174.484239638966</v>
      </c>
      <c r="M12" s="13" t="n">
        <f aca="false">RevSplit!Q21</f>
        <v>211.873719561602</v>
      </c>
      <c r="N12" s="13" t="n">
        <f aca="false">SUM(B12:M12)</f>
        <v>1246.31599742119</v>
      </c>
      <c r="O12" s="58" t="n">
        <f aca="false">RevSplit!S21</f>
        <v>768.821180909196</v>
      </c>
      <c r="P12" s="56"/>
    </row>
    <row r="13" customFormat="false" ht="12.75" hidden="false" customHeight="false" outlineLevel="1" collapsed="false">
      <c r="A13" s="18" t="s">
        <v>34</v>
      </c>
      <c r="B13" s="13" t="n">
        <f aca="false">RevSplit!F22</f>
        <v>6.25059012563303</v>
      </c>
      <c r="C13" s="13" t="n">
        <f aca="false">RevSplit!G22</f>
        <v>15.6264753140826</v>
      </c>
      <c r="D13" s="13" t="n">
        <f aca="false">RevSplit!H22</f>
        <v>21.8770654397156</v>
      </c>
      <c r="E13" s="13" t="n">
        <f aca="false">RevSplit!I22</f>
        <v>21.8770654397156</v>
      </c>
      <c r="F13" s="13" t="n">
        <f aca="false">RevSplit!J22</f>
        <v>21.8770654397156</v>
      </c>
      <c r="G13" s="13" t="n">
        <f aca="false">RevSplit!K22</f>
        <v>21.8770654397156</v>
      </c>
      <c r="H13" s="13" t="n">
        <f aca="false">RevSplit!L22</f>
        <v>21.8770654397156</v>
      </c>
      <c r="I13" s="13" t="n">
        <f aca="false">RevSplit!M22</f>
        <v>25.0023605025321</v>
      </c>
      <c r="J13" s="13" t="n">
        <f aca="false">RevSplit!N22</f>
        <v>25.0023605025321</v>
      </c>
      <c r="K13" s="13" t="n">
        <f aca="false">RevSplit!O22</f>
        <v>34.3782456909816</v>
      </c>
      <c r="L13" s="13" t="n">
        <f aca="false">RevSplit!P22</f>
        <v>43.7541308794311</v>
      </c>
      <c r="M13" s="13" t="n">
        <f aca="false">RevSplit!Q22</f>
        <v>53.1300160678806</v>
      </c>
      <c r="N13" s="13" t="n">
        <f aca="false">SUM(B13:M13)</f>
        <v>312.529506281651</v>
      </c>
      <c r="O13" s="58" t="n">
        <f aca="false">RevSplit!S22</f>
        <v>192.791639187494</v>
      </c>
      <c r="P13" s="56"/>
    </row>
    <row r="14" customFormat="false" ht="12.75" hidden="false" customHeight="false" outlineLevel="1" collapsed="false">
      <c r="A14" s="18" t="s">
        <v>35</v>
      </c>
      <c r="B14" s="13" t="n">
        <f aca="false">RevSplit!F23</f>
        <v>0.614137611169783</v>
      </c>
      <c r="C14" s="13" t="n">
        <f aca="false">RevSplit!G23</f>
        <v>1.53534402792446</v>
      </c>
      <c r="D14" s="13" t="n">
        <f aca="false">RevSplit!H23</f>
        <v>2.14948163909424</v>
      </c>
      <c r="E14" s="13" t="n">
        <f aca="false">RevSplit!I23</f>
        <v>2.14948163909424</v>
      </c>
      <c r="F14" s="13" t="n">
        <f aca="false">RevSplit!J23</f>
        <v>2.14948163909424</v>
      </c>
      <c r="G14" s="13" t="n">
        <f aca="false">RevSplit!K23</f>
        <v>2.14948163909424</v>
      </c>
      <c r="H14" s="13" t="n">
        <f aca="false">RevSplit!L23</f>
        <v>2.14948163909424</v>
      </c>
      <c r="I14" s="13" t="n">
        <f aca="false">RevSplit!M23</f>
        <v>2.45655044467913</v>
      </c>
      <c r="J14" s="13" t="n">
        <f aca="false">RevSplit!N23</f>
        <v>2.45655044467913</v>
      </c>
      <c r="K14" s="13" t="n">
        <f aca="false">RevSplit!O23</f>
        <v>3.3777568614338</v>
      </c>
      <c r="L14" s="13" t="n">
        <f aca="false">RevSplit!P23</f>
        <v>4.29896327818847</v>
      </c>
      <c r="M14" s="13" t="n">
        <f aca="false">RevSplit!Q23</f>
        <v>5.22016969494314</v>
      </c>
      <c r="N14" s="13" t="n">
        <f aca="false">SUM(B14:M14)</f>
        <v>30.7068805584891</v>
      </c>
      <c r="O14" s="58" t="n">
        <f aca="false">RevSplit!S23</f>
        <v>18.942306944518</v>
      </c>
      <c r="P14" s="56"/>
    </row>
    <row r="15" customFormat="false" ht="12.75" hidden="false" customHeight="false" outlineLevel="1" collapsed="false">
      <c r="A15" s="18" t="s">
        <v>36</v>
      </c>
      <c r="B15" s="13" t="n">
        <f aca="false">RevSplit!F24</f>
        <v>0.208952314773415</v>
      </c>
      <c r="C15" s="13" t="n">
        <f aca="false">RevSplit!G24</f>
        <v>0.522380786933538</v>
      </c>
      <c r="D15" s="13" t="n">
        <f aca="false">RevSplit!H24</f>
        <v>0.731333101706953</v>
      </c>
      <c r="E15" s="13" t="n">
        <f aca="false">RevSplit!I24</f>
        <v>0.731333101706953</v>
      </c>
      <c r="F15" s="13" t="n">
        <f aca="false">RevSplit!J24</f>
        <v>0.731333101706954</v>
      </c>
      <c r="G15" s="13" t="n">
        <f aca="false">RevSplit!K24</f>
        <v>0.731333101706953</v>
      </c>
      <c r="H15" s="13" t="n">
        <f aca="false">RevSplit!L24</f>
        <v>0.731333101706953</v>
      </c>
      <c r="I15" s="13" t="n">
        <f aca="false">RevSplit!M24</f>
        <v>0.835809259093661</v>
      </c>
      <c r="J15" s="13" t="n">
        <f aca="false">RevSplit!N24</f>
        <v>0.835809259093661</v>
      </c>
      <c r="K15" s="13" t="n">
        <f aca="false">RevSplit!O24</f>
        <v>1.14923773125378</v>
      </c>
      <c r="L15" s="13" t="n">
        <f aca="false">RevSplit!P24</f>
        <v>1.4626662034139</v>
      </c>
      <c r="M15" s="13" t="n">
        <f aca="false">RevSplit!Q24</f>
        <v>1.77609467557403</v>
      </c>
      <c r="N15" s="13" t="n">
        <f aca="false">SUM(B15:M15)</f>
        <v>10.4476157386708</v>
      </c>
      <c r="O15" s="58" t="n">
        <f aca="false">RevSplit!S24</f>
        <v>6.44487295879252</v>
      </c>
      <c r="P15" s="56"/>
    </row>
    <row r="16" customFormat="false" ht="12.75" hidden="false" customHeight="false" outlineLevel="0" collapsed="false">
      <c r="A16" s="10" t="s">
        <v>39</v>
      </c>
      <c r="B16" s="60" t="n">
        <f aca="false">SUM(B17:B21)</f>
        <v>80.3909071359999</v>
      </c>
      <c r="C16" s="60" t="n">
        <f aca="false">SUM(C17:C21)</f>
        <v>200.981734001507</v>
      </c>
      <c r="D16" s="60" t="n">
        <f aca="false">SUM(D17:D21)</f>
        <v>281.368174976</v>
      </c>
      <c r="E16" s="60" t="n">
        <f aca="false">SUM(E17:E21)</f>
        <v>281.354776491477</v>
      </c>
      <c r="F16" s="60" t="n">
        <f aca="false">SUM(F17:F21)</f>
        <v>281.368174976</v>
      </c>
      <c r="G16" s="60" t="n">
        <f aca="false">SUM(G17:G21)</f>
        <v>281.368174976</v>
      </c>
      <c r="H16" s="60" t="n">
        <f aca="false">SUM(H17:H21)</f>
        <v>281.368174976</v>
      </c>
      <c r="I16" s="60" t="n">
        <f aca="false">SUM(I17:I21)</f>
        <v>321.541297736462</v>
      </c>
      <c r="J16" s="60" t="n">
        <f aca="false">SUM(J17:J21)</f>
        <v>321.541297736462</v>
      </c>
      <c r="K16" s="60" t="n">
        <f aca="false">SUM(K17:K21)</f>
        <v>442.149989248</v>
      </c>
      <c r="L16" s="60" t="n">
        <f aca="false">SUM(L17:L21)</f>
        <v>562.736349952</v>
      </c>
      <c r="M16" s="60" t="n">
        <f aca="false">SUM(M17:M21)</f>
        <v>683.322710656</v>
      </c>
      <c r="N16" s="60" t="n">
        <f aca="false">SUM(N17:N21)</f>
        <v>4019.49176286191</v>
      </c>
      <c r="O16" s="61" t="n">
        <f aca="false">SUM(O17:O21)</f>
        <v>2446.0892363</v>
      </c>
      <c r="P16" s="56" t="n">
        <f aca="false">IFERROR(N16/O16-1,"")</f>
        <v>0.643231858925091</v>
      </c>
      <c r="Q16" s="62"/>
      <c r="R16" s="62"/>
      <c r="S16" s="62"/>
      <c r="T16" s="62"/>
      <c r="U16" s="62"/>
    </row>
    <row r="17" customFormat="false" ht="12.75" hidden="false" customHeight="false" outlineLevel="1" collapsed="false">
      <c r="A17" s="18" t="s">
        <v>34</v>
      </c>
      <c r="B17" s="13" t="n">
        <f aca="false">RevSplit!F30</f>
        <v>54.8689472245532</v>
      </c>
      <c r="C17" s="13" t="n">
        <f aca="false">RevSplit!G30</f>
        <v>137.175416336229</v>
      </c>
      <c r="D17" s="13" t="n">
        <f aca="false">RevSplit!H30</f>
        <v>192.041315285936</v>
      </c>
      <c r="E17" s="13" t="n">
        <f aca="false">RevSplit!I30</f>
        <v>192.032170461399</v>
      </c>
      <c r="F17" s="13" t="n">
        <f aca="false">RevSplit!J30</f>
        <v>192.041315285936</v>
      </c>
      <c r="G17" s="13" t="n">
        <f aca="false">RevSplit!K30</f>
        <v>192.041315285937</v>
      </c>
      <c r="H17" s="13" t="n">
        <f aca="false">RevSplit!L30</f>
        <v>192.041315285937</v>
      </c>
      <c r="I17" s="13" t="n">
        <f aca="false">RevSplit!M30</f>
        <v>219.460547523984</v>
      </c>
      <c r="J17" s="13" t="n">
        <f aca="false">RevSplit!N30</f>
        <v>219.460547523984</v>
      </c>
      <c r="K17" s="13" t="n">
        <f aca="false">RevSplit!O30</f>
        <v>301.779209735043</v>
      </c>
      <c r="L17" s="13" t="n">
        <f aca="false">RevSplit!P30</f>
        <v>384.082630571873</v>
      </c>
      <c r="M17" s="13" t="n">
        <f aca="false">RevSplit!Q30</f>
        <v>466.386051408703</v>
      </c>
      <c r="N17" s="13" t="n">
        <f aca="false">SUM(B17:M17)</f>
        <v>2743.41078192951</v>
      </c>
      <c r="O17" s="58" t="n">
        <f aca="false">RevSplit!S30</f>
        <v>1669.52141721747</v>
      </c>
      <c r="P17" s="56"/>
    </row>
    <row r="18" customFormat="false" ht="12.75" hidden="false" customHeight="false" outlineLevel="1" collapsed="false">
      <c r="A18" s="18" t="s">
        <v>35</v>
      </c>
      <c r="B18" s="13" t="n">
        <f aca="false">RevSplit!F31</f>
        <v>10.5433053972943</v>
      </c>
      <c r="C18" s="13" t="n">
        <f aca="false">RevSplit!G31</f>
        <v>26.3588492324244</v>
      </c>
      <c r="D18" s="13" t="n">
        <f aca="false">RevSplit!H31</f>
        <v>36.90156889053</v>
      </c>
      <c r="E18" s="13" t="n">
        <f aca="false">RevSplit!I31</f>
        <v>36.8998116729638</v>
      </c>
      <c r="F18" s="13" t="n">
        <f aca="false">RevSplit!J31</f>
        <v>36.90156889053</v>
      </c>
      <c r="G18" s="13" t="n">
        <f aca="false">RevSplit!K31</f>
        <v>36.90156889053</v>
      </c>
      <c r="H18" s="13" t="n">
        <f aca="false">RevSplit!L31</f>
        <v>36.90156889053</v>
      </c>
      <c r="I18" s="13" t="n">
        <f aca="false">RevSplit!M31</f>
        <v>42.1702928932335</v>
      </c>
      <c r="J18" s="13" t="n">
        <f aca="false">RevSplit!N31</f>
        <v>42.1702928932335</v>
      </c>
      <c r="K18" s="13" t="n">
        <f aca="false">RevSplit!O31</f>
        <v>57.9881796851186</v>
      </c>
      <c r="L18" s="13" t="n">
        <f aca="false">RevSplit!P31</f>
        <v>73.80313778106</v>
      </c>
      <c r="M18" s="13" t="n">
        <f aca="false">RevSplit!Q31</f>
        <v>89.6180958770015</v>
      </c>
      <c r="N18" s="13" t="n">
        <f aca="false">SUM(B18:M18)</f>
        <v>527.15824099445</v>
      </c>
      <c r="O18" s="58" t="n">
        <f aca="false">RevSplit!S31</f>
        <v>320.80575734412</v>
      </c>
      <c r="P18" s="56"/>
    </row>
    <row r="19" customFormat="false" ht="12.75" hidden="false" customHeight="false" outlineLevel="1" collapsed="false">
      <c r="A19" s="18" t="s">
        <v>36</v>
      </c>
      <c r="B19" s="13" t="n">
        <f aca="false">RevSplit!F32</f>
        <v>4.77168558556976</v>
      </c>
      <c r="C19" s="13" t="n">
        <f aca="false">RevSplit!G32</f>
        <v>11.929479057568</v>
      </c>
      <c r="D19" s="13" t="n">
        <f aca="false">RevSplit!H32</f>
        <v>16.7008995494942</v>
      </c>
      <c r="E19" s="13" t="n">
        <f aca="false">RevSplit!I32</f>
        <v>16.7001042685632</v>
      </c>
      <c r="F19" s="13" t="n">
        <f aca="false">RevSplit!J32</f>
        <v>16.7008995494942</v>
      </c>
      <c r="G19" s="13" t="n">
        <f aca="false">RevSplit!K32</f>
        <v>16.7008995494942</v>
      </c>
      <c r="H19" s="13" t="n">
        <f aca="false">RevSplit!L32</f>
        <v>16.7008995494942</v>
      </c>
      <c r="I19" s="13" t="n">
        <f aca="false">RevSplit!M32</f>
        <v>19.0854168740608</v>
      </c>
      <c r="J19" s="13" t="n">
        <f aca="false">RevSplit!N32</f>
        <v>19.0854168740608</v>
      </c>
      <c r="K19" s="13" t="n">
        <f aca="false">RevSplit!O32</f>
        <v>26.2442707206337</v>
      </c>
      <c r="L19" s="13" t="n">
        <f aca="false">RevSplit!P32</f>
        <v>33.4017990989883</v>
      </c>
      <c r="M19" s="13" t="n">
        <f aca="false">RevSplit!Q32</f>
        <v>40.559327477343</v>
      </c>
      <c r="N19" s="13" t="n">
        <f aca="false">SUM(B19:M19)</f>
        <v>238.581098154764</v>
      </c>
      <c r="O19" s="58" t="n">
        <f aca="false">RevSplit!S32</f>
        <v>145.190160998236</v>
      </c>
      <c r="P19" s="56"/>
    </row>
    <row r="20" customFormat="false" ht="12.75" hidden="false" customHeight="false" outlineLevel="1" collapsed="false">
      <c r="A20" s="18" t="s">
        <v>33</v>
      </c>
      <c r="B20" s="13" t="n">
        <f aca="false">RevSplit!F33</f>
        <v>7.86964336271295</v>
      </c>
      <c r="C20" s="13" t="n">
        <f aca="false">RevSplit!G33</f>
        <v>19.6745456091914</v>
      </c>
      <c r="D20" s="13" t="n">
        <f aca="false">RevSplit!H33</f>
        <v>27.5437517694953</v>
      </c>
      <c r="E20" s="13" t="n">
        <f aca="false">RevSplit!I33</f>
        <v>27.5424401622682</v>
      </c>
      <c r="F20" s="13" t="n">
        <f aca="false">RevSplit!J33</f>
        <v>27.5437517694953</v>
      </c>
      <c r="G20" s="13" t="n">
        <f aca="false">RevSplit!K33</f>
        <v>27.5437517694954</v>
      </c>
      <c r="H20" s="13" t="n">
        <f aca="false">RevSplit!L33</f>
        <v>27.5437517694954</v>
      </c>
      <c r="I20" s="13" t="n">
        <f aca="false">RevSplit!M33</f>
        <v>31.4763874388066</v>
      </c>
      <c r="J20" s="13" t="n">
        <f aca="false">RevSplit!N33</f>
        <v>31.4763874388066</v>
      </c>
      <c r="K20" s="13" t="n">
        <f aca="false">RevSplit!O33</f>
        <v>43.2830384949213</v>
      </c>
      <c r="L20" s="13" t="n">
        <f aca="false">RevSplit!P33</f>
        <v>55.0875035389907</v>
      </c>
      <c r="M20" s="13" t="n">
        <f aca="false">RevSplit!Q33</f>
        <v>66.8919685830601</v>
      </c>
      <c r="N20" s="13" t="n">
        <f aca="false">SUM(B20:M20)</f>
        <v>393.476921706739</v>
      </c>
      <c r="O20" s="58" t="n">
        <f aca="false">RevSplit!S33</f>
        <v>239.453075090772</v>
      </c>
      <c r="P20" s="56"/>
    </row>
    <row r="21" customFormat="false" ht="12.75" hidden="false" customHeight="false" outlineLevel="1" collapsed="false">
      <c r="A21" s="18" t="s">
        <v>40</v>
      </c>
      <c r="B21" s="13" t="n">
        <f aca="false">RevSplit!F34</f>
        <v>2.33732556586968</v>
      </c>
      <c r="C21" s="13" t="n">
        <f aca="false">RevSplit!G34</f>
        <v>5.84344376609452</v>
      </c>
      <c r="D21" s="13" t="n">
        <f aca="false">RevSplit!H34</f>
        <v>8.18063948054387</v>
      </c>
      <c r="E21" s="13" t="n">
        <f aca="false">RevSplit!I34</f>
        <v>8.1802499262829</v>
      </c>
      <c r="F21" s="13" t="n">
        <f aca="false">RevSplit!J34</f>
        <v>8.18063948054387</v>
      </c>
      <c r="G21" s="13" t="n">
        <f aca="false">RevSplit!K34</f>
        <v>8.18063948054388</v>
      </c>
      <c r="H21" s="13" t="n">
        <f aca="false">RevSplit!L34</f>
        <v>8.18063948054388</v>
      </c>
      <c r="I21" s="13" t="n">
        <f aca="false">RevSplit!M34</f>
        <v>9.34865300637709</v>
      </c>
      <c r="J21" s="13" t="n">
        <f aca="false">RevSplit!N34</f>
        <v>9.34865300637709</v>
      </c>
      <c r="K21" s="13" t="n">
        <f aca="false">RevSplit!O34</f>
        <v>12.8552906122832</v>
      </c>
      <c r="L21" s="13" t="n">
        <f aca="false">RevSplit!P34</f>
        <v>16.3612789610878</v>
      </c>
      <c r="M21" s="13" t="n">
        <f aca="false">RevSplit!Q34</f>
        <v>19.8672673098923</v>
      </c>
      <c r="N21" s="13" t="n">
        <f aca="false">SUM(B21:M21)</f>
        <v>116.86472007644</v>
      </c>
      <c r="O21" s="58" t="n">
        <f aca="false">RevSplit!S34</f>
        <v>71.1188256494042</v>
      </c>
      <c r="P21" s="56"/>
    </row>
    <row r="22" customFormat="false" ht="12.75" hidden="false" customHeight="false" outlineLevel="0" collapsed="false">
      <c r="A22" s="10" t="s">
        <v>77</v>
      </c>
      <c r="B22" s="60" t="n">
        <f aca="false">B23</f>
        <v>17.0041828989972</v>
      </c>
      <c r="C22" s="60" t="n">
        <f aca="false">C23</f>
        <v>42.510457247493</v>
      </c>
      <c r="D22" s="60" t="n">
        <f aca="false">D23</f>
        <v>59.5146401464902</v>
      </c>
      <c r="E22" s="60" t="n">
        <f aca="false">E23</f>
        <v>59.5146401464902</v>
      </c>
      <c r="F22" s="60" t="n">
        <f aca="false">F23</f>
        <v>59.5146401464902</v>
      </c>
      <c r="G22" s="60" t="n">
        <f aca="false">G23</f>
        <v>59.5146401464902</v>
      </c>
      <c r="H22" s="60" t="n">
        <f aca="false">H23</f>
        <v>59.5146401464902</v>
      </c>
      <c r="I22" s="60" t="n">
        <f aca="false">I23</f>
        <v>68.0167315959888</v>
      </c>
      <c r="J22" s="60" t="n">
        <f aca="false">J23</f>
        <v>68.0167315959888</v>
      </c>
      <c r="K22" s="60" t="n">
        <f aca="false">K23</f>
        <v>93.5230059444846</v>
      </c>
      <c r="L22" s="60" t="n">
        <f aca="false">L23</f>
        <v>119.02928029298</v>
      </c>
      <c r="M22" s="60" t="n">
        <f aca="false">M23</f>
        <v>144.535554641476</v>
      </c>
      <c r="N22" s="60" t="n">
        <f aca="false">N23</f>
        <v>850.209144949859</v>
      </c>
      <c r="O22" s="61" t="n">
        <f aca="false">O23</f>
        <v>592.56</v>
      </c>
      <c r="P22" s="56" t="n">
        <f aca="false">IFERROR(N22/O22-1,"")</f>
        <v>0.434806846479444</v>
      </c>
      <c r="Q22" s="62"/>
      <c r="R22" s="62"/>
      <c r="S22" s="62"/>
      <c r="T22" s="62"/>
      <c r="U22" s="62"/>
    </row>
    <row r="23" customFormat="false" ht="12.75" hidden="false" customHeight="false" outlineLevel="1" collapsed="false">
      <c r="A23" s="18" t="s">
        <v>38</v>
      </c>
      <c r="B23" s="13" t="n">
        <f aca="false">RevSplit!F10</f>
        <v>17.0041828989972</v>
      </c>
      <c r="C23" s="13" t="n">
        <f aca="false">RevSplit!G10</f>
        <v>42.510457247493</v>
      </c>
      <c r="D23" s="13" t="n">
        <f aca="false">RevSplit!H10</f>
        <v>59.5146401464902</v>
      </c>
      <c r="E23" s="13" t="n">
        <f aca="false">RevSplit!I10</f>
        <v>59.5146401464902</v>
      </c>
      <c r="F23" s="13" t="n">
        <f aca="false">RevSplit!J10</f>
        <v>59.5146401464902</v>
      </c>
      <c r="G23" s="13" t="n">
        <f aca="false">RevSplit!K10</f>
        <v>59.5146401464902</v>
      </c>
      <c r="H23" s="13" t="n">
        <f aca="false">RevSplit!L10</f>
        <v>59.5146401464902</v>
      </c>
      <c r="I23" s="13" t="n">
        <f aca="false">RevSplit!M10</f>
        <v>68.0167315959888</v>
      </c>
      <c r="J23" s="13" t="n">
        <f aca="false">RevSplit!N10</f>
        <v>68.0167315959888</v>
      </c>
      <c r="K23" s="13" t="n">
        <f aca="false">RevSplit!O10</f>
        <v>93.5230059444846</v>
      </c>
      <c r="L23" s="13" t="n">
        <f aca="false">RevSplit!P10</f>
        <v>119.02928029298</v>
      </c>
      <c r="M23" s="13" t="n">
        <f aca="false">RevSplit!Q10</f>
        <v>144.535554641476</v>
      </c>
      <c r="N23" s="13" t="n">
        <f aca="false">SUM(B23:M23)</f>
        <v>850.209144949859</v>
      </c>
      <c r="O23" s="58" t="n">
        <f aca="false">RevSplit!S10</f>
        <v>592.56</v>
      </c>
      <c r="P23" s="56"/>
    </row>
    <row r="24" customFormat="false" ht="15" hidden="false" customHeight="true" outlineLevel="0" collapsed="false">
      <c r="A24" s="25" t="s">
        <v>44</v>
      </c>
      <c r="B24" s="26" t="n">
        <f aca="false">SUM(B5,B7,B9,B11,B16,B22)</f>
        <v>291.325773985418</v>
      </c>
      <c r="C24" s="26" t="n">
        <f aca="false">SUM(C5,C7,C9,C11,C16,C22)</f>
        <v>728.318901125052</v>
      </c>
      <c r="D24" s="26" t="n">
        <f aca="false">SUM(D5,D7,D9,D11,D16,D22)</f>
        <v>1019.64020894896</v>
      </c>
      <c r="E24" s="26" t="n">
        <f aca="false">SUM(E5,E7,E9,E11,E16,E22)</f>
        <v>1019.62681046444</v>
      </c>
      <c r="F24" s="26" t="n">
        <f aca="false">SUM(F5,F7,F9,F11,F16,F22)</f>
        <v>1019.64020894897</v>
      </c>
      <c r="G24" s="26" t="n">
        <f aca="false">SUM(G5,G7,G9,G11,G16,G22)</f>
        <v>1019.64020894896</v>
      </c>
      <c r="H24" s="26" t="n">
        <f aca="false">SUM(H5,H7,H9,H11,H16,H22)</f>
        <v>1019.64020894896</v>
      </c>
      <c r="I24" s="26" t="n">
        <f aca="false">SUM(I5,I7,I9,I11,I16,I22)</f>
        <v>1165.28076513413</v>
      </c>
      <c r="J24" s="26" t="n">
        <f aca="false">SUM(J5,J7,J9,J11,J16,J22)</f>
        <v>1165.28076513414</v>
      </c>
      <c r="K24" s="26" t="n">
        <f aca="false">SUM(K5,K7,K9,K11,K16,K22)</f>
        <v>1602.2917569198</v>
      </c>
      <c r="L24" s="26" t="n">
        <f aca="false">SUM(L5,L7,L9,L11,L16,L22)</f>
        <v>2039.28041789792</v>
      </c>
      <c r="M24" s="26" t="n">
        <f aca="false">SUM(M5,M7,M9,M11,M16,M22)</f>
        <v>2476.26907887605</v>
      </c>
      <c r="N24" s="26" t="n">
        <f aca="false">SUM(N5,N7,N9,N11,N16,N22)</f>
        <v>14566.2351053328</v>
      </c>
      <c r="O24" s="26" t="n">
        <f aca="false">SUM(O5,O7,O9,O11,O16,O22)</f>
        <v>10323.4492363</v>
      </c>
    </row>
    <row r="25" customFormat="false" ht="15" hidden="true" customHeight="true" outlineLevel="0" collapsed="false">
      <c r="A25" s="36" t="s">
        <v>78</v>
      </c>
      <c r="B25" s="13" t="n">
        <f aca="false">Расходы!C26</f>
        <v>-19.3792999412308</v>
      </c>
      <c r="C25" s="13" t="n">
        <f aca="false">Расходы!D26</f>
        <v>-51.6042936445303</v>
      </c>
      <c r="D25" s="13" t="n">
        <f aca="false">Расходы!E26</f>
        <v>-68.2777326169087</v>
      </c>
      <c r="E25" s="13" t="n">
        <f aca="false">Расходы!F26</f>
        <v>-71.584631349173</v>
      </c>
      <c r="F25" s="13" t="n">
        <f aca="false">Расходы!G26</f>
        <v>-72.2960314163378</v>
      </c>
      <c r="G25" s="13" t="n">
        <f aca="false">Расходы!H26</f>
        <v>-72.4094107967425</v>
      </c>
      <c r="H25" s="13" t="n">
        <f aca="false">Расходы!I26</f>
        <v>-72.3627251784065</v>
      </c>
      <c r="I25" s="13" t="n">
        <f aca="false">Расходы!J26</f>
        <v>-81.2329947107716</v>
      </c>
      <c r="J25" s="13" t="n">
        <f aca="false">Расходы!K26</f>
        <v>-78.6986319872387</v>
      </c>
      <c r="K25" s="13" t="n">
        <f aca="false">Расходы!L26</f>
        <v>-113.896261674083</v>
      </c>
      <c r="L25" s="13" t="n">
        <f aca="false">Расходы!M26</f>
        <v>-134.454611938544</v>
      </c>
      <c r="M25" s="13" t="n">
        <f aca="false">Расходы!N26</f>
        <v>-163.803374746033</v>
      </c>
      <c r="N25" s="13" t="n">
        <f aca="false">SUM(B25:M25)</f>
        <v>-1000</v>
      </c>
      <c r="O25" s="58" t="n">
        <f aca="false">Расходы!P26</f>
        <v>-510.54</v>
      </c>
      <c r="R25" s="1"/>
      <c r="S25" s="1"/>
      <c r="T25" s="1"/>
      <c r="U25" s="1"/>
    </row>
    <row r="26" customFormat="false" ht="15" hidden="true" customHeight="true" outlineLevel="0" collapsed="false">
      <c r="A26" s="36" t="s">
        <v>79</v>
      </c>
      <c r="B26" s="13" t="n">
        <f aca="false">Расходы!C27</f>
        <v>-4.24</v>
      </c>
      <c r="C26" s="13" t="n">
        <f aca="false">Расходы!D27</f>
        <v>-7.42</v>
      </c>
      <c r="D26" s="13" t="n">
        <f aca="false">Расходы!E27</f>
        <v>-14.31</v>
      </c>
      <c r="E26" s="13" t="n">
        <f aca="false">Расходы!F27</f>
        <v>-14.787</v>
      </c>
      <c r="F26" s="13" t="n">
        <f aca="false">Расходы!G27</f>
        <v>-15.105</v>
      </c>
      <c r="G26" s="13" t="n">
        <f aca="false">Расходы!H27</f>
        <v>-15.9</v>
      </c>
      <c r="H26" s="13" t="n">
        <f aca="false">Расходы!I27</f>
        <v>-15.9</v>
      </c>
      <c r="I26" s="13" t="n">
        <f aca="false">Расходы!J27</f>
        <v>-17.013</v>
      </c>
      <c r="J26" s="13" t="n">
        <f aca="false">Расходы!K27</f>
        <v>-17.013</v>
      </c>
      <c r="K26" s="13" t="n">
        <f aca="false">Расходы!L27</f>
        <v>-17.013</v>
      </c>
      <c r="L26" s="13" t="n">
        <f aca="false">Расходы!M27</f>
        <v>-18.285</v>
      </c>
      <c r="M26" s="13" t="n">
        <f aca="false">Расходы!N27</f>
        <v>-19.08</v>
      </c>
      <c r="N26" s="13" t="n">
        <f aca="false">SUM(B26:M26)</f>
        <v>-176.066</v>
      </c>
      <c r="O26" s="58" t="n">
        <v>-15.6</v>
      </c>
      <c r="R26" s="1"/>
      <c r="S26" s="1"/>
      <c r="T26" s="1"/>
      <c r="U26" s="1"/>
    </row>
    <row r="27" customFormat="false" ht="15" hidden="true" customHeight="true" outlineLevel="0" collapsed="false">
      <c r="A27" s="36" t="s">
        <v>80</v>
      </c>
      <c r="B27" s="13" t="n">
        <f aca="false">Расходы!C28</f>
        <v>-66.25</v>
      </c>
      <c r="C27" s="13" t="n">
        <f aca="false">Расходы!D28</f>
        <v>-66.25</v>
      </c>
      <c r="D27" s="13" t="n">
        <f aca="false">Расходы!E28</f>
        <v>-66.25</v>
      </c>
      <c r="E27" s="13" t="n">
        <f aca="false">Расходы!F28</f>
        <v>-66.25</v>
      </c>
      <c r="F27" s="13" t="n">
        <f aca="false">Расходы!G28</f>
        <v>-66.25</v>
      </c>
      <c r="G27" s="13" t="n">
        <f aca="false">Расходы!H28</f>
        <v>-66.25</v>
      </c>
      <c r="H27" s="13" t="n">
        <f aca="false">Расходы!I28</f>
        <v>-66.25</v>
      </c>
      <c r="I27" s="13" t="n">
        <f aca="false">Расходы!J28</f>
        <v>-66.25</v>
      </c>
      <c r="J27" s="13" t="n">
        <f aca="false">Расходы!K28</f>
        <v>-66.25</v>
      </c>
      <c r="K27" s="13" t="n">
        <f aca="false">Расходы!L28</f>
        <v>-66.25</v>
      </c>
      <c r="L27" s="13" t="n">
        <f aca="false">Расходы!M28</f>
        <v>-66.25</v>
      </c>
      <c r="M27" s="13" t="n">
        <f aca="false">Расходы!N28</f>
        <v>-66.25</v>
      </c>
      <c r="N27" s="13" t="n">
        <f aca="false">SUM(B27:M27)</f>
        <v>-795</v>
      </c>
      <c r="O27" s="58" t="n">
        <f aca="false">Расходы!P28</f>
        <v>-354.4</v>
      </c>
      <c r="R27" s="1"/>
      <c r="S27" s="1"/>
      <c r="T27" s="1"/>
      <c r="U27" s="1"/>
    </row>
    <row r="28" customFormat="false" ht="15" hidden="true" customHeight="true" outlineLevel="0" collapsed="false">
      <c r="A28" s="63" t="s">
        <v>46</v>
      </c>
      <c r="B28" s="64" t="n">
        <f aca="false">SUM(B25:B27)</f>
        <v>-89.8692999412308</v>
      </c>
      <c r="C28" s="64" t="n">
        <f aca="false">SUM(C25:C27)</f>
        <v>-125.27429364453</v>
      </c>
      <c r="D28" s="64" t="n">
        <f aca="false">SUM(D25:D27)</f>
        <v>-148.837732616909</v>
      </c>
      <c r="E28" s="64" t="n">
        <f aca="false">SUM(E25:E27)</f>
        <v>-152.621631349173</v>
      </c>
      <c r="F28" s="64" t="n">
        <f aca="false">SUM(F25:F27)</f>
        <v>-153.651031416338</v>
      </c>
      <c r="G28" s="64" t="n">
        <f aca="false">SUM(G25:G27)</f>
        <v>-154.559410796743</v>
      </c>
      <c r="H28" s="64" t="n">
        <f aca="false">SUM(H25:H27)</f>
        <v>-154.512725178407</v>
      </c>
      <c r="I28" s="64" t="n">
        <f aca="false">SUM(I25:I27)</f>
        <v>-164.495994710772</v>
      </c>
      <c r="J28" s="64" t="n">
        <f aca="false">SUM(J25:J27)</f>
        <v>-161.961631987239</v>
      </c>
      <c r="K28" s="64" t="n">
        <f aca="false">SUM(K25:K27)</f>
        <v>-197.159261674083</v>
      </c>
      <c r="L28" s="64" t="n">
        <f aca="false">SUM(L25:L27)</f>
        <v>-218.989611938544</v>
      </c>
      <c r="M28" s="64" t="n">
        <f aca="false">SUM(M25:M27)</f>
        <v>-249.133374746033</v>
      </c>
      <c r="N28" s="64" t="n">
        <f aca="false">SUM(B28:M28)</f>
        <v>-1971.066</v>
      </c>
      <c r="O28" s="64" t="n">
        <f aca="false">SUM(O25:O27)</f>
        <v>-880.54</v>
      </c>
    </row>
    <row r="29" customFormat="false" ht="15" hidden="true" customHeight="true" outlineLevel="0" collapsed="false">
      <c r="A29" s="25" t="s">
        <v>48</v>
      </c>
      <c r="B29" s="26" t="n">
        <f aca="false">B24+B28</f>
        <v>201.456474044187</v>
      </c>
      <c r="C29" s="26" t="n">
        <f aca="false">C24+C28</f>
        <v>603.044607480521</v>
      </c>
      <c r="D29" s="26" t="n">
        <f aca="false">D24+D28</f>
        <v>870.802476332055</v>
      </c>
      <c r="E29" s="26" t="n">
        <f aca="false">E24+E28</f>
        <v>867.005179115267</v>
      </c>
      <c r="F29" s="26" t="n">
        <f aca="false">F24+F28</f>
        <v>865.989177532628</v>
      </c>
      <c r="G29" s="26" t="n">
        <f aca="false">G24+G28</f>
        <v>865.080798152222</v>
      </c>
      <c r="H29" s="26" t="n">
        <f aca="false">H24+H28</f>
        <v>865.127483770558</v>
      </c>
      <c r="I29" s="26" t="n">
        <f aca="false">I24+I28</f>
        <v>1000.78477042336</v>
      </c>
      <c r="J29" s="26" t="n">
        <f aca="false">J24+J28</f>
        <v>1003.3191331469</v>
      </c>
      <c r="K29" s="26" t="n">
        <f aca="false">K24+K28</f>
        <v>1405.13249524571</v>
      </c>
      <c r="L29" s="26" t="n">
        <f aca="false">L24+L28</f>
        <v>1820.29080595938</v>
      </c>
      <c r="M29" s="26" t="n">
        <f aca="false">M24+M28</f>
        <v>2227.13570413002</v>
      </c>
      <c r="N29" s="26" t="n">
        <f aca="false">SUM(B29:M29)</f>
        <v>12595.1691053328</v>
      </c>
      <c r="O29" s="26" t="n">
        <f aca="false">O24+O28</f>
        <v>9442.9092363</v>
      </c>
      <c r="P29" s="62"/>
      <c r="Q29" s="62"/>
    </row>
    <row r="30" customFormat="false" ht="15" hidden="true" customHeight="true" outlineLevel="1" collapsed="false">
      <c r="A30" s="36" t="s">
        <v>81</v>
      </c>
      <c r="B30" s="57" t="n">
        <f aca="false">Расходы!C3</f>
        <v>-20.5021320287505</v>
      </c>
      <c r="C30" s="57" t="n">
        <f aca="false">Расходы!D3</f>
        <v>-20.8874989805594</v>
      </c>
      <c r="D30" s="57" t="n">
        <f aca="false">Расходы!E3</f>
        <v>-20.9962314129087</v>
      </c>
      <c r="E30" s="57" t="n">
        <f aca="false">Расходы!F3</f>
        <v>-21.3474454508537</v>
      </c>
      <c r="F30" s="57" t="n">
        <f aca="false">Расходы!G3</f>
        <v>-21.7459610511498</v>
      </c>
      <c r="G30" s="57" t="n">
        <f aca="false">Расходы!H3</f>
        <v>-21.1991644550706</v>
      </c>
      <c r="H30" s="57" t="n">
        <f aca="false">Расходы!I3</f>
        <v>-21.7290558201795</v>
      </c>
      <c r="I30" s="57" t="n">
        <f aca="false">Расходы!J3</f>
        <v>-18.5087631381029</v>
      </c>
      <c r="J30" s="57" t="n">
        <f aca="false">Расходы!K3</f>
        <v>-21.5601117907646</v>
      </c>
      <c r="K30" s="57" t="n">
        <f aca="false">Расходы!L3</f>
        <v>-23.021618076732</v>
      </c>
      <c r="L30" s="57" t="n">
        <f aca="false">Расходы!M3</f>
        <v>-23.0304143073749</v>
      </c>
      <c r="M30" s="57" t="n">
        <f aca="false">Расходы!N3</f>
        <v>-23.8732957818878</v>
      </c>
      <c r="N30" s="13" t="n">
        <f aca="false">SUM(B30:M30)</f>
        <v>-258.401692294334</v>
      </c>
      <c r="O30" s="58" t="n">
        <f aca="false">Расходы!P3</f>
        <v>-201.500852056</v>
      </c>
    </row>
    <row r="31" customFormat="false" ht="15" hidden="true" customHeight="true" outlineLevel="1" collapsed="false">
      <c r="A31" s="36" t="s">
        <v>82</v>
      </c>
      <c r="B31" s="57" t="n">
        <f aca="false">Расходы!C4</f>
        <v>-0</v>
      </c>
      <c r="C31" s="57" t="n">
        <f aca="false">Расходы!D4</f>
        <v>-0</v>
      </c>
      <c r="D31" s="57" t="n">
        <f aca="false">Расходы!E4</f>
        <v>-0</v>
      </c>
      <c r="E31" s="57" t="n">
        <f aca="false">Расходы!F4</f>
        <v>-0</v>
      </c>
      <c r="F31" s="57" t="n">
        <f aca="false">Расходы!G4</f>
        <v>-0</v>
      </c>
      <c r="G31" s="57" t="n">
        <f aca="false">Расходы!H4</f>
        <v>-0</v>
      </c>
      <c r="H31" s="57" t="n">
        <f aca="false">Расходы!I4</f>
        <v>-0</v>
      </c>
      <c r="I31" s="57" t="n">
        <f aca="false">Расходы!J4</f>
        <v>-0</v>
      </c>
      <c r="J31" s="57" t="n">
        <f aca="false">Расходы!K4</f>
        <v>-0</v>
      </c>
      <c r="K31" s="57" t="n">
        <f aca="false">Расходы!L4</f>
        <v>-0</v>
      </c>
      <c r="L31" s="57" t="n">
        <f aca="false">Расходы!M4</f>
        <v>-0</v>
      </c>
      <c r="M31" s="57" t="n">
        <f aca="false">Расходы!N4</f>
        <v>-0</v>
      </c>
      <c r="N31" s="13" t="n">
        <f aca="false">SUM(B31:M31)</f>
        <v>0</v>
      </c>
      <c r="O31" s="58" t="n">
        <f aca="false">Расходы!P4</f>
        <v>0</v>
      </c>
    </row>
    <row r="32" customFormat="false" ht="15" hidden="true" customHeight="true" outlineLevel="1" collapsed="false">
      <c r="A32" s="36" t="s">
        <v>83</v>
      </c>
      <c r="B32" s="57" t="n">
        <f aca="false">Расходы!C5</f>
        <v>-71.2503220921336</v>
      </c>
      <c r="C32" s="57" t="n">
        <f aca="false">Расходы!D5</f>
        <v>-72.5895740002543</v>
      </c>
      <c r="D32" s="57" t="n">
        <f aca="false">Расходы!E5</f>
        <v>-72.9674479118985</v>
      </c>
      <c r="E32" s="57" t="n">
        <f aca="false">Расходы!F5</f>
        <v>-74.1880094267577</v>
      </c>
      <c r="F32" s="57" t="n">
        <f aca="false">Расходы!G5</f>
        <v>-75.5729563600826</v>
      </c>
      <c r="G32" s="57" t="n">
        <f aca="false">Расходы!H5</f>
        <v>-73.6726938149534</v>
      </c>
      <c r="H32" s="57" t="n">
        <f aca="false">Расходы!I5</f>
        <v>-75.5142062188784</v>
      </c>
      <c r="I32" s="57" t="n">
        <f aca="false">Расходы!J5</f>
        <v>-64.3228388768313</v>
      </c>
      <c r="J32" s="57" t="n">
        <f aca="false">Расходы!K5</f>
        <v>-74.9270811094276</v>
      </c>
      <c r="K32" s="57" t="n">
        <f aca="false">Расходы!L5</f>
        <v>-80.0062013428174</v>
      </c>
      <c r="L32" s="57" t="n">
        <f aca="false">Расходы!M5</f>
        <v>-80.0367705668191</v>
      </c>
      <c r="M32" s="57" t="n">
        <f aca="false">Расходы!N5</f>
        <v>-82.9660062414466</v>
      </c>
      <c r="N32" s="13" t="n">
        <f aca="false">SUM(B32:M32)</f>
        <v>-898.0141079623</v>
      </c>
      <c r="O32" s="58" t="n">
        <f aca="false">Расходы!P5</f>
        <v>-700.268664288</v>
      </c>
    </row>
    <row r="33" customFormat="false" ht="15" hidden="true" customHeight="true" outlineLevel="1" collapsed="false">
      <c r="A33" s="36" t="s">
        <v>84</v>
      </c>
      <c r="B33" s="57" t="n">
        <f aca="false">Расходы!C6</f>
        <v>-2.68955150571714</v>
      </c>
      <c r="C33" s="57" t="n">
        <f aca="false">Расходы!D6</f>
        <v>-2.74010548049584</v>
      </c>
      <c r="D33" s="57" t="n">
        <f aca="false">Расходы!E6</f>
        <v>-2.75436943493411</v>
      </c>
      <c r="E33" s="57" t="n">
        <f aca="false">Расходы!F6</f>
        <v>-2.80044309416424</v>
      </c>
      <c r="F33" s="57" t="n">
        <f aca="false">Расходы!G6</f>
        <v>-2.85272196112916</v>
      </c>
      <c r="G33" s="57" t="n">
        <f aca="false">Расходы!H6</f>
        <v>-2.78099100133221</v>
      </c>
      <c r="H33" s="57" t="n">
        <f aca="false">Расходы!I6</f>
        <v>-2.8505042654599</v>
      </c>
      <c r="I33" s="57" t="n">
        <f aca="false">Расходы!J6</f>
        <v>-2.4280534188951</v>
      </c>
      <c r="J33" s="57" t="n">
        <f aca="false">Расходы!K6</f>
        <v>-2.8283415134077</v>
      </c>
      <c r="K33" s="57" t="n">
        <f aca="false">Расходы!L6</f>
        <v>-3.02006774102766</v>
      </c>
      <c r="L33" s="57" t="n">
        <f aca="false">Расходы!M6</f>
        <v>-3.02122166567008</v>
      </c>
      <c r="M33" s="57" t="n">
        <f aca="false">Расходы!N6</f>
        <v>-3.13179422152614</v>
      </c>
      <c r="N33" s="13" t="n">
        <f aca="false">SUM(B33:M33)</f>
        <v>-33.8981653037593</v>
      </c>
      <c r="O33" s="58" t="n">
        <f aca="false">Расходы!P6</f>
        <v>-26.433685984</v>
      </c>
    </row>
    <row r="34" customFormat="false" ht="15" hidden="true" customHeight="true" outlineLevel="1" collapsed="false">
      <c r="A34" s="36" t="s">
        <v>85</v>
      </c>
      <c r="B34" s="57" t="n">
        <f aca="false">Расходы!C7</f>
        <v>-4.61554389752305</v>
      </c>
      <c r="C34" s="57" t="n">
        <f aca="false">Расходы!D7</f>
        <v>-4.7022996593255</v>
      </c>
      <c r="D34" s="57" t="n">
        <f aca="false">Расходы!E7</f>
        <v>-4.7267780557132</v>
      </c>
      <c r="E34" s="57" t="n">
        <f aca="false">Расходы!F7</f>
        <v>-4.80584514040897</v>
      </c>
      <c r="F34" s="57" t="n">
        <f aca="false">Расходы!G7</f>
        <v>-4.89556099261572</v>
      </c>
      <c r="G34" s="57" t="n">
        <f aca="false">Расходы!H7</f>
        <v>-4.77246337093028</v>
      </c>
      <c r="H34" s="57" t="n">
        <f aca="false">Расходы!I7</f>
        <v>-4.8917552013189</v>
      </c>
      <c r="I34" s="57" t="n">
        <f aca="false">Расходы!J7</f>
        <v>-4.16678658751066</v>
      </c>
      <c r="J34" s="57" t="n">
        <f aca="false">Расходы!K7</f>
        <v>-4.85372166495812</v>
      </c>
      <c r="K34" s="57" t="n">
        <f aca="false">Расходы!L7</f>
        <v>-5.18274336913644</v>
      </c>
      <c r="L34" s="57" t="n">
        <f aca="false">Расходы!M7</f>
        <v>-5.18472362117111</v>
      </c>
      <c r="M34" s="57" t="n">
        <f aca="false">Расходы!N7</f>
        <v>-5.3744773716868</v>
      </c>
      <c r="N34" s="13" t="n">
        <f aca="false">SUM(B34:M34)</f>
        <v>-58.1726989322987</v>
      </c>
      <c r="O34" s="58" t="n">
        <f aca="false">Расходы!P7</f>
        <v>-45.36289332</v>
      </c>
    </row>
    <row r="35" customFormat="false" ht="15" hidden="true" customHeight="true" outlineLevel="1" collapsed="false">
      <c r="A35" s="36" t="s">
        <v>86</v>
      </c>
      <c r="B35" s="57" t="n">
        <f aca="false">Расходы!C8</f>
        <v>-11.5559543508355</v>
      </c>
      <c r="C35" s="57" t="n">
        <f aca="false">Расходы!D8</f>
        <v>-11.7731650729779</v>
      </c>
      <c r="D35" s="57" t="n">
        <f aca="false">Расходы!E8</f>
        <v>-11.8344517246745</v>
      </c>
      <c r="E35" s="57" t="n">
        <f aca="false">Расходы!F8</f>
        <v>-12.0324122774684</v>
      </c>
      <c r="F35" s="57" t="n">
        <f aca="false">Расходы!G8</f>
        <v>-12.2570341889193</v>
      </c>
      <c r="G35" s="57" t="n">
        <f aca="false">Расходы!H8</f>
        <v>-11.9488342175884</v>
      </c>
      <c r="H35" s="57" t="n">
        <f aca="false">Расходы!I8</f>
        <v>-12.247505615154</v>
      </c>
      <c r="I35" s="57" t="n">
        <f aca="false">Расходы!J8</f>
        <v>-10.4323990116934</v>
      </c>
      <c r="J35" s="57" t="n">
        <f aca="false">Расходы!K8</f>
        <v>-12.1522809093026</v>
      </c>
      <c r="K35" s="57" t="n">
        <f aca="false">Расходы!L8</f>
        <v>-12.9760537686527</v>
      </c>
      <c r="L35" s="57" t="n">
        <f aca="false">Расходы!M8</f>
        <v>-12.9810117330062</v>
      </c>
      <c r="M35" s="57" t="n">
        <f aca="false">Расходы!N8</f>
        <v>-13.456098900964</v>
      </c>
      <c r="N35" s="13" t="n">
        <f aca="false">SUM(B35:M35)</f>
        <v>-145.647201771237</v>
      </c>
      <c r="O35" s="58" t="n">
        <f aca="false">Расходы!P8</f>
        <v>-113.575244016</v>
      </c>
    </row>
    <row r="36" customFormat="false" ht="15" hidden="true" customHeight="true" outlineLevel="1" collapsed="false">
      <c r="A36" s="36" t="s">
        <v>87</v>
      </c>
      <c r="B36" s="57" t="n">
        <f aca="false">Расходы!C9</f>
        <v>-3.35054297746118</v>
      </c>
      <c r="C36" s="57" t="n">
        <f aca="false">Расходы!D9</f>
        <v>-3.41352123417703</v>
      </c>
      <c r="D36" s="57" t="n">
        <f aca="false">Расходы!E9</f>
        <v>-3.43129073673995</v>
      </c>
      <c r="E36" s="57" t="n">
        <f aca="false">Расходы!F9</f>
        <v>-3.48868758340799</v>
      </c>
      <c r="F36" s="57" t="n">
        <f aca="false">Расходы!G9</f>
        <v>-3.55381464649141</v>
      </c>
      <c r="G36" s="57" t="n">
        <f aca="false">Расходы!H9</f>
        <v>-3.46445489149013</v>
      </c>
      <c r="H36" s="57" t="n">
        <f aca="false">Расходы!I9</f>
        <v>-3.55105192392038</v>
      </c>
      <c r="I36" s="57" t="n">
        <f aca="false">Расходы!J9</f>
        <v>-3.02477841167441</v>
      </c>
      <c r="J36" s="57" t="n">
        <f aca="false">Расходы!K9</f>
        <v>-3.52344239382145</v>
      </c>
      <c r="K36" s="57" t="n">
        <f aca="false">Расходы!L9</f>
        <v>-3.76228777907682</v>
      </c>
      <c r="L36" s="57" t="n">
        <f aca="false">Расходы!M9</f>
        <v>-3.76372529536865</v>
      </c>
      <c r="M36" s="57" t="n">
        <f aca="false">Расходы!N9</f>
        <v>-3.90147246240968</v>
      </c>
      <c r="N36" s="13" t="n">
        <f aca="false">SUM(B36:M36)</f>
        <v>-42.2290703360391</v>
      </c>
      <c r="O36" s="58" t="n">
        <f aca="false">Расходы!P9</f>
        <v>-32.930100336</v>
      </c>
    </row>
    <row r="37" customFormat="false" ht="15" hidden="false" customHeight="true" outlineLevel="0" collapsed="false">
      <c r="A37" s="28" t="s">
        <v>50</v>
      </c>
      <c r="B37" s="29" t="n">
        <f aca="false">SUM(B30:B36)</f>
        <v>-113.964046852421</v>
      </c>
      <c r="C37" s="29" t="n">
        <f aca="false">SUM(C30:C36)</f>
        <v>-116.10616442779</v>
      </c>
      <c r="D37" s="29" t="n">
        <f aca="false">SUM(D30:D36)</f>
        <v>-116.710569276869</v>
      </c>
      <c r="E37" s="29" t="n">
        <f aca="false">SUM(E30:E36)</f>
        <v>-118.662842973061</v>
      </c>
      <c r="F37" s="29" t="n">
        <f aca="false">SUM(F30:F36)</f>
        <v>-120.878049200388</v>
      </c>
      <c r="G37" s="29" t="n">
        <f aca="false">SUM(G30:G36)</f>
        <v>-117.838601751365</v>
      </c>
      <c r="H37" s="29" t="n">
        <f aca="false">SUM(H30:H36)</f>
        <v>-120.784079044911</v>
      </c>
      <c r="I37" s="29" t="n">
        <f aca="false">SUM(I30:I36)</f>
        <v>-102.883619444708</v>
      </c>
      <c r="J37" s="29" t="n">
        <f aca="false">SUM(J30:J36)</f>
        <v>-119.844979381682</v>
      </c>
      <c r="K37" s="29" t="n">
        <f aca="false">SUM(K30:K36)</f>
        <v>-127.968972077443</v>
      </c>
      <c r="L37" s="29" t="n">
        <f aca="false">SUM(L30:L36)</f>
        <v>-128.01786718941</v>
      </c>
      <c r="M37" s="29" t="n">
        <f aca="false">SUM(M30:M36)</f>
        <v>-132.703144979921</v>
      </c>
      <c r="N37" s="29" t="n">
        <f aca="false">SUM(B37:M37)</f>
        <v>-1436.36293659997</v>
      </c>
      <c r="O37" s="65" t="n">
        <f aca="false">SUM(O30:O36)</f>
        <v>-1120.07144</v>
      </c>
    </row>
    <row r="38" customFormat="false" ht="15" hidden="true" customHeight="true" outlineLevel="1" collapsed="false">
      <c r="A38" s="36" t="s">
        <v>88</v>
      </c>
      <c r="B38" s="13" t="n">
        <f aca="false">Расходы!C11</f>
        <v>-0.005</v>
      </c>
      <c r="C38" s="13" t="n">
        <f aca="false">Расходы!D11</f>
        <v>-0</v>
      </c>
      <c r="D38" s="13" t="n">
        <f aca="false">Расходы!E11</f>
        <v>-0.005</v>
      </c>
      <c r="E38" s="13" t="n">
        <f aca="false">Расходы!F11</f>
        <v>-0.005</v>
      </c>
      <c r="F38" s="13" t="n">
        <f aca="false">Расходы!G11</f>
        <v>-0.005</v>
      </c>
      <c r="G38" s="13" t="n">
        <f aca="false">Расходы!H11</f>
        <v>-0</v>
      </c>
      <c r="H38" s="13" t="n">
        <f aca="false">Расходы!I11</f>
        <v>-0.005</v>
      </c>
      <c r="I38" s="13" t="n">
        <f aca="false">Расходы!J11</f>
        <v>-0</v>
      </c>
      <c r="J38" s="13" t="n">
        <f aca="false">Расходы!K11</f>
        <v>-0.005</v>
      </c>
      <c r="K38" s="13" t="n">
        <f aca="false">Расходы!L11</f>
        <v>-0</v>
      </c>
      <c r="L38" s="13" t="n">
        <f aca="false">Расходы!M11</f>
        <v>-0.005</v>
      </c>
      <c r="M38" s="13" t="n">
        <f aca="false">Расходы!N11</f>
        <v>-0.005</v>
      </c>
      <c r="N38" s="13" t="n">
        <f aca="false">SUM(B38:M38)</f>
        <v>-0.04</v>
      </c>
      <c r="O38" s="58" t="n">
        <f aca="false">Расходы!P11</f>
        <v>-0.4</v>
      </c>
    </row>
    <row r="39" customFormat="false" ht="15" hidden="true" customHeight="true" outlineLevel="1" collapsed="false">
      <c r="A39" s="36" t="s">
        <v>89</v>
      </c>
      <c r="B39" s="13" t="n">
        <f aca="false">Расходы!C12</f>
        <v>-0.375</v>
      </c>
      <c r="C39" s="13" t="n">
        <f aca="false">Расходы!D12</f>
        <v>-0.375</v>
      </c>
      <c r="D39" s="13" t="n">
        <f aca="false">Расходы!E12</f>
        <v>-0.51</v>
      </c>
      <c r="E39" s="13" t="n">
        <f aca="false">Расходы!F12</f>
        <v>-0.375</v>
      </c>
      <c r="F39" s="13" t="n">
        <f aca="false">Расходы!G12</f>
        <v>-0.375</v>
      </c>
      <c r="G39" s="13" t="n">
        <f aca="false">Расходы!H12</f>
        <v>-0.375</v>
      </c>
      <c r="H39" s="13" t="n">
        <f aca="false">Расходы!I12</f>
        <v>-0.51</v>
      </c>
      <c r="I39" s="13" t="n">
        <f aca="false">Расходы!J12</f>
        <v>-0.375</v>
      </c>
      <c r="J39" s="13" t="n">
        <f aca="false">Расходы!K12</f>
        <v>-0.375</v>
      </c>
      <c r="K39" s="13" t="n">
        <f aca="false">Расходы!L12</f>
        <v>-0.375</v>
      </c>
      <c r="L39" s="13" t="n">
        <f aca="false">Расходы!M12</f>
        <v>-0.375</v>
      </c>
      <c r="M39" s="13" t="n">
        <f aca="false">Расходы!N12</f>
        <v>-0.375</v>
      </c>
      <c r="N39" s="13" t="n">
        <f aca="false">SUM(B39:M39)</f>
        <v>-4.77</v>
      </c>
      <c r="O39" s="58" t="n">
        <f aca="false">Расходы!P12</f>
        <v>-3</v>
      </c>
    </row>
    <row r="40" customFormat="false" ht="15" hidden="true" customHeight="true" outlineLevel="1" collapsed="false">
      <c r="A40" s="36" t="s">
        <v>90</v>
      </c>
      <c r="B40" s="13" t="n">
        <f aca="false">Расходы!C13</f>
        <v>-0.869198133256529</v>
      </c>
      <c r="C40" s="13" t="n">
        <f aca="false">Расходы!D13</f>
        <v>-0.869198133256529</v>
      </c>
      <c r="D40" s="13" t="n">
        <f aca="false">Расходы!E13</f>
        <v>-0.869198133256529</v>
      </c>
      <c r="E40" s="13" t="n">
        <f aca="false">Расходы!F13</f>
        <v>-0.869198133256529</v>
      </c>
      <c r="F40" s="13" t="n">
        <f aca="false">Расходы!G13</f>
        <v>-0.869198133256529</v>
      </c>
      <c r="G40" s="13" t="n">
        <f aca="false">Расходы!H13</f>
        <v>-0.869198133256529</v>
      </c>
      <c r="H40" s="13" t="n">
        <f aca="false">Расходы!I13</f>
        <v>-0.869198133256529</v>
      </c>
      <c r="I40" s="13" t="n">
        <f aca="false">Расходы!J13</f>
        <v>-0.869198133256529</v>
      </c>
      <c r="J40" s="13" t="n">
        <f aca="false">Расходы!K13</f>
        <v>-0.869198133256529</v>
      </c>
      <c r="K40" s="13" t="n">
        <f aca="false">Расходы!L13</f>
        <v>-0.869198133256529</v>
      </c>
      <c r="L40" s="13" t="n">
        <f aca="false">Расходы!M13</f>
        <v>-0.882419923960377</v>
      </c>
      <c r="M40" s="13" t="n">
        <f aca="false">Расходы!N13</f>
        <v>-0.972502982022831</v>
      </c>
      <c r="N40" s="13" t="n">
        <f aca="false">SUM(B40:M40)</f>
        <v>-10.5469042385485</v>
      </c>
      <c r="O40" s="58" t="n">
        <f aca="false">Расходы!P13</f>
        <v>-6.5</v>
      </c>
    </row>
    <row r="41" customFormat="false" ht="15" hidden="true" customHeight="true" outlineLevel="1" collapsed="false">
      <c r="A41" s="36" t="s">
        <v>91</v>
      </c>
      <c r="B41" s="13" t="n">
        <f aca="false">Расходы!C14</f>
        <v>-0</v>
      </c>
      <c r="C41" s="13" t="n">
        <f aca="false">Расходы!D14</f>
        <v>-0</v>
      </c>
      <c r="D41" s="13" t="n">
        <f aca="false">Расходы!E14</f>
        <v>-0</v>
      </c>
      <c r="E41" s="13" t="n">
        <f aca="false">Расходы!F14</f>
        <v>-0</v>
      </c>
      <c r="F41" s="13" t="n">
        <f aca="false">Расходы!G14</f>
        <v>-0</v>
      </c>
      <c r="G41" s="13" t="n">
        <f aca="false">Расходы!H14</f>
        <v>-0</v>
      </c>
      <c r="H41" s="13" t="n">
        <f aca="false">Расходы!I14</f>
        <v>-0</v>
      </c>
      <c r="I41" s="13" t="n">
        <f aca="false">Расходы!J14</f>
        <v>-0</v>
      </c>
      <c r="J41" s="13" t="n">
        <f aca="false">Расходы!K14</f>
        <v>-0</v>
      </c>
      <c r="K41" s="13" t="n">
        <f aca="false">Расходы!L14</f>
        <v>-0</v>
      </c>
      <c r="L41" s="13" t="n">
        <f aca="false">Расходы!M14</f>
        <v>-0</v>
      </c>
      <c r="M41" s="13" t="n">
        <f aca="false">Расходы!N14</f>
        <v>-0</v>
      </c>
      <c r="N41" s="13" t="n">
        <f aca="false">SUM(B41:M41)</f>
        <v>0</v>
      </c>
      <c r="O41" s="58" t="n">
        <f aca="false">Расходы!P14</f>
        <v>-4.9</v>
      </c>
    </row>
    <row r="42" customFormat="false" ht="15" hidden="true" customHeight="true" outlineLevel="1" collapsed="false">
      <c r="A42" s="36" t="s">
        <v>92</v>
      </c>
      <c r="B42" s="13" t="n">
        <f aca="false">Расходы!C15</f>
        <v>-0.037333</v>
      </c>
      <c r="C42" s="13" t="n">
        <f aca="false">Расходы!D15</f>
        <v>-0.037333</v>
      </c>
      <c r="D42" s="13" t="n">
        <f aca="false">Расходы!E15</f>
        <v>-0.037333</v>
      </c>
      <c r="E42" s="13" t="n">
        <f aca="false">Расходы!F15</f>
        <v>-0.37233367</v>
      </c>
      <c r="F42" s="13" t="n">
        <f aca="false">Расходы!G15</f>
        <v>-0.037333</v>
      </c>
      <c r="G42" s="13" t="n">
        <f aca="false">Расходы!H15</f>
        <v>-0.037333</v>
      </c>
      <c r="H42" s="13" t="n">
        <f aca="false">Расходы!I15</f>
        <v>-0.037333</v>
      </c>
      <c r="I42" s="13" t="n">
        <f aca="false">Расходы!J15</f>
        <v>-0.377003</v>
      </c>
      <c r="J42" s="13" t="n">
        <f aca="false">Расходы!K15</f>
        <v>-0.037333</v>
      </c>
      <c r="K42" s="13" t="n">
        <f aca="false">Расходы!L15</f>
        <v>-0.037333</v>
      </c>
      <c r="L42" s="13" t="n">
        <f aca="false">Расходы!M15</f>
        <v>-0.037333</v>
      </c>
      <c r="M42" s="13" t="n">
        <f aca="false">Расходы!N15</f>
        <v>-0.037333</v>
      </c>
      <c r="N42" s="13" t="n">
        <f aca="false">SUM(B42:M42)</f>
        <v>-1.12266667</v>
      </c>
      <c r="O42" s="58" t="n">
        <f aca="false">Расходы!P15</f>
        <v>0</v>
      </c>
    </row>
    <row r="43" customFormat="false" ht="15" hidden="true" customHeight="true" outlineLevel="1" collapsed="false">
      <c r="A43" s="36" t="s">
        <v>93</v>
      </c>
      <c r="B43" s="13" t="n">
        <f aca="false">Расходы!C16</f>
        <v>-0</v>
      </c>
      <c r="C43" s="13" t="n">
        <f aca="false">Расходы!D16</f>
        <v>-0</v>
      </c>
      <c r="D43" s="13" t="n">
        <f aca="false">Расходы!E16</f>
        <v>-0.51209</v>
      </c>
      <c r="E43" s="13" t="n">
        <f aca="false">Расходы!F16</f>
        <v>-0.51209</v>
      </c>
      <c r="F43" s="13" t="n">
        <f aca="false">Расходы!G16</f>
        <v>-0.51209</v>
      </c>
      <c r="G43" s="13" t="n">
        <f aca="false">Расходы!H16</f>
        <v>-0.51209</v>
      </c>
      <c r="H43" s="13" t="n">
        <f aca="false">Расходы!I16</f>
        <v>-0.51209</v>
      </c>
      <c r="I43" s="13" t="n">
        <f aca="false">Расходы!J16</f>
        <v>-0.51209</v>
      </c>
      <c r="J43" s="13" t="n">
        <f aca="false">Расходы!K16</f>
        <v>-0.51209</v>
      </c>
      <c r="K43" s="13" t="n">
        <f aca="false">Расходы!L16</f>
        <v>-0.51209</v>
      </c>
      <c r="L43" s="13" t="n">
        <f aca="false">Расходы!M16</f>
        <v>-0.51209</v>
      </c>
      <c r="M43" s="13" t="n">
        <f aca="false">Расходы!N16</f>
        <v>-0.51209</v>
      </c>
      <c r="N43" s="13" t="n">
        <f aca="false">SUM(B43:M43)</f>
        <v>-5.1209</v>
      </c>
      <c r="O43" s="58" t="n">
        <f aca="false">Расходы!P16</f>
        <v>-5.7</v>
      </c>
    </row>
    <row r="44" customFormat="false" ht="15" hidden="true" customHeight="true" outlineLevel="1" collapsed="false">
      <c r="A44" s="36" t="s">
        <v>94</v>
      </c>
      <c r="B44" s="13" t="n">
        <f aca="false">Расходы!C17</f>
        <v>-0</v>
      </c>
      <c r="C44" s="13" t="n">
        <f aca="false">Расходы!D17</f>
        <v>-4</v>
      </c>
      <c r="D44" s="13" t="n">
        <f aca="false">Расходы!E17</f>
        <v>-0</v>
      </c>
      <c r="E44" s="13" t="n">
        <f aca="false">Расходы!F17</f>
        <v>-10.25</v>
      </c>
      <c r="F44" s="13" t="n">
        <f aca="false">Расходы!G17</f>
        <v>-0</v>
      </c>
      <c r="G44" s="13" t="n">
        <f aca="false">Расходы!H17</f>
        <v>-0</v>
      </c>
      <c r="H44" s="13" t="n">
        <f aca="false">Расходы!I17</f>
        <v>-6</v>
      </c>
      <c r="I44" s="13" t="n">
        <f aca="false">Расходы!J17</f>
        <v>-0</v>
      </c>
      <c r="J44" s="13" t="n">
        <f aca="false">Расходы!K17</f>
        <v>-0</v>
      </c>
      <c r="K44" s="13" t="n">
        <f aca="false">Расходы!L17</f>
        <v>-0</v>
      </c>
      <c r="L44" s="13" t="n">
        <f aca="false">Расходы!M17</f>
        <v>-0</v>
      </c>
      <c r="M44" s="13" t="n">
        <f aca="false">Расходы!N17</f>
        <v>-0</v>
      </c>
      <c r="N44" s="13" t="n">
        <f aca="false">SUM(B44:M44)</f>
        <v>-20.25</v>
      </c>
      <c r="O44" s="58" t="n">
        <f aca="false">Расходы!P17</f>
        <v>-14</v>
      </c>
    </row>
    <row r="45" customFormat="false" ht="15" hidden="true" customHeight="true" outlineLevel="1" collapsed="false">
      <c r="A45" s="36" t="s">
        <v>95</v>
      </c>
      <c r="B45" s="13" t="n">
        <f aca="false">Расходы!C18</f>
        <v>-0.02799675</v>
      </c>
      <c r="C45" s="13" t="n">
        <f aca="false">Расходы!D18</f>
        <v>-0.02799675</v>
      </c>
      <c r="D45" s="13" t="n">
        <f aca="false">Расходы!E18</f>
        <v>-0.02799675</v>
      </c>
      <c r="E45" s="13" t="n">
        <f aca="false">Расходы!F18</f>
        <v>-0.02799675</v>
      </c>
      <c r="F45" s="13" t="n">
        <f aca="false">Расходы!G18</f>
        <v>-0.02799675</v>
      </c>
      <c r="G45" s="13" t="n">
        <f aca="false">Расходы!H18</f>
        <v>-0.02799675</v>
      </c>
      <c r="H45" s="13" t="n">
        <f aca="false">Расходы!I18</f>
        <v>-0.02799675</v>
      </c>
      <c r="I45" s="13" t="n">
        <f aca="false">Расходы!J18</f>
        <v>-0.02799675</v>
      </c>
      <c r="J45" s="13" t="n">
        <f aca="false">Расходы!K18</f>
        <v>-0.02799675</v>
      </c>
      <c r="K45" s="13" t="n">
        <f aca="false">Расходы!L18</f>
        <v>-0.02799675</v>
      </c>
      <c r="L45" s="13" t="n">
        <f aca="false">Расходы!M18</f>
        <v>-0.02799675</v>
      </c>
      <c r="M45" s="13" t="n">
        <f aca="false">Расходы!N18</f>
        <v>-0.02799675</v>
      </c>
      <c r="N45" s="13" t="n">
        <f aca="false">SUM(B45:M45)</f>
        <v>-0.335961</v>
      </c>
      <c r="O45" s="58" t="n">
        <f aca="false">Расходы!P18</f>
        <v>0</v>
      </c>
    </row>
    <row r="46" customFormat="false" ht="15" hidden="true" customHeight="true" outlineLevel="1" collapsed="false">
      <c r="A46" s="36" t="s">
        <v>96</v>
      </c>
      <c r="B46" s="13" t="n">
        <f aca="false">Расходы!C19</f>
        <v>-0.0416666666666667</v>
      </c>
      <c r="C46" s="13" t="n">
        <f aca="false">Расходы!D19</f>
        <v>-0.0416666666666667</v>
      </c>
      <c r="D46" s="13" t="n">
        <f aca="false">Расходы!E19</f>
        <v>-0.0416666666666667</v>
      </c>
      <c r="E46" s="13" t="n">
        <f aca="false">Расходы!F19</f>
        <v>-0.0416666666666667</v>
      </c>
      <c r="F46" s="13" t="n">
        <f aca="false">Расходы!G19</f>
        <v>-0.0416666666666667</v>
      </c>
      <c r="G46" s="13" t="n">
        <f aca="false">Расходы!H19</f>
        <v>-0.0416666666666667</v>
      </c>
      <c r="H46" s="13" t="n">
        <f aca="false">Расходы!I19</f>
        <v>-0.0416666666666667</v>
      </c>
      <c r="I46" s="13" t="n">
        <f aca="false">Расходы!J19</f>
        <v>-0.0416666666666667</v>
      </c>
      <c r="J46" s="13" t="n">
        <f aca="false">Расходы!K19</f>
        <v>-0.0416666666666667</v>
      </c>
      <c r="K46" s="13" t="n">
        <f aca="false">Расходы!L19</f>
        <v>-0.0416666666666667</v>
      </c>
      <c r="L46" s="13" t="n">
        <f aca="false">Расходы!M19</f>
        <v>-0.0416666666666667</v>
      </c>
      <c r="M46" s="13" t="n">
        <f aca="false">Расходы!N19</f>
        <v>-0.0416666666666667</v>
      </c>
      <c r="N46" s="13" t="n">
        <f aca="false">SUM(B46:M46)</f>
        <v>-0.5</v>
      </c>
      <c r="O46" s="58" t="n">
        <f aca="false">Расходы!P19</f>
        <v>-1.2</v>
      </c>
    </row>
    <row r="47" customFormat="false" ht="15" hidden="true" customHeight="true" outlineLevel="1" collapsed="false">
      <c r="A47" s="36" t="s">
        <v>97</v>
      </c>
      <c r="B47" s="13" t="n">
        <f aca="false">Расходы!C20</f>
        <v>0.2</v>
      </c>
      <c r="C47" s="13" t="n">
        <f aca="false">Расходы!D20</f>
        <v>0.2</v>
      </c>
      <c r="D47" s="13" t="n">
        <f aca="false">Расходы!E20</f>
        <v>0.2</v>
      </c>
      <c r="E47" s="13" t="n">
        <f aca="false">Расходы!F20</f>
        <v>0.2</v>
      </c>
      <c r="F47" s="13" t="n">
        <f aca="false">Расходы!G20</f>
        <v>0.2</v>
      </c>
      <c r="G47" s="13" t="n">
        <f aca="false">Расходы!H20</f>
        <v>0.2</v>
      </c>
      <c r="H47" s="13" t="n">
        <f aca="false">Расходы!I20</f>
        <v>0.2</v>
      </c>
      <c r="I47" s="13" t="n">
        <f aca="false">Расходы!J20</f>
        <v>0.2</v>
      </c>
      <c r="J47" s="13" t="n">
        <f aca="false">Расходы!K20</f>
        <v>0.2</v>
      </c>
      <c r="K47" s="13" t="n">
        <f aca="false">Расходы!L20</f>
        <v>0.2</v>
      </c>
      <c r="L47" s="13" t="n">
        <f aca="false">Расходы!M20</f>
        <v>0.2</v>
      </c>
      <c r="M47" s="13" t="n">
        <f aca="false">Расходы!N20</f>
        <v>0.2</v>
      </c>
      <c r="N47" s="13" t="n">
        <f aca="false">SUM(B47:M47)</f>
        <v>2.4</v>
      </c>
      <c r="O47" s="58" t="n">
        <f aca="false">Расходы!P20</f>
        <v>3</v>
      </c>
    </row>
    <row r="48" customFormat="false" ht="15" hidden="false" customHeight="true" outlineLevel="0" collapsed="false">
      <c r="A48" s="28" t="s">
        <v>51</v>
      </c>
      <c r="B48" s="29" t="n">
        <f aca="false">SUM(B38:B47)</f>
        <v>-1.1561945499232</v>
      </c>
      <c r="C48" s="29" t="n">
        <f aca="false">SUM(C38:C47)</f>
        <v>-5.1511945499232</v>
      </c>
      <c r="D48" s="29" t="n">
        <f aca="false">SUM(D38:D47)</f>
        <v>-1.8032845499232</v>
      </c>
      <c r="E48" s="29" t="n">
        <f aca="false">SUM(E38:E47)</f>
        <v>-12.2532852199232</v>
      </c>
      <c r="F48" s="29" t="n">
        <f aca="false">SUM(F38:F47)</f>
        <v>-1.6682845499232</v>
      </c>
      <c r="G48" s="29" t="n">
        <f aca="false">SUM(G38:G47)</f>
        <v>-1.6632845499232</v>
      </c>
      <c r="H48" s="29" t="n">
        <f aca="false">SUM(H38:H47)</f>
        <v>-7.8032845499232</v>
      </c>
      <c r="I48" s="29" t="n">
        <f aca="false">SUM(I38:I47)</f>
        <v>-2.0029545499232</v>
      </c>
      <c r="J48" s="29" t="n">
        <f aca="false">SUM(J38:J47)</f>
        <v>-1.6682845499232</v>
      </c>
      <c r="K48" s="29" t="n">
        <f aca="false">SUM(K38:K47)</f>
        <v>-1.6632845499232</v>
      </c>
      <c r="L48" s="29" t="n">
        <f aca="false">SUM(L38:L47)</f>
        <v>-1.68150634062704</v>
      </c>
      <c r="M48" s="29" t="n">
        <f aca="false">SUM(M38:M47)</f>
        <v>-1.7715893986895</v>
      </c>
      <c r="N48" s="29" t="n">
        <f aca="false">SUM(B48:M48)</f>
        <v>-40.2864319085485</v>
      </c>
      <c r="O48" s="65" t="n">
        <f aca="false">SUM(O38:O47)</f>
        <v>-32.7</v>
      </c>
    </row>
    <row r="49" customFormat="false" ht="15" hidden="true" customHeight="true" outlineLevel="1" collapsed="false">
      <c r="A49" s="36" t="s">
        <v>98</v>
      </c>
      <c r="B49" s="13" t="n">
        <f aca="false">Расходы!C22</f>
        <v>-0.675</v>
      </c>
      <c r="C49" s="13" t="n">
        <f aca="false">Расходы!D22</f>
        <v>-3.525</v>
      </c>
      <c r="D49" s="13" t="n">
        <f aca="false">Расходы!E22</f>
        <v>-4.25</v>
      </c>
      <c r="E49" s="13" t="n">
        <f aca="false">Расходы!F22</f>
        <v>-2.675</v>
      </c>
      <c r="F49" s="13" t="n">
        <f aca="false">Расходы!G22</f>
        <v>-0.875</v>
      </c>
      <c r="G49" s="13" t="n">
        <f aca="false">Расходы!H22</f>
        <v>-1.9</v>
      </c>
      <c r="H49" s="13" t="n">
        <f aca="false">Расходы!I22</f>
        <v>-4.675</v>
      </c>
      <c r="I49" s="13" t="n">
        <f aca="false">Расходы!J22</f>
        <v>-2.025</v>
      </c>
      <c r="J49" s="13" t="n">
        <f aca="false">Расходы!K22</f>
        <v>-3.45</v>
      </c>
      <c r="K49" s="13" t="n">
        <f aca="false">Расходы!L22</f>
        <v>-1.975</v>
      </c>
      <c r="L49" s="13" t="n">
        <f aca="false">Расходы!M22</f>
        <v>-5.875</v>
      </c>
      <c r="M49" s="13" t="n">
        <f aca="false">Расходы!N22</f>
        <v>-1.4</v>
      </c>
      <c r="N49" s="13" t="n">
        <f aca="false">SUM(B49:M49)</f>
        <v>-33.3</v>
      </c>
      <c r="O49" s="58" t="n">
        <f aca="false">Расходы!P22</f>
        <v>-23.25</v>
      </c>
    </row>
    <row r="50" customFormat="false" ht="15" hidden="true" customHeight="true" outlineLevel="1" collapsed="false">
      <c r="A50" s="36" t="s">
        <v>99</v>
      </c>
      <c r="B50" s="13" t="n">
        <f aca="false">Расходы!C23</f>
        <v>-0</v>
      </c>
      <c r="C50" s="13" t="n">
        <f aca="false">Расходы!D23</f>
        <v>-1.5</v>
      </c>
      <c r="D50" s="13" t="n">
        <f aca="false">Расходы!E23</f>
        <v>-0</v>
      </c>
      <c r="E50" s="13" t="n">
        <f aca="false">Расходы!F23</f>
        <v>-0</v>
      </c>
      <c r="F50" s="13" t="n">
        <f aca="false">Расходы!G23</f>
        <v>-0</v>
      </c>
      <c r="G50" s="13" t="n">
        <f aca="false">Расходы!H23</f>
        <v>-0.15</v>
      </c>
      <c r="H50" s="13" t="n">
        <f aca="false">Расходы!I23</f>
        <v>-0</v>
      </c>
      <c r="I50" s="13" t="n">
        <f aca="false">Расходы!J23</f>
        <v>-0</v>
      </c>
      <c r="J50" s="13" t="n">
        <f aca="false">Расходы!K23</f>
        <v>-0.15</v>
      </c>
      <c r="K50" s="13" t="n">
        <f aca="false">Расходы!L23</f>
        <v>-0</v>
      </c>
      <c r="L50" s="13" t="n">
        <f aca="false">Расходы!M23</f>
        <v>-0</v>
      </c>
      <c r="M50" s="13" t="n">
        <f aca="false">Расходы!N23</f>
        <v>-0</v>
      </c>
      <c r="N50" s="13" t="n">
        <f aca="false">SUM(B50:M50)</f>
        <v>-1.8</v>
      </c>
      <c r="O50" s="58" t="n">
        <f aca="false">Расходы!P23</f>
        <v>-3.5</v>
      </c>
    </row>
    <row r="51" customFormat="false" ht="15" hidden="true" customHeight="true" outlineLevel="1" collapsed="false">
      <c r="A51" s="36" t="s">
        <v>100</v>
      </c>
      <c r="B51" s="13" t="n">
        <f aca="false">Расходы!C24</f>
        <v>-1.1260256</v>
      </c>
      <c r="C51" s="13" t="n">
        <f aca="false">Расходы!D24</f>
        <v>-1.1260256</v>
      </c>
      <c r="D51" s="13" t="n">
        <f aca="false">Расходы!E24</f>
        <v>-1.1260256</v>
      </c>
      <c r="E51" s="13" t="n">
        <f aca="false">Расходы!F24</f>
        <v>-1.1260256</v>
      </c>
      <c r="F51" s="13" t="n">
        <f aca="false">Расходы!G24</f>
        <v>-1.1260256</v>
      </c>
      <c r="G51" s="13" t="n">
        <f aca="false">Расходы!H24</f>
        <v>-1.1260256</v>
      </c>
      <c r="H51" s="13" t="n">
        <f aca="false">Расходы!I24</f>
        <v>-1.4670104</v>
      </c>
      <c r="I51" s="13" t="n">
        <f aca="false">Расходы!J24</f>
        <v>-1.4670104</v>
      </c>
      <c r="J51" s="13" t="n">
        <f aca="false">Расходы!K24</f>
        <v>-1.4670104</v>
      </c>
      <c r="K51" s="13" t="n">
        <f aca="false">Расходы!L24</f>
        <v>-1.4670104</v>
      </c>
      <c r="L51" s="13" t="n">
        <f aca="false">Расходы!M24</f>
        <v>-1.4670104</v>
      </c>
      <c r="M51" s="13" t="n">
        <f aca="false">Расходы!N24</f>
        <v>-1.4670104</v>
      </c>
      <c r="N51" s="13" t="n">
        <f aca="false">SUM(B51:M51)</f>
        <v>-15.558216</v>
      </c>
      <c r="O51" s="58" t="n">
        <f aca="false">Расходы!P24</f>
        <v>-8.3</v>
      </c>
    </row>
    <row r="52" customFormat="false" ht="15" hidden="true" customHeight="true" outlineLevel="1" collapsed="false">
      <c r="A52" s="36" t="s">
        <v>101</v>
      </c>
      <c r="B52" s="13" t="n">
        <f aca="false">Расходы!C25</f>
        <v>-4.16666666666667</v>
      </c>
      <c r="C52" s="13" t="n">
        <f aca="false">Расходы!D25</f>
        <v>-4.16666666666667</v>
      </c>
      <c r="D52" s="13" t="n">
        <f aca="false">Расходы!E25</f>
        <v>-4.16666666666667</v>
      </c>
      <c r="E52" s="13" t="n">
        <f aca="false">Расходы!F25</f>
        <v>-4.16666666666667</v>
      </c>
      <c r="F52" s="13" t="n">
        <f aca="false">Расходы!G25</f>
        <v>-4.16666666666667</v>
      </c>
      <c r="G52" s="13" t="n">
        <f aca="false">Расходы!H25</f>
        <v>-4.16666666666667</v>
      </c>
      <c r="H52" s="13" t="n">
        <f aca="false">Расходы!I25</f>
        <v>-4.16666666666667</v>
      </c>
      <c r="I52" s="13" t="n">
        <f aca="false">Расходы!J25</f>
        <v>-4.16666666666667</v>
      </c>
      <c r="J52" s="13" t="n">
        <f aca="false">Расходы!K25</f>
        <v>-4.16666666666667</v>
      </c>
      <c r="K52" s="13" t="n">
        <f aca="false">Расходы!L25</f>
        <v>-4.16666666666667</v>
      </c>
      <c r="L52" s="13" t="n">
        <f aca="false">Расходы!M25</f>
        <v>-4.16666666666667</v>
      </c>
      <c r="M52" s="13" t="n">
        <f aca="false">Расходы!N25</f>
        <v>-4.16666666666667</v>
      </c>
      <c r="N52" s="13" t="n">
        <f aca="false">SUM(B52:M52)</f>
        <v>-50</v>
      </c>
      <c r="O52" s="58" t="n">
        <f aca="false">Расходы!P25</f>
        <v>-20.2</v>
      </c>
    </row>
    <row r="53" customFormat="false" ht="15" hidden="false" customHeight="true" outlineLevel="0" collapsed="false">
      <c r="A53" s="28" t="s">
        <v>52</v>
      </c>
      <c r="B53" s="29" t="n">
        <f aca="false">SUM(B49:B52)</f>
        <v>-5.96769226666667</v>
      </c>
      <c r="C53" s="29" t="n">
        <f aca="false">SUM(C49:C52)</f>
        <v>-10.3176922666667</v>
      </c>
      <c r="D53" s="29" t="n">
        <f aca="false">SUM(D49:D52)</f>
        <v>-9.54269226666667</v>
      </c>
      <c r="E53" s="29" t="n">
        <f aca="false">SUM(E49:E52)</f>
        <v>-7.96769226666667</v>
      </c>
      <c r="F53" s="29" t="n">
        <f aca="false">SUM(F49:F52)</f>
        <v>-6.16769226666667</v>
      </c>
      <c r="G53" s="29" t="n">
        <f aca="false">SUM(G49:G52)</f>
        <v>-7.34269226666667</v>
      </c>
      <c r="H53" s="29" t="n">
        <f aca="false">SUM(H49:H52)</f>
        <v>-10.3086770666667</v>
      </c>
      <c r="I53" s="29" t="n">
        <f aca="false">SUM(I49:I52)</f>
        <v>-7.65867706666667</v>
      </c>
      <c r="J53" s="29" t="n">
        <f aca="false">SUM(J49:J52)</f>
        <v>-9.23367706666667</v>
      </c>
      <c r="K53" s="29" t="n">
        <f aca="false">SUM(K49:K52)</f>
        <v>-7.60867706666667</v>
      </c>
      <c r="L53" s="29" t="n">
        <f aca="false">SUM(L49:L52)</f>
        <v>-11.5086770666667</v>
      </c>
      <c r="M53" s="29" t="n">
        <f aca="false">SUM(M49:M52)</f>
        <v>-7.03367706666667</v>
      </c>
      <c r="N53" s="29" t="n">
        <f aca="false">SUM(B53:M53)</f>
        <v>-100.658216</v>
      </c>
      <c r="O53" s="65" t="n">
        <f aca="false">SUM(O49:O52)</f>
        <v>-55.25</v>
      </c>
    </row>
    <row r="54" customFormat="false" ht="15" hidden="true" customHeight="true" outlineLevel="1" collapsed="false">
      <c r="A54" s="36" t="s">
        <v>102</v>
      </c>
      <c r="B54" s="13" t="n">
        <f aca="false">Расходы!C30</f>
        <v>-6.44907272921417</v>
      </c>
      <c r="C54" s="13" t="n">
        <f aca="false">Расходы!D30</f>
        <v>-6.44907272921417</v>
      </c>
      <c r="D54" s="13" t="n">
        <f aca="false">Расходы!E30</f>
        <v>-6.84907272921417</v>
      </c>
      <c r="E54" s="13" t="n">
        <f aca="false">Расходы!F30</f>
        <v>-6.64907272921417</v>
      </c>
      <c r="F54" s="13" t="n">
        <f aca="false">Расходы!G30</f>
        <v>-7.14907272921417</v>
      </c>
      <c r="G54" s="13" t="n">
        <f aca="false">Расходы!H30</f>
        <v>-7.09957968014875</v>
      </c>
      <c r="H54" s="13" t="n">
        <f aca="false">Расходы!I30</f>
        <v>-7.04200677321728</v>
      </c>
      <c r="I54" s="13" t="n">
        <f aca="false">Расходы!J30</f>
        <v>-7.30994301384494</v>
      </c>
      <c r="J54" s="13" t="n">
        <f aca="false">Расходы!K30</f>
        <v>-8.82134158688551</v>
      </c>
      <c r="K54" s="13" t="n">
        <f aca="false">Расходы!L30</f>
        <v>-9.42744069455684</v>
      </c>
      <c r="L54" s="13" t="n">
        <f aca="false">Расходы!M30</f>
        <v>-9.42744069455684</v>
      </c>
      <c r="M54" s="13" t="n">
        <f aca="false">Расходы!N30</f>
        <v>-9.42744069455684</v>
      </c>
      <c r="N54" s="13" t="n">
        <f aca="false">SUM(B54:M54)</f>
        <v>-92.1005567838379</v>
      </c>
      <c r="O54" s="13" t="n">
        <f aca="false">Расходы!P30</f>
        <v>-58.6</v>
      </c>
    </row>
    <row r="55" customFormat="false" ht="15" hidden="false" customHeight="true" outlineLevel="0" collapsed="false">
      <c r="A55" s="28" t="s">
        <v>54</v>
      </c>
      <c r="B55" s="29" t="n">
        <f aca="false">B54</f>
        <v>-6.44907272921417</v>
      </c>
      <c r="C55" s="29" t="n">
        <f aca="false">C54</f>
        <v>-6.44907272921417</v>
      </c>
      <c r="D55" s="29" t="n">
        <f aca="false">D54</f>
        <v>-6.84907272921417</v>
      </c>
      <c r="E55" s="29" t="n">
        <f aca="false">E54</f>
        <v>-6.64907272921417</v>
      </c>
      <c r="F55" s="29" t="n">
        <f aca="false">F54</f>
        <v>-7.14907272921417</v>
      </c>
      <c r="G55" s="29" t="n">
        <f aca="false">G54</f>
        <v>-7.09957968014875</v>
      </c>
      <c r="H55" s="29" t="n">
        <f aca="false">H54</f>
        <v>-7.04200677321728</v>
      </c>
      <c r="I55" s="29" t="n">
        <f aca="false">I54</f>
        <v>-7.30994301384494</v>
      </c>
      <c r="J55" s="29" t="n">
        <f aca="false">J54</f>
        <v>-8.82134158688551</v>
      </c>
      <c r="K55" s="29" t="n">
        <f aca="false">K54</f>
        <v>-9.42744069455684</v>
      </c>
      <c r="L55" s="29" t="n">
        <f aca="false">L54</f>
        <v>-9.42744069455684</v>
      </c>
      <c r="M55" s="29" t="n">
        <f aca="false">M54</f>
        <v>-9.42744069455684</v>
      </c>
      <c r="N55" s="29" t="n">
        <f aca="false">SUM(B55:M55)</f>
        <v>-92.1005567838379</v>
      </c>
      <c r="O55" s="65" t="n">
        <f aca="false">O54</f>
        <v>-58.6</v>
      </c>
    </row>
    <row r="56" customFormat="false" ht="15" hidden="true" customHeight="true" outlineLevel="1" collapsed="false">
      <c r="A56" s="36" t="s">
        <v>103</v>
      </c>
      <c r="B56" s="13" t="n">
        <f aca="false">Расходы!C32</f>
        <v>-0</v>
      </c>
      <c r="C56" s="13" t="n">
        <f aca="false">Расходы!D32</f>
        <v>-0</v>
      </c>
      <c r="D56" s="13" t="n">
        <f aca="false">Расходы!E32</f>
        <v>-0</v>
      </c>
      <c r="E56" s="13" t="n">
        <f aca="false">Расходы!F32</f>
        <v>-0</v>
      </c>
      <c r="F56" s="13" t="n">
        <f aca="false">Расходы!G32</f>
        <v>-0</v>
      </c>
      <c r="G56" s="13" t="n">
        <f aca="false">Расходы!H32</f>
        <v>-0</v>
      </c>
      <c r="H56" s="13" t="n">
        <f aca="false">Расходы!I32</f>
        <v>-0</v>
      </c>
      <c r="I56" s="13" t="n">
        <f aca="false">Расходы!J32</f>
        <v>-0</v>
      </c>
      <c r="J56" s="13" t="n">
        <f aca="false">Расходы!K32</f>
        <v>-0</v>
      </c>
      <c r="K56" s="13" t="n">
        <f aca="false">Расходы!L32</f>
        <v>-0</v>
      </c>
      <c r="L56" s="13" t="n">
        <f aca="false">Расходы!M32</f>
        <v>-0</v>
      </c>
      <c r="M56" s="13" t="n">
        <f aca="false">Расходы!N32</f>
        <v>-0</v>
      </c>
      <c r="N56" s="13" t="n">
        <f aca="false">SUM(B56:M56)</f>
        <v>0</v>
      </c>
      <c r="O56" s="58" t="n">
        <f aca="false">Расходы!P32</f>
        <v>0</v>
      </c>
    </row>
    <row r="57" customFormat="false" ht="15" hidden="true" customHeight="true" outlineLevel="1" collapsed="false">
      <c r="A57" s="36" t="s">
        <v>104</v>
      </c>
      <c r="B57" s="13" t="n">
        <f aca="false">Расходы!C33</f>
        <v>-0.313333333333333</v>
      </c>
      <c r="C57" s="13" t="n">
        <f aca="false">Расходы!D33</f>
        <v>-0.313333333333333</v>
      </c>
      <c r="D57" s="13" t="n">
        <f aca="false">Расходы!E33</f>
        <v>-0.313333333333333</v>
      </c>
      <c r="E57" s="13" t="n">
        <f aca="false">Расходы!F33</f>
        <v>-0.313333333333333</v>
      </c>
      <c r="F57" s="13" t="n">
        <f aca="false">Расходы!G33</f>
        <v>-0.313333333333333</v>
      </c>
      <c r="G57" s="13" t="n">
        <f aca="false">Расходы!H33</f>
        <v>-0.313333333333333</v>
      </c>
      <c r="H57" s="13" t="n">
        <f aca="false">Расходы!I33</f>
        <v>-0.313333333333333</v>
      </c>
      <c r="I57" s="13" t="n">
        <f aca="false">Расходы!J33</f>
        <v>-0.313333333333333</v>
      </c>
      <c r="J57" s="13" t="n">
        <f aca="false">Расходы!K33</f>
        <v>-0.313333333333333</v>
      </c>
      <c r="K57" s="13" t="n">
        <f aca="false">Расходы!L33</f>
        <v>-0.313333333333333</v>
      </c>
      <c r="L57" s="13" t="n">
        <f aca="false">Расходы!M33</f>
        <v>-0.313333333333333</v>
      </c>
      <c r="M57" s="13" t="n">
        <f aca="false">Расходы!N33</f>
        <v>-0.313333333333333</v>
      </c>
      <c r="N57" s="13" t="n">
        <f aca="false">SUM(B57:M57)</f>
        <v>-3.76</v>
      </c>
      <c r="O57" s="58" t="n">
        <f aca="false">Расходы!P33</f>
        <v>-5</v>
      </c>
    </row>
    <row r="58" customFormat="false" ht="15" hidden="true" customHeight="true" outlineLevel="1" collapsed="false">
      <c r="A58" s="36" t="s">
        <v>105</v>
      </c>
      <c r="B58" s="13" t="n">
        <f aca="false">Расходы!C34</f>
        <v>-1.92025113760494</v>
      </c>
      <c r="C58" s="13" t="n">
        <f aca="false">Расходы!D34</f>
        <v>-4.80065910714291</v>
      </c>
      <c r="D58" s="13" t="n">
        <f aca="false">Расходы!E34</f>
        <v>-6.72087898161732</v>
      </c>
      <c r="E58" s="13" t="n">
        <f aca="false">Расходы!F34</f>
        <v>-6.72078519222565</v>
      </c>
      <c r="F58" s="13" t="n">
        <f aca="false">Расходы!G34</f>
        <v>-6.72087898161733</v>
      </c>
      <c r="G58" s="13" t="n">
        <f aca="false">Расходы!H34</f>
        <v>-6.72087898161732</v>
      </c>
      <c r="H58" s="13" t="n">
        <f aca="false">Расходы!I34</f>
        <v>-6.72087898161732</v>
      </c>
      <c r="I58" s="13" t="n">
        <f aca="false">Расходы!J34</f>
        <v>-7.680848234767</v>
      </c>
      <c r="J58" s="13" t="n">
        <f aca="false">Расходы!K34</f>
        <v>-7.68084823476702</v>
      </c>
      <c r="K58" s="13" t="n">
        <f aca="false">Расходы!L34</f>
        <v>-10.5613812568272</v>
      </c>
      <c r="L58" s="13" t="n">
        <f aca="false">Расходы!M34</f>
        <v>-13.4417579632346</v>
      </c>
      <c r="M58" s="13" t="n">
        <f aca="false">Расходы!N34</f>
        <v>-16.322134669642</v>
      </c>
      <c r="N58" s="13" t="n">
        <f aca="false">SUM(B58:M58)</f>
        <v>-96.0121817226806</v>
      </c>
      <c r="O58" s="58" t="n">
        <f aca="false">Расходы!P34</f>
        <v>-80.7</v>
      </c>
    </row>
    <row r="59" customFormat="false" ht="15" hidden="true" customHeight="true" outlineLevel="1" collapsed="false">
      <c r="A59" s="36" t="s">
        <v>106</v>
      </c>
      <c r="B59" s="13" t="n">
        <f aca="false">Расходы!C35</f>
        <v>-0.0858333333333333</v>
      </c>
      <c r="C59" s="13" t="n">
        <f aca="false">Расходы!D35</f>
        <v>-0.0858333333333333</v>
      </c>
      <c r="D59" s="13" t="n">
        <f aca="false">Расходы!E35</f>
        <v>-0.0858333333333333</v>
      </c>
      <c r="E59" s="13" t="n">
        <f aca="false">Расходы!F35</f>
        <v>-0.0858333333333333</v>
      </c>
      <c r="F59" s="13" t="n">
        <f aca="false">Расходы!G35</f>
        <v>-0.0858333333333333</v>
      </c>
      <c r="G59" s="13" t="n">
        <f aca="false">Расходы!H35</f>
        <v>-0.0858333333333333</v>
      </c>
      <c r="H59" s="13" t="n">
        <f aca="false">Расходы!I35</f>
        <v>-0.0858333333333333</v>
      </c>
      <c r="I59" s="13" t="n">
        <f aca="false">Расходы!J35</f>
        <v>-0.0858333333333333</v>
      </c>
      <c r="J59" s="13" t="n">
        <f aca="false">Расходы!K35</f>
        <v>-0.0858333333333333</v>
      </c>
      <c r="K59" s="13" t="n">
        <f aca="false">Расходы!L35</f>
        <v>-0.0858333333333333</v>
      </c>
      <c r="L59" s="13" t="n">
        <f aca="false">Расходы!M35</f>
        <v>-0.0858333333333333</v>
      </c>
      <c r="M59" s="13" t="n">
        <f aca="false">Расходы!N35</f>
        <v>-0.0858333333333333</v>
      </c>
      <c r="N59" s="13" t="n">
        <f aca="false">SUM(B59:M59)</f>
        <v>-1.03</v>
      </c>
      <c r="O59" s="58" t="n">
        <f aca="false">Расходы!P35</f>
        <v>-2.6</v>
      </c>
    </row>
    <row r="60" customFormat="false" ht="15" hidden="true" customHeight="true" outlineLevel="1" collapsed="false">
      <c r="A60" s="36" t="s">
        <v>107</v>
      </c>
      <c r="B60" s="13" t="n">
        <f aca="false">Расходы!C36</f>
        <v>-0.06</v>
      </c>
      <c r="C60" s="13" t="n">
        <f aca="false">Расходы!D36</f>
        <v>-0.06</v>
      </c>
      <c r="D60" s="13" t="n">
        <f aca="false">Расходы!E36</f>
        <v>-0.06</v>
      </c>
      <c r="E60" s="13" t="n">
        <f aca="false">Расходы!F36</f>
        <v>-0.06</v>
      </c>
      <c r="F60" s="13" t="n">
        <f aca="false">Расходы!G36</f>
        <v>-0.06</v>
      </c>
      <c r="G60" s="13" t="n">
        <f aca="false">Расходы!H36</f>
        <v>-0.06</v>
      </c>
      <c r="H60" s="13" t="n">
        <f aca="false">Расходы!I36</f>
        <v>-0.06</v>
      </c>
      <c r="I60" s="13" t="n">
        <f aca="false">Расходы!J36</f>
        <v>-0.06</v>
      </c>
      <c r="J60" s="13" t="n">
        <f aca="false">Расходы!K36</f>
        <v>-0.06</v>
      </c>
      <c r="K60" s="13" t="n">
        <f aca="false">Расходы!L36</f>
        <v>-0.06</v>
      </c>
      <c r="L60" s="13" t="n">
        <f aca="false">Расходы!M36</f>
        <v>-0.06</v>
      </c>
      <c r="M60" s="13" t="n">
        <f aca="false">Расходы!N36</f>
        <v>-0.06</v>
      </c>
      <c r="N60" s="13" t="n">
        <f aca="false">SUM(B60:M60)</f>
        <v>-0.72</v>
      </c>
      <c r="O60" s="58" t="n">
        <f aca="false">Расходы!P36</f>
        <v>-1.9</v>
      </c>
    </row>
    <row r="61" customFormat="false" ht="15" hidden="true" customHeight="true" outlineLevel="1" collapsed="false">
      <c r="A61" s="36" t="s">
        <v>108</v>
      </c>
      <c r="B61" s="13" t="n">
        <f aca="false">Расходы!C37</f>
        <v>-0.02</v>
      </c>
      <c r="C61" s="13" t="n">
        <f aca="false">Расходы!D37</f>
        <v>-0.02</v>
      </c>
      <c r="D61" s="13" t="n">
        <f aca="false">Расходы!E37</f>
        <v>-0.02</v>
      </c>
      <c r="E61" s="13" t="n">
        <f aca="false">Расходы!F37</f>
        <v>-0.02</v>
      </c>
      <c r="F61" s="13" t="n">
        <f aca="false">Расходы!G37</f>
        <v>-0.02</v>
      </c>
      <c r="G61" s="13" t="n">
        <f aca="false">Расходы!H37</f>
        <v>-0.02</v>
      </c>
      <c r="H61" s="13" t="n">
        <f aca="false">Расходы!I37</f>
        <v>-0.02</v>
      </c>
      <c r="I61" s="13" t="n">
        <f aca="false">Расходы!J37</f>
        <v>-0.02</v>
      </c>
      <c r="J61" s="13" t="n">
        <f aca="false">Расходы!K37</f>
        <v>-0.02</v>
      </c>
      <c r="K61" s="13" t="n">
        <f aca="false">Расходы!L37</f>
        <v>-0.02</v>
      </c>
      <c r="L61" s="13" t="n">
        <f aca="false">Расходы!M37</f>
        <v>-0.02</v>
      </c>
      <c r="M61" s="13" t="n">
        <f aca="false">Расходы!N37</f>
        <v>-0.02</v>
      </c>
      <c r="N61" s="13" t="n">
        <f aca="false">SUM(B61:M61)</f>
        <v>-0.24</v>
      </c>
      <c r="O61" s="58" t="n">
        <f aca="false">Расходы!P37</f>
        <v>-0.2</v>
      </c>
    </row>
    <row r="62" customFormat="false" ht="15" hidden="true" customHeight="true" outlineLevel="1" collapsed="false">
      <c r="A62" s="36" t="s">
        <v>109</v>
      </c>
      <c r="B62" s="13" t="n">
        <f aca="false">Расходы!C38</f>
        <v>-0.0458333333333333</v>
      </c>
      <c r="C62" s="13" t="n">
        <f aca="false">Расходы!D38</f>
        <v>-0.0458333333333333</v>
      </c>
      <c r="D62" s="13" t="n">
        <f aca="false">Расходы!E38</f>
        <v>-0.0458333333333333</v>
      </c>
      <c r="E62" s="13" t="n">
        <f aca="false">Расходы!F38</f>
        <v>-0.0458333333333333</v>
      </c>
      <c r="F62" s="13" t="n">
        <f aca="false">Расходы!G38</f>
        <v>-0.0458333333333333</v>
      </c>
      <c r="G62" s="13" t="n">
        <f aca="false">Расходы!H38</f>
        <v>-0.0458333333333333</v>
      </c>
      <c r="H62" s="13" t="n">
        <f aca="false">Расходы!I38</f>
        <v>-0.0458333333333333</v>
      </c>
      <c r="I62" s="13" t="n">
        <f aca="false">Расходы!J38</f>
        <v>-0.0458333333333333</v>
      </c>
      <c r="J62" s="13" t="n">
        <f aca="false">Расходы!K38</f>
        <v>-0.0458333333333333</v>
      </c>
      <c r="K62" s="13" t="n">
        <f aca="false">Расходы!L38</f>
        <v>-0.0458333333333333</v>
      </c>
      <c r="L62" s="13" t="n">
        <f aca="false">Расходы!M38</f>
        <v>-0.0458333333333333</v>
      </c>
      <c r="M62" s="13" t="n">
        <f aca="false">Расходы!N38</f>
        <v>-0.0458333333333333</v>
      </c>
      <c r="N62" s="13" t="n">
        <f aca="false">SUM(B62:M62)</f>
        <v>-0.55</v>
      </c>
      <c r="O62" s="58" t="n">
        <f aca="false">Расходы!P38</f>
        <v>-0.7</v>
      </c>
    </row>
    <row r="63" customFormat="false" ht="15" hidden="true" customHeight="true" outlineLevel="1" collapsed="false">
      <c r="A63" s="36" t="s">
        <v>110</v>
      </c>
      <c r="B63" s="13" t="n">
        <f aca="false">Расходы!C39</f>
        <v>0</v>
      </c>
      <c r="C63" s="13" t="n">
        <f aca="false">Расходы!D39</f>
        <v>0</v>
      </c>
      <c r="D63" s="13" t="n">
        <f aca="false">Расходы!E39</f>
        <v>0</v>
      </c>
      <c r="E63" s="13" t="n">
        <f aca="false">Расходы!F39</f>
        <v>0</v>
      </c>
      <c r="F63" s="13" t="n">
        <f aca="false">Расходы!G39</f>
        <v>0</v>
      </c>
      <c r="G63" s="13" t="n">
        <f aca="false">Расходы!H39</f>
        <v>0</v>
      </c>
      <c r="H63" s="13" t="n">
        <f aca="false">Расходы!I39</f>
        <v>0</v>
      </c>
      <c r="I63" s="13" t="n">
        <f aca="false">Расходы!J39</f>
        <v>0</v>
      </c>
      <c r="J63" s="13" t="n">
        <f aca="false">Расходы!K39</f>
        <v>0</v>
      </c>
      <c r="K63" s="13" t="n">
        <f aca="false">Расходы!L39</f>
        <v>0</v>
      </c>
      <c r="L63" s="13" t="n">
        <f aca="false">Расходы!M39</f>
        <v>0</v>
      </c>
      <c r="M63" s="13" t="n">
        <f aca="false">Расходы!N39</f>
        <v>0</v>
      </c>
      <c r="N63" s="13" t="n">
        <f aca="false">SUM(B63:M63)</f>
        <v>0</v>
      </c>
      <c r="O63" s="58" t="n">
        <f aca="false">Расходы!P39</f>
        <v>-0.5</v>
      </c>
    </row>
    <row r="64" customFormat="false" ht="15" hidden="false" customHeight="true" outlineLevel="0" collapsed="false">
      <c r="A64" s="28" t="s">
        <v>53</v>
      </c>
      <c r="B64" s="29" t="n">
        <f aca="false">SUM(B56:B63)</f>
        <v>-2.44525113760494</v>
      </c>
      <c r="C64" s="29" t="n">
        <f aca="false">SUM(C56:C63)</f>
        <v>-5.32565910714291</v>
      </c>
      <c r="D64" s="29" t="n">
        <f aca="false">SUM(D56:D63)</f>
        <v>-7.24587898161732</v>
      </c>
      <c r="E64" s="29" t="n">
        <f aca="false">SUM(E56:E63)</f>
        <v>-7.24578519222565</v>
      </c>
      <c r="F64" s="29" t="n">
        <f aca="false">SUM(F56:F63)</f>
        <v>-7.24587898161733</v>
      </c>
      <c r="G64" s="29" t="n">
        <f aca="false">SUM(G56:G63)</f>
        <v>-7.24587898161732</v>
      </c>
      <c r="H64" s="29" t="n">
        <f aca="false">SUM(H56:H63)</f>
        <v>-7.24587898161732</v>
      </c>
      <c r="I64" s="29" t="n">
        <f aca="false">SUM(I56:I63)</f>
        <v>-8.205848234767</v>
      </c>
      <c r="J64" s="29" t="n">
        <f aca="false">SUM(J56:J63)</f>
        <v>-8.20584823476702</v>
      </c>
      <c r="K64" s="29" t="n">
        <f aca="false">SUM(K56:K63)</f>
        <v>-11.0863812568272</v>
      </c>
      <c r="L64" s="29" t="n">
        <f aca="false">SUM(L56:L63)</f>
        <v>-13.9667579632346</v>
      </c>
      <c r="M64" s="29" t="n">
        <f aca="false">SUM(M56:M63)</f>
        <v>-16.847134669642</v>
      </c>
      <c r="N64" s="29" t="n">
        <f aca="false">SUM(B64:M64)</f>
        <v>-102.312181722681</v>
      </c>
      <c r="O64" s="65" t="n">
        <f aca="false">SUM(O56:O63)</f>
        <v>-91.6</v>
      </c>
    </row>
    <row r="65" customFormat="false" ht="15" hidden="false" customHeight="true" outlineLevel="0" collapsed="false">
      <c r="A65" s="25" t="s">
        <v>55</v>
      </c>
      <c r="B65" s="26" t="n">
        <f aca="false">B37+B48+B53+B55+B64</f>
        <v>-129.98225753583</v>
      </c>
      <c r="C65" s="26" t="n">
        <f aca="false">C37+C48+C53+C55+C64</f>
        <v>-143.349783080737</v>
      </c>
      <c r="D65" s="26" t="n">
        <f aca="false">D37+D48+D53+D55+D64</f>
        <v>-142.15149780429</v>
      </c>
      <c r="E65" s="26" t="n">
        <f aca="false">E37+E48+E53+E55+E64</f>
        <v>-152.778678381091</v>
      </c>
      <c r="F65" s="26" t="n">
        <f aca="false">F37+F48+F53+F55+F64</f>
        <v>-143.108977727809</v>
      </c>
      <c r="G65" s="26" t="n">
        <f aca="false">G37+G48+G53+G55+G64</f>
        <v>-141.190037229721</v>
      </c>
      <c r="H65" s="26" t="n">
        <f aca="false">H37+H48+H53+H55+H64</f>
        <v>-153.183926416335</v>
      </c>
      <c r="I65" s="26" t="n">
        <f aca="false">I37+I48+I53+I55+I64</f>
        <v>-128.06104230991</v>
      </c>
      <c r="J65" s="26" t="n">
        <f aca="false">J37+J48+J53+J55+J64</f>
        <v>-147.774130819924</v>
      </c>
      <c r="K65" s="26" t="n">
        <f aca="false">K37+K48+K53+K55+K64</f>
        <v>-157.754755645417</v>
      </c>
      <c r="L65" s="26" t="n">
        <f aca="false">L37+L48+L53+L55+L64</f>
        <v>-164.602249254495</v>
      </c>
      <c r="M65" s="26" t="n">
        <f aca="false">M37+M48+M53+M55+M64</f>
        <v>-167.782986809476</v>
      </c>
      <c r="N65" s="26" t="n">
        <f aca="false">SUM(B65:M65)</f>
        <v>-1771.72032301504</v>
      </c>
      <c r="O65" s="66" t="n">
        <f aca="false">O37+O48+O53+O55+O64</f>
        <v>-1358.22144</v>
      </c>
    </row>
    <row r="66" customFormat="false" ht="15" hidden="false" customHeight="true" outlineLevel="0" collapsed="false">
      <c r="A66" s="25" t="s">
        <v>56</v>
      </c>
      <c r="B66" s="26" t="n">
        <f aca="false">B29+B65</f>
        <v>71.4742165083571</v>
      </c>
      <c r="C66" s="26" t="n">
        <f aca="false">C29+C65</f>
        <v>459.694824399785</v>
      </c>
      <c r="D66" s="26" t="n">
        <f aca="false">D29+D65</f>
        <v>728.650978527765</v>
      </c>
      <c r="E66" s="26" t="n">
        <f aca="false">E29+E65</f>
        <v>714.226500734176</v>
      </c>
      <c r="F66" s="26" t="n">
        <f aca="false">F29+F65</f>
        <v>722.880199804818</v>
      </c>
      <c r="G66" s="26" t="n">
        <f aca="false">G29+G65</f>
        <v>723.890760922501</v>
      </c>
      <c r="H66" s="26" t="n">
        <f aca="false">H29+H65</f>
        <v>711.943557354222</v>
      </c>
      <c r="I66" s="26" t="n">
        <f aca="false">I29+I65</f>
        <v>872.723728113451</v>
      </c>
      <c r="J66" s="26" t="n">
        <f aca="false">J29+J65</f>
        <v>855.545002326972</v>
      </c>
      <c r="K66" s="26" t="n">
        <f aca="false">K29+K65</f>
        <v>1247.3777396003</v>
      </c>
      <c r="L66" s="26" t="n">
        <f aca="false">L29+L65</f>
        <v>1655.68855670488</v>
      </c>
      <c r="M66" s="26" t="n">
        <f aca="false">M29+M65</f>
        <v>2059.35271732054</v>
      </c>
      <c r="N66" s="26" t="n">
        <f aca="false">SUM(B66:M66)</f>
        <v>10823.4487823178</v>
      </c>
      <c r="O66" s="66" t="n">
        <f aca="false">O29+O65</f>
        <v>8084.6877963</v>
      </c>
    </row>
    <row r="67" customFormat="false" ht="15" hidden="true" customHeight="true" outlineLevel="1" collapsed="false">
      <c r="A67" s="36" t="s">
        <v>57</v>
      </c>
      <c r="B67" s="13" t="n">
        <f aca="false">Расходы!C42</f>
        <v>-42.4589221570622</v>
      </c>
      <c r="C67" s="13" t="n">
        <f aca="false">Расходы!D42</f>
        <v>-43.0455801144657</v>
      </c>
      <c r="D67" s="13" t="n">
        <f aca="false">Расходы!E42</f>
        <v>-44.5059008430205</v>
      </c>
      <c r="E67" s="13" t="n">
        <f aca="false">Расходы!F42</f>
        <v>-44.3697992096137</v>
      </c>
      <c r="F67" s="13" t="n">
        <f aca="false">Расходы!G42</f>
        <v>-44.5288118210764</v>
      </c>
      <c r="G67" s="13" t="n">
        <f aca="false">Расходы!H42</f>
        <v>-44.1829047514327</v>
      </c>
      <c r="H67" s="13" t="n">
        <f aca="false">Расходы!I42</f>
        <v>-47.1088453652662</v>
      </c>
      <c r="I67" s="13" t="n">
        <f aca="false">Расходы!J42</f>
        <v>-46.6230449100597</v>
      </c>
      <c r="J67" s="13" t="n">
        <f aca="false">Расходы!K42</f>
        <v>-46.2426262744877</v>
      </c>
      <c r="K67" s="13" t="n">
        <f aca="false">Расходы!L42</f>
        <v>-46.092339570551</v>
      </c>
      <c r="L67" s="13" t="n">
        <f aca="false">Расходы!M42</f>
        <v>-45.9706611366441</v>
      </c>
      <c r="M67" s="13" t="n">
        <f aca="false">Расходы!N42</f>
        <v>-45.904436886102</v>
      </c>
      <c r="N67" s="13" t="n">
        <f aca="false">SUM(B67:M67)</f>
        <v>-541.033873039782</v>
      </c>
      <c r="O67" s="58" t="n">
        <f aca="false">Расходы!P42</f>
        <v>-447.2</v>
      </c>
    </row>
    <row r="68" customFormat="false" ht="12.75" hidden="true" customHeight="false" outlineLevel="1" collapsed="false">
      <c r="A68" s="36" t="s">
        <v>58</v>
      </c>
      <c r="B68" s="13" t="n">
        <f aca="false">Расходы!C43</f>
        <v>-0</v>
      </c>
      <c r="C68" s="13" t="n">
        <f aca="false">Расходы!D43</f>
        <v>-0</v>
      </c>
      <c r="D68" s="13" t="n">
        <f aca="false">Расходы!E43</f>
        <v>-0</v>
      </c>
      <c r="E68" s="13" t="n">
        <f aca="false">Расходы!F43</f>
        <v>-10.23056</v>
      </c>
      <c r="F68" s="13" t="n">
        <f aca="false">Расходы!G43</f>
        <v>-18.36096</v>
      </c>
      <c r="G68" s="13" t="n">
        <f aca="false">Расходы!H43</f>
        <v>-52.57255814</v>
      </c>
      <c r="H68" s="13" t="n">
        <f aca="false">Расходы!I43</f>
        <v>-45.67833721</v>
      </c>
      <c r="I68" s="13" t="n">
        <f aca="false">Расходы!J43</f>
        <v>-56.6199534892</v>
      </c>
      <c r="J68" s="13" t="n">
        <f aca="false">Расходы!K43</f>
        <v>-155.41</v>
      </c>
      <c r="K68" s="13" t="n">
        <f aca="false">Расходы!L43</f>
        <v>-170.7335</v>
      </c>
      <c r="L68" s="13" t="n">
        <f aca="false">Расходы!M43</f>
        <v>-0</v>
      </c>
      <c r="M68" s="13" t="n">
        <f aca="false">Расходы!N43</f>
        <v>-100</v>
      </c>
      <c r="N68" s="13" t="n">
        <f aca="false">SUM(B68:M68)</f>
        <v>-609.6058688392</v>
      </c>
      <c r="O68" s="58" t="n">
        <f aca="false">Расходы!P43</f>
        <v>-732.4</v>
      </c>
    </row>
    <row r="69" customFormat="false" ht="15" hidden="false" customHeight="true" outlineLevel="0" collapsed="false">
      <c r="A69" s="25" t="s">
        <v>59</v>
      </c>
      <c r="B69" s="26" t="n">
        <f aca="false">SUM(B67:B68)</f>
        <v>-42.4589221570622</v>
      </c>
      <c r="C69" s="26" t="n">
        <f aca="false">SUM(C67:C68)</f>
        <v>-43.0455801144657</v>
      </c>
      <c r="D69" s="26" t="n">
        <f aca="false">SUM(D67:D68)</f>
        <v>-44.5059008430205</v>
      </c>
      <c r="E69" s="26" t="n">
        <f aca="false">SUM(E67:E68)</f>
        <v>-54.6003592096137</v>
      </c>
      <c r="F69" s="26" t="n">
        <f aca="false">SUM(F67:F68)</f>
        <v>-62.8897718210764</v>
      </c>
      <c r="G69" s="26" t="n">
        <f aca="false">SUM(G67:G68)</f>
        <v>-96.7554628914327</v>
      </c>
      <c r="H69" s="26" t="n">
        <f aca="false">SUM(H67:H68)</f>
        <v>-92.7871825752662</v>
      </c>
      <c r="I69" s="26" t="n">
        <f aca="false">SUM(I67:I68)</f>
        <v>-103.24299839926</v>
      </c>
      <c r="J69" s="26" t="n">
        <f aca="false">SUM(J67:J68)</f>
        <v>-201.652626274488</v>
      </c>
      <c r="K69" s="26" t="n">
        <f aca="false">SUM(K67:K68)</f>
        <v>-216.825839570551</v>
      </c>
      <c r="L69" s="26" t="n">
        <f aca="false">SUM(L67:L68)</f>
        <v>-45.9706611366441</v>
      </c>
      <c r="M69" s="26" t="n">
        <f aca="false">SUM(M67:M68)</f>
        <v>-145.904436886102</v>
      </c>
      <c r="N69" s="26" t="n">
        <f aca="false">SUM(N67:N68)</f>
        <v>-1150.63974187898</v>
      </c>
      <c r="O69" s="66" t="n">
        <f aca="false">SUM(O67:O68)</f>
        <v>-1179.6</v>
      </c>
    </row>
    <row r="70" customFormat="false" ht="15" hidden="false" customHeight="true" outlineLevel="0" collapsed="false">
      <c r="A70" s="25" t="s">
        <v>60</v>
      </c>
      <c r="B70" s="26" t="n">
        <f aca="false">B66+B69</f>
        <v>29.0152943512949</v>
      </c>
      <c r="C70" s="26" t="n">
        <f aca="false">C66+C69</f>
        <v>416.649244285319</v>
      </c>
      <c r="D70" s="26" t="n">
        <f aca="false">D66+D69</f>
        <v>684.145077684745</v>
      </c>
      <c r="E70" s="26" t="n">
        <f aca="false">E66+E69</f>
        <v>659.626141524562</v>
      </c>
      <c r="F70" s="26" t="n">
        <f aca="false">F66+F69</f>
        <v>659.990427983742</v>
      </c>
      <c r="G70" s="26" t="n">
        <f aca="false">G66+G69</f>
        <v>627.135298031068</v>
      </c>
      <c r="H70" s="26" t="n">
        <f aca="false">H66+H69</f>
        <v>619.156374778956</v>
      </c>
      <c r="I70" s="26" t="n">
        <f aca="false">I66+I69</f>
        <v>769.480729714192</v>
      </c>
      <c r="J70" s="26" t="n">
        <f aca="false">J66+J69</f>
        <v>653.892376052484</v>
      </c>
      <c r="K70" s="26" t="n">
        <f aca="false">K66+K69</f>
        <v>1030.55190002974</v>
      </c>
      <c r="L70" s="26" t="n">
        <f aca="false">L66+L69</f>
        <v>1609.71789556824</v>
      </c>
      <c r="M70" s="26" t="n">
        <f aca="false">M66+M69</f>
        <v>1913.44828043444</v>
      </c>
      <c r="N70" s="26" t="n">
        <f aca="false">SUM(B70:M70)</f>
        <v>9672.80904043879</v>
      </c>
      <c r="O70" s="66" t="n">
        <f aca="false">O66+O69</f>
        <v>6905.0877963</v>
      </c>
    </row>
    <row r="71" customFormat="false" ht="15" hidden="false" customHeight="true" outlineLevel="0" collapsed="false"/>
    <row r="72" customFormat="false" ht="12.75" hidden="false" customHeight="false" outlineLevel="0" collapsed="false">
      <c r="A72" s="67" t="s">
        <v>111</v>
      </c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8"/>
      <c r="N72" s="67"/>
      <c r="O72" s="67"/>
    </row>
    <row r="73" customFormat="false" ht="12.75" hidden="false" customHeight="false" outlineLevel="0" collapsed="false">
      <c r="A73" s="50" t="s">
        <v>112</v>
      </c>
      <c r="B73" s="69" t="n">
        <f aca="false">'М+ справочно'!C34</f>
        <v>337.892813337882</v>
      </c>
      <c r="C73" s="69" t="n">
        <f aca="false">'М+ справочно'!D34</f>
        <v>365.733248557982</v>
      </c>
      <c r="D73" s="69" t="n">
        <f aca="false">'М+ справочно'!E34</f>
        <v>377.391899028058</v>
      </c>
      <c r="E73" s="69" t="n">
        <f aca="false">'М+ справочно'!F34</f>
        <v>394.581850118611</v>
      </c>
      <c r="F73" s="69" t="n">
        <f aca="false">'М+ справочно'!G34</f>
        <v>414.447459792765</v>
      </c>
      <c r="G73" s="69" t="n">
        <f aca="false">'М+ справочно'!H34</f>
        <v>435.072522501306</v>
      </c>
      <c r="H73" s="69" t="n">
        <f aca="false">'М+ справочно'!I34</f>
        <v>455.651586281225</v>
      </c>
      <c r="I73" s="69" t="n">
        <f aca="false">'М+ справочно'!J34</f>
        <v>478.679739499093</v>
      </c>
      <c r="J73" s="69" t="n">
        <f aca="false">'М+ справочно'!K34</f>
        <v>507.061642781086</v>
      </c>
      <c r="K73" s="69" t="n">
        <f aca="false">'М+ справочно'!L34</f>
        <v>532.802642929373</v>
      </c>
      <c r="L73" s="69" t="n">
        <f aca="false">'М+ справочно'!M34</f>
        <v>559.060379177406</v>
      </c>
      <c r="M73" s="69" t="n">
        <f aca="false">'М+ справочно'!N34</f>
        <v>586.026104037395</v>
      </c>
      <c r="N73" s="69" t="n">
        <f aca="false">SUM(B73:M73)</f>
        <v>5444.40188804218</v>
      </c>
      <c r="O73" s="69" t="n">
        <f aca="false">'М+ справочно'!P34</f>
        <v>3007</v>
      </c>
      <c r="P73" s="70" t="n">
        <f aca="false">IFERROR(N73/O73-1,"")</f>
        <v>0.810575952125767</v>
      </c>
    </row>
    <row r="74" customFormat="false" ht="12.75" hidden="false" customHeight="false" outlineLevel="0" collapsed="false">
      <c r="A74" s="52"/>
      <c r="M74" s="71"/>
      <c r="N74" s="72"/>
      <c r="O74" s="72"/>
    </row>
    <row r="75" customFormat="false" ht="12.75" hidden="false" customHeight="false" outlineLevel="0" collapsed="false">
      <c r="M75" s="71"/>
      <c r="O75" s="73"/>
    </row>
    <row r="77" customFormat="false" ht="12.75" hidden="false" customHeight="false" outlineLevel="0" collapsed="false">
      <c r="A77" s="10" t="s">
        <v>62</v>
      </c>
    </row>
    <row r="78" customFormat="false" ht="12.75" hidden="false" customHeight="false" outlineLevel="0" collapsed="false">
      <c r="A78" s="10"/>
      <c r="B78" s="44" t="s">
        <v>63</v>
      </c>
      <c r="C78" s="45" t="s">
        <v>64</v>
      </c>
      <c r="D78" s="45" t="s">
        <v>65</v>
      </c>
    </row>
    <row r="79" customFormat="false" ht="12.75" hidden="false" customHeight="false" outlineLevel="0" collapsed="false">
      <c r="A79" s="46" t="s">
        <v>66</v>
      </c>
      <c r="B79" s="47" t="n">
        <v>-28.46873</v>
      </c>
      <c r="C79" s="47" t="n">
        <v>14.234365</v>
      </c>
      <c r="D79" s="47" t="n">
        <f aca="false">SUM(B79:C79)</f>
        <v>-14.234365</v>
      </c>
    </row>
    <row r="80" customFormat="false" ht="12.75" hidden="false" customHeight="false" outlineLevel="0" collapsed="false">
      <c r="A80" s="46" t="s">
        <v>67</v>
      </c>
      <c r="B80" s="47" t="n">
        <v>-7.3794</v>
      </c>
      <c r="C80" s="47" t="n">
        <v>0</v>
      </c>
      <c r="D80" s="47" t="n">
        <f aca="false">SUM(B80:C80)</f>
        <v>-7.3794</v>
      </c>
    </row>
    <row r="81" customFormat="false" ht="12.75" hidden="false" customHeight="false" outlineLevel="0" collapsed="false">
      <c r="A81" s="40" t="s">
        <v>68</v>
      </c>
      <c r="B81" s="48" t="n">
        <f aca="false">SUM(B79:B80)</f>
        <v>-35.84813</v>
      </c>
      <c r="C81" s="48" t="n">
        <f aca="false">SUM(C79:C80)</f>
        <v>14.234365</v>
      </c>
      <c r="D81" s="48" t="n">
        <f aca="false">SUM(D79:D80)</f>
        <v>-21.613765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504D"/>
    <pageSetUpPr fitToPage="false"/>
  </sheetPr>
  <dimension ref="A1:U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2.75" zeroHeight="false" outlineLevelRow="1" outlineLevelCol="0"/>
  <cols>
    <col collapsed="false" customWidth="true" hidden="false" outlineLevel="0" max="1" min="1" style="49" width="58"/>
    <col collapsed="false" customWidth="true" hidden="false" outlineLevel="0" max="13" min="2" style="49" width="10"/>
    <col collapsed="false" customWidth="true" hidden="false" outlineLevel="0" max="15" min="14" style="49" width="13"/>
    <col collapsed="false" customWidth="false" hidden="false" outlineLevel="0" max="16384" min="16" style="49" width="8.67"/>
  </cols>
  <sheetData>
    <row r="1" customFormat="false" ht="12.75" hidden="false" customHeight="false" outlineLevel="0" collapsed="false">
      <c r="A1" s="50" t="s">
        <v>113</v>
      </c>
      <c r="Q1" s="51" t="s">
        <v>114</v>
      </c>
    </row>
    <row r="2" customFormat="false" ht="12.75" hidden="false" customHeight="false" outlineLevel="0" collapsed="false">
      <c r="A2" s="52" t="s">
        <v>71</v>
      </c>
    </row>
    <row r="4" customFormat="false" ht="12.75" hidden="false" customHeight="false" outlineLevel="0" collapsed="false">
      <c r="A4" s="5" t="s">
        <v>8</v>
      </c>
      <c r="B4" s="6" t="s">
        <v>9</v>
      </c>
      <c r="C4" s="6" t="s">
        <v>10</v>
      </c>
      <c r="D4" s="6" t="s">
        <v>11</v>
      </c>
      <c r="E4" s="6" t="s">
        <v>12</v>
      </c>
      <c r="F4" s="6" t="s">
        <v>13</v>
      </c>
      <c r="G4" s="6" t="s">
        <v>14</v>
      </c>
      <c r="H4" s="6" t="s">
        <v>15</v>
      </c>
      <c r="I4" s="6" t="s">
        <v>16</v>
      </c>
      <c r="J4" s="6" t="s">
        <v>17</v>
      </c>
      <c r="K4" s="6" t="s">
        <v>18</v>
      </c>
      <c r="L4" s="6" t="s">
        <v>19</v>
      </c>
      <c r="M4" s="6" t="s">
        <v>20</v>
      </c>
      <c r="N4" s="6" t="s">
        <v>72</v>
      </c>
      <c r="O4" s="6" t="s">
        <v>73</v>
      </c>
    </row>
    <row r="5" customFormat="false" ht="12.75" hidden="false" customHeight="false" outlineLevel="0" collapsed="false">
      <c r="A5" s="74" t="s">
        <v>28</v>
      </c>
      <c r="B5" s="57" t="n">
        <f aca="false">'APP Медиа'!C54+'APP Перформанс'!C24</f>
        <v>153.924683950421</v>
      </c>
      <c r="C5" s="13" t="n">
        <f aca="false">'APP Медиа'!D54+'APP Перформанс'!D24</f>
        <v>384.811709876052</v>
      </c>
      <c r="D5" s="13" t="n">
        <f aca="false">'APP Медиа'!E54+'APP Перформанс'!E24</f>
        <v>538.736393826474</v>
      </c>
      <c r="E5" s="13" t="n">
        <f aca="false">'APP Медиа'!F54+'APP Перформанс'!F24</f>
        <v>538.736393826472</v>
      </c>
      <c r="F5" s="13" t="n">
        <f aca="false">'APP Медиа'!G54+'APP Перформанс'!G24</f>
        <v>538.736393826475</v>
      </c>
      <c r="G5" s="13" t="n">
        <f aca="false">'APP Медиа'!H54+'APP Перформанс'!H24</f>
        <v>538.736393826474</v>
      </c>
      <c r="H5" s="13" t="n">
        <f aca="false">'APP Медиа'!I54+'APP Перформанс'!I24</f>
        <v>538.736393826474</v>
      </c>
      <c r="I5" s="13" t="n">
        <f aca="false">'APP Медиа'!J54+'APP Перформанс'!J24</f>
        <v>615.698735801682</v>
      </c>
      <c r="J5" s="13" t="n">
        <f aca="false">'APP Медиа'!K54+'APP Перформанс'!K24</f>
        <v>615.698735801684</v>
      </c>
      <c r="K5" s="13" t="n">
        <f aca="false">'APP Медиа'!L54+'APP Перформанс'!L24</f>
        <v>846.585761727311</v>
      </c>
      <c r="L5" s="13" t="n">
        <f aca="false">'APP Медиа'!M54+'APP Перформанс'!M24</f>
        <v>1077.47278765294</v>
      </c>
      <c r="M5" s="13" t="n">
        <f aca="false">'APP Медиа'!N54+'APP Перформанс'!N24</f>
        <v>1308.35981357858</v>
      </c>
      <c r="N5" s="13" t="n">
        <f aca="false">SUM(B5:M5)</f>
        <v>7696.23419752104</v>
      </c>
      <c r="O5" s="58" t="n">
        <f aca="false">'APP Медиа'!P54+'APP Перформанс'!P24</f>
        <v>6195.4</v>
      </c>
      <c r="P5" s="70" t="n">
        <f aca="false">IFERROR(N5/O5-1,"")</f>
        <v>0.242249765555257</v>
      </c>
    </row>
    <row r="6" customFormat="false" ht="12.75" hidden="false" customHeight="false" outlineLevel="0" collapsed="false">
      <c r="A6" s="74" t="s">
        <v>74</v>
      </c>
      <c r="B6" s="13" t="n">
        <f aca="false">'Content factory'!C31</f>
        <v>4.266</v>
      </c>
      <c r="C6" s="13" t="n">
        <f aca="false">'Content factory'!D31</f>
        <v>10.665</v>
      </c>
      <c r="D6" s="13" t="n">
        <f aca="false">'Content factory'!E31</f>
        <v>14.931</v>
      </c>
      <c r="E6" s="13" t="n">
        <f aca="false">'Content factory'!F31</f>
        <v>14.931</v>
      </c>
      <c r="F6" s="13" t="n">
        <f aca="false">'Content factory'!G31</f>
        <v>14.931</v>
      </c>
      <c r="G6" s="13" t="n">
        <f aca="false">'Content factory'!H31</f>
        <v>14.931</v>
      </c>
      <c r="H6" s="13" t="n">
        <f aca="false">'Content factory'!I31</f>
        <v>14.931</v>
      </c>
      <c r="I6" s="13" t="n">
        <f aca="false">'Content factory'!J31</f>
        <v>17.064</v>
      </c>
      <c r="J6" s="13" t="n">
        <f aca="false">'Content factory'!K31</f>
        <v>17.064</v>
      </c>
      <c r="K6" s="13" t="n">
        <f aca="false">'Content factory'!L31</f>
        <v>23.4630000000001</v>
      </c>
      <c r="L6" s="13" t="n">
        <f aca="false">'Content factory'!M31</f>
        <v>29.862</v>
      </c>
      <c r="M6" s="13" t="n">
        <f aca="false">'Content factory'!N31</f>
        <v>36.2609999999999</v>
      </c>
      <c r="N6" s="13" t="n">
        <f aca="false">SUM(B6:M6)</f>
        <v>213.3</v>
      </c>
      <c r="O6" s="58" t="n">
        <f aca="false">'Content factory'!P31</f>
        <v>0</v>
      </c>
      <c r="P6" s="75" t="str">
        <f aca="false">IFERROR(N6/O6-1,"")</f>
        <v/>
      </c>
    </row>
    <row r="7" customFormat="false" ht="12.75" hidden="false" customHeight="false" outlineLevel="0" collapsed="false">
      <c r="A7" s="74" t="s">
        <v>75</v>
      </c>
      <c r="B7" s="13" t="n">
        <f aca="false">DMP!C20</f>
        <v>3.74</v>
      </c>
      <c r="C7" s="13" t="n">
        <f aca="false">DMP!D20</f>
        <v>9.35</v>
      </c>
      <c r="D7" s="13" t="n">
        <f aca="false">DMP!E20</f>
        <v>13.09</v>
      </c>
      <c r="E7" s="13" t="n">
        <f aca="false">DMP!F20</f>
        <v>13.09</v>
      </c>
      <c r="F7" s="13" t="n">
        <f aca="false">DMP!G20</f>
        <v>13.09</v>
      </c>
      <c r="G7" s="13" t="n">
        <f aca="false">DMP!H20</f>
        <v>13.09</v>
      </c>
      <c r="H7" s="13" t="n">
        <f aca="false">DMP!I20</f>
        <v>13.09</v>
      </c>
      <c r="I7" s="13" t="n">
        <f aca="false">DMP!J20</f>
        <v>14.96</v>
      </c>
      <c r="J7" s="13" t="n">
        <f aca="false">DMP!K20</f>
        <v>14.96</v>
      </c>
      <c r="K7" s="13" t="n">
        <f aca="false">DMP!L20</f>
        <v>20.57</v>
      </c>
      <c r="L7" s="13" t="n">
        <f aca="false">DMP!M20</f>
        <v>26.18</v>
      </c>
      <c r="M7" s="13" t="n">
        <f aca="false">DMP!N20</f>
        <v>31.7900000000001</v>
      </c>
      <c r="N7" s="13" t="n">
        <f aca="false">SUM(B7:M7)</f>
        <v>187</v>
      </c>
      <c r="O7" s="58" t="n">
        <f aca="false">DMP!O24</f>
        <v>102.4</v>
      </c>
      <c r="P7" s="70" t="n">
        <f aca="false">IFERROR(N7/O7-1,"")</f>
        <v>0.826171875</v>
      </c>
    </row>
    <row r="8" customFormat="false" ht="12.75" hidden="false" customHeight="false" outlineLevel="0" collapsed="false">
      <c r="A8" s="74" t="s">
        <v>76</v>
      </c>
      <c r="B8" s="13" t="n">
        <f aca="false">DMP!C9</f>
        <v>32</v>
      </c>
      <c r="C8" s="13" t="n">
        <f aca="false">DMP!D9</f>
        <v>80</v>
      </c>
      <c r="D8" s="13" t="n">
        <f aca="false">DMP!E9</f>
        <v>112</v>
      </c>
      <c r="E8" s="13" t="n">
        <f aca="false">DMP!F9</f>
        <v>112</v>
      </c>
      <c r="F8" s="13" t="n">
        <f aca="false">DMP!G9</f>
        <v>112</v>
      </c>
      <c r="G8" s="13" t="n">
        <f aca="false">DMP!H9</f>
        <v>112</v>
      </c>
      <c r="H8" s="13" t="n">
        <f aca="false">DMP!I9</f>
        <v>112</v>
      </c>
      <c r="I8" s="13" t="n">
        <f aca="false">DMP!J9</f>
        <v>128</v>
      </c>
      <c r="J8" s="13" t="n">
        <f aca="false">DMP!K9</f>
        <v>128</v>
      </c>
      <c r="K8" s="13" t="n">
        <f aca="false">DMP!L9</f>
        <v>176</v>
      </c>
      <c r="L8" s="13" t="n">
        <f aca="false">DMP!M9</f>
        <v>224</v>
      </c>
      <c r="M8" s="13" t="n">
        <f aca="false">DMP!N9</f>
        <v>272</v>
      </c>
      <c r="N8" s="13" t="n">
        <f aca="false">SUM(B8:M8)</f>
        <v>1600</v>
      </c>
      <c r="O8" s="58" t="n">
        <f aca="false">DMP!O23</f>
        <v>987</v>
      </c>
      <c r="P8" s="70" t="n">
        <f aca="false">IFERROR(N8/O8-1,"")</f>
        <v>0.621073961499493</v>
      </c>
    </row>
    <row r="9" customFormat="false" ht="12.75" hidden="false" customHeight="false" outlineLevel="0" collapsed="false">
      <c r="A9" s="74" t="s">
        <v>39</v>
      </c>
      <c r="B9" s="13" t="n">
        <f aca="false">'In-store'!C28</f>
        <v>80.3909071359999</v>
      </c>
      <c r="C9" s="13" t="n">
        <f aca="false">'In-store'!D28</f>
        <v>200.981734001507</v>
      </c>
      <c r="D9" s="13" t="n">
        <f aca="false">'In-store'!E28</f>
        <v>281.368174976</v>
      </c>
      <c r="E9" s="13" t="n">
        <f aca="false">'In-store'!F28</f>
        <v>281.354776491477</v>
      </c>
      <c r="F9" s="13" t="n">
        <f aca="false">'In-store'!G28</f>
        <v>281.368174976</v>
      </c>
      <c r="G9" s="13" t="n">
        <f aca="false">'In-store'!H28</f>
        <v>281.368174976</v>
      </c>
      <c r="H9" s="13" t="n">
        <f aca="false">'In-store'!I28</f>
        <v>281.368174976</v>
      </c>
      <c r="I9" s="13" t="n">
        <f aca="false">'In-store'!J28</f>
        <v>321.541297736462</v>
      </c>
      <c r="J9" s="13" t="n">
        <f aca="false">'In-store'!K28</f>
        <v>321.541297736462</v>
      </c>
      <c r="K9" s="13" t="n">
        <f aca="false">'In-store'!L28</f>
        <v>442.149989248</v>
      </c>
      <c r="L9" s="13" t="n">
        <f aca="false">'In-store'!M28</f>
        <v>562.736349952</v>
      </c>
      <c r="M9" s="13" t="n">
        <f aca="false">'In-store'!N28</f>
        <v>683.322710656</v>
      </c>
      <c r="N9" s="13" t="n">
        <f aca="false">SUM(B9:M9)</f>
        <v>4019.49176286191</v>
      </c>
      <c r="O9" s="58" t="n">
        <f aca="false">'In-store'!P28</f>
        <v>2446.0892363</v>
      </c>
      <c r="P9" s="70" t="n">
        <f aca="false">IFERROR(N9/O9-1,"")</f>
        <v>0.643231858925092</v>
      </c>
    </row>
    <row r="10" customFormat="false" ht="12.75" hidden="false" customHeight="false" outlineLevel="0" collapsed="false">
      <c r="A10" s="74" t="s">
        <v>77</v>
      </c>
      <c r="B10" s="13" t="n">
        <f aca="false">RevSplit!F10</f>
        <v>17.0041828989972</v>
      </c>
      <c r="C10" s="13" t="n">
        <f aca="false">RevSplit!G10</f>
        <v>42.510457247493</v>
      </c>
      <c r="D10" s="13" t="n">
        <f aca="false">RevSplit!H10</f>
        <v>59.5146401464902</v>
      </c>
      <c r="E10" s="13" t="n">
        <f aca="false">RevSplit!I10</f>
        <v>59.5146401464902</v>
      </c>
      <c r="F10" s="13" t="n">
        <f aca="false">RevSplit!J10</f>
        <v>59.5146401464902</v>
      </c>
      <c r="G10" s="13" t="n">
        <f aca="false">RevSplit!K10</f>
        <v>59.5146401464902</v>
      </c>
      <c r="H10" s="13" t="n">
        <f aca="false">RevSplit!L10</f>
        <v>59.5146401464902</v>
      </c>
      <c r="I10" s="13" t="n">
        <f aca="false">RevSplit!M10</f>
        <v>68.0167315959888</v>
      </c>
      <c r="J10" s="13" t="n">
        <f aca="false">RevSplit!N10</f>
        <v>68.0167315959888</v>
      </c>
      <c r="K10" s="13" t="n">
        <f aca="false">RevSplit!O10</f>
        <v>93.5230059444846</v>
      </c>
      <c r="L10" s="13" t="n">
        <f aca="false">RevSplit!P10</f>
        <v>119.02928029298</v>
      </c>
      <c r="M10" s="13" t="n">
        <f aca="false">RevSplit!Q10</f>
        <v>144.535554641476</v>
      </c>
      <c r="N10" s="13" t="n">
        <f aca="false">SUM(B10:M10)</f>
        <v>850.209144949859</v>
      </c>
      <c r="O10" s="58" t="n">
        <f aca="false">RevSplit!S10</f>
        <v>592.56</v>
      </c>
      <c r="P10" s="70" t="n">
        <f aca="false">IFERROR(N10/O10-1,"")</f>
        <v>0.434806846479444</v>
      </c>
    </row>
    <row r="11" customFormat="false" ht="15" hidden="false" customHeight="true" outlineLevel="0" collapsed="false">
      <c r="A11" s="25" t="s">
        <v>44</v>
      </c>
      <c r="B11" s="26" t="n">
        <f aca="false">SUM(B5:B10)</f>
        <v>291.325773985418</v>
      </c>
      <c r="C11" s="26" t="n">
        <f aca="false">SUM(C5:C10)</f>
        <v>728.318901125052</v>
      </c>
      <c r="D11" s="26" t="n">
        <f aca="false">SUM(D5:D10)</f>
        <v>1019.64020894896</v>
      </c>
      <c r="E11" s="26" t="n">
        <f aca="false">SUM(E5:E10)</f>
        <v>1019.62681046444</v>
      </c>
      <c r="F11" s="26" t="n">
        <f aca="false">SUM(F5:F10)</f>
        <v>1019.64020894897</v>
      </c>
      <c r="G11" s="26" t="n">
        <f aca="false">SUM(G5:G10)</f>
        <v>1019.64020894896</v>
      </c>
      <c r="H11" s="26" t="n">
        <f aca="false">SUM(H5:H10)</f>
        <v>1019.64020894896</v>
      </c>
      <c r="I11" s="26" t="n">
        <f aca="false">SUM(I5:I10)</f>
        <v>1165.28076513413</v>
      </c>
      <c r="J11" s="26" t="n">
        <f aca="false">SUM(J5:J10)</f>
        <v>1165.28076513414</v>
      </c>
      <c r="K11" s="26" t="n">
        <f aca="false">SUM(K5:K10)</f>
        <v>1602.2917569198</v>
      </c>
      <c r="L11" s="26" t="n">
        <f aca="false">SUM(L5:L10)</f>
        <v>2039.28041789792</v>
      </c>
      <c r="M11" s="26" t="n">
        <f aca="false">SUM(M5:M10)</f>
        <v>2476.26907887605</v>
      </c>
      <c r="N11" s="26" t="n">
        <f aca="false">SUM(B11:M11)</f>
        <v>14566.2351053328</v>
      </c>
      <c r="O11" s="66" t="n">
        <f aca="false">SUM(O5:O10)</f>
        <v>10323.4492363</v>
      </c>
    </row>
    <row r="12" customFormat="false" ht="15" hidden="true" customHeight="true" outlineLevel="0" collapsed="false">
      <c r="A12" s="36" t="s">
        <v>78</v>
      </c>
      <c r="B12" s="13" t="n">
        <f aca="false">Расходы!C26</f>
        <v>-19.3792999412308</v>
      </c>
      <c r="C12" s="13" t="n">
        <f aca="false">Расходы!D26</f>
        <v>-51.6042936445303</v>
      </c>
      <c r="D12" s="13" t="n">
        <f aca="false">Расходы!E26</f>
        <v>-68.2777326169087</v>
      </c>
      <c r="E12" s="13" t="n">
        <f aca="false">Расходы!F26</f>
        <v>-71.584631349173</v>
      </c>
      <c r="F12" s="13" t="n">
        <f aca="false">Расходы!G26</f>
        <v>-72.2960314163378</v>
      </c>
      <c r="G12" s="13" t="n">
        <f aca="false">Расходы!H26</f>
        <v>-72.4094107967425</v>
      </c>
      <c r="H12" s="13" t="n">
        <f aca="false">Расходы!I26</f>
        <v>-72.3627251784065</v>
      </c>
      <c r="I12" s="13" t="n">
        <f aca="false">Расходы!J26</f>
        <v>-81.2329947107716</v>
      </c>
      <c r="J12" s="13" t="n">
        <f aca="false">Расходы!K26</f>
        <v>-78.6986319872387</v>
      </c>
      <c r="K12" s="13" t="n">
        <f aca="false">Расходы!L26</f>
        <v>-113.896261674083</v>
      </c>
      <c r="L12" s="13" t="n">
        <f aca="false">Расходы!M26</f>
        <v>-134.454611938544</v>
      </c>
      <c r="M12" s="13" t="n">
        <f aca="false">Расходы!N26</f>
        <v>-163.803374746033</v>
      </c>
      <c r="N12" s="13" t="n">
        <f aca="false">SUM(B12:M12)</f>
        <v>-1000</v>
      </c>
      <c r="O12" s="58" t="n">
        <f aca="false">Расходы!P26</f>
        <v>-510.54</v>
      </c>
      <c r="R12" s="1"/>
      <c r="S12" s="1"/>
      <c r="T12" s="1"/>
      <c r="U12" s="1"/>
    </row>
    <row r="13" customFormat="false" ht="15" hidden="true" customHeight="true" outlineLevel="0" collapsed="false">
      <c r="A13" s="36" t="s">
        <v>79</v>
      </c>
      <c r="B13" s="13" t="n">
        <f aca="false">Расходы!C27</f>
        <v>-4.24</v>
      </c>
      <c r="C13" s="13" t="n">
        <f aca="false">Расходы!D27</f>
        <v>-7.42</v>
      </c>
      <c r="D13" s="13" t="n">
        <f aca="false">Расходы!E27</f>
        <v>-14.31</v>
      </c>
      <c r="E13" s="13" t="n">
        <f aca="false">Расходы!F27</f>
        <v>-14.787</v>
      </c>
      <c r="F13" s="13" t="n">
        <f aca="false">Расходы!G27</f>
        <v>-15.105</v>
      </c>
      <c r="G13" s="13" t="n">
        <f aca="false">Расходы!H27</f>
        <v>-15.9</v>
      </c>
      <c r="H13" s="13" t="n">
        <f aca="false">Расходы!I27</f>
        <v>-15.9</v>
      </c>
      <c r="I13" s="13" t="n">
        <f aca="false">Расходы!J27</f>
        <v>-17.013</v>
      </c>
      <c r="J13" s="13" t="n">
        <f aca="false">Расходы!K27</f>
        <v>-17.013</v>
      </c>
      <c r="K13" s="13" t="n">
        <f aca="false">Расходы!L27</f>
        <v>-17.013</v>
      </c>
      <c r="L13" s="13" t="n">
        <f aca="false">Расходы!M27</f>
        <v>-18.285</v>
      </c>
      <c r="M13" s="13" t="n">
        <f aca="false">Расходы!N27</f>
        <v>-19.08</v>
      </c>
      <c r="N13" s="13" t="n">
        <f aca="false">SUM(B13:M13)</f>
        <v>-176.066</v>
      </c>
      <c r="O13" s="58" t="n">
        <v>-15.6</v>
      </c>
      <c r="R13" s="1"/>
      <c r="S13" s="1"/>
      <c r="T13" s="1"/>
      <c r="U13" s="1"/>
    </row>
    <row r="14" customFormat="false" ht="15" hidden="true" customHeight="true" outlineLevel="0" collapsed="false">
      <c r="A14" s="36" t="s">
        <v>80</v>
      </c>
      <c r="B14" s="13" t="n">
        <f aca="false">Расходы!C28</f>
        <v>-66.25</v>
      </c>
      <c r="C14" s="13" t="n">
        <f aca="false">Расходы!D28</f>
        <v>-66.25</v>
      </c>
      <c r="D14" s="13" t="n">
        <f aca="false">Расходы!E28</f>
        <v>-66.25</v>
      </c>
      <c r="E14" s="13" t="n">
        <f aca="false">Расходы!F28</f>
        <v>-66.25</v>
      </c>
      <c r="F14" s="13" t="n">
        <f aca="false">Расходы!G28</f>
        <v>-66.25</v>
      </c>
      <c r="G14" s="13" t="n">
        <f aca="false">Расходы!H28</f>
        <v>-66.25</v>
      </c>
      <c r="H14" s="13" t="n">
        <f aca="false">Расходы!I28</f>
        <v>-66.25</v>
      </c>
      <c r="I14" s="13" t="n">
        <f aca="false">Расходы!J28</f>
        <v>-66.25</v>
      </c>
      <c r="J14" s="13" t="n">
        <f aca="false">Расходы!K28</f>
        <v>-66.25</v>
      </c>
      <c r="K14" s="13" t="n">
        <f aca="false">Расходы!L28</f>
        <v>-66.25</v>
      </c>
      <c r="L14" s="13" t="n">
        <f aca="false">Расходы!M28</f>
        <v>-66.25</v>
      </c>
      <c r="M14" s="13" t="n">
        <f aca="false">Расходы!N28</f>
        <v>-66.25</v>
      </c>
      <c r="N14" s="13" t="n">
        <f aca="false">SUM(B14:M14)</f>
        <v>-795</v>
      </c>
      <c r="O14" s="58" t="n">
        <f aca="false">Расходы!P28</f>
        <v>-354.4</v>
      </c>
      <c r="R14" s="1"/>
      <c r="S14" s="1"/>
      <c r="T14" s="1"/>
      <c r="U14" s="1"/>
    </row>
    <row r="15" customFormat="false" ht="15" hidden="true" customHeight="true" outlineLevel="0" collapsed="false">
      <c r="A15" s="63" t="s">
        <v>46</v>
      </c>
      <c r="B15" s="64" t="n">
        <f aca="false">SUM(B12:B14)</f>
        <v>-89.8692999412308</v>
      </c>
      <c r="C15" s="64" t="n">
        <f aca="false">SUM(C12:C14)</f>
        <v>-125.27429364453</v>
      </c>
      <c r="D15" s="64" t="n">
        <f aca="false">SUM(D12:D14)</f>
        <v>-148.837732616909</v>
      </c>
      <c r="E15" s="64" t="n">
        <f aca="false">SUM(E12:E14)</f>
        <v>-152.621631349173</v>
      </c>
      <c r="F15" s="64" t="n">
        <f aca="false">SUM(F12:F14)</f>
        <v>-153.651031416338</v>
      </c>
      <c r="G15" s="64" t="n">
        <f aca="false">SUM(G12:G14)</f>
        <v>-154.559410796743</v>
      </c>
      <c r="H15" s="64" t="n">
        <f aca="false">SUM(H12:H14)</f>
        <v>-154.512725178407</v>
      </c>
      <c r="I15" s="64" t="n">
        <f aca="false">SUM(I12:I14)</f>
        <v>-164.495994710772</v>
      </c>
      <c r="J15" s="64" t="n">
        <f aca="false">SUM(J12:J14)</f>
        <v>-161.961631987239</v>
      </c>
      <c r="K15" s="64" t="n">
        <f aca="false">SUM(K12:K14)</f>
        <v>-197.159261674083</v>
      </c>
      <c r="L15" s="64" t="n">
        <f aca="false">SUM(L12:L14)</f>
        <v>-218.989611938544</v>
      </c>
      <c r="M15" s="64" t="n">
        <f aca="false">SUM(M12:M14)</f>
        <v>-249.133374746033</v>
      </c>
      <c r="N15" s="64" t="n">
        <f aca="false">SUM(B15:M15)</f>
        <v>-1971.066</v>
      </c>
      <c r="O15" s="76" t="n">
        <f aca="false">SUM(O12:O14)</f>
        <v>-880.54</v>
      </c>
    </row>
    <row r="16" customFormat="false" ht="15" hidden="true" customHeight="true" outlineLevel="0" collapsed="false">
      <c r="A16" s="25" t="s">
        <v>48</v>
      </c>
      <c r="B16" s="26" t="n">
        <f aca="false">B11+B15</f>
        <v>201.456474044187</v>
      </c>
      <c r="C16" s="26" t="n">
        <f aca="false">C11+C15</f>
        <v>603.044607480521</v>
      </c>
      <c r="D16" s="26" t="n">
        <f aca="false">D11+D15</f>
        <v>870.802476332055</v>
      </c>
      <c r="E16" s="26" t="n">
        <f aca="false">E11+E15</f>
        <v>867.005179115267</v>
      </c>
      <c r="F16" s="26" t="n">
        <f aca="false">F11+F15</f>
        <v>865.989177532628</v>
      </c>
      <c r="G16" s="26" t="n">
        <f aca="false">G11+G15</f>
        <v>865.080798152222</v>
      </c>
      <c r="H16" s="26" t="n">
        <f aca="false">H11+H15</f>
        <v>865.127483770558</v>
      </c>
      <c r="I16" s="26" t="n">
        <f aca="false">I11+I15</f>
        <v>1000.78477042336</v>
      </c>
      <c r="J16" s="26" t="n">
        <f aca="false">J11+J15</f>
        <v>1003.3191331469</v>
      </c>
      <c r="K16" s="26" t="n">
        <f aca="false">K11+K15</f>
        <v>1405.13249524571</v>
      </c>
      <c r="L16" s="26" t="n">
        <f aca="false">L11+L15</f>
        <v>1820.29080595938</v>
      </c>
      <c r="M16" s="26" t="n">
        <f aca="false">M11+M15</f>
        <v>2227.13570413002</v>
      </c>
      <c r="N16" s="26" t="n">
        <f aca="false">SUM(B16:M16)</f>
        <v>12595.1691053328</v>
      </c>
      <c r="O16" s="66" t="n">
        <f aca="false">O11+O15</f>
        <v>9442.9092363</v>
      </c>
      <c r="P16" s="62"/>
      <c r="Q16" s="62"/>
    </row>
    <row r="17" customFormat="false" ht="15" hidden="true" customHeight="true" outlineLevel="1" collapsed="false">
      <c r="A17" s="36" t="s">
        <v>81</v>
      </c>
      <c r="B17" s="57" t="n">
        <f aca="false">Расходы!C3</f>
        <v>-20.5021320287505</v>
      </c>
      <c r="C17" s="57" t="n">
        <f aca="false">Расходы!D3</f>
        <v>-20.8874989805594</v>
      </c>
      <c r="D17" s="57" t="n">
        <f aca="false">Расходы!E3</f>
        <v>-20.9962314129087</v>
      </c>
      <c r="E17" s="57" t="n">
        <f aca="false">Расходы!F3</f>
        <v>-21.3474454508537</v>
      </c>
      <c r="F17" s="57" t="n">
        <f aca="false">Расходы!G3</f>
        <v>-21.7459610511498</v>
      </c>
      <c r="G17" s="57" t="n">
        <f aca="false">Расходы!H3</f>
        <v>-21.1991644550706</v>
      </c>
      <c r="H17" s="57" t="n">
        <f aca="false">Расходы!I3</f>
        <v>-21.7290558201795</v>
      </c>
      <c r="I17" s="57" t="n">
        <f aca="false">Расходы!J3</f>
        <v>-18.5087631381029</v>
      </c>
      <c r="J17" s="57" t="n">
        <f aca="false">Расходы!K3</f>
        <v>-21.5601117907646</v>
      </c>
      <c r="K17" s="57" t="n">
        <f aca="false">Расходы!L3</f>
        <v>-23.021618076732</v>
      </c>
      <c r="L17" s="57" t="n">
        <f aca="false">Расходы!M3</f>
        <v>-23.0304143073749</v>
      </c>
      <c r="M17" s="57" t="n">
        <f aca="false">Расходы!N3</f>
        <v>-23.8732957818878</v>
      </c>
      <c r="N17" s="13" t="n">
        <f aca="false">SUM(B17:M17)</f>
        <v>-258.401692294334</v>
      </c>
      <c r="O17" s="58" t="n">
        <f aca="false">Расходы!P3</f>
        <v>-201.500852056</v>
      </c>
    </row>
    <row r="18" customFormat="false" ht="15" hidden="true" customHeight="true" outlineLevel="1" collapsed="false">
      <c r="A18" s="36" t="s">
        <v>82</v>
      </c>
      <c r="B18" s="57" t="n">
        <f aca="false">Расходы!C4</f>
        <v>-0</v>
      </c>
      <c r="C18" s="57" t="n">
        <f aca="false">Расходы!D4</f>
        <v>-0</v>
      </c>
      <c r="D18" s="57" t="n">
        <f aca="false">Расходы!E4</f>
        <v>-0</v>
      </c>
      <c r="E18" s="57" t="n">
        <f aca="false">Расходы!F4</f>
        <v>-0</v>
      </c>
      <c r="F18" s="57" t="n">
        <f aca="false">Расходы!G4</f>
        <v>-0</v>
      </c>
      <c r="G18" s="57" t="n">
        <f aca="false">Расходы!H4</f>
        <v>-0</v>
      </c>
      <c r="H18" s="57" t="n">
        <f aca="false">Расходы!I4</f>
        <v>-0</v>
      </c>
      <c r="I18" s="57" t="n">
        <f aca="false">Расходы!J4</f>
        <v>-0</v>
      </c>
      <c r="J18" s="57" t="n">
        <f aca="false">Расходы!K4</f>
        <v>-0</v>
      </c>
      <c r="K18" s="57" t="n">
        <f aca="false">Расходы!L4</f>
        <v>-0</v>
      </c>
      <c r="L18" s="57" t="n">
        <f aca="false">Расходы!M4</f>
        <v>-0</v>
      </c>
      <c r="M18" s="57" t="n">
        <f aca="false">Расходы!N4</f>
        <v>-0</v>
      </c>
      <c r="N18" s="13" t="n">
        <f aca="false">SUM(B18:M18)</f>
        <v>0</v>
      </c>
      <c r="O18" s="58" t="n">
        <f aca="false">Расходы!P4</f>
        <v>0</v>
      </c>
    </row>
    <row r="19" customFormat="false" ht="15" hidden="true" customHeight="true" outlineLevel="1" collapsed="false">
      <c r="A19" s="36" t="s">
        <v>83</v>
      </c>
      <c r="B19" s="57" t="n">
        <f aca="false">Расходы!C5</f>
        <v>-71.2503220921336</v>
      </c>
      <c r="C19" s="57" t="n">
        <f aca="false">Расходы!D5</f>
        <v>-72.5895740002543</v>
      </c>
      <c r="D19" s="57" t="n">
        <f aca="false">Расходы!E5</f>
        <v>-72.9674479118985</v>
      </c>
      <c r="E19" s="57" t="n">
        <f aca="false">Расходы!F5</f>
        <v>-74.1880094267577</v>
      </c>
      <c r="F19" s="57" t="n">
        <f aca="false">Расходы!G5</f>
        <v>-75.5729563600826</v>
      </c>
      <c r="G19" s="57" t="n">
        <f aca="false">Расходы!H5</f>
        <v>-73.6726938149534</v>
      </c>
      <c r="H19" s="57" t="n">
        <f aca="false">Расходы!I5</f>
        <v>-75.5142062188784</v>
      </c>
      <c r="I19" s="57" t="n">
        <f aca="false">Расходы!J5</f>
        <v>-64.3228388768313</v>
      </c>
      <c r="J19" s="57" t="n">
        <f aca="false">Расходы!K5</f>
        <v>-74.9270811094276</v>
      </c>
      <c r="K19" s="57" t="n">
        <f aca="false">Расходы!L5</f>
        <v>-80.0062013428174</v>
      </c>
      <c r="L19" s="57" t="n">
        <f aca="false">Расходы!M5</f>
        <v>-80.0367705668191</v>
      </c>
      <c r="M19" s="57" t="n">
        <f aca="false">Расходы!N5</f>
        <v>-82.9660062414466</v>
      </c>
      <c r="N19" s="13" t="n">
        <f aca="false">SUM(B19:M19)</f>
        <v>-898.0141079623</v>
      </c>
      <c r="O19" s="58" t="n">
        <f aca="false">Расходы!P5</f>
        <v>-700.268664288</v>
      </c>
    </row>
    <row r="20" customFormat="false" ht="15" hidden="true" customHeight="true" outlineLevel="1" collapsed="false">
      <c r="A20" s="36" t="s">
        <v>84</v>
      </c>
      <c r="B20" s="57" t="n">
        <f aca="false">Расходы!C6</f>
        <v>-2.68955150571714</v>
      </c>
      <c r="C20" s="57" t="n">
        <f aca="false">Расходы!D6</f>
        <v>-2.74010548049584</v>
      </c>
      <c r="D20" s="57" t="n">
        <f aca="false">Расходы!E6</f>
        <v>-2.75436943493411</v>
      </c>
      <c r="E20" s="57" t="n">
        <f aca="false">Расходы!F6</f>
        <v>-2.80044309416424</v>
      </c>
      <c r="F20" s="57" t="n">
        <f aca="false">Расходы!G6</f>
        <v>-2.85272196112916</v>
      </c>
      <c r="G20" s="57" t="n">
        <f aca="false">Расходы!H6</f>
        <v>-2.78099100133221</v>
      </c>
      <c r="H20" s="57" t="n">
        <f aca="false">Расходы!I6</f>
        <v>-2.8505042654599</v>
      </c>
      <c r="I20" s="57" t="n">
        <f aca="false">Расходы!J6</f>
        <v>-2.4280534188951</v>
      </c>
      <c r="J20" s="57" t="n">
        <f aca="false">Расходы!K6</f>
        <v>-2.8283415134077</v>
      </c>
      <c r="K20" s="57" t="n">
        <f aca="false">Расходы!L6</f>
        <v>-3.02006774102766</v>
      </c>
      <c r="L20" s="57" t="n">
        <f aca="false">Расходы!M6</f>
        <v>-3.02122166567008</v>
      </c>
      <c r="M20" s="57" t="n">
        <f aca="false">Расходы!N6</f>
        <v>-3.13179422152614</v>
      </c>
      <c r="N20" s="13" t="n">
        <f aca="false">SUM(B20:M20)</f>
        <v>-33.8981653037593</v>
      </c>
      <c r="O20" s="58" t="n">
        <f aca="false">Расходы!P6</f>
        <v>-26.433685984</v>
      </c>
    </row>
    <row r="21" customFormat="false" ht="15" hidden="true" customHeight="true" outlineLevel="1" collapsed="false">
      <c r="A21" s="36" t="s">
        <v>85</v>
      </c>
      <c r="B21" s="57" t="n">
        <f aca="false">Расходы!C7</f>
        <v>-4.61554389752305</v>
      </c>
      <c r="C21" s="57" t="n">
        <f aca="false">Расходы!D7</f>
        <v>-4.7022996593255</v>
      </c>
      <c r="D21" s="57" t="n">
        <f aca="false">Расходы!E7</f>
        <v>-4.7267780557132</v>
      </c>
      <c r="E21" s="57" t="n">
        <f aca="false">Расходы!F7</f>
        <v>-4.80584514040897</v>
      </c>
      <c r="F21" s="57" t="n">
        <f aca="false">Расходы!G7</f>
        <v>-4.89556099261572</v>
      </c>
      <c r="G21" s="57" t="n">
        <f aca="false">Расходы!H7</f>
        <v>-4.77246337093028</v>
      </c>
      <c r="H21" s="57" t="n">
        <f aca="false">Расходы!I7</f>
        <v>-4.8917552013189</v>
      </c>
      <c r="I21" s="57" t="n">
        <f aca="false">Расходы!J7</f>
        <v>-4.16678658751066</v>
      </c>
      <c r="J21" s="57" t="n">
        <f aca="false">Расходы!K7</f>
        <v>-4.85372166495812</v>
      </c>
      <c r="K21" s="57" t="n">
        <f aca="false">Расходы!L7</f>
        <v>-5.18274336913644</v>
      </c>
      <c r="L21" s="57" t="n">
        <f aca="false">Расходы!M7</f>
        <v>-5.18472362117111</v>
      </c>
      <c r="M21" s="57" t="n">
        <f aca="false">Расходы!N7</f>
        <v>-5.3744773716868</v>
      </c>
      <c r="N21" s="13" t="n">
        <f aca="false">SUM(B21:M21)</f>
        <v>-58.1726989322987</v>
      </c>
      <c r="O21" s="58" t="n">
        <f aca="false">Расходы!P7</f>
        <v>-45.36289332</v>
      </c>
    </row>
    <row r="22" customFormat="false" ht="15" hidden="true" customHeight="true" outlineLevel="1" collapsed="false">
      <c r="A22" s="36" t="s">
        <v>86</v>
      </c>
      <c r="B22" s="57" t="n">
        <f aca="false">Расходы!C8</f>
        <v>-11.5559543508355</v>
      </c>
      <c r="C22" s="57" t="n">
        <f aca="false">Расходы!D8</f>
        <v>-11.7731650729779</v>
      </c>
      <c r="D22" s="57" t="n">
        <f aca="false">Расходы!E8</f>
        <v>-11.8344517246745</v>
      </c>
      <c r="E22" s="57" t="n">
        <f aca="false">Расходы!F8</f>
        <v>-12.0324122774684</v>
      </c>
      <c r="F22" s="57" t="n">
        <f aca="false">Расходы!G8</f>
        <v>-12.2570341889193</v>
      </c>
      <c r="G22" s="57" t="n">
        <f aca="false">Расходы!H8</f>
        <v>-11.9488342175884</v>
      </c>
      <c r="H22" s="57" t="n">
        <f aca="false">Расходы!I8</f>
        <v>-12.247505615154</v>
      </c>
      <c r="I22" s="57" t="n">
        <f aca="false">Расходы!J8</f>
        <v>-10.4323990116934</v>
      </c>
      <c r="J22" s="57" t="n">
        <f aca="false">Расходы!K8</f>
        <v>-12.1522809093026</v>
      </c>
      <c r="K22" s="57" t="n">
        <f aca="false">Расходы!L8</f>
        <v>-12.9760537686527</v>
      </c>
      <c r="L22" s="57" t="n">
        <f aca="false">Расходы!M8</f>
        <v>-12.9810117330062</v>
      </c>
      <c r="M22" s="57" t="n">
        <f aca="false">Расходы!N8</f>
        <v>-13.456098900964</v>
      </c>
      <c r="N22" s="13" t="n">
        <f aca="false">SUM(B22:M22)</f>
        <v>-145.647201771237</v>
      </c>
      <c r="O22" s="58" t="n">
        <f aca="false">Расходы!P8</f>
        <v>-113.575244016</v>
      </c>
    </row>
    <row r="23" customFormat="false" ht="15" hidden="true" customHeight="true" outlineLevel="1" collapsed="false">
      <c r="A23" s="36" t="s">
        <v>87</v>
      </c>
      <c r="B23" s="57" t="n">
        <f aca="false">Расходы!C9</f>
        <v>-3.35054297746118</v>
      </c>
      <c r="C23" s="57" t="n">
        <f aca="false">Расходы!D9</f>
        <v>-3.41352123417703</v>
      </c>
      <c r="D23" s="57" t="n">
        <f aca="false">Расходы!E9</f>
        <v>-3.43129073673995</v>
      </c>
      <c r="E23" s="57" t="n">
        <f aca="false">Расходы!F9</f>
        <v>-3.48868758340799</v>
      </c>
      <c r="F23" s="57" t="n">
        <f aca="false">Расходы!G9</f>
        <v>-3.55381464649141</v>
      </c>
      <c r="G23" s="57" t="n">
        <f aca="false">Расходы!H9</f>
        <v>-3.46445489149013</v>
      </c>
      <c r="H23" s="57" t="n">
        <f aca="false">Расходы!I9</f>
        <v>-3.55105192392038</v>
      </c>
      <c r="I23" s="57" t="n">
        <f aca="false">Расходы!J9</f>
        <v>-3.02477841167441</v>
      </c>
      <c r="J23" s="57" t="n">
        <f aca="false">Расходы!K9</f>
        <v>-3.52344239382145</v>
      </c>
      <c r="K23" s="57" t="n">
        <f aca="false">Расходы!L9</f>
        <v>-3.76228777907682</v>
      </c>
      <c r="L23" s="57" t="n">
        <f aca="false">Расходы!M9</f>
        <v>-3.76372529536865</v>
      </c>
      <c r="M23" s="57" t="n">
        <f aca="false">Расходы!N9</f>
        <v>-3.90147246240968</v>
      </c>
      <c r="N23" s="13" t="n">
        <f aca="false">SUM(B23:M23)</f>
        <v>-42.2290703360391</v>
      </c>
      <c r="O23" s="58" t="n">
        <f aca="false">Расходы!P9</f>
        <v>-32.930100336</v>
      </c>
    </row>
    <row r="24" customFormat="false" ht="15" hidden="false" customHeight="true" outlineLevel="0" collapsed="false">
      <c r="A24" s="28" t="s">
        <v>50</v>
      </c>
      <c r="B24" s="29" t="n">
        <f aca="false">SUM(B17:B23)</f>
        <v>-113.964046852421</v>
      </c>
      <c r="C24" s="29" t="n">
        <f aca="false">SUM(C17:C23)</f>
        <v>-116.10616442779</v>
      </c>
      <c r="D24" s="29" t="n">
        <f aca="false">SUM(D17:D23)</f>
        <v>-116.710569276869</v>
      </c>
      <c r="E24" s="29" t="n">
        <f aca="false">SUM(E17:E23)</f>
        <v>-118.662842973061</v>
      </c>
      <c r="F24" s="29" t="n">
        <f aca="false">SUM(F17:F23)</f>
        <v>-120.878049200388</v>
      </c>
      <c r="G24" s="29" t="n">
        <f aca="false">SUM(G17:G23)</f>
        <v>-117.838601751365</v>
      </c>
      <c r="H24" s="29" t="n">
        <f aca="false">SUM(H17:H23)</f>
        <v>-120.784079044911</v>
      </c>
      <c r="I24" s="29" t="n">
        <f aca="false">SUM(I17:I23)</f>
        <v>-102.883619444708</v>
      </c>
      <c r="J24" s="29" t="n">
        <f aca="false">SUM(J17:J23)</f>
        <v>-119.844979381682</v>
      </c>
      <c r="K24" s="29" t="n">
        <f aca="false">SUM(K17:K23)</f>
        <v>-127.968972077443</v>
      </c>
      <c r="L24" s="29" t="n">
        <f aca="false">SUM(L17:L23)</f>
        <v>-128.01786718941</v>
      </c>
      <c r="M24" s="29" t="n">
        <f aca="false">SUM(M17:M23)</f>
        <v>-132.703144979921</v>
      </c>
      <c r="N24" s="29" t="n">
        <f aca="false">SUM(B24:M24)</f>
        <v>-1436.36293659997</v>
      </c>
      <c r="O24" s="65" t="n">
        <f aca="false">SUM(O17:O23)</f>
        <v>-1120.07144</v>
      </c>
    </row>
    <row r="25" customFormat="false" ht="15" hidden="true" customHeight="true" outlineLevel="1" collapsed="false">
      <c r="A25" s="36" t="s">
        <v>88</v>
      </c>
      <c r="B25" s="13" t="n">
        <f aca="false">Расходы!C11</f>
        <v>-0.005</v>
      </c>
      <c r="C25" s="13" t="n">
        <f aca="false">Расходы!D11</f>
        <v>-0</v>
      </c>
      <c r="D25" s="13" t="n">
        <f aca="false">Расходы!E11</f>
        <v>-0.005</v>
      </c>
      <c r="E25" s="13" t="n">
        <f aca="false">Расходы!F11</f>
        <v>-0.005</v>
      </c>
      <c r="F25" s="13" t="n">
        <f aca="false">Расходы!G11</f>
        <v>-0.005</v>
      </c>
      <c r="G25" s="13" t="n">
        <f aca="false">Расходы!H11</f>
        <v>-0</v>
      </c>
      <c r="H25" s="13" t="n">
        <f aca="false">Расходы!I11</f>
        <v>-0.005</v>
      </c>
      <c r="I25" s="13" t="n">
        <f aca="false">Расходы!J11</f>
        <v>-0</v>
      </c>
      <c r="J25" s="13" t="n">
        <f aca="false">Расходы!K11</f>
        <v>-0.005</v>
      </c>
      <c r="K25" s="13" t="n">
        <f aca="false">Расходы!L11</f>
        <v>-0</v>
      </c>
      <c r="L25" s="13" t="n">
        <f aca="false">Расходы!M11</f>
        <v>-0.005</v>
      </c>
      <c r="M25" s="13" t="n">
        <f aca="false">Расходы!N11</f>
        <v>-0.005</v>
      </c>
      <c r="N25" s="13" t="n">
        <f aca="false">SUM(B25:M25)</f>
        <v>-0.04</v>
      </c>
      <c r="O25" s="58" t="n">
        <f aca="false">Расходы!P11</f>
        <v>-0.4</v>
      </c>
    </row>
    <row r="26" customFormat="false" ht="15" hidden="true" customHeight="true" outlineLevel="1" collapsed="false">
      <c r="A26" s="36" t="s">
        <v>89</v>
      </c>
      <c r="B26" s="13" t="n">
        <f aca="false">Расходы!C12</f>
        <v>-0.375</v>
      </c>
      <c r="C26" s="13" t="n">
        <f aca="false">Расходы!D12</f>
        <v>-0.375</v>
      </c>
      <c r="D26" s="13" t="n">
        <f aca="false">Расходы!E12</f>
        <v>-0.51</v>
      </c>
      <c r="E26" s="13" t="n">
        <f aca="false">Расходы!F12</f>
        <v>-0.375</v>
      </c>
      <c r="F26" s="13" t="n">
        <f aca="false">Расходы!G12</f>
        <v>-0.375</v>
      </c>
      <c r="G26" s="13" t="n">
        <f aca="false">Расходы!H12</f>
        <v>-0.375</v>
      </c>
      <c r="H26" s="13" t="n">
        <f aca="false">Расходы!I12</f>
        <v>-0.51</v>
      </c>
      <c r="I26" s="13" t="n">
        <f aca="false">Расходы!J12</f>
        <v>-0.375</v>
      </c>
      <c r="J26" s="13" t="n">
        <f aca="false">Расходы!K12</f>
        <v>-0.375</v>
      </c>
      <c r="K26" s="13" t="n">
        <f aca="false">Расходы!L12</f>
        <v>-0.375</v>
      </c>
      <c r="L26" s="13" t="n">
        <f aca="false">Расходы!M12</f>
        <v>-0.375</v>
      </c>
      <c r="M26" s="13" t="n">
        <f aca="false">Расходы!N12</f>
        <v>-0.375</v>
      </c>
      <c r="N26" s="13" t="n">
        <f aca="false">SUM(B26:M26)</f>
        <v>-4.77</v>
      </c>
      <c r="O26" s="58" t="n">
        <f aca="false">Расходы!P12</f>
        <v>-3</v>
      </c>
    </row>
    <row r="27" customFormat="false" ht="15" hidden="true" customHeight="true" outlineLevel="1" collapsed="false">
      <c r="A27" s="36" t="s">
        <v>90</v>
      </c>
      <c r="B27" s="13" t="n">
        <f aca="false">Расходы!C13</f>
        <v>-0.869198133256529</v>
      </c>
      <c r="C27" s="13" t="n">
        <f aca="false">Расходы!D13</f>
        <v>-0.869198133256529</v>
      </c>
      <c r="D27" s="13" t="n">
        <f aca="false">Расходы!E13</f>
        <v>-0.869198133256529</v>
      </c>
      <c r="E27" s="13" t="n">
        <f aca="false">Расходы!F13</f>
        <v>-0.869198133256529</v>
      </c>
      <c r="F27" s="13" t="n">
        <f aca="false">Расходы!G13</f>
        <v>-0.869198133256529</v>
      </c>
      <c r="G27" s="13" t="n">
        <f aca="false">Расходы!H13</f>
        <v>-0.869198133256529</v>
      </c>
      <c r="H27" s="13" t="n">
        <f aca="false">Расходы!I13</f>
        <v>-0.869198133256529</v>
      </c>
      <c r="I27" s="13" t="n">
        <f aca="false">Расходы!J13</f>
        <v>-0.869198133256529</v>
      </c>
      <c r="J27" s="13" t="n">
        <f aca="false">Расходы!K13</f>
        <v>-0.869198133256529</v>
      </c>
      <c r="K27" s="13" t="n">
        <f aca="false">Расходы!L13</f>
        <v>-0.869198133256529</v>
      </c>
      <c r="L27" s="13" t="n">
        <f aca="false">Расходы!M13</f>
        <v>-0.882419923960377</v>
      </c>
      <c r="M27" s="13" t="n">
        <f aca="false">Расходы!N13</f>
        <v>-0.972502982022831</v>
      </c>
      <c r="N27" s="13" t="n">
        <f aca="false">SUM(B27:M27)</f>
        <v>-10.5469042385485</v>
      </c>
      <c r="O27" s="58" t="n">
        <f aca="false">Расходы!P13</f>
        <v>-6.5</v>
      </c>
    </row>
    <row r="28" customFormat="false" ht="15" hidden="true" customHeight="true" outlineLevel="1" collapsed="false">
      <c r="A28" s="36" t="s">
        <v>91</v>
      </c>
      <c r="B28" s="13" t="n">
        <f aca="false">Расходы!C14</f>
        <v>-0</v>
      </c>
      <c r="C28" s="13" t="n">
        <f aca="false">Расходы!D14</f>
        <v>-0</v>
      </c>
      <c r="D28" s="13" t="n">
        <f aca="false">Расходы!E14</f>
        <v>-0</v>
      </c>
      <c r="E28" s="13" t="n">
        <f aca="false">Расходы!F14</f>
        <v>-0</v>
      </c>
      <c r="F28" s="13" t="n">
        <f aca="false">Расходы!G14</f>
        <v>-0</v>
      </c>
      <c r="G28" s="13" t="n">
        <f aca="false">Расходы!H14</f>
        <v>-0</v>
      </c>
      <c r="H28" s="13" t="n">
        <f aca="false">Расходы!I14</f>
        <v>-0</v>
      </c>
      <c r="I28" s="13" t="n">
        <f aca="false">Расходы!J14</f>
        <v>-0</v>
      </c>
      <c r="J28" s="13" t="n">
        <f aca="false">Расходы!K14</f>
        <v>-0</v>
      </c>
      <c r="K28" s="13" t="n">
        <f aca="false">Расходы!L14</f>
        <v>-0</v>
      </c>
      <c r="L28" s="13" t="n">
        <f aca="false">Расходы!M14</f>
        <v>-0</v>
      </c>
      <c r="M28" s="13" t="n">
        <f aca="false">Расходы!N14</f>
        <v>-0</v>
      </c>
      <c r="N28" s="13" t="n">
        <f aca="false">SUM(B28:M28)</f>
        <v>0</v>
      </c>
      <c r="O28" s="58" t="n">
        <f aca="false">Расходы!P14</f>
        <v>-4.9</v>
      </c>
    </row>
    <row r="29" customFormat="false" ht="15" hidden="true" customHeight="true" outlineLevel="1" collapsed="false">
      <c r="A29" s="36" t="s">
        <v>92</v>
      </c>
      <c r="B29" s="13" t="n">
        <f aca="false">Расходы!C15</f>
        <v>-0.037333</v>
      </c>
      <c r="C29" s="13" t="n">
        <f aca="false">Расходы!D15</f>
        <v>-0.037333</v>
      </c>
      <c r="D29" s="13" t="n">
        <f aca="false">Расходы!E15</f>
        <v>-0.037333</v>
      </c>
      <c r="E29" s="13" t="n">
        <f aca="false">Расходы!F15</f>
        <v>-0.37233367</v>
      </c>
      <c r="F29" s="13" t="n">
        <f aca="false">Расходы!G15</f>
        <v>-0.037333</v>
      </c>
      <c r="G29" s="13" t="n">
        <f aca="false">Расходы!H15</f>
        <v>-0.037333</v>
      </c>
      <c r="H29" s="13" t="n">
        <f aca="false">Расходы!I15</f>
        <v>-0.037333</v>
      </c>
      <c r="I29" s="13" t="n">
        <f aca="false">Расходы!J15</f>
        <v>-0.377003</v>
      </c>
      <c r="J29" s="13" t="n">
        <f aca="false">Расходы!K15</f>
        <v>-0.037333</v>
      </c>
      <c r="K29" s="13" t="n">
        <f aca="false">Расходы!L15</f>
        <v>-0.037333</v>
      </c>
      <c r="L29" s="13" t="n">
        <f aca="false">Расходы!M15</f>
        <v>-0.037333</v>
      </c>
      <c r="M29" s="13" t="n">
        <f aca="false">Расходы!N15</f>
        <v>-0.037333</v>
      </c>
      <c r="N29" s="13" t="n">
        <f aca="false">SUM(B29:M29)</f>
        <v>-1.12266667</v>
      </c>
      <c r="O29" s="58" t="n">
        <f aca="false">Расходы!P15</f>
        <v>0</v>
      </c>
    </row>
    <row r="30" customFormat="false" ht="15" hidden="true" customHeight="true" outlineLevel="1" collapsed="false">
      <c r="A30" s="36" t="s">
        <v>93</v>
      </c>
      <c r="B30" s="13" t="n">
        <f aca="false">Расходы!C16</f>
        <v>-0</v>
      </c>
      <c r="C30" s="13" t="n">
        <f aca="false">Расходы!D16</f>
        <v>-0</v>
      </c>
      <c r="D30" s="13" t="n">
        <f aca="false">Расходы!E16</f>
        <v>-0.51209</v>
      </c>
      <c r="E30" s="13" t="n">
        <f aca="false">Расходы!F16</f>
        <v>-0.51209</v>
      </c>
      <c r="F30" s="13" t="n">
        <f aca="false">Расходы!G16</f>
        <v>-0.51209</v>
      </c>
      <c r="G30" s="13" t="n">
        <f aca="false">Расходы!H16</f>
        <v>-0.51209</v>
      </c>
      <c r="H30" s="13" t="n">
        <f aca="false">Расходы!I16</f>
        <v>-0.51209</v>
      </c>
      <c r="I30" s="13" t="n">
        <f aca="false">Расходы!J16</f>
        <v>-0.51209</v>
      </c>
      <c r="J30" s="13" t="n">
        <f aca="false">Расходы!K16</f>
        <v>-0.51209</v>
      </c>
      <c r="K30" s="13" t="n">
        <f aca="false">Расходы!L16</f>
        <v>-0.51209</v>
      </c>
      <c r="L30" s="13" t="n">
        <f aca="false">Расходы!M16</f>
        <v>-0.51209</v>
      </c>
      <c r="M30" s="13" t="n">
        <f aca="false">Расходы!N16</f>
        <v>-0.51209</v>
      </c>
      <c r="N30" s="13" t="n">
        <f aca="false">SUM(B30:M30)</f>
        <v>-5.1209</v>
      </c>
      <c r="O30" s="58" t="n">
        <f aca="false">Расходы!P16</f>
        <v>-5.7</v>
      </c>
    </row>
    <row r="31" customFormat="false" ht="15" hidden="true" customHeight="true" outlineLevel="1" collapsed="false">
      <c r="A31" s="36" t="s">
        <v>94</v>
      </c>
      <c r="B31" s="13" t="n">
        <f aca="false">Расходы!C17</f>
        <v>-0</v>
      </c>
      <c r="C31" s="13" t="n">
        <f aca="false">Расходы!D17</f>
        <v>-4</v>
      </c>
      <c r="D31" s="13" t="n">
        <f aca="false">Расходы!E17</f>
        <v>-0</v>
      </c>
      <c r="E31" s="13" t="n">
        <f aca="false">Расходы!F17</f>
        <v>-10.25</v>
      </c>
      <c r="F31" s="13" t="n">
        <f aca="false">Расходы!G17</f>
        <v>-0</v>
      </c>
      <c r="G31" s="13" t="n">
        <f aca="false">Расходы!H17</f>
        <v>-0</v>
      </c>
      <c r="H31" s="13" t="n">
        <f aca="false">Расходы!I17</f>
        <v>-6</v>
      </c>
      <c r="I31" s="13" t="n">
        <f aca="false">Расходы!J17</f>
        <v>-0</v>
      </c>
      <c r="J31" s="13" t="n">
        <f aca="false">Расходы!K17</f>
        <v>-0</v>
      </c>
      <c r="K31" s="13" t="n">
        <f aca="false">Расходы!L17</f>
        <v>-0</v>
      </c>
      <c r="L31" s="13" t="n">
        <f aca="false">Расходы!M17</f>
        <v>-0</v>
      </c>
      <c r="M31" s="13" t="n">
        <f aca="false">Расходы!N17</f>
        <v>-0</v>
      </c>
      <c r="N31" s="13" t="n">
        <f aca="false">SUM(B31:M31)</f>
        <v>-20.25</v>
      </c>
      <c r="O31" s="58" t="n">
        <f aca="false">Расходы!P17</f>
        <v>-14</v>
      </c>
    </row>
    <row r="32" customFormat="false" ht="15" hidden="true" customHeight="true" outlineLevel="1" collapsed="false">
      <c r="A32" s="36" t="s">
        <v>95</v>
      </c>
      <c r="B32" s="13" t="n">
        <f aca="false">Расходы!C18</f>
        <v>-0.02799675</v>
      </c>
      <c r="C32" s="13" t="n">
        <f aca="false">Расходы!D18</f>
        <v>-0.02799675</v>
      </c>
      <c r="D32" s="13" t="n">
        <f aca="false">Расходы!E18</f>
        <v>-0.02799675</v>
      </c>
      <c r="E32" s="13" t="n">
        <f aca="false">Расходы!F18</f>
        <v>-0.02799675</v>
      </c>
      <c r="F32" s="13" t="n">
        <f aca="false">Расходы!G18</f>
        <v>-0.02799675</v>
      </c>
      <c r="G32" s="13" t="n">
        <f aca="false">Расходы!H18</f>
        <v>-0.02799675</v>
      </c>
      <c r="H32" s="13" t="n">
        <f aca="false">Расходы!I18</f>
        <v>-0.02799675</v>
      </c>
      <c r="I32" s="13" t="n">
        <f aca="false">Расходы!J18</f>
        <v>-0.02799675</v>
      </c>
      <c r="J32" s="13" t="n">
        <f aca="false">Расходы!K18</f>
        <v>-0.02799675</v>
      </c>
      <c r="K32" s="13" t="n">
        <f aca="false">Расходы!L18</f>
        <v>-0.02799675</v>
      </c>
      <c r="L32" s="13" t="n">
        <f aca="false">Расходы!M18</f>
        <v>-0.02799675</v>
      </c>
      <c r="M32" s="13" t="n">
        <f aca="false">Расходы!N18</f>
        <v>-0.02799675</v>
      </c>
      <c r="N32" s="13" t="n">
        <f aca="false">SUM(B32:M32)</f>
        <v>-0.335961</v>
      </c>
      <c r="O32" s="58" t="n">
        <f aca="false">Расходы!P18</f>
        <v>0</v>
      </c>
    </row>
    <row r="33" customFormat="false" ht="15" hidden="true" customHeight="true" outlineLevel="1" collapsed="false">
      <c r="A33" s="36" t="s">
        <v>96</v>
      </c>
      <c r="B33" s="13" t="n">
        <f aca="false">Расходы!C19</f>
        <v>-0.0416666666666667</v>
      </c>
      <c r="C33" s="13" t="n">
        <f aca="false">Расходы!D19</f>
        <v>-0.0416666666666667</v>
      </c>
      <c r="D33" s="13" t="n">
        <f aca="false">Расходы!E19</f>
        <v>-0.0416666666666667</v>
      </c>
      <c r="E33" s="13" t="n">
        <f aca="false">Расходы!F19</f>
        <v>-0.0416666666666667</v>
      </c>
      <c r="F33" s="13" t="n">
        <f aca="false">Расходы!G19</f>
        <v>-0.0416666666666667</v>
      </c>
      <c r="G33" s="13" t="n">
        <f aca="false">Расходы!H19</f>
        <v>-0.0416666666666667</v>
      </c>
      <c r="H33" s="13" t="n">
        <f aca="false">Расходы!I19</f>
        <v>-0.0416666666666667</v>
      </c>
      <c r="I33" s="13" t="n">
        <f aca="false">Расходы!J19</f>
        <v>-0.0416666666666667</v>
      </c>
      <c r="J33" s="13" t="n">
        <f aca="false">Расходы!K19</f>
        <v>-0.0416666666666667</v>
      </c>
      <c r="K33" s="13" t="n">
        <f aca="false">Расходы!L19</f>
        <v>-0.0416666666666667</v>
      </c>
      <c r="L33" s="13" t="n">
        <f aca="false">Расходы!M19</f>
        <v>-0.0416666666666667</v>
      </c>
      <c r="M33" s="13" t="n">
        <f aca="false">Расходы!N19</f>
        <v>-0.0416666666666667</v>
      </c>
      <c r="N33" s="13" t="n">
        <f aca="false">SUM(B33:M33)</f>
        <v>-0.5</v>
      </c>
      <c r="O33" s="58" t="n">
        <f aca="false">Расходы!P19</f>
        <v>-1.2</v>
      </c>
    </row>
    <row r="34" customFormat="false" ht="15" hidden="true" customHeight="true" outlineLevel="1" collapsed="false">
      <c r="A34" s="36" t="s">
        <v>97</v>
      </c>
      <c r="B34" s="13" t="n">
        <f aca="false">Расходы!C20</f>
        <v>0.2</v>
      </c>
      <c r="C34" s="13" t="n">
        <f aca="false">Расходы!D20</f>
        <v>0.2</v>
      </c>
      <c r="D34" s="13" t="n">
        <f aca="false">Расходы!E20</f>
        <v>0.2</v>
      </c>
      <c r="E34" s="13" t="n">
        <f aca="false">Расходы!F20</f>
        <v>0.2</v>
      </c>
      <c r="F34" s="13" t="n">
        <f aca="false">Расходы!G20</f>
        <v>0.2</v>
      </c>
      <c r="G34" s="13" t="n">
        <f aca="false">Расходы!H20</f>
        <v>0.2</v>
      </c>
      <c r="H34" s="13" t="n">
        <f aca="false">Расходы!I20</f>
        <v>0.2</v>
      </c>
      <c r="I34" s="13" t="n">
        <f aca="false">Расходы!J20</f>
        <v>0.2</v>
      </c>
      <c r="J34" s="13" t="n">
        <f aca="false">Расходы!K20</f>
        <v>0.2</v>
      </c>
      <c r="K34" s="13" t="n">
        <f aca="false">Расходы!L20</f>
        <v>0.2</v>
      </c>
      <c r="L34" s="13" t="n">
        <f aca="false">Расходы!M20</f>
        <v>0.2</v>
      </c>
      <c r="M34" s="13" t="n">
        <f aca="false">Расходы!N20</f>
        <v>0.2</v>
      </c>
      <c r="N34" s="13" t="n">
        <f aca="false">SUM(B34:M34)</f>
        <v>2.4</v>
      </c>
      <c r="O34" s="58" t="n">
        <f aca="false">Расходы!P20</f>
        <v>3</v>
      </c>
    </row>
    <row r="35" customFormat="false" ht="15" hidden="false" customHeight="true" outlineLevel="0" collapsed="false">
      <c r="A35" s="28" t="s">
        <v>51</v>
      </c>
      <c r="B35" s="29" t="n">
        <f aca="false">SUM(B25:B34)</f>
        <v>-1.1561945499232</v>
      </c>
      <c r="C35" s="29" t="n">
        <f aca="false">SUM(C25:C34)</f>
        <v>-5.1511945499232</v>
      </c>
      <c r="D35" s="29" t="n">
        <f aca="false">SUM(D25:D34)</f>
        <v>-1.8032845499232</v>
      </c>
      <c r="E35" s="29" t="n">
        <f aca="false">SUM(E25:E34)</f>
        <v>-12.2532852199232</v>
      </c>
      <c r="F35" s="29" t="n">
        <f aca="false">SUM(F25:F34)</f>
        <v>-1.6682845499232</v>
      </c>
      <c r="G35" s="29" t="n">
        <f aca="false">SUM(G25:G34)</f>
        <v>-1.6632845499232</v>
      </c>
      <c r="H35" s="29" t="n">
        <f aca="false">SUM(H25:H34)</f>
        <v>-7.8032845499232</v>
      </c>
      <c r="I35" s="29" t="n">
        <f aca="false">SUM(I25:I34)</f>
        <v>-2.0029545499232</v>
      </c>
      <c r="J35" s="29" t="n">
        <f aca="false">SUM(J25:J34)</f>
        <v>-1.6682845499232</v>
      </c>
      <c r="K35" s="29" t="n">
        <f aca="false">SUM(K25:K34)</f>
        <v>-1.6632845499232</v>
      </c>
      <c r="L35" s="29" t="n">
        <f aca="false">SUM(L25:L34)</f>
        <v>-1.68150634062704</v>
      </c>
      <c r="M35" s="29" t="n">
        <f aca="false">SUM(M25:M34)</f>
        <v>-1.7715893986895</v>
      </c>
      <c r="N35" s="29" t="n">
        <f aca="false">SUM(B35:M35)</f>
        <v>-40.2864319085485</v>
      </c>
      <c r="O35" s="65" t="n">
        <f aca="false">SUM(O25:O34)</f>
        <v>-32.7</v>
      </c>
    </row>
    <row r="36" customFormat="false" ht="15" hidden="true" customHeight="true" outlineLevel="1" collapsed="false">
      <c r="A36" s="36" t="s">
        <v>98</v>
      </c>
      <c r="B36" s="13" t="n">
        <f aca="false">Расходы!C22</f>
        <v>-0.675</v>
      </c>
      <c r="C36" s="13" t="n">
        <f aca="false">Расходы!D22</f>
        <v>-3.525</v>
      </c>
      <c r="D36" s="13" t="n">
        <f aca="false">Расходы!E22</f>
        <v>-4.25</v>
      </c>
      <c r="E36" s="13" t="n">
        <f aca="false">Расходы!F22</f>
        <v>-2.675</v>
      </c>
      <c r="F36" s="13" t="n">
        <f aca="false">Расходы!G22</f>
        <v>-0.875</v>
      </c>
      <c r="G36" s="13" t="n">
        <f aca="false">Расходы!H22</f>
        <v>-1.9</v>
      </c>
      <c r="H36" s="13" t="n">
        <f aca="false">Расходы!I22</f>
        <v>-4.675</v>
      </c>
      <c r="I36" s="13" t="n">
        <f aca="false">Расходы!J22</f>
        <v>-2.025</v>
      </c>
      <c r="J36" s="13" t="n">
        <f aca="false">Расходы!K22</f>
        <v>-3.45</v>
      </c>
      <c r="K36" s="13" t="n">
        <f aca="false">Расходы!L22</f>
        <v>-1.975</v>
      </c>
      <c r="L36" s="13" t="n">
        <f aca="false">Расходы!M22</f>
        <v>-5.875</v>
      </c>
      <c r="M36" s="13" t="n">
        <f aca="false">Расходы!N22</f>
        <v>-1.4</v>
      </c>
      <c r="N36" s="13" t="n">
        <f aca="false">SUM(B36:M36)</f>
        <v>-33.3</v>
      </c>
      <c r="O36" s="58" t="n">
        <f aca="false">Расходы!P22</f>
        <v>-23.25</v>
      </c>
    </row>
    <row r="37" customFormat="false" ht="15" hidden="true" customHeight="true" outlineLevel="1" collapsed="false">
      <c r="A37" s="36" t="s">
        <v>99</v>
      </c>
      <c r="B37" s="13" t="n">
        <f aca="false">Расходы!C23</f>
        <v>-0</v>
      </c>
      <c r="C37" s="13" t="n">
        <f aca="false">Расходы!D23</f>
        <v>-1.5</v>
      </c>
      <c r="D37" s="13" t="n">
        <f aca="false">Расходы!E23</f>
        <v>-0</v>
      </c>
      <c r="E37" s="13" t="n">
        <f aca="false">Расходы!F23</f>
        <v>-0</v>
      </c>
      <c r="F37" s="13" t="n">
        <f aca="false">Расходы!G23</f>
        <v>-0</v>
      </c>
      <c r="G37" s="13" t="n">
        <f aca="false">Расходы!H23</f>
        <v>-0.15</v>
      </c>
      <c r="H37" s="13" t="n">
        <f aca="false">Расходы!I23</f>
        <v>-0</v>
      </c>
      <c r="I37" s="13" t="n">
        <f aca="false">Расходы!J23</f>
        <v>-0</v>
      </c>
      <c r="J37" s="13" t="n">
        <f aca="false">Расходы!K23</f>
        <v>-0.15</v>
      </c>
      <c r="K37" s="13" t="n">
        <f aca="false">Расходы!L23</f>
        <v>-0</v>
      </c>
      <c r="L37" s="13" t="n">
        <f aca="false">Расходы!M23</f>
        <v>-0</v>
      </c>
      <c r="M37" s="13" t="n">
        <f aca="false">Расходы!N23</f>
        <v>-0</v>
      </c>
      <c r="N37" s="13" t="n">
        <f aca="false">SUM(B37:M37)</f>
        <v>-1.8</v>
      </c>
      <c r="O37" s="58" t="n">
        <f aca="false">Расходы!P23</f>
        <v>-3.5</v>
      </c>
    </row>
    <row r="38" customFormat="false" ht="15" hidden="true" customHeight="true" outlineLevel="1" collapsed="false">
      <c r="A38" s="36" t="s">
        <v>100</v>
      </c>
      <c r="B38" s="13" t="n">
        <f aca="false">Расходы!C24</f>
        <v>-1.1260256</v>
      </c>
      <c r="C38" s="13" t="n">
        <f aca="false">Расходы!D24</f>
        <v>-1.1260256</v>
      </c>
      <c r="D38" s="13" t="n">
        <f aca="false">Расходы!E24</f>
        <v>-1.1260256</v>
      </c>
      <c r="E38" s="13" t="n">
        <f aca="false">Расходы!F24</f>
        <v>-1.1260256</v>
      </c>
      <c r="F38" s="13" t="n">
        <f aca="false">Расходы!G24</f>
        <v>-1.1260256</v>
      </c>
      <c r="G38" s="13" t="n">
        <f aca="false">Расходы!H24</f>
        <v>-1.1260256</v>
      </c>
      <c r="H38" s="13" t="n">
        <f aca="false">Расходы!I24</f>
        <v>-1.4670104</v>
      </c>
      <c r="I38" s="13" t="n">
        <f aca="false">Расходы!J24</f>
        <v>-1.4670104</v>
      </c>
      <c r="J38" s="13" t="n">
        <f aca="false">Расходы!K24</f>
        <v>-1.4670104</v>
      </c>
      <c r="K38" s="13" t="n">
        <f aca="false">Расходы!L24</f>
        <v>-1.4670104</v>
      </c>
      <c r="L38" s="13" t="n">
        <f aca="false">Расходы!M24</f>
        <v>-1.4670104</v>
      </c>
      <c r="M38" s="13" t="n">
        <f aca="false">Расходы!N24</f>
        <v>-1.4670104</v>
      </c>
      <c r="N38" s="13" t="n">
        <f aca="false">SUM(B38:M38)</f>
        <v>-15.558216</v>
      </c>
      <c r="O38" s="58" t="n">
        <f aca="false">Расходы!P24</f>
        <v>-8.3</v>
      </c>
    </row>
    <row r="39" customFormat="false" ht="15" hidden="true" customHeight="true" outlineLevel="1" collapsed="false">
      <c r="A39" s="36" t="s">
        <v>101</v>
      </c>
      <c r="B39" s="13" t="n">
        <f aca="false">Расходы!C25</f>
        <v>-4.16666666666667</v>
      </c>
      <c r="C39" s="13" t="n">
        <f aca="false">Расходы!D25</f>
        <v>-4.16666666666667</v>
      </c>
      <c r="D39" s="13" t="n">
        <f aca="false">Расходы!E25</f>
        <v>-4.16666666666667</v>
      </c>
      <c r="E39" s="13" t="n">
        <f aca="false">Расходы!F25</f>
        <v>-4.16666666666667</v>
      </c>
      <c r="F39" s="13" t="n">
        <f aca="false">Расходы!G25</f>
        <v>-4.16666666666667</v>
      </c>
      <c r="G39" s="13" t="n">
        <f aca="false">Расходы!H25</f>
        <v>-4.16666666666667</v>
      </c>
      <c r="H39" s="13" t="n">
        <f aca="false">Расходы!I25</f>
        <v>-4.16666666666667</v>
      </c>
      <c r="I39" s="13" t="n">
        <f aca="false">Расходы!J25</f>
        <v>-4.16666666666667</v>
      </c>
      <c r="J39" s="13" t="n">
        <f aca="false">Расходы!K25</f>
        <v>-4.16666666666667</v>
      </c>
      <c r="K39" s="13" t="n">
        <f aca="false">Расходы!L25</f>
        <v>-4.16666666666667</v>
      </c>
      <c r="L39" s="13" t="n">
        <f aca="false">Расходы!M25</f>
        <v>-4.16666666666667</v>
      </c>
      <c r="M39" s="13" t="n">
        <f aca="false">Расходы!N25</f>
        <v>-4.16666666666667</v>
      </c>
      <c r="N39" s="13" t="n">
        <f aca="false">SUM(B39:M39)</f>
        <v>-50</v>
      </c>
      <c r="O39" s="58" t="n">
        <f aca="false">Расходы!P25</f>
        <v>-20.2</v>
      </c>
    </row>
    <row r="40" customFormat="false" ht="15" hidden="false" customHeight="true" outlineLevel="0" collapsed="false">
      <c r="A40" s="28" t="s">
        <v>52</v>
      </c>
      <c r="B40" s="29" t="n">
        <f aca="false">SUM(B36:B39)</f>
        <v>-5.96769226666667</v>
      </c>
      <c r="C40" s="29" t="n">
        <f aca="false">SUM(C36:C39)</f>
        <v>-10.3176922666667</v>
      </c>
      <c r="D40" s="29" t="n">
        <f aca="false">SUM(D36:D39)</f>
        <v>-9.54269226666667</v>
      </c>
      <c r="E40" s="29" t="n">
        <f aca="false">SUM(E36:E39)</f>
        <v>-7.96769226666667</v>
      </c>
      <c r="F40" s="29" t="n">
        <f aca="false">SUM(F36:F39)</f>
        <v>-6.16769226666667</v>
      </c>
      <c r="G40" s="29" t="n">
        <f aca="false">SUM(G36:G39)</f>
        <v>-7.34269226666667</v>
      </c>
      <c r="H40" s="29" t="n">
        <f aca="false">SUM(H36:H39)</f>
        <v>-10.3086770666667</v>
      </c>
      <c r="I40" s="29" t="n">
        <f aca="false">SUM(I36:I39)</f>
        <v>-7.65867706666667</v>
      </c>
      <c r="J40" s="29" t="n">
        <f aca="false">SUM(J36:J39)</f>
        <v>-9.23367706666667</v>
      </c>
      <c r="K40" s="29" t="n">
        <f aca="false">SUM(K36:K39)</f>
        <v>-7.60867706666667</v>
      </c>
      <c r="L40" s="29" t="n">
        <f aca="false">SUM(L36:L39)</f>
        <v>-11.5086770666667</v>
      </c>
      <c r="M40" s="29" t="n">
        <f aca="false">SUM(M36:M39)</f>
        <v>-7.03367706666667</v>
      </c>
      <c r="N40" s="29" t="n">
        <f aca="false">SUM(B40:M40)</f>
        <v>-100.658216</v>
      </c>
      <c r="O40" s="65" t="n">
        <f aca="false">SUM(O36:O39)</f>
        <v>-55.25</v>
      </c>
    </row>
    <row r="41" customFormat="false" ht="15" hidden="true" customHeight="true" outlineLevel="1" collapsed="false">
      <c r="A41" s="36" t="s">
        <v>102</v>
      </c>
      <c r="B41" s="13" t="n">
        <f aca="false">Расходы!C30</f>
        <v>-6.44907272921417</v>
      </c>
      <c r="C41" s="13" t="n">
        <f aca="false">Расходы!D30</f>
        <v>-6.44907272921417</v>
      </c>
      <c r="D41" s="13" t="n">
        <f aca="false">Расходы!E30</f>
        <v>-6.84907272921417</v>
      </c>
      <c r="E41" s="13" t="n">
        <f aca="false">Расходы!F30</f>
        <v>-6.64907272921417</v>
      </c>
      <c r="F41" s="13" t="n">
        <f aca="false">Расходы!G30</f>
        <v>-7.14907272921417</v>
      </c>
      <c r="G41" s="13" t="n">
        <f aca="false">Расходы!H30</f>
        <v>-7.09957968014875</v>
      </c>
      <c r="H41" s="13" t="n">
        <f aca="false">Расходы!I30</f>
        <v>-7.04200677321728</v>
      </c>
      <c r="I41" s="13" t="n">
        <f aca="false">Расходы!J30</f>
        <v>-7.30994301384494</v>
      </c>
      <c r="J41" s="13" t="n">
        <f aca="false">Расходы!K30</f>
        <v>-8.82134158688551</v>
      </c>
      <c r="K41" s="13" t="n">
        <f aca="false">Расходы!L30</f>
        <v>-9.42744069455684</v>
      </c>
      <c r="L41" s="13" t="n">
        <f aca="false">Расходы!M30</f>
        <v>-9.42744069455684</v>
      </c>
      <c r="M41" s="13" t="n">
        <f aca="false">Расходы!N30</f>
        <v>-9.42744069455684</v>
      </c>
      <c r="N41" s="13" t="n">
        <f aca="false">SUM(B41:M41)</f>
        <v>-92.1005567838379</v>
      </c>
      <c r="O41" s="13" t="n">
        <f aca="false">Расходы!P30</f>
        <v>-58.6</v>
      </c>
    </row>
    <row r="42" customFormat="false" ht="15" hidden="false" customHeight="true" outlineLevel="0" collapsed="false">
      <c r="A42" s="28" t="s">
        <v>54</v>
      </c>
      <c r="B42" s="29" t="n">
        <f aca="false">B41</f>
        <v>-6.44907272921417</v>
      </c>
      <c r="C42" s="29" t="n">
        <f aca="false">C41</f>
        <v>-6.44907272921417</v>
      </c>
      <c r="D42" s="29" t="n">
        <f aca="false">D41</f>
        <v>-6.84907272921417</v>
      </c>
      <c r="E42" s="29" t="n">
        <f aca="false">E41</f>
        <v>-6.64907272921417</v>
      </c>
      <c r="F42" s="29" t="n">
        <f aca="false">F41</f>
        <v>-7.14907272921417</v>
      </c>
      <c r="G42" s="29" t="n">
        <f aca="false">G41</f>
        <v>-7.09957968014875</v>
      </c>
      <c r="H42" s="29" t="n">
        <f aca="false">H41</f>
        <v>-7.04200677321728</v>
      </c>
      <c r="I42" s="29" t="n">
        <f aca="false">I41</f>
        <v>-7.30994301384494</v>
      </c>
      <c r="J42" s="29" t="n">
        <f aca="false">J41</f>
        <v>-8.82134158688551</v>
      </c>
      <c r="K42" s="29" t="n">
        <f aca="false">K41</f>
        <v>-9.42744069455684</v>
      </c>
      <c r="L42" s="29" t="n">
        <f aca="false">L41</f>
        <v>-9.42744069455684</v>
      </c>
      <c r="M42" s="29" t="n">
        <f aca="false">M41</f>
        <v>-9.42744069455684</v>
      </c>
      <c r="N42" s="29" t="n">
        <f aca="false">SUM(B42:M42)</f>
        <v>-92.1005567838379</v>
      </c>
      <c r="O42" s="65" t="n">
        <f aca="false">O41</f>
        <v>-58.6</v>
      </c>
    </row>
    <row r="43" customFormat="false" ht="15" hidden="true" customHeight="true" outlineLevel="1" collapsed="false">
      <c r="A43" s="36" t="s">
        <v>103</v>
      </c>
      <c r="B43" s="13" t="n">
        <f aca="false">Расходы!C32</f>
        <v>-0</v>
      </c>
      <c r="C43" s="13" t="n">
        <f aca="false">Расходы!D32</f>
        <v>-0</v>
      </c>
      <c r="D43" s="13" t="n">
        <f aca="false">Расходы!E32</f>
        <v>-0</v>
      </c>
      <c r="E43" s="13" t="n">
        <f aca="false">Расходы!F32</f>
        <v>-0</v>
      </c>
      <c r="F43" s="13" t="n">
        <f aca="false">Расходы!G32</f>
        <v>-0</v>
      </c>
      <c r="G43" s="13" t="n">
        <f aca="false">Расходы!H32</f>
        <v>-0</v>
      </c>
      <c r="H43" s="13" t="n">
        <f aca="false">Расходы!I32</f>
        <v>-0</v>
      </c>
      <c r="I43" s="13" t="n">
        <f aca="false">Расходы!J32</f>
        <v>-0</v>
      </c>
      <c r="J43" s="13" t="n">
        <f aca="false">Расходы!K32</f>
        <v>-0</v>
      </c>
      <c r="K43" s="13" t="n">
        <f aca="false">Расходы!L32</f>
        <v>-0</v>
      </c>
      <c r="L43" s="13" t="n">
        <f aca="false">Расходы!M32</f>
        <v>-0</v>
      </c>
      <c r="M43" s="13" t="n">
        <f aca="false">Расходы!N32</f>
        <v>-0</v>
      </c>
      <c r="N43" s="13" t="n">
        <f aca="false">SUM(B43:M43)</f>
        <v>0</v>
      </c>
      <c r="O43" s="58" t="n">
        <f aca="false">Расходы!P32</f>
        <v>0</v>
      </c>
    </row>
    <row r="44" customFormat="false" ht="15" hidden="true" customHeight="true" outlineLevel="1" collapsed="false">
      <c r="A44" s="36" t="s">
        <v>104</v>
      </c>
      <c r="B44" s="13" t="n">
        <f aca="false">Расходы!C33</f>
        <v>-0.313333333333333</v>
      </c>
      <c r="C44" s="13" t="n">
        <f aca="false">Расходы!D33</f>
        <v>-0.313333333333333</v>
      </c>
      <c r="D44" s="13" t="n">
        <f aca="false">Расходы!E33</f>
        <v>-0.313333333333333</v>
      </c>
      <c r="E44" s="13" t="n">
        <f aca="false">Расходы!F33</f>
        <v>-0.313333333333333</v>
      </c>
      <c r="F44" s="13" t="n">
        <f aca="false">Расходы!G33</f>
        <v>-0.313333333333333</v>
      </c>
      <c r="G44" s="13" t="n">
        <f aca="false">Расходы!H33</f>
        <v>-0.313333333333333</v>
      </c>
      <c r="H44" s="13" t="n">
        <f aca="false">Расходы!I33</f>
        <v>-0.313333333333333</v>
      </c>
      <c r="I44" s="13" t="n">
        <f aca="false">Расходы!J33</f>
        <v>-0.313333333333333</v>
      </c>
      <c r="J44" s="13" t="n">
        <f aca="false">Расходы!K33</f>
        <v>-0.313333333333333</v>
      </c>
      <c r="K44" s="13" t="n">
        <f aca="false">Расходы!L33</f>
        <v>-0.313333333333333</v>
      </c>
      <c r="L44" s="13" t="n">
        <f aca="false">Расходы!M33</f>
        <v>-0.313333333333333</v>
      </c>
      <c r="M44" s="13" t="n">
        <f aca="false">Расходы!N33</f>
        <v>-0.313333333333333</v>
      </c>
      <c r="N44" s="13" t="n">
        <f aca="false">SUM(B44:M44)</f>
        <v>-3.76</v>
      </c>
      <c r="O44" s="58" t="n">
        <f aca="false">Расходы!P33</f>
        <v>-5</v>
      </c>
    </row>
    <row r="45" customFormat="false" ht="15" hidden="true" customHeight="true" outlineLevel="1" collapsed="false">
      <c r="A45" s="36" t="s">
        <v>105</v>
      </c>
      <c r="B45" s="13" t="n">
        <f aca="false">Расходы!C34</f>
        <v>-1.92025113760494</v>
      </c>
      <c r="C45" s="13" t="n">
        <f aca="false">Расходы!D34</f>
        <v>-4.80065910714291</v>
      </c>
      <c r="D45" s="13" t="n">
        <f aca="false">Расходы!E34</f>
        <v>-6.72087898161732</v>
      </c>
      <c r="E45" s="13" t="n">
        <f aca="false">Расходы!F34</f>
        <v>-6.72078519222565</v>
      </c>
      <c r="F45" s="13" t="n">
        <f aca="false">Расходы!G34</f>
        <v>-6.72087898161733</v>
      </c>
      <c r="G45" s="13" t="n">
        <f aca="false">Расходы!H34</f>
        <v>-6.72087898161732</v>
      </c>
      <c r="H45" s="13" t="n">
        <f aca="false">Расходы!I34</f>
        <v>-6.72087898161732</v>
      </c>
      <c r="I45" s="13" t="n">
        <f aca="false">Расходы!J34</f>
        <v>-7.680848234767</v>
      </c>
      <c r="J45" s="13" t="n">
        <f aca="false">Расходы!K34</f>
        <v>-7.68084823476702</v>
      </c>
      <c r="K45" s="13" t="n">
        <f aca="false">Расходы!L34</f>
        <v>-10.5613812568272</v>
      </c>
      <c r="L45" s="13" t="n">
        <f aca="false">Расходы!M34</f>
        <v>-13.4417579632346</v>
      </c>
      <c r="M45" s="13" t="n">
        <f aca="false">Расходы!N34</f>
        <v>-16.322134669642</v>
      </c>
      <c r="N45" s="13" t="n">
        <f aca="false">SUM(B45:M45)</f>
        <v>-96.0121817226806</v>
      </c>
      <c r="O45" s="58" t="n">
        <f aca="false">Расходы!P34</f>
        <v>-80.7</v>
      </c>
    </row>
    <row r="46" customFormat="false" ht="15" hidden="true" customHeight="true" outlineLevel="1" collapsed="false">
      <c r="A46" s="36" t="s">
        <v>106</v>
      </c>
      <c r="B46" s="13" t="n">
        <f aca="false">Расходы!C35</f>
        <v>-0.0858333333333333</v>
      </c>
      <c r="C46" s="13" t="n">
        <f aca="false">Расходы!D35</f>
        <v>-0.0858333333333333</v>
      </c>
      <c r="D46" s="13" t="n">
        <f aca="false">Расходы!E35</f>
        <v>-0.0858333333333333</v>
      </c>
      <c r="E46" s="13" t="n">
        <f aca="false">Расходы!F35</f>
        <v>-0.0858333333333333</v>
      </c>
      <c r="F46" s="13" t="n">
        <f aca="false">Расходы!G35</f>
        <v>-0.0858333333333333</v>
      </c>
      <c r="G46" s="13" t="n">
        <f aca="false">Расходы!H35</f>
        <v>-0.0858333333333333</v>
      </c>
      <c r="H46" s="13" t="n">
        <f aca="false">Расходы!I35</f>
        <v>-0.0858333333333333</v>
      </c>
      <c r="I46" s="13" t="n">
        <f aca="false">Расходы!J35</f>
        <v>-0.0858333333333333</v>
      </c>
      <c r="J46" s="13" t="n">
        <f aca="false">Расходы!K35</f>
        <v>-0.0858333333333333</v>
      </c>
      <c r="K46" s="13" t="n">
        <f aca="false">Расходы!L35</f>
        <v>-0.0858333333333333</v>
      </c>
      <c r="L46" s="13" t="n">
        <f aca="false">Расходы!M35</f>
        <v>-0.0858333333333333</v>
      </c>
      <c r="M46" s="13" t="n">
        <f aca="false">Расходы!N35</f>
        <v>-0.0858333333333333</v>
      </c>
      <c r="N46" s="13" t="n">
        <f aca="false">SUM(B46:M46)</f>
        <v>-1.03</v>
      </c>
      <c r="O46" s="58" t="n">
        <f aca="false">Расходы!P35</f>
        <v>-2.6</v>
      </c>
    </row>
    <row r="47" customFormat="false" ht="15" hidden="true" customHeight="true" outlineLevel="1" collapsed="false">
      <c r="A47" s="36" t="s">
        <v>107</v>
      </c>
      <c r="B47" s="13" t="n">
        <f aca="false">Расходы!C36</f>
        <v>-0.06</v>
      </c>
      <c r="C47" s="13" t="n">
        <f aca="false">Расходы!D36</f>
        <v>-0.06</v>
      </c>
      <c r="D47" s="13" t="n">
        <f aca="false">Расходы!E36</f>
        <v>-0.06</v>
      </c>
      <c r="E47" s="13" t="n">
        <f aca="false">Расходы!F36</f>
        <v>-0.06</v>
      </c>
      <c r="F47" s="13" t="n">
        <f aca="false">Расходы!G36</f>
        <v>-0.06</v>
      </c>
      <c r="G47" s="13" t="n">
        <f aca="false">Расходы!H36</f>
        <v>-0.06</v>
      </c>
      <c r="H47" s="13" t="n">
        <f aca="false">Расходы!I36</f>
        <v>-0.06</v>
      </c>
      <c r="I47" s="13" t="n">
        <f aca="false">Расходы!J36</f>
        <v>-0.06</v>
      </c>
      <c r="J47" s="13" t="n">
        <f aca="false">Расходы!K36</f>
        <v>-0.06</v>
      </c>
      <c r="K47" s="13" t="n">
        <f aca="false">Расходы!L36</f>
        <v>-0.06</v>
      </c>
      <c r="L47" s="13" t="n">
        <f aca="false">Расходы!M36</f>
        <v>-0.06</v>
      </c>
      <c r="M47" s="13" t="n">
        <f aca="false">Расходы!N36</f>
        <v>-0.06</v>
      </c>
      <c r="N47" s="13" t="n">
        <f aca="false">SUM(B47:M47)</f>
        <v>-0.72</v>
      </c>
      <c r="O47" s="58" t="n">
        <f aca="false">Расходы!P36</f>
        <v>-1.9</v>
      </c>
    </row>
    <row r="48" customFormat="false" ht="15" hidden="true" customHeight="true" outlineLevel="1" collapsed="false">
      <c r="A48" s="36" t="s">
        <v>108</v>
      </c>
      <c r="B48" s="13" t="n">
        <f aca="false">Расходы!C37</f>
        <v>-0.02</v>
      </c>
      <c r="C48" s="13" t="n">
        <f aca="false">Расходы!D37</f>
        <v>-0.02</v>
      </c>
      <c r="D48" s="13" t="n">
        <f aca="false">Расходы!E37</f>
        <v>-0.02</v>
      </c>
      <c r="E48" s="13" t="n">
        <f aca="false">Расходы!F37</f>
        <v>-0.02</v>
      </c>
      <c r="F48" s="13" t="n">
        <f aca="false">Расходы!G37</f>
        <v>-0.02</v>
      </c>
      <c r="G48" s="13" t="n">
        <f aca="false">Расходы!H37</f>
        <v>-0.02</v>
      </c>
      <c r="H48" s="13" t="n">
        <f aca="false">Расходы!I37</f>
        <v>-0.02</v>
      </c>
      <c r="I48" s="13" t="n">
        <f aca="false">Расходы!J37</f>
        <v>-0.02</v>
      </c>
      <c r="J48" s="13" t="n">
        <f aca="false">Расходы!K37</f>
        <v>-0.02</v>
      </c>
      <c r="K48" s="13" t="n">
        <f aca="false">Расходы!L37</f>
        <v>-0.02</v>
      </c>
      <c r="L48" s="13" t="n">
        <f aca="false">Расходы!M37</f>
        <v>-0.02</v>
      </c>
      <c r="M48" s="13" t="n">
        <f aca="false">Расходы!N37</f>
        <v>-0.02</v>
      </c>
      <c r="N48" s="13" t="n">
        <f aca="false">SUM(B48:M48)</f>
        <v>-0.24</v>
      </c>
      <c r="O48" s="58" t="n">
        <f aca="false">Расходы!P37</f>
        <v>-0.2</v>
      </c>
    </row>
    <row r="49" customFormat="false" ht="15" hidden="true" customHeight="true" outlineLevel="1" collapsed="false">
      <c r="A49" s="36" t="s">
        <v>109</v>
      </c>
      <c r="B49" s="13" t="n">
        <f aca="false">Расходы!C38</f>
        <v>-0.0458333333333333</v>
      </c>
      <c r="C49" s="13" t="n">
        <f aca="false">Расходы!D38</f>
        <v>-0.0458333333333333</v>
      </c>
      <c r="D49" s="13" t="n">
        <f aca="false">Расходы!E38</f>
        <v>-0.0458333333333333</v>
      </c>
      <c r="E49" s="13" t="n">
        <f aca="false">Расходы!F38</f>
        <v>-0.0458333333333333</v>
      </c>
      <c r="F49" s="13" t="n">
        <f aca="false">Расходы!G38</f>
        <v>-0.0458333333333333</v>
      </c>
      <c r="G49" s="13" t="n">
        <f aca="false">Расходы!H38</f>
        <v>-0.0458333333333333</v>
      </c>
      <c r="H49" s="13" t="n">
        <f aca="false">Расходы!I38</f>
        <v>-0.0458333333333333</v>
      </c>
      <c r="I49" s="13" t="n">
        <f aca="false">Расходы!J38</f>
        <v>-0.0458333333333333</v>
      </c>
      <c r="J49" s="13" t="n">
        <f aca="false">Расходы!K38</f>
        <v>-0.0458333333333333</v>
      </c>
      <c r="K49" s="13" t="n">
        <f aca="false">Расходы!L38</f>
        <v>-0.0458333333333333</v>
      </c>
      <c r="L49" s="13" t="n">
        <f aca="false">Расходы!M38</f>
        <v>-0.0458333333333333</v>
      </c>
      <c r="M49" s="13" t="n">
        <f aca="false">Расходы!N38</f>
        <v>-0.0458333333333333</v>
      </c>
      <c r="N49" s="13" t="n">
        <f aca="false">SUM(B49:M49)</f>
        <v>-0.55</v>
      </c>
      <c r="O49" s="58" t="n">
        <f aca="false">Расходы!P38</f>
        <v>-0.7</v>
      </c>
    </row>
    <row r="50" customFormat="false" ht="15" hidden="true" customHeight="true" outlineLevel="1" collapsed="false">
      <c r="A50" s="36" t="s">
        <v>110</v>
      </c>
      <c r="B50" s="13" t="n">
        <f aca="false">Расходы!C39</f>
        <v>0</v>
      </c>
      <c r="C50" s="13" t="n">
        <f aca="false">Расходы!D39</f>
        <v>0</v>
      </c>
      <c r="D50" s="13" t="n">
        <f aca="false">Расходы!E39</f>
        <v>0</v>
      </c>
      <c r="E50" s="13" t="n">
        <f aca="false">Расходы!F39</f>
        <v>0</v>
      </c>
      <c r="F50" s="13" t="n">
        <f aca="false">Расходы!G39</f>
        <v>0</v>
      </c>
      <c r="G50" s="13" t="n">
        <f aca="false">Расходы!H39</f>
        <v>0</v>
      </c>
      <c r="H50" s="13" t="n">
        <f aca="false">Расходы!I39</f>
        <v>0</v>
      </c>
      <c r="I50" s="13" t="n">
        <f aca="false">Расходы!J39</f>
        <v>0</v>
      </c>
      <c r="J50" s="13" t="n">
        <f aca="false">Расходы!K39</f>
        <v>0</v>
      </c>
      <c r="K50" s="13" t="n">
        <f aca="false">Расходы!L39</f>
        <v>0</v>
      </c>
      <c r="L50" s="13" t="n">
        <f aca="false">Расходы!M39</f>
        <v>0</v>
      </c>
      <c r="M50" s="13" t="n">
        <f aca="false">Расходы!N39</f>
        <v>0</v>
      </c>
      <c r="N50" s="13" t="n">
        <f aca="false">SUM(B50:M50)</f>
        <v>0</v>
      </c>
      <c r="O50" s="58" t="n">
        <f aca="false">Расходы!P39</f>
        <v>-0.5</v>
      </c>
    </row>
    <row r="51" customFormat="false" ht="15" hidden="false" customHeight="true" outlineLevel="0" collapsed="false">
      <c r="A51" s="28" t="s">
        <v>53</v>
      </c>
      <c r="B51" s="29" t="n">
        <f aca="false">SUM(B43:B50)</f>
        <v>-2.44525113760494</v>
      </c>
      <c r="C51" s="29" t="n">
        <f aca="false">SUM(C43:C50)</f>
        <v>-5.32565910714291</v>
      </c>
      <c r="D51" s="29" t="n">
        <f aca="false">SUM(D43:D50)</f>
        <v>-7.24587898161732</v>
      </c>
      <c r="E51" s="29" t="n">
        <f aca="false">SUM(E43:E50)</f>
        <v>-7.24578519222565</v>
      </c>
      <c r="F51" s="29" t="n">
        <f aca="false">SUM(F43:F50)</f>
        <v>-7.24587898161733</v>
      </c>
      <c r="G51" s="29" t="n">
        <f aca="false">SUM(G43:G50)</f>
        <v>-7.24587898161732</v>
      </c>
      <c r="H51" s="29" t="n">
        <f aca="false">SUM(H43:H50)</f>
        <v>-7.24587898161732</v>
      </c>
      <c r="I51" s="29" t="n">
        <f aca="false">SUM(I43:I50)</f>
        <v>-8.205848234767</v>
      </c>
      <c r="J51" s="29" t="n">
        <f aca="false">SUM(J43:J50)</f>
        <v>-8.20584823476702</v>
      </c>
      <c r="K51" s="29" t="n">
        <f aca="false">SUM(K43:K50)</f>
        <v>-11.0863812568272</v>
      </c>
      <c r="L51" s="29" t="n">
        <f aca="false">SUM(L43:L50)</f>
        <v>-13.9667579632346</v>
      </c>
      <c r="M51" s="29" t="n">
        <f aca="false">SUM(M43:M50)</f>
        <v>-16.847134669642</v>
      </c>
      <c r="N51" s="29" t="n">
        <f aca="false">SUM(B51:M51)</f>
        <v>-102.312181722681</v>
      </c>
      <c r="O51" s="65" t="n">
        <f aca="false">SUM(O43:O50)</f>
        <v>-91.6</v>
      </c>
    </row>
    <row r="52" customFormat="false" ht="15" hidden="false" customHeight="true" outlineLevel="0" collapsed="false">
      <c r="A52" s="25" t="s">
        <v>55</v>
      </c>
      <c r="B52" s="26" t="n">
        <f aca="false">B24+B35+B40+B42+B51</f>
        <v>-129.98225753583</v>
      </c>
      <c r="C52" s="26" t="n">
        <f aca="false">C24+C35+C40+C42+C51</f>
        <v>-143.349783080737</v>
      </c>
      <c r="D52" s="26" t="n">
        <f aca="false">D24+D35+D40+D42+D51</f>
        <v>-142.15149780429</v>
      </c>
      <c r="E52" s="26" t="n">
        <f aca="false">E24+E35+E40+E42+E51</f>
        <v>-152.778678381091</v>
      </c>
      <c r="F52" s="26" t="n">
        <f aca="false">F24+F35+F40+F42+F51</f>
        <v>-143.108977727809</v>
      </c>
      <c r="G52" s="26" t="n">
        <f aca="false">G24+G35+G40+G42+G51</f>
        <v>-141.190037229721</v>
      </c>
      <c r="H52" s="26" t="n">
        <f aca="false">H24+H35+H40+H42+H51</f>
        <v>-153.183926416335</v>
      </c>
      <c r="I52" s="26" t="n">
        <f aca="false">I24+I35+I40+I42+I51</f>
        <v>-128.06104230991</v>
      </c>
      <c r="J52" s="26" t="n">
        <f aca="false">J24+J35+J40+J42+J51</f>
        <v>-147.774130819924</v>
      </c>
      <c r="K52" s="26" t="n">
        <f aca="false">K24+K35+K40+K42+K51</f>
        <v>-157.754755645417</v>
      </c>
      <c r="L52" s="26" t="n">
        <f aca="false">L24+L35+L40+L42+L51</f>
        <v>-164.602249254495</v>
      </c>
      <c r="M52" s="26" t="n">
        <f aca="false">M24+M35+M40+M42+M51</f>
        <v>-167.782986809476</v>
      </c>
      <c r="N52" s="26" t="n">
        <f aca="false">SUM(B52:M52)</f>
        <v>-1771.72032301504</v>
      </c>
      <c r="O52" s="66" t="n">
        <f aca="false">O24+O35+O40+O42+O51</f>
        <v>-1358.22144</v>
      </c>
    </row>
    <row r="53" customFormat="false" ht="15" hidden="false" customHeight="true" outlineLevel="0" collapsed="false">
      <c r="A53" s="25" t="s">
        <v>56</v>
      </c>
      <c r="B53" s="26" t="n">
        <f aca="false">B16+B52</f>
        <v>71.4742165083572</v>
      </c>
      <c r="C53" s="26" t="n">
        <f aca="false">C16+C52</f>
        <v>459.694824399785</v>
      </c>
      <c r="D53" s="26" t="n">
        <f aca="false">D16+D52</f>
        <v>728.650978527765</v>
      </c>
      <c r="E53" s="26" t="n">
        <f aca="false">E16+E52</f>
        <v>714.226500734176</v>
      </c>
      <c r="F53" s="26" t="n">
        <f aca="false">F16+F52</f>
        <v>722.880199804818</v>
      </c>
      <c r="G53" s="26" t="n">
        <f aca="false">G16+G52</f>
        <v>723.890760922501</v>
      </c>
      <c r="H53" s="26" t="n">
        <f aca="false">H16+H52</f>
        <v>711.943557354222</v>
      </c>
      <c r="I53" s="26" t="n">
        <f aca="false">I16+I52</f>
        <v>872.723728113451</v>
      </c>
      <c r="J53" s="26" t="n">
        <f aca="false">J16+J52</f>
        <v>855.545002326972</v>
      </c>
      <c r="K53" s="26" t="n">
        <f aca="false">K16+K52</f>
        <v>1247.3777396003</v>
      </c>
      <c r="L53" s="26" t="n">
        <f aca="false">L16+L52</f>
        <v>1655.68855670488</v>
      </c>
      <c r="M53" s="26" t="n">
        <f aca="false">M16+M52</f>
        <v>2059.35271732054</v>
      </c>
      <c r="N53" s="26" t="n">
        <f aca="false">SUM(B53:M53)</f>
        <v>10823.4487823178</v>
      </c>
      <c r="O53" s="66" t="n">
        <f aca="false">O16+O52</f>
        <v>8084.6877963</v>
      </c>
    </row>
    <row r="54" customFormat="false" ht="15" hidden="true" customHeight="true" outlineLevel="1" collapsed="false">
      <c r="A54" s="36" t="s">
        <v>57</v>
      </c>
      <c r="B54" s="13" t="n">
        <f aca="false">Расходы!C42</f>
        <v>-42.4589221570622</v>
      </c>
      <c r="C54" s="13" t="n">
        <f aca="false">Расходы!D42</f>
        <v>-43.0455801144657</v>
      </c>
      <c r="D54" s="13" t="n">
        <f aca="false">Расходы!E42</f>
        <v>-44.5059008430205</v>
      </c>
      <c r="E54" s="13" t="n">
        <f aca="false">Расходы!F42</f>
        <v>-44.3697992096137</v>
      </c>
      <c r="F54" s="13" t="n">
        <f aca="false">Расходы!G42</f>
        <v>-44.5288118210764</v>
      </c>
      <c r="G54" s="13" t="n">
        <f aca="false">Расходы!H42</f>
        <v>-44.1829047514327</v>
      </c>
      <c r="H54" s="13" t="n">
        <f aca="false">Расходы!I42</f>
        <v>-47.1088453652662</v>
      </c>
      <c r="I54" s="13" t="n">
        <f aca="false">Расходы!J42</f>
        <v>-46.6230449100597</v>
      </c>
      <c r="J54" s="13" t="n">
        <f aca="false">Расходы!K42</f>
        <v>-46.2426262744877</v>
      </c>
      <c r="K54" s="13" t="n">
        <f aca="false">Расходы!L42</f>
        <v>-46.092339570551</v>
      </c>
      <c r="L54" s="13" t="n">
        <f aca="false">Расходы!M42</f>
        <v>-45.9706611366441</v>
      </c>
      <c r="M54" s="13" t="n">
        <f aca="false">Расходы!N42</f>
        <v>-45.904436886102</v>
      </c>
      <c r="N54" s="13" t="n">
        <f aca="false">SUM(B54:M54)</f>
        <v>-541.033873039782</v>
      </c>
      <c r="O54" s="58" t="n">
        <f aca="false">Расходы!P42</f>
        <v>-447.2</v>
      </c>
    </row>
    <row r="55" customFormat="false" ht="12.75" hidden="true" customHeight="false" outlineLevel="1" collapsed="false">
      <c r="A55" s="36" t="s">
        <v>58</v>
      </c>
      <c r="B55" s="13" t="n">
        <f aca="false">Расходы!C43</f>
        <v>-0</v>
      </c>
      <c r="C55" s="13" t="n">
        <f aca="false">Расходы!D43</f>
        <v>-0</v>
      </c>
      <c r="D55" s="13" t="n">
        <f aca="false">Расходы!E43</f>
        <v>-0</v>
      </c>
      <c r="E55" s="13" t="n">
        <f aca="false">Расходы!F43</f>
        <v>-10.23056</v>
      </c>
      <c r="F55" s="13" t="n">
        <f aca="false">Расходы!G43</f>
        <v>-18.36096</v>
      </c>
      <c r="G55" s="13" t="n">
        <f aca="false">Расходы!H43</f>
        <v>-52.57255814</v>
      </c>
      <c r="H55" s="13" t="n">
        <f aca="false">Расходы!I43</f>
        <v>-45.67833721</v>
      </c>
      <c r="I55" s="13" t="n">
        <f aca="false">Расходы!J43</f>
        <v>-56.6199534892</v>
      </c>
      <c r="J55" s="13" t="n">
        <f aca="false">Расходы!K43</f>
        <v>-155.41</v>
      </c>
      <c r="K55" s="13" t="n">
        <f aca="false">Расходы!L43</f>
        <v>-170.7335</v>
      </c>
      <c r="L55" s="13" t="n">
        <f aca="false">Расходы!M43</f>
        <v>-0</v>
      </c>
      <c r="M55" s="13" t="n">
        <f aca="false">Расходы!N43</f>
        <v>-100</v>
      </c>
      <c r="N55" s="13" t="n">
        <f aca="false">SUM(B55:M55)</f>
        <v>-609.6058688392</v>
      </c>
      <c r="O55" s="58" t="n">
        <f aca="false">Расходы!P43</f>
        <v>-732.4</v>
      </c>
    </row>
    <row r="56" customFormat="false" ht="15" hidden="false" customHeight="true" outlineLevel="0" collapsed="false">
      <c r="A56" s="25" t="s">
        <v>59</v>
      </c>
      <c r="B56" s="26" t="n">
        <f aca="false">SUM(B54:B55)</f>
        <v>-42.4589221570622</v>
      </c>
      <c r="C56" s="26" t="n">
        <f aca="false">SUM(C54:C55)</f>
        <v>-43.0455801144657</v>
      </c>
      <c r="D56" s="26" t="n">
        <f aca="false">SUM(D54:D55)</f>
        <v>-44.5059008430205</v>
      </c>
      <c r="E56" s="26" t="n">
        <f aca="false">SUM(E54:E55)</f>
        <v>-54.6003592096137</v>
      </c>
      <c r="F56" s="26" t="n">
        <f aca="false">SUM(F54:F55)</f>
        <v>-62.8897718210764</v>
      </c>
      <c r="G56" s="26" t="n">
        <f aca="false">SUM(G54:G55)</f>
        <v>-96.7554628914327</v>
      </c>
      <c r="H56" s="26" t="n">
        <f aca="false">SUM(H54:H55)</f>
        <v>-92.7871825752662</v>
      </c>
      <c r="I56" s="26" t="n">
        <f aca="false">SUM(I54:I55)</f>
        <v>-103.24299839926</v>
      </c>
      <c r="J56" s="26" t="n">
        <f aca="false">SUM(J54:J55)</f>
        <v>-201.652626274488</v>
      </c>
      <c r="K56" s="26" t="n">
        <f aca="false">SUM(K54:K55)</f>
        <v>-216.825839570551</v>
      </c>
      <c r="L56" s="26" t="n">
        <f aca="false">SUM(L54:L55)</f>
        <v>-45.9706611366441</v>
      </c>
      <c r="M56" s="26" t="n">
        <f aca="false">SUM(M54:M55)</f>
        <v>-145.904436886102</v>
      </c>
      <c r="N56" s="26" t="n">
        <f aca="false">SUM(N54:N55)</f>
        <v>-1150.63974187898</v>
      </c>
      <c r="O56" s="66" t="n">
        <f aca="false">SUM(O54:O55)</f>
        <v>-1179.6</v>
      </c>
    </row>
    <row r="57" customFormat="false" ht="15" hidden="false" customHeight="true" outlineLevel="0" collapsed="false">
      <c r="A57" s="25" t="s">
        <v>60</v>
      </c>
      <c r="B57" s="26" t="n">
        <f aca="false">B53+B56</f>
        <v>29.0152943512949</v>
      </c>
      <c r="C57" s="26" t="n">
        <f aca="false">C53+C56</f>
        <v>416.649244285319</v>
      </c>
      <c r="D57" s="26" t="n">
        <f aca="false">D53+D56</f>
        <v>684.145077684745</v>
      </c>
      <c r="E57" s="26" t="n">
        <f aca="false">E53+E56</f>
        <v>659.626141524562</v>
      </c>
      <c r="F57" s="26" t="n">
        <f aca="false">F53+F56</f>
        <v>659.990427983742</v>
      </c>
      <c r="G57" s="26" t="n">
        <f aca="false">G53+G56</f>
        <v>627.135298031068</v>
      </c>
      <c r="H57" s="26" t="n">
        <f aca="false">H53+H56</f>
        <v>619.156374778956</v>
      </c>
      <c r="I57" s="26" t="n">
        <f aca="false">I53+I56</f>
        <v>769.480729714192</v>
      </c>
      <c r="J57" s="26" t="n">
        <f aca="false">J53+J56</f>
        <v>653.892376052484</v>
      </c>
      <c r="K57" s="26" t="n">
        <f aca="false">K53+K56</f>
        <v>1030.55190002974</v>
      </c>
      <c r="L57" s="26" t="n">
        <f aca="false">L53+L56</f>
        <v>1609.71789556824</v>
      </c>
      <c r="M57" s="26" t="n">
        <f aca="false">M53+M56</f>
        <v>1913.44828043444</v>
      </c>
      <c r="N57" s="26" t="n">
        <f aca="false">SUM(B57:M57)</f>
        <v>9672.80904043879</v>
      </c>
      <c r="O57" s="66" t="n">
        <f aca="false">O53+O56</f>
        <v>6905.0877963</v>
      </c>
    </row>
    <row r="58" customFormat="false" ht="15" hidden="false" customHeight="true" outlineLevel="0" collapsed="false"/>
    <row r="59" customFormat="false" ht="12.75" hidden="false" customHeight="false" outlineLevel="0" collapsed="false">
      <c r="A59" s="67" t="s">
        <v>111</v>
      </c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8"/>
      <c r="N59" s="67"/>
      <c r="O59" s="67"/>
    </row>
    <row r="60" customFormat="false" ht="12.75" hidden="false" customHeight="false" outlineLevel="0" collapsed="false">
      <c r="A60" s="50" t="s">
        <v>112</v>
      </c>
      <c r="B60" s="69" t="n">
        <f aca="false">'М+ справочно'!C34</f>
        <v>337.892813337882</v>
      </c>
      <c r="C60" s="69" t="n">
        <f aca="false">'М+ справочно'!D34</f>
        <v>365.733248557982</v>
      </c>
      <c r="D60" s="69" t="n">
        <f aca="false">'М+ справочно'!E34</f>
        <v>377.391899028058</v>
      </c>
      <c r="E60" s="69" t="n">
        <f aca="false">'М+ справочно'!F34</f>
        <v>394.581850118611</v>
      </c>
      <c r="F60" s="69" t="n">
        <f aca="false">'М+ справочно'!G34</f>
        <v>414.447459792765</v>
      </c>
      <c r="G60" s="69" t="n">
        <f aca="false">'М+ справочно'!H34</f>
        <v>435.072522501306</v>
      </c>
      <c r="H60" s="69" t="n">
        <f aca="false">'М+ справочно'!I34</f>
        <v>455.651586281225</v>
      </c>
      <c r="I60" s="69" t="n">
        <f aca="false">'М+ справочно'!J34</f>
        <v>478.679739499093</v>
      </c>
      <c r="J60" s="69" t="n">
        <f aca="false">'М+ справочно'!K34</f>
        <v>507.061642781086</v>
      </c>
      <c r="K60" s="69" t="n">
        <f aca="false">'М+ справочно'!L34</f>
        <v>532.802642929373</v>
      </c>
      <c r="L60" s="69" t="n">
        <f aca="false">'М+ справочно'!M34</f>
        <v>559.060379177406</v>
      </c>
      <c r="M60" s="69" t="n">
        <f aca="false">'М+ справочно'!N34</f>
        <v>586.026104037395</v>
      </c>
      <c r="N60" s="69" t="n">
        <f aca="false">SUM(B60:M60)</f>
        <v>5444.40188804218</v>
      </c>
      <c r="O60" s="69" t="n">
        <f aca="false">'М+ справочно'!P34</f>
        <v>3007</v>
      </c>
      <c r="P60" s="70" t="n">
        <f aca="false">IFERROR(N60/O60-1,"")</f>
        <v>0.810575952125767</v>
      </c>
    </row>
    <row r="61" customFormat="false" ht="12.75" hidden="false" customHeight="false" outlineLevel="0" collapsed="false">
      <c r="A61" s="52"/>
      <c r="M61" s="71"/>
      <c r="N61" s="72"/>
      <c r="O61" s="72"/>
    </row>
    <row r="62" customFormat="false" ht="12.75" hidden="false" customHeight="false" outlineLevel="0" collapsed="false">
      <c r="M62" s="71"/>
      <c r="O62" s="73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504D"/>
    <pageSetUpPr fitToPage="false"/>
  </sheetPr>
  <dimension ref="A1:U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2.75" zeroHeight="false" outlineLevelRow="1" outlineLevelCol="0"/>
  <cols>
    <col collapsed="false" customWidth="true" hidden="false" outlineLevel="0" max="1" min="1" style="49" width="58"/>
    <col collapsed="false" customWidth="true" hidden="false" outlineLevel="0" max="13" min="2" style="49" width="10"/>
    <col collapsed="false" customWidth="true" hidden="false" outlineLevel="0" max="15" min="14" style="49" width="13"/>
    <col collapsed="false" customWidth="false" hidden="false" outlineLevel="0" max="16384" min="16" style="49" width="8.67"/>
  </cols>
  <sheetData>
    <row r="1" customFormat="false" ht="12.75" hidden="false" customHeight="false" outlineLevel="0" collapsed="false">
      <c r="A1" s="50" t="s">
        <v>115</v>
      </c>
      <c r="Q1" s="51" t="s">
        <v>116</v>
      </c>
    </row>
    <row r="2" customFormat="false" ht="12.75" hidden="false" customHeight="false" outlineLevel="0" collapsed="false">
      <c r="A2" s="52" t="s">
        <v>71</v>
      </c>
    </row>
    <row r="4" customFormat="false" ht="12.75" hidden="false" customHeight="false" outlineLevel="0" collapsed="false">
      <c r="A4" s="5" t="s">
        <v>8</v>
      </c>
      <c r="B4" s="6" t="s">
        <v>9</v>
      </c>
      <c r="C4" s="6" t="s">
        <v>10</v>
      </c>
      <c r="D4" s="6" t="s">
        <v>11</v>
      </c>
      <c r="E4" s="6" t="s">
        <v>12</v>
      </c>
      <c r="F4" s="6" t="s">
        <v>13</v>
      </c>
      <c r="G4" s="6" t="s">
        <v>14</v>
      </c>
      <c r="H4" s="6" t="s">
        <v>15</v>
      </c>
      <c r="I4" s="6" t="s">
        <v>16</v>
      </c>
      <c r="J4" s="6" t="s">
        <v>17</v>
      </c>
      <c r="K4" s="6" t="s">
        <v>18</v>
      </c>
      <c r="L4" s="6" t="s">
        <v>19</v>
      </c>
      <c r="M4" s="6" t="s">
        <v>20</v>
      </c>
      <c r="N4" s="6" t="s">
        <v>72</v>
      </c>
      <c r="O4" s="6" t="s">
        <v>73</v>
      </c>
    </row>
    <row r="5" customFormat="false" ht="12.75" hidden="false" customHeight="false" outlineLevel="0" collapsed="false">
      <c r="A5" s="74" t="s">
        <v>30</v>
      </c>
      <c r="B5" s="57" t="n">
        <f aca="false">RevSplit!X5</f>
        <v>153.924683950421</v>
      </c>
      <c r="C5" s="57" t="n">
        <f aca="false">RevSplit!Y5</f>
        <v>384.811709876052</v>
      </c>
      <c r="D5" s="57" t="n">
        <f aca="false">RevSplit!Z5</f>
        <v>538.736393826474</v>
      </c>
      <c r="E5" s="57" t="n">
        <f aca="false">RevSplit!AA5</f>
        <v>538.736393826472</v>
      </c>
      <c r="F5" s="57" t="n">
        <f aca="false">RevSplit!AB5</f>
        <v>538.736393826475</v>
      </c>
      <c r="G5" s="57" t="n">
        <f aca="false">RevSplit!AC5</f>
        <v>538.736393826474</v>
      </c>
      <c r="H5" s="57" t="n">
        <f aca="false">RevSplit!AD5</f>
        <v>538.736393826474</v>
      </c>
      <c r="I5" s="57" t="n">
        <f aca="false">RevSplit!AE5</f>
        <v>615.698735801682</v>
      </c>
      <c r="J5" s="57" t="n">
        <f aca="false">RevSplit!AF5</f>
        <v>615.698735801684</v>
      </c>
      <c r="K5" s="57" t="n">
        <f aca="false">RevSplit!AG5</f>
        <v>846.585761727311</v>
      </c>
      <c r="L5" s="57" t="n">
        <f aca="false">RevSplit!AH5</f>
        <v>1077.47278765294</v>
      </c>
      <c r="M5" s="57" t="n">
        <f aca="false">RevSplit!AI5</f>
        <v>1308.35981357858</v>
      </c>
      <c r="N5" s="13" t="n">
        <f aca="false">SUM(B5:M5)</f>
        <v>7696.23419752104</v>
      </c>
      <c r="O5" s="58" t="n">
        <f aca="false">RevSplit!AK5</f>
        <v>6195.4</v>
      </c>
      <c r="P5" s="70" t="n">
        <f aca="false">IFERROR(N5/O5-1,"")</f>
        <v>0.242249765555257</v>
      </c>
    </row>
    <row r="6" customFormat="false" ht="12.75" hidden="false" customHeight="false" outlineLevel="0" collapsed="false">
      <c r="A6" s="74" t="s">
        <v>34</v>
      </c>
      <c r="B6" s="57" t="n">
        <f aca="false">RevSplit!X6</f>
        <v>61.1195373501862</v>
      </c>
      <c r="C6" s="57" t="n">
        <f aca="false">RevSplit!Y6</f>
        <v>152.801891650311</v>
      </c>
      <c r="D6" s="57" t="n">
        <f aca="false">RevSplit!Z6</f>
        <v>213.918380725652</v>
      </c>
      <c r="E6" s="57" t="n">
        <f aca="false">RevSplit!AA6</f>
        <v>213.909235901115</v>
      </c>
      <c r="F6" s="57" t="n">
        <f aca="false">RevSplit!AB6</f>
        <v>213.918380725652</v>
      </c>
      <c r="G6" s="57" t="n">
        <f aca="false">RevSplit!AC6</f>
        <v>213.918380725652</v>
      </c>
      <c r="H6" s="57" t="n">
        <f aca="false">RevSplit!AD6</f>
        <v>213.918380725652</v>
      </c>
      <c r="I6" s="57" t="n">
        <f aca="false">RevSplit!AE6</f>
        <v>244.462908026516</v>
      </c>
      <c r="J6" s="57" t="n">
        <f aca="false">RevSplit!AF6</f>
        <v>244.462908026516</v>
      </c>
      <c r="K6" s="57" t="n">
        <f aca="false">RevSplit!AG6</f>
        <v>336.157455426025</v>
      </c>
      <c r="L6" s="57" t="n">
        <f aca="false">RevSplit!AH6</f>
        <v>427.836761451304</v>
      </c>
      <c r="M6" s="57" t="n">
        <f aca="false">RevSplit!AI6</f>
        <v>519.516067476583</v>
      </c>
      <c r="N6" s="13" t="n">
        <f aca="false">SUM(B6:M6)</f>
        <v>3055.94028821117</v>
      </c>
      <c r="O6" s="58" t="n">
        <f aca="false">RevSplit!AK6</f>
        <v>1862.31305640496</v>
      </c>
      <c r="P6" s="70" t="n">
        <f aca="false">IFERROR(N6/O6-1,"")</f>
        <v>0.640938013993415</v>
      </c>
    </row>
    <row r="7" customFormat="false" ht="12.75" hidden="false" customHeight="false" outlineLevel="0" collapsed="false">
      <c r="A7" s="74" t="s">
        <v>33</v>
      </c>
      <c r="B7" s="57" t="n">
        <f aca="false">RevSplit!X7</f>
        <v>32.7959633111367</v>
      </c>
      <c r="C7" s="57" t="n">
        <f aca="false">RevSplit!Y7</f>
        <v>81.9903454802508</v>
      </c>
      <c r="D7" s="57" t="n">
        <f aca="false">RevSplit!Z7</f>
        <v>114.785871588979</v>
      </c>
      <c r="E7" s="57" t="n">
        <f aca="false">RevSplit!AA7</f>
        <v>114.784559981751</v>
      </c>
      <c r="F7" s="57" t="n">
        <f aca="false">RevSplit!AB7</f>
        <v>114.785871588979</v>
      </c>
      <c r="G7" s="57" t="n">
        <f aca="false">RevSplit!AC7</f>
        <v>114.785871588979</v>
      </c>
      <c r="H7" s="57" t="n">
        <f aca="false">RevSplit!AD7</f>
        <v>114.785871588979</v>
      </c>
      <c r="I7" s="57" t="n">
        <f aca="false">RevSplit!AE7</f>
        <v>131.181667232502</v>
      </c>
      <c r="J7" s="57" t="n">
        <f aca="false">RevSplit!AF7</f>
        <v>131.181667232502</v>
      </c>
      <c r="K7" s="57" t="n">
        <f aca="false">RevSplit!AG7</f>
        <v>180.377798211252</v>
      </c>
      <c r="L7" s="57" t="n">
        <f aca="false">RevSplit!AH7</f>
        <v>229.571743177957</v>
      </c>
      <c r="M7" s="57" t="n">
        <f aca="false">RevSplit!AI7</f>
        <v>278.765688144662</v>
      </c>
      <c r="N7" s="13" t="n">
        <f aca="false">SUM(B7:M7)</f>
        <v>1639.79291912793</v>
      </c>
      <c r="O7" s="58" t="n">
        <f aca="false">RevSplit!AK7</f>
        <v>1008.27425599997</v>
      </c>
      <c r="P7" s="70" t="n">
        <f aca="false">IFERROR(N7/O7-1,"")</f>
        <v>0.626336197091181</v>
      </c>
    </row>
    <row r="8" customFormat="false" ht="12.75" hidden="false" customHeight="false" outlineLevel="0" collapsed="false">
      <c r="A8" s="74" t="s">
        <v>35</v>
      </c>
      <c r="B8" s="57" t="n">
        <f aca="false">RevSplit!X8</f>
        <v>11.1574430084641</v>
      </c>
      <c r="C8" s="57" t="n">
        <f aca="false">RevSplit!Y8</f>
        <v>27.8941932603489</v>
      </c>
      <c r="D8" s="57" t="n">
        <f aca="false">RevSplit!Z8</f>
        <v>39.0510505296243</v>
      </c>
      <c r="E8" s="57" t="n">
        <f aca="false">RevSplit!AA8</f>
        <v>39.0492933120581</v>
      </c>
      <c r="F8" s="57" t="n">
        <f aca="false">RevSplit!AB8</f>
        <v>39.0510505296243</v>
      </c>
      <c r="G8" s="57" t="n">
        <f aca="false">RevSplit!AC8</f>
        <v>39.0510505296243</v>
      </c>
      <c r="H8" s="57" t="n">
        <f aca="false">RevSplit!AD8</f>
        <v>39.0510505296243</v>
      </c>
      <c r="I8" s="57" t="n">
        <f aca="false">RevSplit!AE8</f>
        <v>44.6268433379126</v>
      </c>
      <c r="J8" s="57" t="n">
        <f aca="false">RevSplit!AF8</f>
        <v>44.6268433379126</v>
      </c>
      <c r="K8" s="57" t="n">
        <f aca="false">RevSplit!AG8</f>
        <v>61.3659365465524</v>
      </c>
      <c r="L8" s="57" t="n">
        <f aca="false">RevSplit!AH8</f>
        <v>78.1021010592485</v>
      </c>
      <c r="M8" s="57" t="n">
        <f aca="false">RevSplit!AI8</f>
        <v>94.8382655719446</v>
      </c>
      <c r="N8" s="13" t="n">
        <f aca="false">SUM(B8:M8)</f>
        <v>557.865121552939</v>
      </c>
      <c r="O8" s="58" t="n">
        <f aca="false">RevSplit!AK8</f>
        <v>339.748064288638</v>
      </c>
      <c r="P8" s="70" t="n">
        <f aca="false">IFERROR(N8/O8-1,"")</f>
        <v>0.641996467944543</v>
      </c>
    </row>
    <row r="9" customFormat="false" ht="12.75" hidden="false" customHeight="false" outlineLevel="0" collapsed="false">
      <c r="A9" s="74" t="s">
        <v>36</v>
      </c>
      <c r="B9" s="57" t="n">
        <f aca="false">RevSplit!X9</f>
        <v>4.98063790034317</v>
      </c>
      <c r="C9" s="57" t="n">
        <f aca="false">RevSplit!Y9</f>
        <v>12.4518598445016</v>
      </c>
      <c r="D9" s="57" t="n">
        <f aca="false">RevSplit!Z9</f>
        <v>17.4322326512011</v>
      </c>
      <c r="E9" s="57" t="n">
        <f aca="false">RevSplit!AA9</f>
        <v>17.4314373702702</v>
      </c>
      <c r="F9" s="57" t="n">
        <f aca="false">RevSplit!AB9</f>
        <v>17.4322326512011</v>
      </c>
      <c r="G9" s="57" t="n">
        <f aca="false">RevSplit!AC9</f>
        <v>17.4322326512011</v>
      </c>
      <c r="H9" s="57" t="n">
        <f aca="false">RevSplit!AD9</f>
        <v>17.4322326512011</v>
      </c>
      <c r="I9" s="57" t="n">
        <f aca="false">RevSplit!AE9</f>
        <v>19.9212261331545</v>
      </c>
      <c r="J9" s="57" t="n">
        <f aca="false">RevSplit!AF9</f>
        <v>19.9212261331545</v>
      </c>
      <c r="K9" s="57" t="n">
        <f aca="false">RevSplit!AG9</f>
        <v>27.3935084518875</v>
      </c>
      <c r="L9" s="57" t="n">
        <f aca="false">RevSplit!AH9</f>
        <v>34.8644653024022</v>
      </c>
      <c r="M9" s="57" t="n">
        <f aca="false">RevSplit!AI9</f>
        <v>42.335422152917</v>
      </c>
      <c r="N9" s="13" t="n">
        <f aca="false">SUM(B9:M9)</f>
        <v>249.028713893435</v>
      </c>
      <c r="O9" s="58" t="n">
        <f aca="false">RevSplit!AK9</f>
        <v>151.635033957028</v>
      </c>
      <c r="P9" s="70" t="n">
        <f aca="false">IFERROR(N9/O9-1,"")</f>
        <v>0.642290092169644</v>
      </c>
    </row>
    <row r="10" customFormat="false" ht="12.75" hidden="false" customHeight="false" outlineLevel="0" collapsed="false">
      <c r="A10" s="74" t="s">
        <v>40</v>
      </c>
      <c r="B10" s="57" t="n">
        <f aca="false">RevSplit!X10</f>
        <v>2.33732556586968</v>
      </c>
      <c r="C10" s="57" t="n">
        <f aca="false">RevSplit!Y10</f>
        <v>5.84344376609452</v>
      </c>
      <c r="D10" s="57" t="n">
        <f aca="false">RevSplit!Z10</f>
        <v>8.18063948054387</v>
      </c>
      <c r="E10" s="57" t="n">
        <f aca="false">RevSplit!AA10</f>
        <v>8.1802499262829</v>
      </c>
      <c r="F10" s="57" t="n">
        <f aca="false">RevSplit!AB10</f>
        <v>8.18063948054387</v>
      </c>
      <c r="G10" s="57" t="n">
        <f aca="false">RevSplit!AC10</f>
        <v>8.18063948054388</v>
      </c>
      <c r="H10" s="57" t="n">
        <f aca="false">RevSplit!AD10</f>
        <v>8.18063948054388</v>
      </c>
      <c r="I10" s="57" t="n">
        <f aca="false">RevSplit!AE10</f>
        <v>9.34865300637709</v>
      </c>
      <c r="J10" s="57" t="n">
        <f aca="false">RevSplit!AF10</f>
        <v>9.34865300637709</v>
      </c>
      <c r="K10" s="57" t="n">
        <f aca="false">RevSplit!AG10</f>
        <v>12.8552906122832</v>
      </c>
      <c r="L10" s="57" t="n">
        <f aca="false">RevSplit!AH10</f>
        <v>16.3612789610878</v>
      </c>
      <c r="M10" s="57" t="n">
        <f aca="false">RevSplit!AI10</f>
        <v>19.8672673098923</v>
      </c>
      <c r="N10" s="13" t="n">
        <f aca="false">SUM(B10:M10)</f>
        <v>116.86472007644</v>
      </c>
      <c r="O10" s="58" t="n">
        <f aca="false">RevSplit!AK10</f>
        <v>71.1188256494042</v>
      </c>
      <c r="P10" s="70" t="n">
        <f aca="false">IFERROR(N10/O10-1,"")</f>
        <v>0.643231858925091</v>
      </c>
    </row>
    <row r="11" customFormat="false" ht="12.75" hidden="false" customHeight="false" outlineLevel="0" collapsed="false">
      <c r="A11" s="74" t="s">
        <v>38</v>
      </c>
      <c r="B11" s="57" t="n">
        <f aca="false">RevSplit!X11</f>
        <v>25.0101828989972</v>
      </c>
      <c r="C11" s="57" t="n">
        <f aca="false">RevSplit!Y11</f>
        <v>62.525457247493</v>
      </c>
      <c r="D11" s="57" t="n">
        <f aca="false">RevSplit!Z11</f>
        <v>87.5356401464902</v>
      </c>
      <c r="E11" s="57" t="n">
        <f aca="false">RevSplit!AA11</f>
        <v>87.5356401464902</v>
      </c>
      <c r="F11" s="57" t="n">
        <f aca="false">RevSplit!AB11</f>
        <v>87.5356401464902</v>
      </c>
      <c r="G11" s="57" t="n">
        <f aca="false">RevSplit!AC11</f>
        <v>87.5356401464902</v>
      </c>
      <c r="H11" s="57" t="n">
        <f aca="false">RevSplit!AD11</f>
        <v>87.5356401464902</v>
      </c>
      <c r="I11" s="57" t="n">
        <f aca="false">RevSplit!AE11</f>
        <v>100.040731595989</v>
      </c>
      <c r="J11" s="57" t="n">
        <f aca="false">RevSplit!AF11</f>
        <v>100.040731595989</v>
      </c>
      <c r="K11" s="57" t="n">
        <f aca="false">RevSplit!AG11</f>
        <v>137.556005944485</v>
      </c>
      <c r="L11" s="57" t="n">
        <f aca="false">RevSplit!AH11</f>
        <v>175.07128029298</v>
      </c>
      <c r="M11" s="57" t="n">
        <f aca="false">RevSplit!AI11</f>
        <v>212.586554641476</v>
      </c>
      <c r="N11" s="13" t="n">
        <f aca="false">SUM(B11:M11)</f>
        <v>1250.50914494986</v>
      </c>
      <c r="O11" s="58" t="n">
        <f aca="false">RevSplit!AK11</f>
        <v>694.96</v>
      </c>
      <c r="P11" s="70" t="n">
        <f aca="false">IFERROR(N11/O11-1,"")</f>
        <v>0.799397296175117</v>
      </c>
    </row>
    <row r="12" customFormat="false" ht="15" hidden="false" customHeight="true" outlineLevel="0" collapsed="false">
      <c r="A12" s="25" t="s">
        <v>44</v>
      </c>
      <c r="B12" s="26" t="n">
        <f aca="false">SUM(B5:B11)</f>
        <v>291.325773985418</v>
      </c>
      <c r="C12" s="26" t="n">
        <f aca="false">SUM(C5:C11)</f>
        <v>728.318901125052</v>
      </c>
      <c r="D12" s="26" t="n">
        <f aca="false">SUM(D5:D11)</f>
        <v>1019.64020894896</v>
      </c>
      <c r="E12" s="26" t="n">
        <f aca="false">SUM(E5:E11)</f>
        <v>1019.62681046444</v>
      </c>
      <c r="F12" s="26" t="n">
        <f aca="false">SUM(F5:F11)</f>
        <v>1019.64020894897</v>
      </c>
      <c r="G12" s="26" t="n">
        <f aca="false">SUM(G5:G11)</f>
        <v>1019.64020894896</v>
      </c>
      <c r="H12" s="26" t="n">
        <f aca="false">SUM(H5:H11)</f>
        <v>1019.64020894896</v>
      </c>
      <c r="I12" s="26" t="n">
        <f aca="false">SUM(I5:I11)</f>
        <v>1165.28076513413</v>
      </c>
      <c r="J12" s="26" t="n">
        <f aca="false">SUM(J5:J11)</f>
        <v>1165.28076513414</v>
      </c>
      <c r="K12" s="26" t="n">
        <f aca="false">SUM(K5:K11)</f>
        <v>1602.2917569198</v>
      </c>
      <c r="L12" s="26" t="n">
        <f aca="false">SUM(L5:L11)</f>
        <v>2039.28041789792</v>
      </c>
      <c r="M12" s="26" t="n">
        <f aca="false">SUM(M5:M11)</f>
        <v>2476.26907887605</v>
      </c>
      <c r="N12" s="26" t="n">
        <f aca="false">SUM(B12:M12)</f>
        <v>14566.2351053328</v>
      </c>
      <c r="O12" s="66" t="n">
        <f aca="false">SUM(O5:O11)</f>
        <v>10323.4492363</v>
      </c>
    </row>
    <row r="13" customFormat="false" ht="15" hidden="true" customHeight="true" outlineLevel="0" collapsed="false">
      <c r="A13" s="36" t="s">
        <v>78</v>
      </c>
      <c r="B13" s="13" t="n">
        <f aca="false">Расходы!C26</f>
        <v>-19.3792999412308</v>
      </c>
      <c r="C13" s="13" t="n">
        <f aca="false">Расходы!D26</f>
        <v>-51.6042936445303</v>
      </c>
      <c r="D13" s="13" t="n">
        <f aca="false">Расходы!E26</f>
        <v>-68.2777326169087</v>
      </c>
      <c r="E13" s="13" t="n">
        <f aca="false">Расходы!F26</f>
        <v>-71.584631349173</v>
      </c>
      <c r="F13" s="13" t="n">
        <f aca="false">Расходы!G26</f>
        <v>-72.2960314163378</v>
      </c>
      <c r="G13" s="13" t="n">
        <f aca="false">Расходы!H26</f>
        <v>-72.4094107967425</v>
      </c>
      <c r="H13" s="13" t="n">
        <f aca="false">Расходы!I26</f>
        <v>-72.3627251784065</v>
      </c>
      <c r="I13" s="13" t="n">
        <f aca="false">Расходы!J26</f>
        <v>-81.2329947107716</v>
      </c>
      <c r="J13" s="13" t="n">
        <f aca="false">Расходы!K26</f>
        <v>-78.6986319872387</v>
      </c>
      <c r="K13" s="13" t="n">
        <f aca="false">Расходы!L26</f>
        <v>-113.896261674083</v>
      </c>
      <c r="L13" s="13" t="n">
        <f aca="false">Расходы!M26</f>
        <v>-134.454611938544</v>
      </c>
      <c r="M13" s="13" t="n">
        <f aca="false">Расходы!N26</f>
        <v>-163.803374746033</v>
      </c>
      <c r="N13" s="13" t="n">
        <f aca="false">SUM(B13:M13)</f>
        <v>-1000</v>
      </c>
      <c r="O13" s="58" t="n">
        <f aca="false">Расходы!P26</f>
        <v>-510.54</v>
      </c>
      <c r="R13" s="1"/>
      <c r="S13" s="1"/>
      <c r="T13" s="1"/>
      <c r="U13" s="1"/>
    </row>
    <row r="14" customFormat="false" ht="15" hidden="true" customHeight="true" outlineLevel="0" collapsed="false">
      <c r="A14" s="36" t="s">
        <v>79</v>
      </c>
      <c r="B14" s="13" t="n">
        <f aca="false">Расходы!C27</f>
        <v>-4.24</v>
      </c>
      <c r="C14" s="13" t="n">
        <f aca="false">Расходы!D27</f>
        <v>-7.42</v>
      </c>
      <c r="D14" s="13" t="n">
        <f aca="false">Расходы!E27</f>
        <v>-14.31</v>
      </c>
      <c r="E14" s="13" t="n">
        <f aca="false">Расходы!F27</f>
        <v>-14.787</v>
      </c>
      <c r="F14" s="13" t="n">
        <f aca="false">Расходы!G27</f>
        <v>-15.105</v>
      </c>
      <c r="G14" s="13" t="n">
        <f aca="false">Расходы!H27</f>
        <v>-15.9</v>
      </c>
      <c r="H14" s="13" t="n">
        <f aca="false">Расходы!I27</f>
        <v>-15.9</v>
      </c>
      <c r="I14" s="13" t="n">
        <f aca="false">Расходы!J27</f>
        <v>-17.013</v>
      </c>
      <c r="J14" s="13" t="n">
        <f aca="false">Расходы!K27</f>
        <v>-17.013</v>
      </c>
      <c r="K14" s="13" t="n">
        <f aca="false">Расходы!L27</f>
        <v>-17.013</v>
      </c>
      <c r="L14" s="13" t="n">
        <f aca="false">Расходы!M27</f>
        <v>-18.285</v>
      </c>
      <c r="M14" s="13" t="n">
        <f aca="false">Расходы!N27</f>
        <v>-19.08</v>
      </c>
      <c r="N14" s="13" t="n">
        <f aca="false">SUM(B14:M14)</f>
        <v>-176.066</v>
      </c>
      <c r="O14" s="58" t="n">
        <v>-15.6</v>
      </c>
      <c r="R14" s="1"/>
      <c r="S14" s="1"/>
      <c r="T14" s="1"/>
      <c r="U14" s="1"/>
    </row>
    <row r="15" customFormat="false" ht="15" hidden="true" customHeight="true" outlineLevel="0" collapsed="false">
      <c r="A15" s="36" t="s">
        <v>80</v>
      </c>
      <c r="B15" s="13" t="n">
        <f aca="false">Расходы!C28</f>
        <v>-66.25</v>
      </c>
      <c r="C15" s="13" t="n">
        <f aca="false">Расходы!D28</f>
        <v>-66.25</v>
      </c>
      <c r="D15" s="13" t="n">
        <f aca="false">Расходы!E28</f>
        <v>-66.25</v>
      </c>
      <c r="E15" s="13" t="n">
        <f aca="false">Расходы!F28</f>
        <v>-66.25</v>
      </c>
      <c r="F15" s="13" t="n">
        <f aca="false">Расходы!G28</f>
        <v>-66.25</v>
      </c>
      <c r="G15" s="13" t="n">
        <f aca="false">Расходы!H28</f>
        <v>-66.25</v>
      </c>
      <c r="H15" s="13" t="n">
        <f aca="false">Расходы!I28</f>
        <v>-66.25</v>
      </c>
      <c r="I15" s="13" t="n">
        <f aca="false">Расходы!J28</f>
        <v>-66.25</v>
      </c>
      <c r="J15" s="13" t="n">
        <f aca="false">Расходы!K28</f>
        <v>-66.25</v>
      </c>
      <c r="K15" s="13" t="n">
        <f aca="false">Расходы!L28</f>
        <v>-66.25</v>
      </c>
      <c r="L15" s="13" t="n">
        <f aca="false">Расходы!M28</f>
        <v>-66.25</v>
      </c>
      <c r="M15" s="13" t="n">
        <f aca="false">Расходы!N28</f>
        <v>-66.25</v>
      </c>
      <c r="N15" s="13" t="n">
        <f aca="false">SUM(B15:M15)</f>
        <v>-795</v>
      </c>
      <c r="O15" s="58" t="n">
        <f aca="false">Расходы!P28</f>
        <v>-354.4</v>
      </c>
      <c r="R15" s="1"/>
      <c r="S15" s="1"/>
      <c r="T15" s="1"/>
      <c r="U15" s="1"/>
    </row>
    <row r="16" customFormat="false" ht="15" hidden="true" customHeight="true" outlineLevel="0" collapsed="false">
      <c r="A16" s="63" t="s">
        <v>46</v>
      </c>
      <c r="B16" s="64" t="n">
        <f aca="false">SUM(B13:B15)</f>
        <v>-89.8692999412308</v>
      </c>
      <c r="C16" s="64" t="n">
        <f aca="false">SUM(C13:C15)</f>
        <v>-125.27429364453</v>
      </c>
      <c r="D16" s="64" t="n">
        <f aca="false">SUM(D13:D15)</f>
        <v>-148.837732616909</v>
      </c>
      <c r="E16" s="64" t="n">
        <f aca="false">SUM(E13:E15)</f>
        <v>-152.621631349173</v>
      </c>
      <c r="F16" s="64" t="n">
        <f aca="false">SUM(F13:F15)</f>
        <v>-153.651031416338</v>
      </c>
      <c r="G16" s="64" t="n">
        <f aca="false">SUM(G13:G15)</f>
        <v>-154.559410796743</v>
      </c>
      <c r="H16" s="64" t="n">
        <f aca="false">SUM(H13:H15)</f>
        <v>-154.512725178407</v>
      </c>
      <c r="I16" s="64" t="n">
        <f aca="false">SUM(I13:I15)</f>
        <v>-164.495994710772</v>
      </c>
      <c r="J16" s="64" t="n">
        <f aca="false">SUM(J13:J15)</f>
        <v>-161.961631987239</v>
      </c>
      <c r="K16" s="64" t="n">
        <f aca="false">SUM(K13:K15)</f>
        <v>-197.159261674083</v>
      </c>
      <c r="L16" s="64" t="n">
        <f aca="false">SUM(L13:L15)</f>
        <v>-218.989611938544</v>
      </c>
      <c r="M16" s="64" t="n">
        <f aca="false">SUM(M13:M15)</f>
        <v>-249.133374746033</v>
      </c>
      <c r="N16" s="64" t="n">
        <f aca="false">SUM(B16:M16)</f>
        <v>-1971.066</v>
      </c>
      <c r="O16" s="76" t="n">
        <f aca="false">SUM(O13:O15)</f>
        <v>-880.54</v>
      </c>
    </row>
    <row r="17" customFormat="false" ht="15" hidden="true" customHeight="true" outlineLevel="0" collapsed="false">
      <c r="A17" s="25" t="s">
        <v>48</v>
      </c>
      <c r="B17" s="26" t="n">
        <f aca="false">B12+B16</f>
        <v>201.456474044187</v>
      </c>
      <c r="C17" s="26" t="n">
        <f aca="false">C12+C16</f>
        <v>603.044607480521</v>
      </c>
      <c r="D17" s="26" t="n">
        <f aca="false">D12+D16</f>
        <v>870.802476332055</v>
      </c>
      <c r="E17" s="26" t="n">
        <f aca="false">E12+E16</f>
        <v>867.005179115267</v>
      </c>
      <c r="F17" s="26" t="n">
        <f aca="false">F12+F16</f>
        <v>865.989177532628</v>
      </c>
      <c r="G17" s="26" t="n">
        <f aca="false">G12+G16</f>
        <v>865.080798152222</v>
      </c>
      <c r="H17" s="26" t="n">
        <f aca="false">H12+H16</f>
        <v>865.127483770558</v>
      </c>
      <c r="I17" s="26" t="n">
        <f aca="false">I12+I16</f>
        <v>1000.78477042336</v>
      </c>
      <c r="J17" s="26" t="n">
        <f aca="false">J12+J16</f>
        <v>1003.3191331469</v>
      </c>
      <c r="K17" s="26" t="n">
        <f aca="false">K12+K16</f>
        <v>1405.13249524571</v>
      </c>
      <c r="L17" s="26" t="n">
        <f aca="false">L12+L16</f>
        <v>1820.29080595938</v>
      </c>
      <c r="M17" s="26" t="n">
        <f aca="false">M12+M16</f>
        <v>2227.13570413002</v>
      </c>
      <c r="N17" s="26" t="n">
        <f aca="false">SUM(B17:M17)</f>
        <v>12595.1691053328</v>
      </c>
      <c r="O17" s="66" t="n">
        <f aca="false">O12+O16</f>
        <v>9442.9092363</v>
      </c>
      <c r="P17" s="62"/>
      <c r="Q17" s="62"/>
    </row>
    <row r="18" customFormat="false" ht="15" hidden="true" customHeight="true" outlineLevel="1" collapsed="false">
      <c r="A18" s="36" t="s">
        <v>81</v>
      </c>
      <c r="B18" s="57" t="n">
        <f aca="false">Расходы!C3</f>
        <v>-20.5021320287505</v>
      </c>
      <c r="C18" s="57" t="n">
        <f aca="false">Расходы!D3</f>
        <v>-20.8874989805594</v>
      </c>
      <c r="D18" s="57" t="n">
        <f aca="false">Расходы!E3</f>
        <v>-20.9962314129087</v>
      </c>
      <c r="E18" s="57" t="n">
        <f aca="false">Расходы!F3</f>
        <v>-21.3474454508537</v>
      </c>
      <c r="F18" s="57" t="n">
        <f aca="false">Расходы!G3</f>
        <v>-21.7459610511498</v>
      </c>
      <c r="G18" s="57" t="n">
        <f aca="false">Расходы!H3</f>
        <v>-21.1991644550706</v>
      </c>
      <c r="H18" s="57" t="n">
        <f aca="false">Расходы!I3</f>
        <v>-21.7290558201795</v>
      </c>
      <c r="I18" s="57" t="n">
        <f aca="false">Расходы!J3</f>
        <v>-18.5087631381029</v>
      </c>
      <c r="J18" s="57" t="n">
        <f aca="false">Расходы!K3</f>
        <v>-21.5601117907646</v>
      </c>
      <c r="K18" s="57" t="n">
        <f aca="false">Расходы!L3</f>
        <v>-23.021618076732</v>
      </c>
      <c r="L18" s="57" t="n">
        <f aca="false">Расходы!M3</f>
        <v>-23.0304143073749</v>
      </c>
      <c r="M18" s="57" t="n">
        <f aca="false">Расходы!N3</f>
        <v>-23.8732957818878</v>
      </c>
      <c r="N18" s="13" t="n">
        <f aca="false">SUM(B18:M18)</f>
        <v>-258.401692294334</v>
      </c>
      <c r="O18" s="58" t="n">
        <f aca="false">Расходы!P3</f>
        <v>-201.500852056</v>
      </c>
    </row>
    <row r="19" customFormat="false" ht="15" hidden="true" customHeight="true" outlineLevel="1" collapsed="false">
      <c r="A19" s="36" t="s">
        <v>82</v>
      </c>
      <c r="B19" s="57" t="n">
        <f aca="false">Расходы!C4</f>
        <v>-0</v>
      </c>
      <c r="C19" s="57" t="n">
        <f aca="false">Расходы!D4</f>
        <v>-0</v>
      </c>
      <c r="D19" s="57" t="n">
        <f aca="false">Расходы!E4</f>
        <v>-0</v>
      </c>
      <c r="E19" s="57" t="n">
        <f aca="false">Расходы!F4</f>
        <v>-0</v>
      </c>
      <c r="F19" s="57" t="n">
        <f aca="false">Расходы!G4</f>
        <v>-0</v>
      </c>
      <c r="G19" s="57" t="n">
        <f aca="false">Расходы!H4</f>
        <v>-0</v>
      </c>
      <c r="H19" s="57" t="n">
        <f aca="false">Расходы!I4</f>
        <v>-0</v>
      </c>
      <c r="I19" s="57" t="n">
        <f aca="false">Расходы!J4</f>
        <v>-0</v>
      </c>
      <c r="J19" s="57" t="n">
        <f aca="false">Расходы!K4</f>
        <v>-0</v>
      </c>
      <c r="K19" s="57" t="n">
        <f aca="false">Расходы!L4</f>
        <v>-0</v>
      </c>
      <c r="L19" s="57" t="n">
        <f aca="false">Расходы!M4</f>
        <v>-0</v>
      </c>
      <c r="M19" s="57" t="n">
        <f aca="false">Расходы!N4</f>
        <v>-0</v>
      </c>
      <c r="N19" s="13" t="n">
        <f aca="false">SUM(B19:M19)</f>
        <v>0</v>
      </c>
      <c r="O19" s="58" t="n">
        <f aca="false">Расходы!P4</f>
        <v>0</v>
      </c>
    </row>
    <row r="20" customFormat="false" ht="15" hidden="true" customHeight="true" outlineLevel="1" collapsed="false">
      <c r="A20" s="36" t="s">
        <v>83</v>
      </c>
      <c r="B20" s="57" t="n">
        <f aca="false">Расходы!C5</f>
        <v>-71.2503220921336</v>
      </c>
      <c r="C20" s="57" t="n">
        <f aca="false">Расходы!D5</f>
        <v>-72.5895740002543</v>
      </c>
      <c r="D20" s="57" t="n">
        <f aca="false">Расходы!E5</f>
        <v>-72.9674479118985</v>
      </c>
      <c r="E20" s="57" t="n">
        <f aca="false">Расходы!F5</f>
        <v>-74.1880094267577</v>
      </c>
      <c r="F20" s="57" t="n">
        <f aca="false">Расходы!G5</f>
        <v>-75.5729563600826</v>
      </c>
      <c r="G20" s="57" t="n">
        <f aca="false">Расходы!H5</f>
        <v>-73.6726938149534</v>
      </c>
      <c r="H20" s="57" t="n">
        <f aca="false">Расходы!I5</f>
        <v>-75.5142062188784</v>
      </c>
      <c r="I20" s="57" t="n">
        <f aca="false">Расходы!J5</f>
        <v>-64.3228388768313</v>
      </c>
      <c r="J20" s="57" t="n">
        <f aca="false">Расходы!K5</f>
        <v>-74.9270811094276</v>
      </c>
      <c r="K20" s="57" t="n">
        <f aca="false">Расходы!L5</f>
        <v>-80.0062013428174</v>
      </c>
      <c r="L20" s="57" t="n">
        <f aca="false">Расходы!M5</f>
        <v>-80.0367705668191</v>
      </c>
      <c r="M20" s="57" t="n">
        <f aca="false">Расходы!N5</f>
        <v>-82.9660062414466</v>
      </c>
      <c r="N20" s="13" t="n">
        <f aca="false">SUM(B20:M20)</f>
        <v>-898.0141079623</v>
      </c>
      <c r="O20" s="58" t="n">
        <f aca="false">Расходы!P5</f>
        <v>-700.268664288</v>
      </c>
    </row>
    <row r="21" customFormat="false" ht="15" hidden="true" customHeight="true" outlineLevel="1" collapsed="false">
      <c r="A21" s="36" t="s">
        <v>84</v>
      </c>
      <c r="B21" s="57" t="n">
        <f aca="false">Расходы!C6</f>
        <v>-2.68955150571714</v>
      </c>
      <c r="C21" s="57" t="n">
        <f aca="false">Расходы!D6</f>
        <v>-2.74010548049584</v>
      </c>
      <c r="D21" s="57" t="n">
        <f aca="false">Расходы!E6</f>
        <v>-2.75436943493411</v>
      </c>
      <c r="E21" s="57" t="n">
        <f aca="false">Расходы!F6</f>
        <v>-2.80044309416424</v>
      </c>
      <c r="F21" s="57" t="n">
        <f aca="false">Расходы!G6</f>
        <v>-2.85272196112916</v>
      </c>
      <c r="G21" s="57" t="n">
        <f aca="false">Расходы!H6</f>
        <v>-2.78099100133221</v>
      </c>
      <c r="H21" s="57" t="n">
        <f aca="false">Расходы!I6</f>
        <v>-2.8505042654599</v>
      </c>
      <c r="I21" s="57" t="n">
        <f aca="false">Расходы!J6</f>
        <v>-2.4280534188951</v>
      </c>
      <c r="J21" s="57" t="n">
        <f aca="false">Расходы!K6</f>
        <v>-2.8283415134077</v>
      </c>
      <c r="K21" s="57" t="n">
        <f aca="false">Расходы!L6</f>
        <v>-3.02006774102766</v>
      </c>
      <c r="L21" s="57" t="n">
        <f aca="false">Расходы!M6</f>
        <v>-3.02122166567008</v>
      </c>
      <c r="M21" s="57" t="n">
        <f aca="false">Расходы!N6</f>
        <v>-3.13179422152614</v>
      </c>
      <c r="N21" s="13" t="n">
        <f aca="false">SUM(B21:M21)</f>
        <v>-33.8981653037593</v>
      </c>
      <c r="O21" s="58" t="n">
        <f aca="false">Расходы!P6</f>
        <v>-26.433685984</v>
      </c>
    </row>
    <row r="22" customFormat="false" ht="15" hidden="true" customHeight="true" outlineLevel="1" collapsed="false">
      <c r="A22" s="36" t="s">
        <v>85</v>
      </c>
      <c r="B22" s="57" t="n">
        <f aca="false">Расходы!C7</f>
        <v>-4.61554389752305</v>
      </c>
      <c r="C22" s="57" t="n">
        <f aca="false">Расходы!D7</f>
        <v>-4.7022996593255</v>
      </c>
      <c r="D22" s="57" t="n">
        <f aca="false">Расходы!E7</f>
        <v>-4.7267780557132</v>
      </c>
      <c r="E22" s="57" t="n">
        <f aca="false">Расходы!F7</f>
        <v>-4.80584514040897</v>
      </c>
      <c r="F22" s="57" t="n">
        <f aca="false">Расходы!G7</f>
        <v>-4.89556099261572</v>
      </c>
      <c r="G22" s="57" t="n">
        <f aca="false">Расходы!H7</f>
        <v>-4.77246337093028</v>
      </c>
      <c r="H22" s="57" t="n">
        <f aca="false">Расходы!I7</f>
        <v>-4.8917552013189</v>
      </c>
      <c r="I22" s="57" t="n">
        <f aca="false">Расходы!J7</f>
        <v>-4.16678658751066</v>
      </c>
      <c r="J22" s="57" t="n">
        <f aca="false">Расходы!K7</f>
        <v>-4.85372166495812</v>
      </c>
      <c r="K22" s="57" t="n">
        <f aca="false">Расходы!L7</f>
        <v>-5.18274336913644</v>
      </c>
      <c r="L22" s="57" t="n">
        <f aca="false">Расходы!M7</f>
        <v>-5.18472362117111</v>
      </c>
      <c r="M22" s="57" t="n">
        <f aca="false">Расходы!N7</f>
        <v>-5.3744773716868</v>
      </c>
      <c r="N22" s="13" t="n">
        <f aca="false">SUM(B22:M22)</f>
        <v>-58.1726989322987</v>
      </c>
      <c r="O22" s="58" t="n">
        <f aca="false">Расходы!P7</f>
        <v>-45.36289332</v>
      </c>
    </row>
    <row r="23" customFormat="false" ht="15" hidden="true" customHeight="true" outlineLevel="1" collapsed="false">
      <c r="A23" s="36" t="s">
        <v>86</v>
      </c>
      <c r="B23" s="57" t="n">
        <f aca="false">Расходы!C8</f>
        <v>-11.5559543508355</v>
      </c>
      <c r="C23" s="57" t="n">
        <f aca="false">Расходы!D8</f>
        <v>-11.7731650729779</v>
      </c>
      <c r="D23" s="57" t="n">
        <f aca="false">Расходы!E8</f>
        <v>-11.8344517246745</v>
      </c>
      <c r="E23" s="57" t="n">
        <f aca="false">Расходы!F8</f>
        <v>-12.0324122774684</v>
      </c>
      <c r="F23" s="57" t="n">
        <f aca="false">Расходы!G8</f>
        <v>-12.2570341889193</v>
      </c>
      <c r="G23" s="57" t="n">
        <f aca="false">Расходы!H8</f>
        <v>-11.9488342175884</v>
      </c>
      <c r="H23" s="57" t="n">
        <f aca="false">Расходы!I8</f>
        <v>-12.247505615154</v>
      </c>
      <c r="I23" s="57" t="n">
        <f aca="false">Расходы!J8</f>
        <v>-10.4323990116934</v>
      </c>
      <c r="J23" s="57" t="n">
        <f aca="false">Расходы!K8</f>
        <v>-12.1522809093026</v>
      </c>
      <c r="K23" s="57" t="n">
        <f aca="false">Расходы!L8</f>
        <v>-12.9760537686527</v>
      </c>
      <c r="L23" s="57" t="n">
        <f aca="false">Расходы!M8</f>
        <v>-12.9810117330062</v>
      </c>
      <c r="M23" s="57" t="n">
        <f aca="false">Расходы!N8</f>
        <v>-13.456098900964</v>
      </c>
      <c r="N23" s="13" t="n">
        <f aca="false">SUM(B23:M23)</f>
        <v>-145.647201771237</v>
      </c>
      <c r="O23" s="58" t="n">
        <f aca="false">Расходы!P8</f>
        <v>-113.575244016</v>
      </c>
    </row>
    <row r="24" customFormat="false" ht="15" hidden="true" customHeight="true" outlineLevel="1" collapsed="false">
      <c r="A24" s="36" t="s">
        <v>87</v>
      </c>
      <c r="B24" s="57" t="n">
        <f aca="false">Расходы!C9</f>
        <v>-3.35054297746118</v>
      </c>
      <c r="C24" s="57" t="n">
        <f aca="false">Расходы!D9</f>
        <v>-3.41352123417703</v>
      </c>
      <c r="D24" s="57" t="n">
        <f aca="false">Расходы!E9</f>
        <v>-3.43129073673995</v>
      </c>
      <c r="E24" s="57" t="n">
        <f aca="false">Расходы!F9</f>
        <v>-3.48868758340799</v>
      </c>
      <c r="F24" s="57" t="n">
        <f aca="false">Расходы!G9</f>
        <v>-3.55381464649141</v>
      </c>
      <c r="G24" s="57" t="n">
        <f aca="false">Расходы!H9</f>
        <v>-3.46445489149013</v>
      </c>
      <c r="H24" s="57" t="n">
        <f aca="false">Расходы!I9</f>
        <v>-3.55105192392038</v>
      </c>
      <c r="I24" s="57" t="n">
        <f aca="false">Расходы!J9</f>
        <v>-3.02477841167441</v>
      </c>
      <c r="J24" s="57" t="n">
        <f aca="false">Расходы!K9</f>
        <v>-3.52344239382145</v>
      </c>
      <c r="K24" s="57" t="n">
        <f aca="false">Расходы!L9</f>
        <v>-3.76228777907682</v>
      </c>
      <c r="L24" s="57" t="n">
        <f aca="false">Расходы!M9</f>
        <v>-3.76372529536865</v>
      </c>
      <c r="M24" s="57" t="n">
        <f aca="false">Расходы!N9</f>
        <v>-3.90147246240968</v>
      </c>
      <c r="N24" s="13" t="n">
        <f aca="false">SUM(B24:M24)</f>
        <v>-42.2290703360391</v>
      </c>
      <c r="O24" s="58" t="n">
        <f aca="false">Расходы!P9</f>
        <v>-32.930100336</v>
      </c>
    </row>
    <row r="25" customFormat="false" ht="15" hidden="false" customHeight="true" outlineLevel="0" collapsed="false">
      <c r="A25" s="28" t="s">
        <v>50</v>
      </c>
      <c r="B25" s="29" t="n">
        <f aca="false">SUM(B18:B24)</f>
        <v>-113.964046852421</v>
      </c>
      <c r="C25" s="29" t="n">
        <f aca="false">SUM(C18:C24)</f>
        <v>-116.10616442779</v>
      </c>
      <c r="D25" s="29" t="n">
        <f aca="false">SUM(D18:D24)</f>
        <v>-116.710569276869</v>
      </c>
      <c r="E25" s="29" t="n">
        <f aca="false">SUM(E18:E24)</f>
        <v>-118.662842973061</v>
      </c>
      <c r="F25" s="29" t="n">
        <f aca="false">SUM(F18:F24)</f>
        <v>-120.878049200388</v>
      </c>
      <c r="G25" s="29" t="n">
        <f aca="false">SUM(G18:G24)</f>
        <v>-117.838601751365</v>
      </c>
      <c r="H25" s="29" t="n">
        <f aca="false">SUM(H18:H24)</f>
        <v>-120.784079044911</v>
      </c>
      <c r="I25" s="29" t="n">
        <f aca="false">SUM(I18:I24)</f>
        <v>-102.883619444708</v>
      </c>
      <c r="J25" s="29" t="n">
        <f aca="false">SUM(J18:J24)</f>
        <v>-119.844979381682</v>
      </c>
      <c r="K25" s="29" t="n">
        <f aca="false">SUM(K18:K24)</f>
        <v>-127.968972077443</v>
      </c>
      <c r="L25" s="29" t="n">
        <f aca="false">SUM(L18:L24)</f>
        <v>-128.01786718941</v>
      </c>
      <c r="M25" s="29" t="n">
        <f aca="false">SUM(M18:M24)</f>
        <v>-132.703144979921</v>
      </c>
      <c r="N25" s="29" t="n">
        <f aca="false">SUM(B25:M25)</f>
        <v>-1436.36293659997</v>
      </c>
      <c r="O25" s="65" t="n">
        <f aca="false">SUM(O18:O24)</f>
        <v>-1120.07144</v>
      </c>
    </row>
    <row r="26" customFormat="false" ht="15" hidden="true" customHeight="true" outlineLevel="1" collapsed="false">
      <c r="A26" s="36" t="s">
        <v>88</v>
      </c>
      <c r="B26" s="13" t="n">
        <f aca="false">Расходы!C11</f>
        <v>-0.005</v>
      </c>
      <c r="C26" s="13" t="n">
        <f aca="false">Расходы!D11</f>
        <v>-0</v>
      </c>
      <c r="D26" s="13" t="n">
        <f aca="false">Расходы!E11</f>
        <v>-0.005</v>
      </c>
      <c r="E26" s="13" t="n">
        <f aca="false">Расходы!F11</f>
        <v>-0.005</v>
      </c>
      <c r="F26" s="13" t="n">
        <f aca="false">Расходы!G11</f>
        <v>-0.005</v>
      </c>
      <c r="G26" s="13" t="n">
        <f aca="false">Расходы!H11</f>
        <v>-0</v>
      </c>
      <c r="H26" s="13" t="n">
        <f aca="false">Расходы!I11</f>
        <v>-0.005</v>
      </c>
      <c r="I26" s="13" t="n">
        <f aca="false">Расходы!J11</f>
        <v>-0</v>
      </c>
      <c r="J26" s="13" t="n">
        <f aca="false">Расходы!K11</f>
        <v>-0.005</v>
      </c>
      <c r="K26" s="13" t="n">
        <f aca="false">Расходы!L11</f>
        <v>-0</v>
      </c>
      <c r="L26" s="13" t="n">
        <f aca="false">Расходы!M11</f>
        <v>-0.005</v>
      </c>
      <c r="M26" s="13" t="n">
        <f aca="false">Расходы!N11</f>
        <v>-0.005</v>
      </c>
      <c r="N26" s="13" t="n">
        <f aca="false">SUM(B26:M26)</f>
        <v>-0.04</v>
      </c>
      <c r="O26" s="58" t="n">
        <f aca="false">Расходы!P11</f>
        <v>-0.4</v>
      </c>
    </row>
    <row r="27" customFormat="false" ht="15" hidden="true" customHeight="true" outlineLevel="1" collapsed="false">
      <c r="A27" s="36" t="s">
        <v>89</v>
      </c>
      <c r="B27" s="13" t="n">
        <f aca="false">Расходы!C12</f>
        <v>-0.375</v>
      </c>
      <c r="C27" s="13" t="n">
        <f aca="false">Расходы!D12</f>
        <v>-0.375</v>
      </c>
      <c r="D27" s="13" t="n">
        <f aca="false">Расходы!E12</f>
        <v>-0.51</v>
      </c>
      <c r="E27" s="13" t="n">
        <f aca="false">Расходы!F12</f>
        <v>-0.375</v>
      </c>
      <c r="F27" s="13" t="n">
        <f aca="false">Расходы!G12</f>
        <v>-0.375</v>
      </c>
      <c r="G27" s="13" t="n">
        <f aca="false">Расходы!H12</f>
        <v>-0.375</v>
      </c>
      <c r="H27" s="13" t="n">
        <f aca="false">Расходы!I12</f>
        <v>-0.51</v>
      </c>
      <c r="I27" s="13" t="n">
        <f aca="false">Расходы!J12</f>
        <v>-0.375</v>
      </c>
      <c r="J27" s="13" t="n">
        <f aca="false">Расходы!K12</f>
        <v>-0.375</v>
      </c>
      <c r="K27" s="13" t="n">
        <f aca="false">Расходы!L12</f>
        <v>-0.375</v>
      </c>
      <c r="L27" s="13" t="n">
        <f aca="false">Расходы!M12</f>
        <v>-0.375</v>
      </c>
      <c r="M27" s="13" t="n">
        <f aca="false">Расходы!N12</f>
        <v>-0.375</v>
      </c>
      <c r="N27" s="13" t="n">
        <f aca="false">SUM(B27:M27)</f>
        <v>-4.77</v>
      </c>
      <c r="O27" s="58" t="n">
        <f aca="false">Расходы!P12</f>
        <v>-3</v>
      </c>
    </row>
    <row r="28" customFormat="false" ht="15" hidden="true" customHeight="true" outlineLevel="1" collapsed="false">
      <c r="A28" s="36" t="s">
        <v>90</v>
      </c>
      <c r="B28" s="13" t="n">
        <f aca="false">Расходы!C13</f>
        <v>-0.869198133256529</v>
      </c>
      <c r="C28" s="13" t="n">
        <f aca="false">Расходы!D13</f>
        <v>-0.869198133256529</v>
      </c>
      <c r="D28" s="13" t="n">
        <f aca="false">Расходы!E13</f>
        <v>-0.869198133256529</v>
      </c>
      <c r="E28" s="13" t="n">
        <f aca="false">Расходы!F13</f>
        <v>-0.869198133256529</v>
      </c>
      <c r="F28" s="13" t="n">
        <f aca="false">Расходы!G13</f>
        <v>-0.869198133256529</v>
      </c>
      <c r="G28" s="13" t="n">
        <f aca="false">Расходы!H13</f>
        <v>-0.869198133256529</v>
      </c>
      <c r="H28" s="13" t="n">
        <f aca="false">Расходы!I13</f>
        <v>-0.869198133256529</v>
      </c>
      <c r="I28" s="13" t="n">
        <f aca="false">Расходы!J13</f>
        <v>-0.869198133256529</v>
      </c>
      <c r="J28" s="13" t="n">
        <f aca="false">Расходы!K13</f>
        <v>-0.869198133256529</v>
      </c>
      <c r="K28" s="13" t="n">
        <f aca="false">Расходы!L13</f>
        <v>-0.869198133256529</v>
      </c>
      <c r="L28" s="13" t="n">
        <f aca="false">Расходы!M13</f>
        <v>-0.882419923960377</v>
      </c>
      <c r="M28" s="13" t="n">
        <f aca="false">Расходы!N13</f>
        <v>-0.972502982022831</v>
      </c>
      <c r="N28" s="13" t="n">
        <f aca="false">SUM(B28:M28)</f>
        <v>-10.5469042385485</v>
      </c>
      <c r="O28" s="58" t="n">
        <f aca="false">Расходы!P13</f>
        <v>-6.5</v>
      </c>
    </row>
    <row r="29" customFormat="false" ht="15" hidden="true" customHeight="true" outlineLevel="1" collapsed="false">
      <c r="A29" s="36" t="s">
        <v>91</v>
      </c>
      <c r="B29" s="13" t="n">
        <f aca="false">Расходы!C14</f>
        <v>-0</v>
      </c>
      <c r="C29" s="13" t="n">
        <f aca="false">Расходы!D14</f>
        <v>-0</v>
      </c>
      <c r="D29" s="13" t="n">
        <f aca="false">Расходы!E14</f>
        <v>-0</v>
      </c>
      <c r="E29" s="13" t="n">
        <f aca="false">Расходы!F14</f>
        <v>-0</v>
      </c>
      <c r="F29" s="13" t="n">
        <f aca="false">Расходы!G14</f>
        <v>-0</v>
      </c>
      <c r="G29" s="13" t="n">
        <f aca="false">Расходы!H14</f>
        <v>-0</v>
      </c>
      <c r="H29" s="13" t="n">
        <f aca="false">Расходы!I14</f>
        <v>-0</v>
      </c>
      <c r="I29" s="13" t="n">
        <f aca="false">Расходы!J14</f>
        <v>-0</v>
      </c>
      <c r="J29" s="13" t="n">
        <f aca="false">Расходы!K14</f>
        <v>-0</v>
      </c>
      <c r="K29" s="13" t="n">
        <f aca="false">Расходы!L14</f>
        <v>-0</v>
      </c>
      <c r="L29" s="13" t="n">
        <f aca="false">Расходы!M14</f>
        <v>-0</v>
      </c>
      <c r="M29" s="13" t="n">
        <f aca="false">Расходы!N14</f>
        <v>-0</v>
      </c>
      <c r="N29" s="13" t="n">
        <f aca="false">SUM(B29:M29)</f>
        <v>0</v>
      </c>
      <c r="O29" s="58" t="n">
        <f aca="false">Расходы!P14</f>
        <v>-4.9</v>
      </c>
    </row>
    <row r="30" customFormat="false" ht="15" hidden="true" customHeight="true" outlineLevel="1" collapsed="false">
      <c r="A30" s="36" t="s">
        <v>92</v>
      </c>
      <c r="B30" s="13" t="n">
        <f aca="false">Расходы!C15</f>
        <v>-0.037333</v>
      </c>
      <c r="C30" s="13" t="n">
        <f aca="false">Расходы!D15</f>
        <v>-0.037333</v>
      </c>
      <c r="D30" s="13" t="n">
        <f aca="false">Расходы!E15</f>
        <v>-0.037333</v>
      </c>
      <c r="E30" s="13" t="n">
        <f aca="false">Расходы!F15</f>
        <v>-0.37233367</v>
      </c>
      <c r="F30" s="13" t="n">
        <f aca="false">Расходы!G15</f>
        <v>-0.037333</v>
      </c>
      <c r="G30" s="13" t="n">
        <f aca="false">Расходы!H15</f>
        <v>-0.037333</v>
      </c>
      <c r="H30" s="13" t="n">
        <f aca="false">Расходы!I15</f>
        <v>-0.037333</v>
      </c>
      <c r="I30" s="13" t="n">
        <f aca="false">Расходы!J15</f>
        <v>-0.377003</v>
      </c>
      <c r="J30" s="13" t="n">
        <f aca="false">Расходы!K15</f>
        <v>-0.037333</v>
      </c>
      <c r="K30" s="13" t="n">
        <f aca="false">Расходы!L15</f>
        <v>-0.037333</v>
      </c>
      <c r="L30" s="13" t="n">
        <f aca="false">Расходы!M15</f>
        <v>-0.037333</v>
      </c>
      <c r="M30" s="13" t="n">
        <f aca="false">Расходы!N15</f>
        <v>-0.037333</v>
      </c>
      <c r="N30" s="13" t="n">
        <f aca="false">SUM(B30:M30)</f>
        <v>-1.12266667</v>
      </c>
      <c r="O30" s="58" t="n">
        <f aca="false">Расходы!P15</f>
        <v>0</v>
      </c>
    </row>
    <row r="31" customFormat="false" ht="15" hidden="true" customHeight="true" outlineLevel="1" collapsed="false">
      <c r="A31" s="36" t="s">
        <v>93</v>
      </c>
      <c r="B31" s="13" t="n">
        <f aca="false">Расходы!C16</f>
        <v>-0</v>
      </c>
      <c r="C31" s="13" t="n">
        <f aca="false">Расходы!D16</f>
        <v>-0</v>
      </c>
      <c r="D31" s="13" t="n">
        <f aca="false">Расходы!E16</f>
        <v>-0.51209</v>
      </c>
      <c r="E31" s="13" t="n">
        <f aca="false">Расходы!F16</f>
        <v>-0.51209</v>
      </c>
      <c r="F31" s="13" t="n">
        <f aca="false">Расходы!G16</f>
        <v>-0.51209</v>
      </c>
      <c r="G31" s="13" t="n">
        <f aca="false">Расходы!H16</f>
        <v>-0.51209</v>
      </c>
      <c r="H31" s="13" t="n">
        <f aca="false">Расходы!I16</f>
        <v>-0.51209</v>
      </c>
      <c r="I31" s="13" t="n">
        <f aca="false">Расходы!J16</f>
        <v>-0.51209</v>
      </c>
      <c r="J31" s="13" t="n">
        <f aca="false">Расходы!K16</f>
        <v>-0.51209</v>
      </c>
      <c r="K31" s="13" t="n">
        <f aca="false">Расходы!L16</f>
        <v>-0.51209</v>
      </c>
      <c r="L31" s="13" t="n">
        <f aca="false">Расходы!M16</f>
        <v>-0.51209</v>
      </c>
      <c r="M31" s="13" t="n">
        <f aca="false">Расходы!N16</f>
        <v>-0.51209</v>
      </c>
      <c r="N31" s="13" t="n">
        <f aca="false">SUM(B31:M31)</f>
        <v>-5.1209</v>
      </c>
      <c r="O31" s="58" t="n">
        <f aca="false">Расходы!P16</f>
        <v>-5.7</v>
      </c>
    </row>
    <row r="32" customFormat="false" ht="15" hidden="true" customHeight="true" outlineLevel="1" collapsed="false">
      <c r="A32" s="36" t="s">
        <v>94</v>
      </c>
      <c r="B32" s="13" t="n">
        <f aca="false">Расходы!C17</f>
        <v>-0</v>
      </c>
      <c r="C32" s="13" t="n">
        <f aca="false">Расходы!D17</f>
        <v>-4</v>
      </c>
      <c r="D32" s="13" t="n">
        <f aca="false">Расходы!E17</f>
        <v>-0</v>
      </c>
      <c r="E32" s="13" t="n">
        <f aca="false">Расходы!F17</f>
        <v>-10.25</v>
      </c>
      <c r="F32" s="13" t="n">
        <f aca="false">Расходы!G17</f>
        <v>-0</v>
      </c>
      <c r="G32" s="13" t="n">
        <f aca="false">Расходы!H17</f>
        <v>-0</v>
      </c>
      <c r="H32" s="13" t="n">
        <f aca="false">Расходы!I17</f>
        <v>-6</v>
      </c>
      <c r="I32" s="13" t="n">
        <f aca="false">Расходы!J17</f>
        <v>-0</v>
      </c>
      <c r="J32" s="13" t="n">
        <f aca="false">Расходы!K17</f>
        <v>-0</v>
      </c>
      <c r="K32" s="13" t="n">
        <f aca="false">Расходы!L17</f>
        <v>-0</v>
      </c>
      <c r="L32" s="13" t="n">
        <f aca="false">Расходы!M17</f>
        <v>-0</v>
      </c>
      <c r="M32" s="13" t="n">
        <f aca="false">Расходы!N17</f>
        <v>-0</v>
      </c>
      <c r="N32" s="13" t="n">
        <f aca="false">SUM(B32:M32)</f>
        <v>-20.25</v>
      </c>
      <c r="O32" s="58" t="n">
        <f aca="false">Расходы!P17</f>
        <v>-14</v>
      </c>
    </row>
    <row r="33" customFormat="false" ht="15" hidden="true" customHeight="true" outlineLevel="1" collapsed="false">
      <c r="A33" s="36" t="s">
        <v>95</v>
      </c>
      <c r="B33" s="13" t="n">
        <f aca="false">Расходы!C18</f>
        <v>-0.02799675</v>
      </c>
      <c r="C33" s="13" t="n">
        <f aca="false">Расходы!D18</f>
        <v>-0.02799675</v>
      </c>
      <c r="D33" s="13" t="n">
        <f aca="false">Расходы!E18</f>
        <v>-0.02799675</v>
      </c>
      <c r="E33" s="13" t="n">
        <f aca="false">Расходы!F18</f>
        <v>-0.02799675</v>
      </c>
      <c r="F33" s="13" t="n">
        <f aca="false">Расходы!G18</f>
        <v>-0.02799675</v>
      </c>
      <c r="G33" s="13" t="n">
        <f aca="false">Расходы!H18</f>
        <v>-0.02799675</v>
      </c>
      <c r="H33" s="13" t="n">
        <f aca="false">Расходы!I18</f>
        <v>-0.02799675</v>
      </c>
      <c r="I33" s="13" t="n">
        <f aca="false">Расходы!J18</f>
        <v>-0.02799675</v>
      </c>
      <c r="J33" s="13" t="n">
        <f aca="false">Расходы!K18</f>
        <v>-0.02799675</v>
      </c>
      <c r="K33" s="13" t="n">
        <f aca="false">Расходы!L18</f>
        <v>-0.02799675</v>
      </c>
      <c r="L33" s="13" t="n">
        <f aca="false">Расходы!M18</f>
        <v>-0.02799675</v>
      </c>
      <c r="M33" s="13" t="n">
        <f aca="false">Расходы!N18</f>
        <v>-0.02799675</v>
      </c>
      <c r="N33" s="13" t="n">
        <f aca="false">SUM(B33:M33)</f>
        <v>-0.335961</v>
      </c>
      <c r="O33" s="58" t="n">
        <f aca="false">Расходы!P18</f>
        <v>0</v>
      </c>
    </row>
    <row r="34" customFormat="false" ht="15" hidden="true" customHeight="true" outlineLevel="1" collapsed="false">
      <c r="A34" s="36" t="s">
        <v>96</v>
      </c>
      <c r="B34" s="13" t="n">
        <f aca="false">Расходы!C19</f>
        <v>-0.0416666666666667</v>
      </c>
      <c r="C34" s="13" t="n">
        <f aca="false">Расходы!D19</f>
        <v>-0.0416666666666667</v>
      </c>
      <c r="D34" s="13" t="n">
        <f aca="false">Расходы!E19</f>
        <v>-0.0416666666666667</v>
      </c>
      <c r="E34" s="13" t="n">
        <f aca="false">Расходы!F19</f>
        <v>-0.0416666666666667</v>
      </c>
      <c r="F34" s="13" t="n">
        <f aca="false">Расходы!G19</f>
        <v>-0.0416666666666667</v>
      </c>
      <c r="G34" s="13" t="n">
        <f aca="false">Расходы!H19</f>
        <v>-0.0416666666666667</v>
      </c>
      <c r="H34" s="13" t="n">
        <f aca="false">Расходы!I19</f>
        <v>-0.0416666666666667</v>
      </c>
      <c r="I34" s="13" t="n">
        <f aca="false">Расходы!J19</f>
        <v>-0.0416666666666667</v>
      </c>
      <c r="J34" s="13" t="n">
        <f aca="false">Расходы!K19</f>
        <v>-0.0416666666666667</v>
      </c>
      <c r="K34" s="13" t="n">
        <f aca="false">Расходы!L19</f>
        <v>-0.0416666666666667</v>
      </c>
      <c r="L34" s="13" t="n">
        <f aca="false">Расходы!M19</f>
        <v>-0.0416666666666667</v>
      </c>
      <c r="M34" s="13" t="n">
        <f aca="false">Расходы!N19</f>
        <v>-0.0416666666666667</v>
      </c>
      <c r="N34" s="13" t="n">
        <f aca="false">SUM(B34:M34)</f>
        <v>-0.5</v>
      </c>
      <c r="O34" s="58" t="n">
        <f aca="false">Расходы!P19</f>
        <v>-1.2</v>
      </c>
    </row>
    <row r="35" customFormat="false" ht="15" hidden="true" customHeight="true" outlineLevel="1" collapsed="false">
      <c r="A35" s="36" t="s">
        <v>97</v>
      </c>
      <c r="B35" s="13" t="n">
        <f aca="false">Расходы!C20</f>
        <v>0.2</v>
      </c>
      <c r="C35" s="13" t="n">
        <f aca="false">Расходы!D20</f>
        <v>0.2</v>
      </c>
      <c r="D35" s="13" t="n">
        <f aca="false">Расходы!E20</f>
        <v>0.2</v>
      </c>
      <c r="E35" s="13" t="n">
        <f aca="false">Расходы!F20</f>
        <v>0.2</v>
      </c>
      <c r="F35" s="13" t="n">
        <f aca="false">Расходы!G20</f>
        <v>0.2</v>
      </c>
      <c r="G35" s="13" t="n">
        <f aca="false">Расходы!H20</f>
        <v>0.2</v>
      </c>
      <c r="H35" s="13" t="n">
        <f aca="false">Расходы!I20</f>
        <v>0.2</v>
      </c>
      <c r="I35" s="13" t="n">
        <f aca="false">Расходы!J20</f>
        <v>0.2</v>
      </c>
      <c r="J35" s="13" t="n">
        <f aca="false">Расходы!K20</f>
        <v>0.2</v>
      </c>
      <c r="K35" s="13" t="n">
        <f aca="false">Расходы!L20</f>
        <v>0.2</v>
      </c>
      <c r="L35" s="13" t="n">
        <f aca="false">Расходы!M20</f>
        <v>0.2</v>
      </c>
      <c r="M35" s="13" t="n">
        <f aca="false">Расходы!N20</f>
        <v>0.2</v>
      </c>
      <c r="N35" s="13" t="n">
        <f aca="false">SUM(B35:M35)</f>
        <v>2.4</v>
      </c>
      <c r="O35" s="58" t="n">
        <f aca="false">Расходы!P20</f>
        <v>3</v>
      </c>
    </row>
    <row r="36" customFormat="false" ht="15" hidden="false" customHeight="true" outlineLevel="0" collapsed="false">
      <c r="A36" s="28" t="s">
        <v>51</v>
      </c>
      <c r="B36" s="29" t="n">
        <f aca="false">SUM(B26:B35)</f>
        <v>-1.1561945499232</v>
      </c>
      <c r="C36" s="29" t="n">
        <f aca="false">SUM(C26:C35)</f>
        <v>-5.1511945499232</v>
      </c>
      <c r="D36" s="29" t="n">
        <f aca="false">SUM(D26:D35)</f>
        <v>-1.8032845499232</v>
      </c>
      <c r="E36" s="29" t="n">
        <f aca="false">SUM(E26:E35)</f>
        <v>-12.2532852199232</v>
      </c>
      <c r="F36" s="29" t="n">
        <f aca="false">SUM(F26:F35)</f>
        <v>-1.6682845499232</v>
      </c>
      <c r="G36" s="29" t="n">
        <f aca="false">SUM(G26:G35)</f>
        <v>-1.6632845499232</v>
      </c>
      <c r="H36" s="29" t="n">
        <f aca="false">SUM(H26:H35)</f>
        <v>-7.8032845499232</v>
      </c>
      <c r="I36" s="29" t="n">
        <f aca="false">SUM(I26:I35)</f>
        <v>-2.0029545499232</v>
      </c>
      <c r="J36" s="29" t="n">
        <f aca="false">SUM(J26:J35)</f>
        <v>-1.6682845499232</v>
      </c>
      <c r="K36" s="29" t="n">
        <f aca="false">SUM(K26:K35)</f>
        <v>-1.6632845499232</v>
      </c>
      <c r="L36" s="29" t="n">
        <f aca="false">SUM(L26:L35)</f>
        <v>-1.68150634062704</v>
      </c>
      <c r="M36" s="29" t="n">
        <f aca="false">SUM(M26:M35)</f>
        <v>-1.7715893986895</v>
      </c>
      <c r="N36" s="29" t="n">
        <f aca="false">SUM(B36:M36)</f>
        <v>-40.2864319085485</v>
      </c>
      <c r="O36" s="65" t="n">
        <f aca="false">SUM(O26:O35)</f>
        <v>-32.7</v>
      </c>
    </row>
    <row r="37" customFormat="false" ht="15" hidden="true" customHeight="true" outlineLevel="1" collapsed="false">
      <c r="A37" s="36" t="s">
        <v>98</v>
      </c>
      <c r="B37" s="13" t="n">
        <f aca="false">Расходы!C22</f>
        <v>-0.675</v>
      </c>
      <c r="C37" s="13" t="n">
        <f aca="false">Расходы!D22</f>
        <v>-3.525</v>
      </c>
      <c r="D37" s="13" t="n">
        <f aca="false">Расходы!E22</f>
        <v>-4.25</v>
      </c>
      <c r="E37" s="13" t="n">
        <f aca="false">Расходы!F22</f>
        <v>-2.675</v>
      </c>
      <c r="F37" s="13" t="n">
        <f aca="false">Расходы!G22</f>
        <v>-0.875</v>
      </c>
      <c r="G37" s="13" t="n">
        <f aca="false">Расходы!H22</f>
        <v>-1.9</v>
      </c>
      <c r="H37" s="13" t="n">
        <f aca="false">Расходы!I22</f>
        <v>-4.675</v>
      </c>
      <c r="I37" s="13" t="n">
        <f aca="false">Расходы!J22</f>
        <v>-2.025</v>
      </c>
      <c r="J37" s="13" t="n">
        <f aca="false">Расходы!K22</f>
        <v>-3.45</v>
      </c>
      <c r="K37" s="13" t="n">
        <f aca="false">Расходы!L22</f>
        <v>-1.975</v>
      </c>
      <c r="L37" s="13" t="n">
        <f aca="false">Расходы!M22</f>
        <v>-5.875</v>
      </c>
      <c r="M37" s="13" t="n">
        <f aca="false">Расходы!N22</f>
        <v>-1.4</v>
      </c>
      <c r="N37" s="13" t="n">
        <f aca="false">SUM(B37:M37)</f>
        <v>-33.3</v>
      </c>
      <c r="O37" s="58" t="n">
        <f aca="false">Расходы!P22</f>
        <v>-23.25</v>
      </c>
    </row>
    <row r="38" customFormat="false" ht="15" hidden="true" customHeight="true" outlineLevel="1" collapsed="false">
      <c r="A38" s="36" t="s">
        <v>99</v>
      </c>
      <c r="B38" s="13" t="n">
        <f aca="false">Расходы!C23</f>
        <v>-0</v>
      </c>
      <c r="C38" s="13" t="n">
        <f aca="false">Расходы!D23</f>
        <v>-1.5</v>
      </c>
      <c r="D38" s="13" t="n">
        <f aca="false">Расходы!E23</f>
        <v>-0</v>
      </c>
      <c r="E38" s="13" t="n">
        <f aca="false">Расходы!F23</f>
        <v>-0</v>
      </c>
      <c r="F38" s="13" t="n">
        <f aca="false">Расходы!G23</f>
        <v>-0</v>
      </c>
      <c r="G38" s="13" t="n">
        <f aca="false">Расходы!H23</f>
        <v>-0.15</v>
      </c>
      <c r="H38" s="13" t="n">
        <f aca="false">Расходы!I23</f>
        <v>-0</v>
      </c>
      <c r="I38" s="13" t="n">
        <f aca="false">Расходы!J23</f>
        <v>-0</v>
      </c>
      <c r="J38" s="13" t="n">
        <f aca="false">Расходы!K23</f>
        <v>-0.15</v>
      </c>
      <c r="K38" s="13" t="n">
        <f aca="false">Расходы!L23</f>
        <v>-0</v>
      </c>
      <c r="L38" s="13" t="n">
        <f aca="false">Расходы!M23</f>
        <v>-0</v>
      </c>
      <c r="M38" s="13" t="n">
        <f aca="false">Расходы!N23</f>
        <v>-0</v>
      </c>
      <c r="N38" s="13" t="n">
        <f aca="false">SUM(B38:M38)</f>
        <v>-1.8</v>
      </c>
      <c r="O38" s="58" t="n">
        <f aca="false">Расходы!P23</f>
        <v>-3.5</v>
      </c>
    </row>
    <row r="39" customFormat="false" ht="15" hidden="true" customHeight="true" outlineLevel="1" collapsed="false">
      <c r="A39" s="36" t="s">
        <v>100</v>
      </c>
      <c r="B39" s="13" t="n">
        <f aca="false">Расходы!C24</f>
        <v>-1.1260256</v>
      </c>
      <c r="C39" s="13" t="n">
        <f aca="false">Расходы!D24</f>
        <v>-1.1260256</v>
      </c>
      <c r="D39" s="13" t="n">
        <f aca="false">Расходы!E24</f>
        <v>-1.1260256</v>
      </c>
      <c r="E39" s="13" t="n">
        <f aca="false">Расходы!F24</f>
        <v>-1.1260256</v>
      </c>
      <c r="F39" s="13" t="n">
        <f aca="false">Расходы!G24</f>
        <v>-1.1260256</v>
      </c>
      <c r="G39" s="13" t="n">
        <f aca="false">Расходы!H24</f>
        <v>-1.1260256</v>
      </c>
      <c r="H39" s="13" t="n">
        <f aca="false">Расходы!I24</f>
        <v>-1.4670104</v>
      </c>
      <c r="I39" s="13" t="n">
        <f aca="false">Расходы!J24</f>
        <v>-1.4670104</v>
      </c>
      <c r="J39" s="13" t="n">
        <f aca="false">Расходы!K24</f>
        <v>-1.4670104</v>
      </c>
      <c r="K39" s="13" t="n">
        <f aca="false">Расходы!L24</f>
        <v>-1.4670104</v>
      </c>
      <c r="L39" s="13" t="n">
        <f aca="false">Расходы!M24</f>
        <v>-1.4670104</v>
      </c>
      <c r="M39" s="13" t="n">
        <f aca="false">Расходы!N24</f>
        <v>-1.4670104</v>
      </c>
      <c r="N39" s="13" t="n">
        <f aca="false">SUM(B39:M39)</f>
        <v>-15.558216</v>
      </c>
      <c r="O39" s="58" t="n">
        <f aca="false">Расходы!P24</f>
        <v>-8.3</v>
      </c>
    </row>
    <row r="40" customFormat="false" ht="15" hidden="true" customHeight="true" outlineLevel="1" collapsed="false">
      <c r="A40" s="36" t="s">
        <v>101</v>
      </c>
      <c r="B40" s="13" t="n">
        <f aca="false">Расходы!C25</f>
        <v>-4.16666666666667</v>
      </c>
      <c r="C40" s="13" t="n">
        <f aca="false">Расходы!D25</f>
        <v>-4.16666666666667</v>
      </c>
      <c r="D40" s="13" t="n">
        <f aca="false">Расходы!E25</f>
        <v>-4.16666666666667</v>
      </c>
      <c r="E40" s="13" t="n">
        <f aca="false">Расходы!F25</f>
        <v>-4.16666666666667</v>
      </c>
      <c r="F40" s="13" t="n">
        <f aca="false">Расходы!G25</f>
        <v>-4.16666666666667</v>
      </c>
      <c r="G40" s="13" t="n">
        <f aca="false">Расходы!H25</f>
        <v>-4.16666666666667</v>
      </c>
      <c r="H40" s="13" t="n">
        <f aca="false">Расходы!I25</f>
        <v>-4.16666666666667</v>
      </c>
      <c r="I40" s="13" t="n">
        <f aca="false">Расходы!J25</f>
        <v>-4.16666666666667</v>
      </c>
      <c r="J40" s="13" t="n">
        <f aca="false">Расходы!K25</f>
        <v>-4.16666666666667</v>
      </c>
      <c r="K40" s="13" t="n">
        <f aca="false">Расходы!L25</f>
        <v>-4.16666666666667</v>
      </c>
      <c r="L40" s="13" t="n">
        <f aca="false">Расходы!M25</f>
        <v>-4.16666666666667</v>
      </c>
      <c r="M40" s="13" t="n">
        <f aca="false">Расходы!N25</f>
        <v>-4.16666666666667</v>
      </c>
      <c r="N40" s="13" t="n">
        <f aca="false">SUM(B40:M40)</f>
        <v>-50</v>
      </c>
      <c r="O40" s="58" t="n">
        <f aca="false">Расходы!P25</f>
        <v>-20.2</v>
      </c>
    </row>
    <row r="41" customFormat="false" ht="15" hidden="false" customHeight="true" outlineLevel="0" collapsed="false">
      <c r="A41" s="28" t="s">
        <v>52</v>
      </c>
      <c r="B41" s="29" t="n">
        <f aca="false">SUM(B37:B40)</f>
        <v>-5.96769226666667</v>
      </c>
      <c r="C41" s="29" t="n">
        <f aca="false">SUM(C37:C40)</f>
        <v>-10.3176922666667</v>
      </c>
      <c r="D41" s="29" t="n">
        <f aca="false">SUM(D37:D40)</f>
        <v>-9.54269226666667</v>
      </c>
      <c r="E41" s="29" t="n">
        <f aca="false">SUM(E37:E40)</f>
        <v>-7.96769226666667</v>
      </c>
      <c r="F41" s="29" t="n">
        <f aca="false">SUM(F37:F40)</f>
        <v>-6.16769226666667</v>
      </c>
      <c r="G41" s="29" t="n">
        <f aca="false">SUM(G37:G40)</f>
        <v>-7.34269226666667</v>
      </c>
      <c r="H41" s="29" t="n">
        <f aca="false">SUM(H37:H40)</f>
        <v>-10.3086770666667</v>
      </c>
      <c r="I41" s="29" t="n">
        <f aca="false">SUM(I37:I40)</f>
        <v>-7.65867706666667</v>
      </c>
      <c r="J41" s="29" t="n">
        <f aca="false">SUM(J37:J40)</f>
        <v>-9.23367706666667</v>
      </c>
      <c r="K41" s="29" t="n">
        <f aca="false">SUM(K37:K40)</f>
        <v>-7.60867706666667</v>
      </c>
      <c r="L41" s="29" t="n">
        <f aca="false">SUM(L37:L40)</f>
        <v>-11.5086770666667</v>
      </c>
      <c r="M41" s="29" t="n">
        <f aca="false">SUM(M37:M40)</f>
        <v>-7.03367706666667</v>
      </c>
      <c r="N41" s="29" t="n">
        <f aca="false">SUM(B41:M41)</f>
        <v>-100.658216</v>
      </c>
      <c r="O41" s="65" t="n">
        <f aca="false">SUM(O37:O40)</f>
        <v>-55.25</v>
      </c>
    </row>
    <row r="42" customFormat="false" ht="15" hidden="true" customHeight="true" outlineLevel="1" collapsed="false">
      <c r="A42" s="36" t="s">
        <v>102</v>
      </c>
      <c r="B42" s="13" t="n">
        <f aca="false">Расходы!C30</f>
        <v>-6.44907272921417</v>
      </c>
      <c r="C42" s="13" t="n">
        <f aca="false">Расходы!D30</f>
        <v>-6.44907272921417</v>
      </c>
      <c r="D42" s="13" t="n">
        <f aca="false">Расходы!E30</f>
        <v>-6.84907272921417</v>
      </c>
      <c r="E42" s="13" t="n">
        <f aca="false">Расходы!F30</f>
        <v>-6.64907272921417</v>
      </c>
      <c r="F42" s="13" t="n">
        <f aca="false">Расходы!G30</f>
        <v>-7.14907272921417</v>
      </c>
      <c r="G42" s="13" t="n">
        <f aca="false">Расходы!H30</f>
        <v>-7.09957968014875</v>
      </c>
      <c r="H42" s="13" t="n">
        <f aca="false">Расходы!I30</f>
        <v>-7.04200677321728</v>
      </c>
      <c r="I42" s="13" t="n">
        <f aca="false">Расходы!J30</f>
        <v>-7.30994301384494</v>
      </c>
      <c r="J42" s="13" t="n">
        <f aca="false">Расходы!K30</f>
        <v>-8.82134158688551</v>
      </c>
      <c r="K42" s="13" t="n">
        <f aca="false">Расходы!L30</f>
        <v>-9.42744069455684</v>
      </c>
      <c r="L42" s="13" t="n">
        <f aca="false">Расходы!M30</f>
        <v>-9.42744069455684</v>
      </c>
      <c r="M42" s="13" t="n">
        <f aca="false">Расходы!N30</f>
        <v>-9.42744069455684</v>
      </c>
      <c r="N42" s="13" t="n">
        <f aca="false">SUM(B42:M42)</f>
        <v>-92.1005567838379</v>
      </c>
      <c r="O42" s="13" t="n">
        <f aca="false">Расходы!P30</f>
        <v>-58.6</v>
      </c>
    </row>
    <row r="43" customFormat="false" ht="15" hidden="false" customHeight="true" outlineLevel="0" collapsed="false">
      <c r="A43" s="28" t="s">
        <v>54</v>
      </c>
      <c r="B43" s="29" t="n">
        <f aca="false">B42</f>
        <v>-6.44907272921417</v>
      </c>
      <c r="C43" s="29" t="n">
        <f aca="false">C42</f>
        <v>-6.44907272921417</v>
      </c>
      <c r="D43" s="29" t="n">
        <f aca="false">D42</f>
        <v>-6.84907272921417</v>
      </c>
      <c r="E43" s="29" t="n">
        <f aca="false">E42</f>
        <v>-6.64907272921417</v>
      </c>
      <c r="F43" s="29" t="n">
        <f aca="false">F42</f>
        <v>-7.14907272921417</v>
      </c>
      <c r="G43" s="29" t="n">
        <f aca="false">G42</f>
        <v>-7.09957968014875</v>
      </c>
      <c r="H43" s="29" t="n">
        <f aca="false">H42</f>
        <v>-7.04200677321728</v>
      </c>
      <c r="I43" s="29" t="n">
        <f aca="false">I42</f>
        <v>-7.30994301384494</v>
      </c>
      <c r="J43" s="29" t="n">
        <f aca="false">J42</f>
        <v>-8.82134158688551</v>
      </c>
      <c r="K43" s="29" t="n">
        <f aca="false">K42</f>
        <v>-9.42744069455684</v>
      </c>
      <c r="L43" s="29" t="n">
        <f aca="false">L42</f>
        <v>-9.42744069455684</v>
      </c>
      <c r="M43" s="29" t="n">
        <f aca="false">M42</f>
        <v>-9.42744069455684</v>
      </c>
      <c r="N43" s="29" t="n">
        <f aca="false">SUM(B43:M43)</f>
        <v>-92.1005567838379</v>
      </c>
      <c r="O43" s="65" t="n">
        <f aca="false">O42</f>
        <v>-58.6</v>
      </c>
    </row>
    <row r="44" customFormat="false" ht="15" hidden="true" customHeight="true" outlineLevel="1" collapsed="false">
      <c r="A44" s="36" t="s">
        <v>103</v>
      </c>
      <c r="B44" s="13" t="n">
        <f aca="false">Расходы!C32</f>
        <v>-0</v>
      </c>
      <c r="C44" s="13" t="n">
        <f aca="false">Расходы!D32</f>
        <v>-0</v>
      </c>
      <c r="D44" s="13" t="n">
        <f aca="false">Расходы!E32</f>
        <v>-0</v>
      </c>
      <c r="E44" s="13" t="n">
        <f aca="false">Расходы!F32</f>
        <v>-0</v>
      </c>
      <c r="F44" s="13" t="n">
        <f aca="false">Расходы!G32</f>
        <v>-0</v>
      </c>
      <c r="G44" s="13" t="n">
        <f aca="false">Расходы!H32</f>
        <v>-0</v>
      </c>
      <c r="H44" s="13" t="n">
        <f aca="false">Расходы!I32</f>
        <v>-0</v>
      </c>
      <c r="I44" s="13" t="n">
        <f aca="false">Расходы!J32</f>
        <v>-0</v>
      </c>
      <c r="J44" s="13" t="n">
        <f aca="false">Расходы!K32</f>
        <v>-0</v>
      </c>
      <c r="K44" s="13" t="n">
        <f aca="false">Расходы!L32</f>
        <v>-0</v>
      </c>
      <c r="L44" s="13" t="n">
        <f aca="false">Расходы!M32</f>
        <v>-0</v>
      </c>
      <c r="M44" s="13" t="n">
        <f aca="false">Расходы!N32</f>
        <v>-0</v>
      </c>
      <c r="N44" s="13" t="n">
        <f aca="false">SUM(B44:M44)</f>
        <v>0</v>
      </c>
      <c r="O44" s="58" t="n">
        <f aca="false">Расходы!P32</f>
        <v>0</v>
      </c>
    </row>
    <row r="45" customFormat="false" ht="15" hidden="true" customHeight="true" outlineLevel="1" collapsed="false">
      <c r="A45" s="36" t="s">
        <v>104</v>
      </c>
      <c r="B45" s="13" t="n">
        <f aca="false">Расходы!C33</f>
        <v>-0.313333333333333</v>
      </c>
      <c r="C45" s="13" t="n">
        <f aca="false">Расходы!D33</f>
        <v>-0.313333333333333</v>
      </c>
      <c r="D45" s="13" t="n">
        <f aca="false">Расходы!E33</f>
        <v>-0.313333333333333</v>
      </c>
      <c r="E45" s="13" t="n">
        <f aca="false">Расходы!F33</f>
        <v>-0.313333333333333</v>
      </c>
      <c r="F45" s="13" t="n">
        <f aca="false">Расходы!G33</f>
        <v>-0.313333333333333</v>
      </c>
      <c r="G45" s="13" t="n">
        <f aca="false">Расходы!H33</f>
        <v>-0.313333333333333</v>
      </c>
      <c r="H45" s="13" t="n">
        <f aca="false">Расходы!I33</f>
        <v>-0.313333333333333</v>
      </c>
      <c r="I45" s="13" t="n">
        <f aca="false">Расходы!J33</f>
        <v>-0.313333333333333</v>
      </c>
      <c r="J45" s="13" t="n">
        <f aca="false">Расходы!K33</f>
        <v>-0.313333333333333</v>
      </c>
      <c r="K45" s="13" t="n">
        <f aca="false">Расходы!L33</f>
        <v>-0.313333333333333</v>
      </c>
      <c r="L45" s="13" t="n">
        <f aca="false">Расходы!M33</f>
        <v>-0.313333333333333</v>
      </c>
      <c r="M45" s="13" t="n">
        <f aca="false">Расходы!N33</f>
        <v>-0.313333333333333</v>
      </c>
      <c r="N45" s="13" t="n">
        <f aca="false">SUM(B45:M45)</f>
        <v>-3.76</v>
      </c>
      <c r="O45" s="58" t="n">
        <f aca="false">Расходы!P33</f>
        <v>-5</v>
      </c>
    </row>
    <row r="46" customFormat="false" ht="15" hidden="true" customHeight="true" outlineLevel="1" collapsed="false">
      <c r="A46" s="36" t="s">
        <v>105</v>
      </c>
      <c r="B46" s="13" t="n">
        <f aca="false">Расходы!C34</f>
        <v>-1.92025113760494</v>
      </c>
      <c r="C46" s="13" t="n">
        <f aca="false">Расходы!D34</f>
        <v>-4.80065910714291</v>
      </c>
      <c r="D46" s="13" t="n">
        <f aca="false">Расходы!E34</f>
        <v>-6.72087898161732</v>
      </c>
      <c r="E46" s="13" t="n">
        <f aca="false">Расходы!F34</f>
        <v>-6.72078519222565</v>
      </c>
      <c r="F46" s="13" t="n">
        <f aca="false">Расходы!G34</f>
        <v>-6.72087898161733</v>
      </c>
      <c r="G46" s="13" t="n">
        <f aca="false">Расходы!H34</f>
        <v>-6.72087898161732</v>
      </c>
      <c r="H46" s="13" t="n">
        <f aca="false">Расходы!I34</f>
        <v>-6.72087898161732</v>
      </c>
      <c r="I46" s="13" t="n">
        <f aca="false">Расходы!J34</f>
        <v>-7.680848234767</v>
      </c>
      <c r="J46" s="13" t="n">
        <f aca="false">Расходы!K34</f>
        <v>-7.68084823476702</v>
      </c>
      <c r="K46" s="13" t="n">
        <f aca="false">Расходы!L34</f>
        <v>-10.5613812568272</v>
      </c>
      <c r="L46" s="13" t="n">
        <f aca="false">Расходы!M34</f>
        <v>-13.4417579632346</v>
      </c>
      <c r="M46" s="13" t="n">
        <f aca="false">Расходы!N34</f>
        <v>-16.322134669642</v>
      </c>
      <c r="N46" s="13" t="n">
        <f aca="false">SUM(B46:M46)</f>
        <v>-96.0121817226806</v>
      </c>
      <c r="O46" s="58" t="n">
        <f aca="false">Расходы!P34</f>
        <v>-80.7</v>
      </c>
    </row>
    <row r="47" customFormat="false" ht="15" hidden="true" customHeight="true" outlineLevel="1" collapsed="false">
      <c r="A47" s="36" t="s">
        <v>106</v>
      </c>
      <c r="B47" s="13" t="n">
        <f aca="false">Расходы!C35</f>
        <v>-0.0858333333333333</v>
      </c>
      <c r="C47" s="13" t="n">
        <f aca="false">Расходы!D35</f>
        <v>-0.0858333333333333</v>
      </c>
      <c r="D47" s="13" t="n">
        <f aca="false">Расходы!E35</f>
        <v>-0.0858333333333333</v>
      </c>
      <c r="E47" s="13" t="n">
        <f aca="false">Расходы!F35</f>
        <v>-0.0858333333333333</v>
      </c>
      <c r="F47" s="13" t="n">
        <f aca="false">Расходы!G35</f>
        <v>-0.0858333333333333</v>
      </c>
      <c r="G47" s="13" t="n">
        <f aca="false">Расходы!H35</f>
        <v>-0.0858333333333333</v>
      </c>
      <c r="H47" s="13" t="n">
        <f aca="false">Расходы!I35</f>
        <v>-0.0858333333333333</v>
      </c>
      <c r="I47" s="13" t="n">
        <f aca="false">Расходы!J35</f>
        <v>-0.0858333333333333</v>
      </c>
      <c r="J47" s="13" t="n">
        <f aca="false">Расходы!K35</f>
        <v>-0.0858333333333333</v>
      </c>
      <c r="K47" s="13" t="n">
        <f aca="false">Расходы!L35</f>
        <v>-0.0858333333333333</v>
      </c>
      <c r="L47" s="13" t="n">
        <f aca="false">Расходы!M35</f>
        <v>-0.0858333333333333</v>
      </c>
      <c r="M47" s="13" t="n">
        <f aca="false">Расходы!N35</f>
        <v>-0.0858333333333333</v>
      </c>
      <c r="N47" s="13" t="n">
        <f aca="false">SUM(B47:M47)</f>
        <v>-1.03</v>
      </c>
      <c r="O47" s="58" t="n">
        <f aca="false">Расходы!P35</f>
        <v>-2.6</v>
      </c>
    </row>
    <row r="48" customFormat="false" ht="15" hidden="true" customHeight="true" outlineLevel="1" collapsed="false">
      <c r="A48" s="36" t="s">
        <v>107</v>
      </c>
      <c r="B48" s="13" t="n">
        <f aca="false">Расходы!C36</f>
        <v>-0.06</v>
      </c>
      <c r="C48" s="13" t="n">
        <f aca="false">Расходы!D36</f>
        <v>-0.06</v>
      </c>
      <c r="D48" s="13" t="n">
        <f aca="false">Расходы!E36</f>
        <v>-0.06</v>
      </c>
      <c r="E48" s="13" t="n">
        <f aca="false">Расходы!F36</f>
        <v>-0.06</v>
      </c>
      <c r="F48" s="13" t="n">
        <f aca="false">Расходы!G36</f>
        <v>-0.06</v>
      </c>
      <c r="G48" s="13" t="n">
        <f aca="false">Расходы!H36</f>
        <v>-0.06</v>
      </c>
      <c r="H48" s="13" t="n">
        <f aca="false">Расходы!I36</f>
        <v>-0.06</v>
      </c>
      <c r="I48" s="13" t="n">
        <f aca="false">Расходы!J36</f>
        <v>-0.06</v>
      </c>
      <c r="J48" s="13" t="n">
        <f aca="false">Расходы!K36</f>
        <v>-0.06</v>
      </c>
      <c r="K48" s="13" t="n">
        <f aca="false">Расходы!L36</f>
        <v>-0.06</v>
      </c>
      <c r="L48" s="13" t="n">
        <f aca="false">Расходы!M36</f>
        <v>-0.06</v>
      </c>
      <c r="M48" s="13" t="n">
        <f aca="false">Расходы!N36</f>
        <v>-0.06</v>
      </c>
      <c r="N48" s="13" t="n">
        <f aca="false">SUM(B48:M48)</f>
        <v>-0.72</v>
      </c>
      <c r="O48" s="58" t="n">
        <f aca="false">Расходы!P36</f>
        <v>-1.9</v>
      </c>
    </row>
    <row r="49" customFormat="false" ht="15" hidden="true" customHeight="true" outlineLevel="1" collapsed="false">
      <c r="A49" s="36" t="s">
        <v>108</v>
      </c>
      <c r="B49" s="13" t="n">
        <f aca="false">Расходы!C37</f>
        <v>-0.02</v>
      </c>
      <c r="C49" s="13" t="n">
        <f aca="false">Расходы!D37</f>
        <v>-0.02</v>
      </c>
      <c r="D49" s="13" t="n">
        <f aca="false">Расходы!E37</f>
        <v>-0.02</v>
      </c>
      <c r="E49" s="13" t="n">
        <f aca="false">Расходы!F37</f>
        <v>-0.02</v>
      </c>
      <c r="F49" s="13" t="n">
        <f aca="false">Расходы!G37</f>
        <v>-0.02</v>
      </c>
      <c r="G49" s="13" t="n">
        <f aca="false">Расходы!H37</f>
        <v>-0.02</v>
      </c>
      <c r="H49" s="13" t="n">
        <f aca="false">Расходы!I37</f>
        <v>-0.02</v>
      </c>
      <c r="I49" s="13" t="n">
        <f aca="false">Расходы!J37</f>
        <v>-0.02</v>
      </c>
      <c r="J49" s="13" t="n">
        <f aca="false">Расходы!K37</f>
        <v>-0.02</v>
      </c>
      <c r="K49" s="13" t="n">
        <f aca="false">Расходы!L37</f>
        <v>-0.02</v>
      </c>
      <c r="L49" s="13" t="n">
        <f aca="false">Расходы!M37</f>
        <v>-0.02</v>
      </c>
      <c r="M49" s="13" t="n">
        <f aca="false">Расходы!N37</f>
        <v>-0.02</v>
      </c>
      <c r="N49" s="13" t="n">
        <f aca="false">SUM(B49:M49)</f>
        <v>-0.24</v>
      </c>
      <c r="O49" s="58" t="n">
        <f aca="false">Расходы!P37</f>
        <v>-0.2</v>
      </c>
    </row>
    <row r="50" customFormat="false" ht="15" hidden="true" customHeight="true" outlineLevel="1" collapsed="false">
      <c r="A50" s="36" t="s">
        <v>109</v>
      </c>
      <c r="B50" s="13" t="n">
        <f aca="false">Расходы!C38</f>
        <v>-0.0458333333333333</v>
      </c>
      <c r="C50" s="13" t="n">
        <f aca="false">Расходы!D38</f>
        <v>-0.0458333333333333</v>
      </c>
      <c r="D50" s="13" t="n">
        <f aca="false">Расходы!E38</f>
        <v>-0.0458333333333333</v>
      </c>
      <c r="E50" s="13" t="n">
        <f aca="false">Расходы!F38</f>
        <v>-0.0458333333333333</v>
      </c>
      <c r="F50" s="13" t="n">
        <f aca="false">Расходы!G38</f>
        <v>-0.0458333333333333</v>
      </c>
      <c r="G50" s="13" t="n">
        <f aca="false">Расходы!H38</f>
        <v>-0.0458333333333333</v>
      </c>
      <c r="H50" s="13" t="n">
        <f aca="false">Расходы!I38</f>
        <v>-0.0458333333333333</v>
      </c>
      <c r="I50" s="13" t="n">
        <f aca="false">Расходы!J38</f>
        <v>-0.0458333333333333</v>
      </c>
      <c r="J50" s="13" t="n">
        <f aca="false">Расходы!K38</f>
        <v>-0.0458333333333333</v>
      </c>
      <c r="K50" s="13" t="n">
        <f aca="false">Расходы!L38</f>
        <v>-0.0458333333333333</v>
      </c>
      <c r="L50" s="13" t="n">
        <f aca="false">Расходы!M38</f>
        <v>-0.0458333333333333</v>
      </c>
      <c r="M50" s="13" t="n">
        <f aca="false">Расходы!N38</f>
        <v>-0.0458333333333333</v>
      </c>
      <c r="N50" s="13" t="n">
        <f aca="false">SUM(B50:M50)</f>
        <v>-0.55</v>
      </c>
      <c r="O50" s="58" t="n">
        <f aca="false">Расходы!P38</f>
        <v>-0.7</v>
      </c>
    </row>
    <row r="51" customFormat="false" ht="15" hidden="true" customHeight="true" outlineLevel="1" collapsed="false">
      <c r="A51" s="36" t="s">
        <v>110</v>
      </c>
      <c r="B51" s="13" t="n">
        <f aca="false">Расходы!C39</f>
        <v>0</v>
      </c>
      <c r="C51" s="13" t="n">
        <f aca="false">Расходы!D39</f>
        <v>0</v>
      </c>
      <c r="D51" s="13" t="n">
        <f aca="false">Расходы!E39</f>
        <v>0</v>
      </c>
      <c r="E51" s="13" t="n">
        <f aca="false">Расходы!F39</f>
        <v>0</v>
      </c>
      <c r="F51" s="13" t="n">
        <f aca="false">Расходы!G39</f>
        <v>0</v>
      </c>
      <c r="G51" s="13" t="n">
        <f aca="false">Расходы!H39</f>
        <v>0</v>
      </c>
      <c r="H51" s="13" t="n">
        <f aca="false">Расходы!I39</f>
        <v>0</v>
      </c>
      <c r="I51" s="13" t="n">
        <f aca="false">Расходы!J39</f>
        <v>0</v>
      </c>
      <c r="J51" s="13" t="n">
        <f aca="false">Расходы!K39</f>
        <v>0</v>
      </c>
      <c r="K51" s="13" t="n">
        <f aca="false">Расходы!L39</f>
        <v>0</v>
      </c>
      <c r="L51" s="13" t="n">
        <f aca="false">Расходы!M39</f>
        <v>0</v>
      </c>
      <c r="M51" s="13" t="n">
        <f aca="false">Расходы!N39</f>
        <v>0</v>
      </c>
      <c r="N51" s="13" t="n">
        <f aca="false">SUM(B51:M51)</f>
        <v>0</v>
      </c>
      <c r="O51" s="58" t="n">
        <f aca="false">Расходы!P39</f>
        <v>-0.5</v>
      </c>
    </row>
    <row r="52" customFormat="false" ht="15" hidden="false" customHeight="true" outlineLevel="0" collapsed="false">
      <c r="A52" s="28" t="s">
        <v>53</v>
      </c>
      <c r="B52" s="29" t="n">
        <f aca="false">SUM(B44:B51)</f>
        <v>-2.44525113760494</v>
      </c>
      <c r="C52" s="29" t="n">
        <f aca="false">SUM(C44:C51)</f>
        <v>-5.32565910714291</v>
      </c>
      <c r="D52" s="29" t="n">
        <f aca="false">SUM(D44:D51)</f>
        <v>-7.24587898161732</v>
      </c>
      <c r="E52" s="29" t="n">
        <f aca="false">SUM(E44:E51)</f>
        <v>-7.24578519222565</v>
      </c>
      <c r="F52" s="29" t="n">
        <f aca="false">SUM(F44:F51)</f>
        <v>-7.24587898161733</v>
      </c>
      <c r="G52" s="29" t="n">
        <f aca="false">SUM(G44:G51)</f>
        <v>-7.24587898161732</v>
      </c>
      <c r="H52" s="29" t="n">
        <f aca="false">SUM(H44:H51)</f>
        <v>-7.24587898161732</v>
      </c>
      <c r="I52" s="29" t="n">
        <f aca="false">SUM(I44:I51)</f>
        <v>-8.205848234767</v>
      </c>
      <c r="J52" s="29" t="n">
        <f aca="false">SUM(J44:J51)</f>
        <v>-8.20584823476702</v>
      </c>
      <c r="K52" s="29" t="n">
        <f aca="false">SUM(K44:K51)</f>
        <v>-11.0863812568272</v>
      </c>
      <c r="L52" s="29" t="n">
        <f aca="false">SUM(L44:L51)</f>
        <v>-13.9667579632346</v>
      </c>
      <c r="M52" s="29" t="n">
        <f aca="false">SUM(M44:M51)</f>
        <v>-16.847134669642</v>
      </c>
      <c r="N52" s="29" t="n">
        <f aca="false">SUM(B52:M52)</f>
        <v>-102.312181722681</v>
      </c>
      <c r="O52" s="65" t="n">
        <f aca="false">SUM(O44:O51)</f>
        <v>-91.6</v>
      </c>
    </row>
    <row r="53" customFormat="false" ht="15" hidden="false" customHeight="true" outlineLevel="0" collapsed="false">
      <c r="A53" s="25" t="s">
        <v>55</v>
      </c>
      <c r="B53" s="26" t="n">
        <f aca="false">B25+B36+B41+B43+B52</f>
        <v>-129.98225753583</v>
      </c>
      <c r="C53" s="26" t="n">
        <f aca="false">C25+C36+C41+C43+C52</f>
        <v>-143.349783080737</v>
      </c>
      <c r="D53" s="26" t="n">
        <f aca="false">D25+D36+D41+D43+D52</f>
        <v>-142.15149780429</v>
      </c>
      <c r="E53" s="26" t="n">
        <f aca="false">E25+E36+E41+E43+E52</f>
        <v>-152.778678381091</v>
      </c>
      <c r="F53" s="26" t="n">
        <f aca="false">F25+F36+F41+F43+F52</f>
        <v>-143.108977727809</v>
      </c>
      <c r="G53" s="26" t="n">
        <f aca="false">G25+G36+G41+G43+G52</f>
        <v>-141.190037229721</v>
      </c>
      <c r="H53" s="26" t="n">
        <f aca="false">H25+H36+H41+H43+H52</f>
        <v>-153.183926416335</v>
      </c>
      <c r="I53" s="26" t="n">
        <f aca="false">I25+I36+I41+I43+I52</f>
        <v>-128.06104230991</v>
      </c>
      <c r="J53" s="26" t="n">
        <f aca="false">J25+J36+J41+J43+J52</f>
        <v>-147.774130819924</v>
      </c>
      <c r="K53" s="26" t="n">
        <f aca="false">K25+K36+K41+K43+K52</f>
        <v>-157.754755645417</v>
      </c>
      <c r="L53" s="26" t="n">
        <f aca="false">L25+L36+L41+L43+L52</f>
        <v>-164.602249254495</v>
      </c>
      <c r="M53" s="26" t="n">
        <f aca="false">M25+M36+M41+M43+M52</f>
        <v>-167.782986809476</v>
      </c>
      <c r="N53" s="26" t="n">
        <f aca="false">SUM(B53:M53)</f>
        <v>-1771.72032301504</v>
      </c>
      <c r="O53" s="66" t="n">
        <f aca="false">O25+O36+O41+O43+O52</f>
        <v>-1358.22144</v>
      </c>
    </row>
    <row r="54" customFormat="false" ht="15" hidden="false" customHeight="true" outlineLevel="0" collapsed="false">
      <c r="A54" s="25" t="s">
        <v>56</v>
      </c>
      <c r="B54" s="26" t="n">
        <f aca="false">B17+B53</f>
        <v>71.4742165083571</v>
      </c>
      <c r="C54" s="26" t="n">
        <f aca="false">C17+C53</f>
        <v>459.694824399785</v>
      </c>
      <c r="D54" s="26" t="n">
        <f aca="false">D17+D53</f>
        <v>728.650978527765</v>
      </c>
      <c r="E54" s="26" t="n">
        <f aca="false">E17+E53</f>
        <v>714.226500734176</v>
      </c>
      <c r="F54" s="26" t="n">
        <f aca="false">F17+F53</f>
        <v>722.880199804818</v>
      </c>
      <c r="G54" s="26" t="n">
        <f aca="false">G17+G53</f>
        <v>723.890760922501</v>
      </c>
      <c r="H54" s="26" t="n">
        <f aca="false">H17+H53</f>
        <v>711.943557354222</v>
      </c>
      <c r="I54" s="26" t="n">
        <f aca="false">I17+I53</f>
        <v>872.723728113451</v>
      </c>
      <c r="J54" s="26" t="n">
        <f aca="false">J17+J53</f>
        <v>855.545002326972</v>
      </c>
      <c r="K54" s="26" t="n">
        <f aca="false">K17+K53</f>
        <v>1247.3777396003</v>
      </c>
      <c r="L54" s="26" t="n">
        <f aca="false">L17+L53</f>
        <v>1655.68855670488</v>
      </c>
      <c r="M54" s="26" t="n">
        <f aca="false">M17+M53</f>
        <v>2059.35271732054</v>
      </c>
      <c r="N54" s="26" t="n">
        <f aca="false">SUM(B54:M54)</f>
        <v>10823.4487823178</v>
      </c>
      <c r="O54" s="66" t="n">
        <f aca="false">O17+O53</f>
        <v>8084.6877963</v>
      </c>
    </row>
    <row r="55" customFormat="false" ht="15" hidden="true" customHeight="true" outlineLevel="1" collapsed="false">
      <c r="A55" s="36" t="s">
        <v>57</v>
      </c>
      <c r="B55" s="13" t="n">
        <f aca="false">Расходы!C42</f>
        <v>-42.4589221570622</v>
      </c>
      <c r="C55" s="13" t="n">
        <f aca="false">Расходы!D42</f>
        <v>-43.0455801144657</v>
      </c>
      <c r="D55" s="13" t="n">
        <f aca="false">Расходы!E42</f>
        <v>-44.5059008430205</v>
      </c>
      <c r="E55" s="13" t="n">
        <f aca="false">Расходы!F42</f>
        <v>-44.3697992096137</v>
      </c>
      <c r="F55" s="13" t="n">
        <f aca="false">Расходы!G42</f>
        <v>-44.5288118210764</v>
      </c>
      <c r="G55" s="13" t="n">
        <f aca="false">Расходы!H42</f>
        <v>-44.1829047514327</v>
      </c>
      <c r="H55" s="13" t="n">
        <f aca="false">Расходы!I42</f>
        <v>-47.1088453652662</v>
      </c>
      <c r="I55" s="13" t="n">
        <f aca="false">Расходы!J42</f>
        <v>-46.6230449100597</v>
      </c>
      <c r="J55" s="13" t="n">
        <f aca="false">Расходы!K42</f>
        <v>-46.2426262744877</v>
      </c>
      <c r="K55" s="13" t="n">
        <f aca="false">Расходы!L42</f>
        <v>-46.092339570551</v>
      </c>
      <c r="L55" s="13" t="n">
        <f aca="false">Расходы!M42</f>
        <v>-45.9706611366441</v>
      </c>
      <c r="M55" s="13" t="n">
        <f aca="false">Расходы!N42</f>
        <v>-45.904436886102</v>
      </c>
      <c r="N55" s="13" t="n">
        <f aca="false">SUM(B55:M55)</f>
        <v>-541.033873039782</v>
      </c>
      <c r="O55" s="58" t="n">
        <f aca="false">Расходы!P42</f>
        <v>-447.2</v>
      </c>
    </row>
    <row r="56" customFormat="false" ht="12.75" hidden="true" customHeight="false" outlineLevel="1" collapsed="false">
      <c r="A56" s="36" t="s">
        <v>58</v>
      </c>
      <c r="B56" s="13" t="n">
        <f aca="false">Расходы!C43</f>
        <v>-0</v>
      </c>
      <c r="C56" s="13" t="n">
        <f aca="false">Расходы!D43</f>
        <v>-0</v>
      </c>
      <c r="D56" s="13" t="n">
        <f aca="false">Расходы!E43</f>
        <v>-0</v>
      </c>
      <c r="E56" s="13" t="n">
        <f aca="false">Расходы!F43</f>
        <v>-10.23056</v>
      </c>
      <c r="F56" s="13" t="n">
        <f aca="false">Расходы!G43</f>
        <v>-18.36096</v>
      </c>
      <c r="G56" s="13" t="n">
        <f aca="false">Расходы!H43</f>
        <v>-52.57255814</v>
      </c>
      <c r="H56" s="13" t="n">
        <f aca="false">Расходы!I43</f>
        <v>-45.67833721</v>
      </c>
      <c r="I56" s="13" t="n">
        <f aca="false">Расходы!J43</f>
        <v>-56.6199534892</v>
      </c>
      <c r="J56" s="13" t="n">
        <f aca="false">Расходы!K43</f>
        <v>-155.41</v>
      </c>
      <c r="K56" s="13" t="n">
        <f aca="false">Расходы!L43</f>
        <v>-170.7335</v>
      </c>
      <c r="L56" s="13" t="n">
        <f aca="false">Расходы!M43</f>
        <v>-0</v>
      </c>
      <c r="M56" s="13" t="n">
        <f aca="false">Расходы!N43</f>
        <v>-100</v>
      </c>
      <c r="N56" s="13" t="n">
        <f aca="false">SUM(B56:M56)</f>
        <v>-609.6058688392</v>
      </c>
      <c r="O56" s="58" t="n">
        <f aca="false">Расходы!P43</f>
        <v>-732.4</v>
      </c>
    </row>
    <row r="57" customFormat="false" ht="15" hidden="false" customHeight="true" outlineLevel="0" collapsed="false">
      <c r="A57" s="25" t="s">
        <v>59</v>
      </c>
      <c r="B57" s="26" t="n">
        <f aca="false">SUM(B55:B56)</f>
        <v>-42.4589221570622</v>
      </c>
      <c r="C57" s="26" t="n">
        <f aca="false">SUM(C55:C56)</f>
        <v>-43.0455801144657</v>
      </c>
      <c r="D57" s="26" t="n">
        <f aca="false">SUM(D55:D56)</f>
        <v>-44.5059008430205</v>
      </c>
      <c r="E57" s="26" t="n">
        <f aca="false">SUM(E55:E56)</f>
        <v>-54.6003592096137</v>
      </c>
      <c r="F57" s="26" t="n">
        <f aca="false">SUM(F55:F56)</f>
        <v>-62.8897718210764</v>
      </c>
      <c r="G57" s="26" t="n">
        <f aca="false">SUM(G55:G56)</f>
        <v>-96.7554628914327</v>
      </c>
      <c r="H57" s="26" t="n">
        <f aca="false">SUM(H55:H56)</f>
        <v>-92.7871825752662</v>
      </c>
      <c r="I57" s="26" t="n">
        <f aca="false">SUM(I55:I56)</f>
        <v>-103.24299839926</v>
      </c>
      <c r="J57" s="26" t="n">
        <f aca="false">SUM(J55:J56)</f>
        <v>-201.652626274488</v>
      </c>
      <c r="K57" s="26" t="n">
        <f aca="false">SUM(K55:K56)</f>
        <v>-216.825839570551</v>
      </c>
      <c r="L57" s="26" t="n">
        <f aca="false">SUM(L55:L56)</f>
        <v>-45.9706611366441</v>
      </c>
      <c r="M57" s="26" t="n">
        <f aca="false">SUM(M55:M56)</f>
        <v>-145.904436886102</v>
      </c>
      <c r="N57" s="26" t="n">
        <f aca="false">SUM(N55:N56)</f>
        <v>-1150.63974187898</v>
      </c>
      <c r="O57" s="66" t="n">
        <f aca="false">SUM(O55:O56)</f>
        <v>-1179.6</v>
      </c>
    </row>
    <row r="58" customFormat="false" ht="15" hidden="false" customHeight="true" outlineLevel="0" collapsed="false">
      <c r="A58" s="25" t="s">
        <v>60</v>
      </c>
      <c r="B58" s="26" t="n">
        <f aca="false">B54+B57</f>
        <v>29.0152943512949</v>
      </c>
      <c r="C58" s="26" t="n">
        <f aca="false">C54+C57</f>
        <v>416.649244285319</v>
      </c>
      <c r="D58" s="26" t="n">
        <f aca="false">D54+D57</f>
        <v>684.145077684745</v>
      </c>
      <c r="E58" s="26" t="n">
        <f aca="false">E54+E57</f>
        <v>659.626141524562</v>
      </c>
      <c r="F58" s="26" t="n">
        <f aca="false">F54+F57</f>
        <v>659.990427983742</v>
      </c>
      <c r="G58" s="26" t="n">
        <f aca="false">G54+G57</f>
        <v>627.135298031068</v>
      </c>
      <c r="H58" s="26" t="n">
        <f aca="false">H54+H57</f>
        <v>619.156374778956</v>
      </c>
      <c r="I58" s="26" t="n">
        <f aca="false">I54+I57</f>
        <v>769.480729714192</v>
      </c>
      <c r="J58" s="26" t="n">
        <f aca="false">J54+J57</f>
        <v>653.892376052484</v>
      </c>
      <c r="K58" s="26" t="n">
        <f aca="false">K54+K57</f>
        <v>1030.55190002974</v>
      </c>
      <c r="L58" s="26" t="n">
        <f aca="false">L54+L57</f>
        <v>1609.71789556824</v>
      </c>
      <c r="M58" s="26" t="n">
        <f aca="false">M54+M57</f>
        <v>1913.44828043444</v>
      </c>
      <c r="N58" s="26" t="n">
        <f aca="false">SUM(B58:M58)</f>
        <v>9672.80904043879</v>
      </c>
      <c r="O58" s="66" t="n">
        <f aca="false">O54+O57</f>
        <v>6905.0877963</v>
      </c>
    </row>
    <row r="59" customFormat="false" ht="15" hidden="false" customHeight="true" outlineLevel="0" collapsed="false"/>
    <row r="60" customFormat="false" ht="12.75" hidden="false" customHeight="false" outlineLevel="0" collapsed="false">
      <c r="A60" s="67" t="s">
        <v>111</v>
      </c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8"/>
      <c r="N60" s="67"/>
      <c r="O60" s="67"/>
    </row>
    <row r="61" customFormat="false" ht="12.75" hidden="false" customHeight="false" outlineLevel="0" collapsed="false">
      <c r="A61" s="50" t="s">
        <v>112</v>
      </c>
      <c r="B61" s="69" t="n">
        <f aca="false">'М+ справочно'!C34</f>
        <v>337.892813337882</v>
      </c>
      <c r="C61" s="69" t="n">
        <f aca="false">'М+ справочно'!D34</f>
        <v>365.733248557982</v>
      </c>
      <c r="D61" s="69" t="n">
        <f aca="false">'М+ справочно'!E34</f>
        <v>377.391899028058</v>
      </c>
      <c r="E61" s="69" t="n">
        <f aca="false">'М+ справочно'!F34</f>
        <v>394.581850118611</v>
      </c>
      <c r="F61" s="69" t="n">
        <f aca="false">'М+ справочно'!G34</f>
        <v>414.447459792765</v>
      </c>
      <c r="G61" s="69" t="n">
        <f aca="false">'М+ справочно'!H34</f>
        <v>435.072522501306</v>
      </c>
      <c r="H61" s="69" t="n">
        <f aca="false">'М+ справочно'!I34</f>
        <v>455.651586281225</v>
      </c>
      <c r="I61" s="69" t="n">
        <f aca="false">'М+ справочно'!J34</f>
        <v>478.679739499093</v>
      </c>
      <c r="J61" s="69" t="n">
        <f aca="false">'М+ справочно'!K34</f>
        <v>507.061642781086</v>
      </c>
      <c r="K61" s="69" t="n">
        <f aca="false">'М+ справочно'!L34</f>
        <v>532.802642929373</v>
      </c>
      <c r="L61" s="69" t="n">
        <f aca="false">'М+ справочно'!M34</f>
        <v>559.060379177406</v>
      </c>
      <c r="M61" s="69" t="n">
        <f aca="false">'М+ справочно'!N34</f>
        <v>586.026104037395</v>
      </c>
      <c r="N61" s="69" t="n">
        <f aca="false">SUM(B61:M61)</f>
        <v>5444.40188804218</v>
      </c>
      <c r="O61" s="69" t="n">
        <f aca="false">'М+ справочно'!P34</f>
        <v>3007</v>
      </c>
      <c r="P61" s="70" t="n">
        <f aca="false">IFERROR(N61/O61-1,"")</f>
        <v>0.810575952125767</v>
      </c>
    </row>
    <row r="62" customFormat="false" ht="12.75" hidden="false" customHeight="false" outlineLevel="0" collapsed="false">
      <c r="A62" s="52"/>
      <c r="M62" s="71"/>
      <c r="N62" s="72"/>
      <c r="O62" s="72"/>
    </row>
    <row r="63" customFormat="false" ht="12.75" hidden="false" customHeight="false" outlineLevel="0" collapsed="false">
      <c r="M63" s="71"/>
      <c r="O63" s="73"/>
    </row>
    <row r="70" customFormat="false" ht="13.5" hidden="false" customHeight="false" outlineLevel="0" collapsed="false">
      <c r="I70" s="77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R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2.75" zeroHeight="false" outlineLevelRow="0" outlineLevelCol="0"/>
  <cols>
    <col collapsed="false" customWidth="true" hidden="false" outlineLevel="0" max="1" min="1" style="49" width="34.16"/>
    <col collapsed="false" customWidth="true" hidden="false" outlineLevel="0" max="2" min="2" style="49" width="26.33"/>
    <col collapsed="false" customWidth="false" hidden="false" outlineLevel="0" max="16384" min="3" style="49" width="8.67"/>
  </cols>
  <sheetData>
    <row r="1" customFormat="false" ht="12.75" hidden="false" customHeight="false" outlineLevel="0" collapsed="false">
      <c r="A1" s="50" t="s">
        <v>117</v>
      </c>
      <c r="B1" s="49" t="s">
        <v>118</v>
      </c>
      <c r="R1" s="78" t="s">
        <v>119</v>
      </c>
    </row>
    <row r="2" customFormat="false" ht="12.75" hidden="false" customHeight="true" outlineLevel="0" collapsed="false">
      <c r="A2" s="79" t="s">
        <v>120</v>
      </c>
      <c r="B2" s="80" t="s">
        <v>121</v>
      </c>
      <c r="C2" s="81" t="s">
        <v>122</v>
      </c>
      <c r="D2" s="81" t="s">
        <v>123</v>
      </c>
      <c r="E2" s="81" t="s">
        <v>124</v>
      </c>
      <c r="F2" s="81" t="s">
        <v>125</v>
      </c>
      <c r="G2" s="81" t="s">
        <v>126</v>
      </c>
      <c r="H2" s="81" t="s">
        <v>127</v>
      </c>
      <c r="I2" s="81" t="s">
        <v>128</v>
      </c>
      <c r="J2" s="81" t="s">
        <v>129</v>
      </c>
      <c r="K2" s="81" t="s">
        <v>130</v>
      </c>
      <c r="L2" s="81" t="s">
        <v>131</v>
      </c>
      <c r="M2" s="81" t="s">
        <v>132</v>
      </c>
      <c r="N2" s="81" t="s">
        <v>133</v>
      </c>
      <c r="O2" s="81" t="s">
        <v>134</v>
      </c>
    </row>
    <row r="3" customFormat="false" ht="12.75" hidden="false" customHeight="false" outlineLevel="0" collapsed="false">
      <c r="A3" s="82" t="n">
        <v>2026</v>
      </c>
      <c r="B3" s="83" t="s">
        <v>135</v>
      </c>
      <c r="C3" s="84" t="n">
        <v>21.478606</v>
      </c>
      <c r="D3" s="84" t="n">
        <v>21.386288</v>
      </c>
      <c r="E3" s="84" t="n">
        <v>22.602234</v>
      </c>
      <c r="F3" s="84" t="n">
        <v>22.935127</v>
      </c>
      <c r="G3" s="84" t="n">
        <v>24.267083</v>
      </c>
      <c r="H3" s="84" t="n">
        <v>24.884086</v>
      </c>
      <c r="I3" s="84" t="n">
        <v>25.381996</v>
      </c>
      <c r="J3" s="85" t="n">
        <v>25.928896</v>
      </c>
      <c r="K3" s="85" t="n">
        <v>26.2610947991095</v>
      </c>
      <c r="L3" s="85" t="n">
        <v>26.7755430093579</v>
      </c>
      <c r="M3" s="85" t="n">
        <v>27.0070947264902</v>
      </c>
      <c r="N3" s="85" t="n">
        <v>28.106857496467</v>
      </c>
      <c r="O3" s="85" t="n">
        <f aca="false">SUM(C3:N3)</f>
        <v>297.014906031425</v>
      </c>
      <c r="P3" s="86"/>
      <c r="Q3" s="87" t="s">
        <v>136</v>
      </c>
    </row>
    <row r="4" customFormat="false" ht="12.75" hidden="false" customHeight="false" outlineLevel="0" collapsed="false">
      <c r="A4" s="82" t="n">
        <v>2027</v>
      </c>
      <c r="B4" s="83" t="s">
        <v>135</v>
      </c>
      <c r="C4" s="85" t="n">
        <v>27.4683606707349</v>
      </c>
      <c r="D4" s="85" t="n">
        <v>27.41936335219</v>
      </c>
      <c r="E4" s="85" t="n">
        <v>28.2672299182471</v>
      </c>
      <c r="F4" s="85" t="n">
        <v>28.5238359915616</v>
      </c>
      <c r="G4" s="85" t="n">
        <v>28.9805854248963</v>
      </c>
      <c r="H4" s="85" t="n">
        <v>29.1814373153657</v>
      </c>
      <c r="I4" s="85" t="n">
        <v>29.5842713856922</v>
      </c>
      <c r="J4" s="85" t="n">
        <v>29.8000680520474</v>
      </c>
      <c r="K4" s="85" t="n">
        <v>29.9502037993158</v>
      </c>
      <c r="L4" s="85" t="n">
        <v>30.3611337325018</v>
      </c>
      <c r="M4" s="85" t="n">
        <v>30.5343057628474</v>
      </c>
      <c r="N4" s="85" t="n">
        <v>31.1407002172082</v>
      </c>
      <c r="O4" s="85" t="n">
        <f aca="false">SUM(C4:N4)</f>
        <v>351.211495622608</v>
      </c>
      <c r="P4" s="86"/>
      <c r="Q4" s="88" t="s">
        <v>137</v>
      </c>
    </row>
    <row r="6" customFormat="false" ht="12.75" hidden="false" customHeight="false" outlineLevel="0" collapsed="false">
      <c r="B6" s="89" t="s">
        <v>138</v>
      </c>
      <c r="C6" s="90" t="n">
        <f aca="false">C4/$O$4</f>
        <v>0.0782103120572421</v>
      </c>
      <c r="D6" s="90" t="n">
        <f aca="false">D4/$O$4</f>
        <v>0.0780708026187539</v>
      </c>
      <c r="E6" s="90" t="n">
        <f aca="false">E4/$O$4</f>
        <v>0.0804849222493031</v>
      </c>
      <c r="F6" s="90" t="n">
        <f aca="false">F4/$O$4</f>
        <v>0.0812155534402316</v>
      </c>
      <c r="G6" s="90" t="n">
        <f aca="false">G4/$O$4</f>
        <v>0.0825160502606019</v>
      </c>
      <c r="H6" s="90" t="n">
        <f aca="false">H4/$O$4</f>
        <v>0.0830879332797307</v>
      </c>
      <c r="I6" s="90" t="n">
        <f aca="false">I4/$O$4</f>
        <v>0.0842349175765071</v>
      </c>
      <c r="J6" s="90" t="n">
        <f aca="false">J4/$O$4</f>
        <v>0.0848493526648935</v>
      </c>
      <c r="K6" s="90" t="n">
        <f aca="false">K4/$O$4</f>
        <v>0.0852768322580721</v>
      </c>
      <c r="L6" s="90" t="n">
        <f aca="false">L4/$O$4</f>
        <v>0.0864468678016341</v>
      </c>
      <c r="M6" s="90" t="n">
        <f aca="false">M4/$O$4</f>
        <v>0.0869399383090177</v>
      </c>
      <c r="N6" s="90" t="n">
        <f aca="false">N4/$O$4</f>
        <v>0.0886665174840125</v>
      </c>
      <c r="O6" s="90" t="n">
        <f aca="false">O4/$O$4</f>
        <v>1</v>
      </c>
    </row>
    <row r="8" customFormat="false" ht="12.75" hidden="false" customHeight="false" outlineLevel="0" collapsed="false">
      <c r="A8" s="52" t="s">
        <v>139</v>
      </c>
    </row>
    <row r="9" customFormat="false" ht="12.75" hidden="false" customHeight="true" outlineLevel="0" collapsed="false">
      <c r="A9" s="9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M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2"/>
    <col collapsed="false" customWidth="true" hidden="false" outlineLevel="0" max="10" min="3" style="1" width="13"/>
    <col collapsed="false" customWidth="true" hidden="false" outlineLevel="0" max="11" min="11" style="1" width="16"/>
    <col collapsed="false" customWidth="true" hidden="false" outlineLevel="0" max="12" min="12" style="1" width="13"/>
  </cols>
  <sheetData>
    <row r="1" customFormat="false" ht="15" hidden="false" customHeight="false" outlineLevel="0" collapsed="false">
      <c r="A1" s="50" t="s">
        <v>140</v>
      </c>
    </row>
    <row r="2" customFormat="false" ht="15" hidden="false" customHeight="false" outlineLevel="0" collapsed="false">
      <c r="A2" s="52" t="s">
        <v>141</v>
      </c>
    </row>
    <row r="4" customFormat="false" ht="15" hidden="false" customHeight="false" outlineLevel="0" collapsed="false">
      <c r="A4" s="67" t="s">
        <v>142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78" t="s">
        <v>143</v>
      </c>
    </row>
    <row r="5" customFormat="false" ht="15" hidden="false" customHeight="false" outlineLevel="0" collapsed="false">
      <c r="A5" s="92" t="s">
        <v>144</v>
      </c>
      <c r="B5" s="92"/>
      <c r="C5" s="92" t="s">
        <v>9</v>
      </c>
      <c r="D5" s="92" t="s">
        <v>10</v>
      </c>
      <c r="E5" s="92" t="s">
        <v>11</v>
      </c>
      <c r="F5" s="92" t="s">
        <v>12</v>
      </c>
      <c r="G5" s="92" t="s">
        <v>13</v>
      </c>
      <c r="H5" s="92" t="s">
        <v>14</v>
      </c>
      <c r="I5" s="92" t="s">
        <v>15</v>
      </c>
      <c r="J5" s="92" t="s">
        <v>16</v>
      </c>
      <c r="K5" s="92" t="s">
        <v>145</v>
      </c>
      <c r="L5" s="92" t="s">
        <v>146</v>
      </c>
    </row>
    <row r="6" customFormat="false" ht="15" hidden="false" customHeight="false" outlineLevel="0" collapsed="false">
      <c r="A6" s="36" t="s">
        <v>147</v>
      </c>
      <c r="C6" s="93" t="n">
        <v>108751651</v>
      </c>
      <c r="D6" s="93" t="n">
        <v>120234971</v>
      </c>
      <c r="E6" s="93" t="n">
        <v>207868368</v>
      </c>
      <c r="F6" s="93" t="n">
        <v>128867024</v>
      </c>
      <c r="G6" s="93" t="n">
        <v>162792943</v>
      </c>
      <c r="H6" s="93" t="n">
        <v>209915491</v>
      </c>
      <c r="I6" s="93" t="n">
        <v>204852089</v>
      </c>
      <c r="J6" s="93" t="n">
        <v>202538053</v>
      </c>
      <c r="K6" s="94" t="n">
        <f aca="false">SUM(C6:J6)</f>
        <v>1345820590</v>
      </c>
      <c r="L6" s="95" t="n">
        <f aca="false">IFERROR(K6/K33,0)</f>
        <v>0.312118924840068</v>
      </c>
    </row>
    <row r="7" customFormat="false" ht="15" hidden="false" customHeight="false" outlineLevel="0" collapsed="false">
      <c r="A7" s="36" t="s">
        <v>148</v>
      </c>
      <c r="C7" s="93" t="n">
        <v>64339578</v>
      </c>
      <c r="D7" s="93" t="n">
        <v>51573093</v>
      </c>
      <c r="E7" s="93" t="n">
        <v>98229351</v>
      </c>
      <c r="F7" s="93" t="n">
        <v>93689400</v>
      </c>
      <c r="G7" s="93" t="n">
        <v>104305180</v>
      </c>
      <c r="H7" s="93" t="n">
        <v>88426327</v>
      </c>
      <c r="I7" s="93" t="n">
        <v>54438687</v>
      </c>
      <c r="J7" s="93" t="n">
        <v>45714667</v>
      </c>
      <c r="K7" s="94" t="n">
        <f aca="false">SUM(C7:J7)</f>
        <v>600716283</v>
      </c>
      <c r="L7" s="95" t="n">
        <f aca="false">IFERROR(K7/K34,0)</f>
        <v>0.563712134450883</v>
      </c>
    </row>
    <row r="8" customFormat="false" ht="15" hidden="false" customHeight="false" outlineLevel="0" collapsed="false">
      <c r="A8" s="36" t="s">
        <v>149</v>
      </c>
      <c r="C8" s="93" t="n">
        <v>103401163</v>
      </c>
      <c r="D8" s="93" t="n">
        <v>84692074</v>
      </c>
      <c r="E8" s="93" t="n">
        <v>51773130</v>
      </c>
      <c r="F8" s="93" t="n">
        <v>36534804</v>
      </c>
      <c r="G8" s="93" t="n">
        <v>37458883</v>
      </c>
      <c r="H8" s="93" t="n">
        <v>39211676</v>
      </c>
      <c r="I8" s="93" t="n">
        <v>41838843</v>
      </c>
      <c r="J8" s="93" t="n">
        <v>43468782</v>
      </c>
      <c r="K8" s="94" t="n">
        <f aca="false">SUM(C8:J8)</f>
        <v>438379355</v>
      </c>
      <c r="L8" s="95" t="n">
        <f aca="false">IFERROR(K8/K35,0)</f>
        <v>0.561571441638535</v>
      </c>
    </row>
    <row r="9" customFormat="false" ht="15" hidden="false" customHeight="false" outlineLevel="0" collapsed="false">
      <c r="A9" s="36" t="s">
        <v>150</v>
      </c>
      <c r="C9" s="93" t="n">
        <v>57723291</v>
      </c>
      <c r="D9" s="93" t="n">
        <v>45723567</v>
      </c>
      <c r="E9" s="93" t="n">
        <v>42867338</v>
      </c>
      <c r="F9" s="93" t="n">
        <v>55101658</v>
      </c>
      <c r="G9" s="93" t="n">
        <v>56349529</v>
      </c>
      <c r="H9" s="93" t="n">
        <v>49654255</v>
      </c>
      <c r="I9" s="93" t="n">
        <v>57138982</v>
      </c>
      <c r="J9" s="93" t="n">
        <v>48851421</v>
      </c>
      <c r="K9" s="94" t="n">
        <f aca="false">SUM(C9:J9)</f>
        <v>413410041</v>
      </c>
      <c r="L9" s="95" t="n">
        <f aca="false">IFERROR(K9/K36,0)</f>
        <v>0.553696094845757</v>
      </c>
    </row>
    <row r="10" customFormat="false" ht="15" hidden="false" customHeight="false" outlineLevel="0" collapsed="false">
      <c r="A10" s="36" t="s">
        <v>151</v>
      </c>
      <c r="C10" s="93" t="n">
        <v>85297467</v>
      </c>
      <c r="D10" s="93" t="n">
        <v>62769757</v>
      </c>
      <c r="E10" s="93" t="n">
        <v>33282253</v>
      </c>
      <c r="F10" s="93" t="n">
        <v>31456586</v>
      </c>
      <c r="G10" s="93" t="n">
        <v>33250726</v>
      </c>
      <c r="H10" s="93" t="n">
        <v>27346069</v>
      </c>
      <c r="I10" s="93" t="n">
        <v>30837230</v>
      </c>
      <c r="J10" s="93" t="n">
        <v>39006865</v>
      </c>
      <c r="K10" s="94" t="n">
        <f aca="false">SUM(C10:J10)</f>
        <v>343246953</v>
      </c>
      <c r="L10" s="95" t="n">
        <f aca="false">IFERROR(K10/K37,0)</f>
        <v>0.491039482059231</v>
      </c>
    </row>
    <row r="11" customFormat="false" ht="15" hidden="false" customHeight="false" outlineLevel="0" collapsed="false">
      <c r="A11" s="36" t="s">
        <v>152</v>
      </c>
      <c r="C11" s="93" t="n">
        <v>39729799</v>
      </c>
      <c r="D11" s="93" t="n">
        <v>36814242</v>
      </c>
      <c r="E11" s="93" t="n">
        <v>22921405</v>
      </c>
      <c r="F11" s="93" t="n">
        <v>23624048</v>
      </c>
      <c r="G11" s="93" t="n">
        <v>23650226</v>
      </c>
      <c r="H11" s="93" t="n">
        <v>23968440</v>
      </c>
      <c r="I11" s="93" t="n">
        <v>19421256</v>
      </c>
      <c r="J11" s="93" t="n">
        <v>34895910</v>
      </c>
      <c r="K11" s="94" t="n">
        <f aca="false">SUM(C11:J11)</f>
        <v>225025326</v>
      </c>
      <c r="L11" s="95" t="n">
        <f aca="false">IFERROR(K11/K38,0)</f>
        <v>0.687323220700833</v>
      </c>
    </row>
    <row r="12" customFormat="false" ht="15" hidden="false" customHeight="false" outlineLevel="0" collapsed="false">
      <c r="A12" s="36" t="s">
        <v>153</v>
      </c>
      <c r="C12" s="93" t="n">
        <v>1507439</v>
      </c>
      <c r="D12" s="93" t="n">
        <v>11254903</v>
      </c>
      <c r="E12" s="93" t="n">
        <v>10190399</v>
      </c>
      <c r="F12" s="93" t="n">
        <v>25739949</v>
      </c>
      <c r="G12" s="93" t="n">
        <v>26997253</v>
      </c>
      <c r="H12" s="93" t="n">
        <v>26585981</v>
      </c>
      <c r="I12" s="93" t="n">
        <v>50199127</v>
      </c>
      <c r="J12" s="93" t="n">
        <v>19155738</v>
      </c>
      <c r="K12" s="94" t="n">
        <f aca="false">SUM(C12:J12)</f>
        <v>171630789</v>
      </c>
      <c r="L12" s="95" t="n">
        <f aca="false">IFERROR(K12/K39,0)</f>
        <v>0.165653008846547</v>
      </c>
    </row>
    <row r="13" customFormat="false" ht="15" hidden="false" customHeight="false" outlineLevel="0" collapsed="false">
      <c r="A13" s="36" t="s">
        <v>154</v>
      </c>
      <c r="C13" s="93" t="n">
        <v>14189577</v>
      </c>
      <c r="D13" s="93" t="n">
        <v>12493652</v>
      </c>
      <c r="E13" s="93" t="n">
        <v>10282061</v>
      </c>
      <c r="F13" s="93" t="n">
        <v>9260885</v>
      </c>
      <c r="G13" s="93" t="n">
        <v>11501486</v>
      </c>
      <c r="H13" s="93" t="n">
        <v>11467352</v>
      </c>
      <c r="I13" s="93" t="n">
        <v>7558322</v>
      </c>
      <c r="J13" s="93" t="n">
        <v>11265492</v>
      </c>
      <c r="K13" s="94" t="n">
        <f aca="false">SUM(C13:J13)</f>
        <v>88018827</v>
      </c>
      <c r="L13" s="95" t="n">
        <f aca="false">IFERROR(K13/K40,0)</f>
        <v>0.762066334472774</v>
      </c>
    </row>
    <row r="14" customFormat="false" ht="15" hidden="false" customHeight="false" outlineLevel="0" collapsed="false">
      <c r="A14" s="36" t="s">
        <v>155</v>
      </c>
      <c r="C14" s="93" t="n">
        <v>11323073</v>
      </c>
      <c r="D14" s="93" t="n">
        <v>12145830</v>
      </c>
      <c r="E14" s="93" t="n">
        <v>11431551</v>
      </c>
      <c r="F14" s="93" t="n">
        <v>5770352</v>
      </c>
      <c r="G14" s="93" t="n">
        <v>6922152</v>
      </c>
      <c r="H14" s="93" t="n">
        <v>6401635</v>
      </c>
      <c r="I14" s="93" t="n">
        <v>4267962</v>
      </c>
      <c r="J14" s="93" t="n">
        <v>8074738</v>
      </c>
      <c r="K14" s="94" t="n">
        <f aca="false">SUM(C14:J14)</f>
        <v>66337293</v>
      </c>
      <c r="L14" s="95" t="n">
        <f aca="false">IFERROR(K14/K41,0)</f>
        <v>0.421279382562374</v>
      </c>
    </row>
    <row r="15" customFormat="false" ht="15" hidden="false" customHeight="false" outlineLevel="0" collapsed="false">
      <c r="A15" s="36" t="s">
        <v>156</v>
      </c>
      <c r="C15" s="93" t="n">
        <v>5459276</v>
      </c>
      <c r="D15" s="93" t="n">
        <v>6092449</v>
      </c>
      <c r="E15" s="93" t="n">
        <v>12593411</v>
      </c>
      <c r="F15" s="93" t="n">
        <v>7380444</v>
      </c>
      <c r="G15" s="93" t="n">
        <v>7685516</v>
      </c>
      <c r="H15" s="93" t="n">
        <v>3988078</v>
      </c>
      <c r="I15" s="93" t="n">
        <v>2254953</v>
      </c>
      <c r="J15" s="93" t="n">
        <v>2817949</v>
      </c>
      <c r="K15" s="94" t="n">
        <f aca="false">SUM(C15:J15)</f>
        <v>48272076</v>
      </c>
      <c r="L15" s="95" t="n">
        <f aca="false">IFERROR(K15/K42,0)</f>
        <v>0.296605405875705</v>
      </c>
    </row>
    <row r="16" customFormat="false" ht="15" hidden="false" customHeight="false" outlineLevel="0" collapsed="false">
      <c r="A16" s="36" t="s">
        <v>157</v>
      </c>
      <c r="C16" s="93" t="n">
        <v>1765279</v>
      </c>
      <c r="D16" s="93" t="n">
        <v>3439965</v>
      </c>
      <c r="E16" s="93" t="n">
        <v>3563608</v>
      </c>
      <c r="F16" s="93" t="n">
        <v>3829073</v>
      </c>
      <c r="G16" s="93" t="n">
        <v>2621846</v>
      </c>
      <c r="H16" s="93" t="n">
        <v>2831652</v>
      </c>
      <c r="I16" s="93" t="n">
        <v>2858266</v>
      </c>
      <c r="J16" s="93" t="n">
        <v>2195808</v>
      </c>
      <c r="K16" s="94" t="n">
        <f aca="false">SUM(C16:J16)</f>
        <v>23105497</v>
      </c>
      <c r="L16" s="95" t="n">
        <f aca="false">IFERROR(K16/K43,0)</f>
        <v>0.631504213413167</v>
      </c>
    </row>
    <row r="17" customFormat="false" ht="15" hidden="false" customHeight="false" outlineLevel="0" collapsed="false">
      <c r="A17" s="36" t="s">
        <v>158</v>
      </c>
      <c r="C17" s="93" t="n">
        <v>8641675</v>
      </c>
      <c r="D17" s="93" t="n">
        <v>4862984</v>
      </c>
      <c r="E17" s="93" t="n">
        <v>3455250</v>
      </c>
      <c r="F17" s="93" t="n">
        <v>1234565</v>
      </c>
      <c r="G17" s="93" t="n">
        <v>2027552</v>
      </c>
      <c r="H17" s="93" t="n">
        <v>771797</v>
      </c>
      <c r="I17" s="93" t="n">
        <v>594381</v>
      </c>
      <c r="J17" s="93" t="n">
        <v>703133</v>
      </c>
      <c r="K17" s="94" t="n">
        <f aca="false">SUM(C17:J17)</f>
        <v>22291337</v>
      </c>
      <c r="L17" s="95" t="n">
        <f aca="false">IFERROR(K17/K44,0)</f>
        <v>0.351137637398777</v>
      </c>
    </row>
    <row r="18" customFormat="false" ht="15" hidden="false" customHeight="false" outlineLevel="0" collapsed="false">
      <c r="A18" s="36" t="s">
        <v>159</v>
      </c>
      <c r="C18" s="93" t="n">
        <v>0</v>
      </c>
      <c r="D18" s="93" t="n">
        <v>0</v>
      </c>
      <c r="E18" s="93" t="n">
        <v>0</v>
      </c>
      <c r="F18" s="93" t="n">
        <v>3709762</v>
      </c>
      <c r="G18" s="93" t="n">
        <v>5711347</v>
      </c>
      <c r="H18" s="93" t="n">
        <v>351778</v>
      </c>
      <c r="I18" s="93" t="n">
        <v>91378</v>
      </c>
      <c r="J18" s="93" t="n">
        <v>286</v>
      </c>
      <c r="K18" s="94" t="n">
        <f aca="false">SUM(C18:J18)</f>
        <v>9864551</v>
      </c>
      <c r="L18" s="95" t="n">
        <f aca="false">IFERROR(K18/K45,0)</f>
        <v>0.501013143953088</v>
      </c>
    </row>
    <row r="19" customFormat="false" ht="15" hidden="false" customHeight="false" outlineLevel="0" collapsed="false">
      <c r="A19" s="36" t="s">
        <v>160</v>
      </c>
      <c r="C19" s="93" t="n">
        <v>874106</v>
      </c>
      <c r="D19" s="93" t="n">
        <v>837382</v>
      </c>
      <c r="E19" s="93" t="n">
        <v>672419</v>
      </c>
      <c r="F19" s="93" t="n">
        <v>584962</v>
      </c>
      <c r="G19" s="93" t="n">
        <v>620857</v>
      </c>
      <c r="H19" s="93" t="n">
        <v>505250</v>
      </c>
      <c r="I19" s="93" t="n">
        <v>256696</v>
      </c>
      <c r="J19" s="93" t="n">
        <v>326921</v>
      </c>
      <c r="K19" s="94" t="n">
        <f aca="false">SUM(C19:J19)</f>
        <v>4678593</v>
      </c>
      <c r="L19" s="95" t="n">
        <f aca="false">IFERROR(K19/K46,0)</f>
        <v>1</v>
      </c>
    </row>
    <row r="20" customFormat="false" ht="15" hidden="false" customHeight="false" outlineLevel="0" collapsed="false">
      <c r="A20" s="36" t="s">
        <v>161</v>
      </c>
      <c r="C20" s="93" t="n">
        <v>1471213</v>
      </c>
      <c r="D20" s="93" t="n">
        <v>13811</v>
      </c>
      <c r="E20" s="93" t="n">
        <v>279272</v>
      </c>
      <c r="F20" s="93" t="n">
        <v>135608</v>
      </c>
      <c r="G20" s="93" t="n">
        <v>217676</v>
      </c>
      <c r="H20" s="93" t="n">
        <v>16</v>
      </c>
      <c r="I20" s="93" t="n">
        <v>334312</v>
      </c>
      <c r="J20" s="93" t="n">
        <v>1600187</v>
      </c>
      <c r="K20" s="94" t="n">
        <f aca="false">SUM(C20:J20)</f>
        <v>4052095</v>
      </c>
      <c r="L20" s="95" t="n">
        <f aca="false">IFERROR(K20/K47,0)</f>
        <v>0.0269356811620796</v>
      </c>
    </row>
    <row r="21" customFormat="false" ht="15" hidden="false" customHeight="false" outlineLevel="0" collapsed="false">
      <c r="A21" s="36" t="s">
        <v>162</v>
      </c>
      <c r="C21" s="93" t="n">
        <v>815091</v>
      </c>
      <c r="D21" s="93" t="n">
        <v>782488</v>
      </c>
      <c r="E21" s="93" t="n">
        <v>997135</v>
      </c>
      <c r="F21" s="93" t="n">
        <v>172215</v>
      </c>
      <c r="G21" s="93" t="n">
        <v>364248</v>
      </c>
      <c r="H21" s="93" t="n">
        <v>151680</v>
      </c>
      <c r="I21" s="93" t="n">
        <v>77</v>
      </c>
      <c r="J21" s="93" t="n">
        <v>77102</v>
      </c>
      <c r="K21" s="94" t="n">
        <f aca="false">SUM(C21:J21)</f>
        <v>3360036</v>
      </c>
      <c r="L21" s="95" t="n">
        <f aca="false">IFERROR(K21/K48,0)</f>
        <v>0.491409852925239</v>
      </c>
    </row>
    <row r="22" customFormat="false" ht="15" hidden="false" customHeight="false" outlineLevel="0" collapsed="false">
      <c r="A22" s="36" t="s">
        <v>163</v>
      </c>
      <c r="C22" s="93" t="n">
        <v>176786</v>
      </c>
      <c r="D22" s="93" t="n">
        <v>427314</v>
      </c>
      <c r="E22" s="93" t="n">
        <v>392154</v>
      </c>
      <c r="F22" s="93" t="n">
        <v>363660</v>
      </c>
      <c r="G22" s="93" t="n">
        <v>361457</v>
      </c>
      <c r="H22" s="93" t="n">
        <v>362934</v>
      </c>
      <c r="I22" s="93" t="n">
        <v>231489</v>
      </c>
      <c r="J22" s="93" t="n">
        <v>66950</v>
      </c>
      <c r="K22" s="94" t="n">
        <f aca="false">SUM(C22:J22)</f>
        <v>2382744</v>
      </c>
      <c r="L22" s="95" t="n">
        <f aca="false">IFERROR(K22/K49,0)</f>
        <v>0.655438204627071</v>
      </c>
    </row>
    <row r="23" customFormat="false" ht="15" hidden="false" customHeight="false" outlineLevel="0" collapsed="false">
      <c r="A23" s="36" t="s">
        <v>164</v>
      </c>
      <c r="C23" s="93" t="n">
        <v>2</v>
      </c>
      <c r="D23" s="93" t="n">
        <v>102664</v>
      </c>
      <c r="E23" s="93" t="n">
        <v>228851</v>
      </c>
      <c r="F23" s="93" t="n">
        <v>120942</v>
      </c>
      <c r="G23" s="93" t="n">
        <v>123930</v>
      </c>
      <c r="H23" s="93" t="n">
        <v>25271</v>
      </c>
      <c r="I23" s="93" t="n">
        <v>221461</v>
      </c>
      <c r="J23" s="93" t="n">
        <v>669098</v>
      </c>
      <c r="K23" s="94" t="n">
        <f aca="false">SUM(C23:J23)</f>
        <v>1492219</v>
      </c>
      <c r="L23" s="95" t="n">
        <f aca="false">IFERROR(K23/K50,0)</f>
        <v>0.328816443345221</v>
      </c>
    </row>
    <row r="24" customFormat="false" ht="15" hidden="false" customHeight="false" outlineLevel="0" collapsed="false">
      <c r="A24" s="36" t="s">
        <v>165</v>
      </c>
      <c r="C24" s="93" t="n">
        <v>213733</v>
      </c>
      <c r="D24" s="93" t="n">
        <v>18322</v>
      </c>
      <c r="E24" s="93" t="n">
        <v>1</v>
      </c>
      <c r="F24" s="93" t="n">
        <v>223050</v>
      </c>
      <c r="G24" s="93" t="n">
        <v>512054</v>
      </c>
      <c r="H24" s="93" t="n">
        <v>47560</v>
      </c>
      <c r="I24" s="93" t="n">
        <v>4</v>
      </c>
      <c r="J24" s="93" t="n">
        <v>20050</v>
      </c>
      <c r="K24" s="94" t="n">
        <f aca="false">SUM(C24:J24)</f>
        <v>1034774</v>
      </c>
      <c r="L24" s="95" t="n">
        <f aca="false">IFERROR(K24/K51,0)</f>
        <v>0.056758024992698</v>
      </c>
    </row>
    <row r="25" customFormat="false" ht="15" hidden="false" customHeight="false" outlineLevel="0" collapsed="false">
      <c r="A25" s="36" t="s">
        <v>166</v>
      </c>
      <c r="C25" s="93" t="n">
        <v>0</v>
      </c>
      <c r="D25" s="93" t="n">
        <v>0</v>
      </c>
      <c r="E25" s="93" t="n">
        <v>187639</v>
      </c>
      <c r="F25" s="93" t="n">
        <v>33</v>
      </c>
      <c r="G25" s="93" t="n">
        <v>4</v>
      </c>
      <c r="H25" s="93" t="n">
        <v>5</v>
      </c>
      <c r="I25" s="93" t="n">
        <v>0</v>
      </c>
      <c r="J25" s="93" t="n">
        <v>3</v>
      </c>
      <c r="K25" s="94" t="n">
        <f aca="false">SUM(C25:J25)</f>
        <v>187684</v>
      </c>
      <c r="L25" s="95" t="n">
        <f aca="false">IFERROR(K25/K52,0)</f>
        <v>0.021597850111491</v>
      </c>
    </row>
    <row r="26" customFormat="false" ht="15" hidden="false" customHeight="false" outlineLevel="0" collapsed="false">
      <c r="A26" s="36" t="s">
        <v>167</v>
      </c>
      <c r="C26" s="93" t="n">
        <v>0</v>
      </c>
      <c r="D26" s="93" t="n">
        <v>0</v>
      </c>
      <c r="E26" s="93" t="n">
        <v>0</v>
      </c>
      <c r="F26" s="93" t="n">
        <v>0</v>
      </c>
      <c r="G26" s="93" t="n">
        <v>0</v>
      </c>
      <c r="H26" s="93" t="n">
        <v>0</v>
      </c>
      <c r="I26" s="93" t="n">
        <v>0</v>
      </c>
      <c r="J26" s="93" t="n">
        <v>94778</v>
      </c>
      <c r="K26" s="94" t="n">
        <f aca="false">SUM(C26:J26)</f>
        <v>94778</v>
      </c>
      <c r="L26" s="95" t="n">
        <f aca="false">IFERROR(K26/K53,0)</f>
        <v>0.00029933297648645</v>
      </c>
    </row>
    <row r="27" customFormat="false" ht="15" hidden="false" customHeight="false" outlineLevel="0" collapsed="false">
      <c r="A27" s="36" t="s">
        <v>168</v>
      </c>
      <c r="C27" s="93" t="n">
        <v>0</v>
      </c>
      <c r="D27" s="93" t="n">
        <v>0</v>
      </c>
      <c r="E27" s="93" t="n">
        <v>0</v>
      </c>
      <c r="F27" s="93" t="n">
        <v>0</v>
      </c>
      <c r="G27" s="93" t="n">
        <v>0</v>
      </c>
      <c r="H27" s="93" t="n">
        <v>0</v>
      </c>
      <c r="I27" s="93" t="n">
        <v>0</v>
      </c>
      <c r="J27" s="93" t="n">
        <v>0</v>
      </c>
      <c r="K27" s="94" t="n">
        <f aca="false">SUM(C27:J27)</f>
        <v>0</v>
      </c>
      <c r="L27" s="95" t="n">
        <f aca="false">IFERROR(K27/K54,0)</f>
        <v>0</v>
      </c>
    </row>
    <row r="28" customFormat="false" ht="15" hidden="false" customHeight="false" outlineLevel="0" collapsed="false">
      <c r="A28" s="36" t="s">
        <v>169</v>
      </c>
      <c r="C28" s="93" t="n">
        <v>0</v>
      </c>
      <c r="D28" s="93" t="n">
        <v>0</v>
      </c>
      <c r="E28" s="93" t="n">
        <v>0</v>
      </c>
      <c r="F28" s="93" t="n">
        <v>0</v>
      </c>
      <c r="G28" s="93" t="n">
        <v>0</v>
      </c>
      <c r="H28" s="93" t="n">
        <v>0</v>
      </c>
      <c r="I28" s="93" t="n">
        <v>0</v>
      </c>
      <c r="J28" s="93" t="n">
        <v>0</v>
      </c>
      <c r="K28" s="94" t="n">
        <f aca="false">SUM(C28:J28)</f>
        <v>0</v>
      </c>
      <c r="L28" s="95" t="n">
        <f aca="false">IFERROR(K28/K55,0)</f>
        <v>0</v>
      </c>
    </row>
    <row r="29" customFormat="false" ht="15" hidden="false" customHeight="false" outlineLevel="0" collapsed="false">
      <c r="A29" s="50" t="s">
        <v>170</v>
      </c>
      <c r="C29" s="96" t="n">
        <f aca="false">SUM(C6:C28)</f>
        <v>505680199</v>
      </c>
      <c r="D29" s="96" t="n">
        <f aca="false">SUM(D6:D28)</f>
        <v>454279468</v>
      </c>
      <c r="E29" s="96" t="n">
        <f aca="false">SUM(E6:E28)</f>
        <v>511215596</v>
      </c>
      <c r="F29" s="96" t="n">
        <f aca="false">SUM(F6:F28)</f>
        <v>427799020</v>
      </c>
      <c r="G29" s="96" t="n">
        <f aca="false">SUM(G6:G28)</f>
        <v>483474865</v>
      </c>
      <c r="H29" s="96" t="n">
        <f aca="false">SUM(H6:H28)</f>
        <v>492013247</v>
      </c>
      <c r="I29" s="96" t="n">
        <f aca="false">SUM(I6:I28)</f>
        <v>477395515</v>
      </c>
      <c r="J29" s="96" t="n">
        <f aca="false">SUM(J6:J28)</f>
        <v>461543931</v>
      </c>
      <c r="K29" s="96" t="n">
        <f aca="false">SUM(K6:K28)</f>
        <v>3813401841</v>
      </c>
      <c r="L29" s="97" t="n">
        <f aca="false">IFERROR(K29/K56,0)</f>
        <v>0.370021022487686</v>
      </c>
    </row>
    <row r="31" customFormat="false" ht="15" hidden="false" customHeight="false" outlineLevel="0" collapsed="false">
      <c r="A31" s="67" t="s">
        <v>171</v>
      </c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78" t="s">
        <v>172</v>
      </c>
    </row>
    <row r="32" customFormat="false" ht="15" hidden="false" customHeight="false" outlineLevel="0" collapsed="false">
      <c r="A32" s="92" t="s">
        <v>144</v>
      </c>
      <c r="B32" s="92"/>
      <c r="C32" s="92" t="s">
        <v>9</v>
      </c>
      <c r="D32" s="92" t="s">
        <v>10</v>
      </c>
      <c r="E32" s="92" t="s">
        <v>11</v>
      </c>
      <c r="F32" s="92" t="s">
        <v>12</v>
      </c>
      <c r="G32" s="92" t="s">
        <v>13</v>
      </c>
      <c r="H32" s="92" t="s">
        <v>14</v>
      </c>
      <c r="I32" s="92" t="s">
        <v>15</v>
      </c>
      <c r="J32" s="92" t="s">
        <v>16</v>
      </c>
      <c r="K32" s="92" t="s">
        <v>145</v>
      </c>
    </row>
    <row r="33" customFormat="false" ht="15" hidden="false" customHeight="false" outlineLevel="0" collapsed="false">
      <c r="A33" s="36" t="s">
        <v>147</v>
      </c>
      <c r="C33" s="93" t="n">
        <v>601719364</v>
      </c>
      <c r="D33" s="93" t="n">
        <v>555654950</v>
      </c>
      <c r="E33" s="93" t="n">
        <v>595700137</v>
      </c>
      <c r="F33" s="93" t="n">
        <v>644446552</v>
      </c>
      <c r="G33" s="93" t="n">
        <v>509861663</v>
      </c>
      <c r="H33" s="93" t="n">
        <v>462252579</v>
      </c>
      <c r="I33" s="93" t="n">
        <v>446280527</v>
      </c>
      <c r="J33" s="93" t="n">
        <v>495968202</v>
      </c>
      <c r="K33" s="94" t="n">
        <f aca="false">SUM(C33:J33)</f>
        <v>4311883974</v>
      </c>
    </row>
    <row r="34" customFormat="false" ht="15" hidden="false" customHeight="false" outlineLevel="0" collapsed="false">
      <c r="A34" s="36" t="s">
        <v>148</v>
      </c>
      <c r="C34" s="93" t="n">
        <v>74706543</v>
      </c>
      <c r="D34" s="93" t="n">
        <v>64339540</v>
      </c>
      <c r="E34" s="93" t="n">
        <v>170148376</v>
      </c>
      <c r="F34" s="93" t="n">
        <v>200887650</v>
      </c>
      <c r="G34" s="93" t="n">
        <v>177471336</v>
      </c>
      <c r="H34" s="93" t="n">
        <v>176074297</v>
      </c>
      <c r="I34" s="93" t="n">
        <v>114435611</v>
      </c>
      <c r="J34" s="93" t="n">
        <v>87580344</v>
      </c>
      <c r="K34" s="94" t="n">
        <f aca="false">SUM(C34:J34)</f>
        <v>1065643697</v>
      </c>
    </row>
    <row r="35" customFormat="false" ht="15" hidden="false" customHeight="false" outlineLevel="0" collapsed="false">
      <c r="A35" s="36" t="s">
        <v>149</v>
      </c>
      <c r="C35" s="93" t="n">
        <v>130262413</v>
      </c>
      <c r="D35" s="93" t="n">
        <v>108921737</v>
      </c>
      <c r="E35" s="93" t="n">
        <v>90713173</v>
      </c>
      <c r="F35" s="93" t="n">
        <v>70286458</v>
      </c>
      <c r="G35" s="93" t="n">
        <v>71196370</v>
      </c>
      <c r="H35" s="93" t="n">
        <v>71280461</v>
      </c>
      <c r="I35" s="93" t="n">
        <v>71141519</v>
      </c>
      <c r="J35" s="93" t="n">
        <v>166827585</v>
      </c>
      <c r="K35" s="94" t="n">
        <f aca="false">SUM(C35:J35)</f>
        <v>780629716</v>
      </c>
    </row>
    <row r="36" customFormat="false" ht="15" hidden="false" customHeight="false" outlineLevel="0" collapsed="false">
      <c r="A36" s="36" t="s">
        <v>150</v>
      </c>
      <c r="C36" s="93" t="n">
        <v>84080510</v>
      </c>
      <c r="D36" s="93" t="n">
        <v>88172392</v>
      </c>
      <c r="E36" s="93" t="n">
        <v>80533230</v>
      </c>
      <c r="F36" s="93" t="n">
        <v>94842942</v>
      </c>
      <c r="G36" s="93" t="n">
        <v>94179074</v>
      </c>
      <c r="H36" s="93" t="n">
        <v>95052057</v>
      </c>
      <c r="I36" s="93" t="n">
        <v>106621308</v>
      </c>
      <c r="J36" s="93" t="n">
        <v>103155577</v>
      </c>
      <c r="K36" s="94" t="n">
        <f aca="false">SUM(C36:J36)</f>
        <v>746637090</v>
      </c>
    </row>
    <row r="37" customFormat="false" ht="15" hidden="false" customHeight="false" outlineLevel="0" collapsed="false">
      <c r="A37" s="36" t="s">
        <v>151</v>
      </c>
      <c r="C37" s="93" t="n">
        <v>134986016</v>
      </c>
      <c r="D37" s="93" t="n">
        <v>106511411</v>
      </c>
      <c r="E37" s="93" t="n">
        <v>82648980</v>
      </c>
      <c r="F37" s="93" t="n">
        <v>89550875</v>
      </c>
      <c r="G37" s="93" t="n">
        <v>75261204</v>
      </c>
      <c r="H37" s="93" t="n">
        <v>59821055</v>
      </c>
      <c r="I37" s="93" t="n">
        <v>56186105</v>
      </c>
      <c r="J37" s="93" t="n">
        <v>94055442</v>
      </c>
      <c r="K37" s="94" t="n">
        <f aca="false">SUM(C37:J37)</f>
        <v>699021088</v>
      </c>
    </row>
    <row r="38" customFormat="false" ht="15" hidden="false" customHeight="false" outlineLevel="0" collapsed="false">
      <c r="A38" s="36" t="s">
        <v>152</v>
      </c>
      <c r="C38" s="93" t="n">
        <v>39729799</v>
      </c>
      <c r="D38" s="93" t="n">
        <v>40148584</v>
      </c>
      <c r="E38" s="93" t="n">
        <v>29196321</v>
      </c>
      <c r="F38" s="93" t="n">
        <v>31478694</v>
      </c>
      <c r="G38" s="93" t="n">
        <v>37398813</v>
      </c>
      <c r="H38" s="93" t="n">
        <v>38221237</v>
      </c>
      <c r="I38" s="93" t="n">
        <v>33611834</v>
      </c>
      <c r="J38" s="93" t="n">
        <v>77608467</v>
      </c>
      <c r="K38" s="94" t="n">
        <f aca="false">SUM(C38:J38)</f>
        <v>327393749</v>
      </c>
    </row>
    <row r="39" customFormat="false" ht="15" hidden="false" customHeight="false" outlineLevel="0" collapsed="false">
      <c r="A39" s="36" t="s">
        <v>153</v>
      </c>
      <c r="C39" s="93" t="n">
        <v>18961577</v>
      </c>
      <c r="D39" s="93" t="n">
        <v>85461168</v>
      </c>
      <c r="E39" s="93" t="n">
        <v>114187249</v>
      </c>
      <c r="F39" s="93" t="n">
        <v>179616122</v>
      </c>
      <c r="G39" s="93" t="n">
        <v>152251557</v>
      </c>
      <c r="H39" s="93" t="n">
        <v>153132074</v>
      </c>
      <c r="I39" s="93" t="n">
        <v>185570597</v>
      </c>
      <c r="J39" s="93" t="n">
        <v>146905811</v>
      </c>
      <c r="K39" s="94" t="n">
        <f aca="false">SUM(C39:J39)</f>
        <v>1036086155</v>
      </c>
    </row>
    <row r="40" customFormat="false" ht="15" hidden="false" customHeight="false" outlineLevel="0" collapsed="false">
      <c r="A40" s="36" t="s">
        <v>154</v>
      </c>
      <c r="C40" s="93" t="n">
        <v>19573863</v>
      </c>
      <c r="D40" s="93" t="n">
        <v>17761714</v>
      </c>
      <c r="E40" s="93" t="n">
        <v>13804626</v>
      </c>
      <c r="F40" s="93" t="n">
        <v>10902630</v>
      </c>
      <c r="G40" s="93" t="n">
        <v>12900038</v>
      </c>
      <c r="H40" s="93" t="n">
        <v>13679384</v>
      </c>
      <c r="I40" s="93" t="n">
        <v>12806836</v>
      </c>
      <c r="J40" s="93" t="n">
        <v>14071126</v>
      </c>
      <c r="K40" s="94" t="n">
        <f aca="false">SUM(C40:J40)</f>
        <v>115500217</v>
      </c>
    </row>
    <row r="41" customFormat="false" ht="15" hidden="false" customHeight="false" outlineLevel="0" collapsed="false">
      <c r="A41" s="36" t="s">
        <v>155</v>
      </c>
      <c r="C41" s="93" t="n">
        <v>27970638</v>
      </c>
      <c r="D41" s="93" t="n">
        <v>27779619</v>
      </c>
      <c r="E41" s="93" t="n">
        <v>20755485</v>
      </c>
      <c r="F41" s="93" t="n">
        <v>14052032</v>
      </c>
      <c r="G41" s="93" t="n">
        <v>14587063</v>
      </c>
      <c r="H41" s="93" t="n">
        <v>13787197</v>
      </c>
      <c r="I41" s="93" t="n">
        <v>12273374</v>
      </c>
      <c r="J41" s="93" t="n">
        <v>26260862</v>
      </c>
      <c r="K41" s="94" t="n">
        <f aca="false">SUM(C41:J41)</f>
        <v>157466270</v>
      </c>
    </row>
    <row r="42" customFormat="false" ht="15" hidden="false" customHeight="false" outlineLevel="0" collapsed="false">
      <c r="A42" s="36" t="s">
        <v>156</v>
      </c>
      <c r="C42" s="93" t="n">
        <v>21678655</v>
      </c>
      <c r="D42" s="93" t="n">
        <v>21009966</v>
      </c>
      <c r="E42" s="93" t="n">
        <v>23596349</v>
      </c>
      <c r="F42" s="93" t="n">
        <v>25803769</v>
      </c>
      <c r="G42" s="93" t="n">
        <v>19969747</v>
      </c>
      <c r="H42" s="93" t="n">
        <v>15818330</v>
      </c>
      <c r="I42" s="93" t="n">
        <v>11124296</v>
      </c>
      <c r="J42" s="93" t="n">
        <v>23747358</v>
      </c>
      <c r="K42" s="94" t="n">
        <f aca="false">SUM(C42:J42)</f>
        <v>162748470</v>
      </c>
    </row>
    <row r="43" customFormat="false" ht="15" hidden="false" customHeight="false" outlineLevel="0" collapsed="false">
      <c r="A43" s="36" t="s">
        <v>157</v>
      </c>
      <c r="C43" s="93" t="n">
        <v>2950246</v>
      </c>
      <c r="D43" s="93" t="n">
        <v>5374537</v>
      </c>
      <c r="E43" s="93" t="n">
        <v>5647822</v>
      </c>
      <c r="F43" s="93" t="n">
        <v>4274596</v>
      </c>
      <c r="G43" s="93" t="n">
        <v>4370905</v>
      </c>
      <c r="H43" s="93" t="n">
        <v>4456288</v>
      </c>
      <c r="I43" s="93" t="n">
        <v>4693646</v>
      </c>
      <c r="J43" s="93" t="n">
        <v>4819993</v>
      </c>
      <c r="K43" s="94" t="n">
        <f aca="false">SUM(C43:J43)</f>
        <v>36588033</v>
      </c>
    </row>
    <row r="44" customFormat="false" ht="15" hidden="false" customHeight="false" outlineLevel="0" collapsed="false">
      <c r="A44" s="36" t="s">
        <v>158</v>
      </c>
      <c r="C44" s="93" t="n">
        <v>10640661</v>
      </c>
      <c r="D44" s="93" t="n">
        <v>6208138</v>
      </c>
      <c r="E44" s="93" t="n">
        <v>4941827</v>
      </c>
      <c r="F44" s="93" t="n">
        <v>2907389</v>
      </c>
      <c r="G44" s="93" t="n">
        <v>3774871</v>
      </c>
      <c r="H44" s="93" t="n">
        <v>1978707</v>
      </c>
      <c r="I44" s="93" t="n">
        <v>3889858</v>
      </c>
      <c r="J44" s="93" t="n">
        <v>29141738</v>
      </c>
      <c r="K44" s="94" t="n">
        <f aca="false">SUM(C44:J44)</f>
        <v>63483189</v>
      </c>
    </row>
    <row r="45" customFormat="false" ht="15" hidden="false" customHeight="false" outlineLevel="0" collapsed="false">
      <c r="A45" s="36" t="s">
        <v>159</v>
      </c>
      <c r="C45" s="93" t="n">
        <v>864</v>
      </c>
      <c r="D45" s="93" t="n">
        <v>321</v>
      </c>
      <c r="E45" s="93" t="n">
        <v>1174</v>
      </c>
      <c r="F45" s="93" t="n">
        <v>7366077</v>
      </c>
      <c r="G45" s="93" t="n">
        <v>11661978</v>
      </c>
      <c r="H45" s="93" t="n">
        <v>562703</v>
      </c>
      <c r="I45" s="93" t="n">
        <v>95747</v>
      </c>
      <c r="J45" s="93" t="n">
        <v>342</v>
      </c>
      <c r="K45" s="94" t="n">
        <f aca="false">SUM(C45:J45)</f>
        <v>19689206</v>
      </c>
    </row>
    <row r="46" customFormat="false" ht="15" hidden="false" customHeight="false" outlineLevel="0" collapsed="false">
      <c r="A46" s="36" t="s">
        <v>160</v>
      </c>
      <c r="C46" s="93" t="n">
        <v>874106</v>
      </c>
      <c r="D46" s="93" t="n">
        <v>837382</v>
      </c>
      <c r="E46" s="93" t="n">
        <v>672419</v>
      </c>
      <c r="F46" s="93" t="n">
        <v>584962</v>
      </c>
      <c r="G46" s="93" t="n">
        <v>620857</v>
      </c>
      <c r="H46" s="93" t="n">
        <v>505250</v>
      </c>
      <c r="I46" s="93" t="n">
        <v>256696</v>
      </c>
      <c r="J46" s="93" t="n">
        <v>326921</v>
      </c>
      <c r="K46" s="94" t="n">
        <f aca="false">SUM(C46:J46)</f>
        <v>4678593</v>
      </c>
    </row>
    <row r="47" customFormat="false" ht="15" hidden="false" customHeight="false" outlineLevel="0" collapsed="false">
      <c r="A47" s="36" t="s">
        <v>161</v>
      </c>
      <c r="C47" s="93" t="n">
        <v>16418496</v>
      </c>
      <c r="D47" s="93" t="n">
        <v>15543593</v>
      </c>
      <c r="E47" s="93" t="n">
        <v>12480804</v>
      </c>
      <c r="F47" s="93" t="n">
        <v>34528552</v>
      </c>
      <c r="G47" s="93" t="n">
        <v>19072092</v>
      </c>
      <c r="H47" s="93" t="n">
        <v>14687523</v>
      </c>
      <c r="I47" s="93" t="n">
        <v>13642377</v>
      </c>
      <c r="J47" s="93" t="n">
        <v>24062521</v>
      </c>
      <c r="K47" s="94" t="n">
        <f aca="false">SUM(C47:J47)</f>
        <v>150435958</v>
      </c>
    </row>
    <row r="48" customFormat="false" ht="15" hidden="false" customHeight="false" outlineLevel="0" collapsed="false">
      <c r="A48" s="36" t="s">
        <v>162</v>
      </c>
      <c r="C48" s="93" t="n">
        <v>1226315</v>
      </c>
      <c r="D48" s="93" t="n">
        <v>1215749</v>
      </c>
      <c r="E48" s="93" t="n">
        <v>1312112</v>
      </c>
      <c r="F48" s="93" t="n">
        <v>443376</v>
      </c>
      <c r="G48" s="93" t="n">
        <v>530707</v>
      </c>
      <c r="H48" s="93" t="n">
        <v>475647</v>
      </c>
      <c r="I48" s="93" t="n">
        <v>818390</v>
      </c>
      <c r="J48" s="93" t="n">
        <v>815247</v>
      </c>
      <c r="K48" s="94" t="n">
        <f aca="false">SUM(C48:J48)</f>
        <v>6837543</v>
      </c>
    </row>
    <row r="49" customFormat="false" ht="15" hidden="false" customHeight="false" outlineLevel="0" collapsed="false">
      <c r="A49" s="36" t="s">
        <v>163</v>
      </c>
      <c r="C49" s="93" t="n">
        <v>312815</v>
      </c>
      <c r="D49" s="93" t="n">
        <v>427314</v>
      </c>
      <c r="E49" s="93" t="n">
        <v>392155</v>
      </c>
      <c r="F49" s="93" t="n">
        <v>371255</v>
      </c>
      <c r="G49" s="93" t="n">
        <v>501877</v>
      </c>
      <c r="H49" s="93" t="n">
        <v>648296</v>
      </c>
      <c r="I49" s="93" t="n">
        <v>547592</v>
      </c>
      <c r="J49" s="93" t="n">
        <v>434041</v>
      </c>
      <c r="K49" s="94" t="n">
        <f aca="false">SUM(C49:J49)</f>
        <v>3635345</v>
      </c>
    </row>
    <row r="50" customFormat="false" ht="15" hidden="false" customHeight="false" outlineLevel="0" collapsed="false">
      <c r="A50" s="36" t="s">
        <v>164</v>
      </c>
      <c r="C50" s="93" t="n">
        <v>475874</v>
      </c>
      <c r="D50" s="93" t="n">
        <v>444532</v>
      </c>
      <c r="E50" s="93" t="n">
        <v>670264</v>
      </c>
      <c r="F50" s="93" t="n">
        <v>493254</v>
      </c>
      <c r="G50" s="93" t="n">
        <v>469587</v>
      </c>
      <c r="H50" s="93" t="n">
        <v>452848</v>
      </c>
      <c r="I50" s="93" t="n">
        <v>619536</v>
      </c>
      <c r="J50" s="93" t="n">
        <v>912257</v>
      </c>
      <c r="K50" s="94" t="n">
        <f aca="false">SUM(C50:J50)</f>
        <v>4538152</v>
      </c>
    </row>
    <row r="51" customFormat="false" ht="15" hidden="false" customHeight="false" outlineLevel="0" collapsed="false">
      <c r="A51" s="36" t="s">
        <v>165</v>
      </c>
      <c r="C51" s="93" t="n">
        <v>2831999</v>
      </c>
      <c r="D51" s="93" t="n">
        <v>3218195</v>
      </c>
      <c r="E51" s="93" t="n">
        <v>2610871</v>
      </c>
      <c r="F51" s="93" t="n">
        <v>2004867</v>
      </c>
      <c r="G51" s="93" t="n">
        <v>1889486</v>
      </c>
      <c r="H51" s="93" t="n">
        <v>1589633</v>
      </c>
      <c r="I51" s="93" t="n">
        <v>1242452</v>
      </c>
      <c r="J51" s="93" t="n">
        <v>2843822</v>
      </c>
      <c r="K51" s="94" t="n">
        <f aca="false">SUM(C51:J51)</f>
        <v>18231325</v>
      </c>
    </row>
    <row r="52" customFormat="false" ht="15" hidden="false" customHeight="false" outlineLevel="0" collapsed="false">
      <c r="A52" s="36" t="s">
        <v>166</v>
      </c>
      <c r="C52" s="93" t="n">
        <v>609085</v>
      </c>
      <c r="D52" s="93" t="n">
        <v>779887</v>
      </c>
      <c r="E52" s="93" t="n">
        <v>1198402</v>
      </c>
      <c r="F52" s="93" t="n">
        <v>1975196</v>
      </c>
      <c r="G52" s="93" t="n">
        <v>2043621</v>
      </c>
      <c r="H52" s="93" t="n">
        <v>1002935</v>
      </c>
      <c r="I52" s="93" t="n">
        <v>764438</v>
      </c>
      <c r="J52" s="93" t="n">
        <v>316375</v>
      </c>
      <c r="K52" s="94" t="n">
        <f aca="false">SUM(C52:J52)</f>
        <v>8689939</v>
      </c>
    </row>
    <row r="53" customFormat="false" ht="15" hidden="false" customHeight="false" outlineLevel="0" collapsed="false">
      <c r="A53" s="36" t="s">
        <v>167</v>
      </c>
      <c r="C53" s="93" t="n">
        <v>243337963</v>
      </c>
      <c r="D53" s="93" t="n">
        <v>29213501</v>
      </c>
      <c r="E53" s="93" t="n">
        <v>36808</v>
      </c>
      <c r="F53" s="93" t="n">
        <v>803560</v>
      </c>
      <c r="G53" s="93" t="n">
        <v>1281</v>
      </c>
      <c r="H53" s="93" t="n">
        <v>1153</v>
      </c>
      <c r="I53" s="93" t="n">
        <v>43141045</v>
      </c>
      <c r="J53" s="93" t="n">
        <v>95356</v>
      </c>
      <c r="K53" s="94" t="n">
        <f aca="false">SUM(C53:J53)</f>
        <v>316630667</v>
      </c>
    </row>
    <row r="54" customFormat="false" ht="15" hidden="false" customHeight="false" outlineLevel="0" collapsed="false">
      <c r="A54" s="36" t="s">
        <v>168</v>
      </c>
      <c r="C54" s="93" t="n">
        <v>69727226</v>
      </c>
      <c r="D54" s="93" t="n">
        <v>51082023</v>
      </c>
      <c r="E54" s="93" t="n">
        <v>39655003</v>
      </c>
      <c r="F54" s="93" t="n">
        <v>17182562</v>
      </c>
      <c r="G54" s="93" t="n">
        <v>143</v>
      </c>
      <c r="H54" s="93" t="n">
        <v>17</v>
      </c>
      <c r="I54" s="93" t="n">
        <v>10</v>
      </c>
      <c r="J54" s="93" t="n">
        <v>9</v>
      </c>
      <c r="K54" s="94" t="n">
        <f aca="false">SUM(C54:J54)</f>
        <v>177646993</v>
      </c>
    </row>
    <row r="55" customFormat="false" ht="15" hidden="false" customHeight="false" outlineLevel="0" collapsed="false">
      <c r="A55" s="36" t="s">
        <v>169</v>
      </c>
      <c r="C55" s="93" t="n">
        <v>29824330</v>
      </c>
      <c r="D55" s="93" t="n">
        <v>38540242</v>
      </c>
      <c r="E55" s="93" t="n">
        <v>9872031</v>
      </c>
      <c r="F55" s="93" t="n">
        <v>6897916</v>
      </c>
      <c r="G55" s="93" t="n">
        <v>6181995</v>
      </c>
      <c r="H55" s="93" t="n">
        <v>493516</v>
      </c>
      <c r="I55" s="93" t="n">
        <v>237</v>
      </c>
      <c r="J55" s="93" t="n">
        <v>270</v>
      </c>
      <c r="K55" s="94" t="n">
        <f aca="false">SUM(C55:J55)</f>
        <v>91810537</v>
      </c>
    </row>
    <row r="56" customFormat="false" ht="15" hidden="false" customHeight="false" outlineLevel="0" collapsed="false">
      <c r="A56" s="50" t="s">
        <v>170</v>
      </c>
      <c r="C56" s="96" t="n">
        <f aca="false">SUM(C33:C55)</f>
        <v>1532899358</v>
      </c>
      <c r="D56" s="96" t="n">
        <f aca="false">SUM(D33:D55)</f>
        <v>1268646495</v>
      </c>
      <c r="E56" s="96" t="n">
        <f aca="false">SUM(E33:E55)</f>
        <v>1300775618</v>
      </c>
      <c r="F56" s="96" t="n">
        <f aca="false">SUM(F33:F55)</f>
        <v>1441701286</v>
      </c>
      <c r="G56" s="96" t="n">
        <f aca="false">SUM(G33:G55)</f>
        <v>1216196265</v>
      </c>
      <c r="H56" s="96" t="n">
        <f aca="false">SUM(H33:H55)</f>
        <v>1125973187</v>
      </c>
      <c r="I56" s="96" t="n">
        <f aca="false">SUM(I33:I55)</f>
        <v>1119764031</v>
      </c>
      <c r="J56" s="96" t="n">
        <f aca="false">SUM(J33:J55)</f>
        <v>1299949666</v>
      </c>
      <c r="K56" s="96" t="n">
        <f aca="false">SUM(K33:K55)</f>
        <v>10305905906</v>
      </c>
    </row>
    <row r="58" customFormat="false" ht="15" hidden="false" customHeight="false" outlineLevel="0" collapsed="false">
      <c r="A58" s="67" t="s">
        <v>173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78" t="s">
        <v>174</v>
      </c>
    </row>
    <row r="59" customFormat="false" ht="15" hidden="false" customHeight="false" outlineLevel="0" collapsed="false">
      <c r="A59" s="92" t="s">
        <v>175</v>
      </c>
      <c r="B59" s="92"/>
      <c r="C59" s="92" t="s">
        <v>9</v>
      </c>
      <c r="D59" s="92" t="s">
        <v>10</v>
      </c>
      <c r="E59" s="92" t="s">
        <v>11</v>
      </c>
      <c r="F59" s="92" t="s">
        <v>12</v>
      </c>
      <c r="G59" s="92" t="s">
        <v>13</v>
      </c>
      <c r="H59" s="92" t="s">
        <v>14</v>
      </c>
      <c r="I59" s="92" t="s">
        <v>15</v>
      </c>
      <c r="J59" s="92" t="s">
        <v>16</v>
      </c>
      <c r="K59" s="92" t="s">
        <v>145</v>
      </c>
      <c r="L59" s="92" t="s">
        <v>176</v>
      </c>
    </row>
    <row r="60" customFormat="false" ht="15" hidden="false" customHeight="false" outlineLevel="0" collapsed="false">
      <c r="A60" s="36" t="s">
        <v>177</v>
      </c>
      <c r="C60" s="93" t="n">
        <v>2662</v>
      </c>
      <c r="D60" s="93" t="n">
        <v>3136</v>
      </c>
      <c r="E60" s="93" t="n">
        <v>4079</v>
      </c>
      <c r="F60" s="93" t="n">
        <v>4817</v>
      </c>
      <c r="G60" s="93" t="n">
        <v>4587</v>
      </c>
      <c r="H60" s="93" t="n">
        <v>5179</v>
      </c>
      <c r="I60" s="93" t="n">
        <v>5358</v>
      </c>
      <c r="J60" s="93" t="n">
        <v>6364</v>
      </c>
      <c r="K60" s="94" t="n">
        <f aca="false">SUM(C60:J60)</f>
        <v>36182</v>
      </c>
      <c r="L60" s="94" t="n">
        <f aca="false">AVERAGE(C60:J60)</f>
        <v>4522.75</v>
      </c>
    </row>
    <row r="61" customFormat="false" ht="15" hidden="false" customHeight="false" outlineLevel="0" collapsed="false">
      <c r="A61" s="50" t="s">
        <v>178</v>
      </c>
      <c r="C61" s="94" t="n">
        <v>895</v>
      </c>
      <c r="D61" s="94" t="n">
        <v>964</v>
      </c>
      <c r="E61" s="94" t="n">
        <v>1113</v>
      </c>
      <c r="F61" s="94" t="n">
        <v>1340</v>
      </c>
      <c r="G61" s="94" t="n">
        <v>1443</v>
      </c>
      <c r="H61" s="94" t="n">
        <v>1685</v>
      </c>
      <c r="I61" s="94" t="n">
        <v>1714</v>
      </c>
      <c r="J61" s="94" t="n">
        <v>1851</v>
      </c>
      <c r="K61" s="94" t="n">
        <f aca="false">SUM(C61:J61)</f>
        <v>11005</v>
      </c>
      <c r="L61" s="94" t="n">
        <f aca="false">AVERAGE(C61:J61)</f>
        <v>1375.625</v>
      </c>
    </row>
    <row r="62" customFormat="false" ht="15" hidden="false" customHeight="false" outlineLevel="0" collapsed="false">
      <c r="A62" s="36" t="s">
        <v>179</v>
      </c>
      <c r="C62" s="95" t="n">
        <f aca="false">IFERROR(C61/C60,0)</f>
        <v>0.336213373403456</v>
      </c>
      <c r="D62" s="95" t="n">
        <f aca="false">IFERROR(D61/D60,0)</f>
        <v>0.307397959183673</v>
      </c>
      <c r="E62" s="95" t="n">
        <f aca="false">IFERROR(E61/E60,0)</f>
        <v>0.272860995341996</v>
      </c>
      <c r="F62" s="95" t="n">
        <f aca="false">IFERROR(F61/F60,0)</f>
        <v>0.278181440730745</v>
      </c>
      <c r="G62" s="95" t="n">
        <f aca="false">IFERROR(G61/G60,0)</f>
        <v>0.31458469587966</v>
      </c>
      <c r="H62" s="95" t="n">
        <f aca="false">IFERROR(H61/H60,0)</f>
        <v>0.325352384630238</v>
      </c>
      <c r="I62" s="95" t="n">
        <f aca="false">IFERROR(I61/I60,0)</f>
        <v>0.319895483389324</v>
      </c>
      <c r="J62" s="95" t="n">
        <f aca="false">IFERROR(J61/J60,0)</f>
        <v>0.290854808296669</v>
      </c>
      <c r="K62" s="95" t="n">
        <f aca="false">IFERROR(K61/K60,0)</f>
        <v>0.304156763031342</v>
      </c>
    </row>
    <row r="64" customFormat="false" ht="15" hidden="false" customHeight="false" outlineLevel="0" collapsed="false">
      <c r="A64" s="36" t="s">
        <v>180</v>
      </c>
      <c r="C64" s="93" t="n">
        <v>1336</v>
      </c>
      <c r="D64" s="93" t="n">
        <v>1344</v>
      </c>
      <c r="E64" s="93" t="n">
        <v>1420</v>
      </c>
      <c r="F64" s="93" t="n">
        <v>1650</v>
      </c>
      <c r="G64" s="93" t="n">
        <v>1528</v>
      </c>
      <c r="H64" s="93" t="n">
        <v>1589</v>
      </c>
      <c r="I64" s="93" t="n">
        <v>1693</v>
      </c>
      <c r="J64" s="93" t="n">
        <v>1706</v>
      </c>
      <c r="K64" s="94" t="n">
        <f aca="false">SUM(C64:J64)</f>
        <v>12266</v>
      </c>
      <c r="L64" s="94" t="n">
        <f aca="false">AVERAGE(C64:J64)</f>
        <v>1533.25</v>
      </c>
    </row>
    <row r="65" customFormat="false" ht="15" hidden="false" customHeight="false" outlineLevel="0" collapsed="false">
      <c r="A65" s="50" t="s">
        <v>181</v>
      </c>
      <c r="C65" s="94" t="n">
        <v>227</v>
      </c>
      <c r="D65" s="94" t="n">
        <v>208</v>
      </c>
      <c r="E65" s="94" t="n">
        <v>219</v>
      </c>
      <c r="F65" s="94" t="n">
        <v>282</v>
      </c>
      <c r="G65" s="94" t="n">
        <v>255</v>
      </c>
      <c r="H65" s="94" t="n">
        <v>289</v>
      </c>
      <c r="I65" s="94" t="n">
        <v>320</v>
      </c>
      <c r="J65" s="94" t="n">
        <v>315</v>
      </c>
      <c r="K65" s="94" t="n">
        <f aca="false">SUM(C65:J65)</f>
        <v>2115</v>
      </c>
      <c r="L65" s="94" t="n">
        <f aca="false">AVERAGE(C65:J65)</f>
        <v>264.375</v>
      </c>
    </row>
    <row r="66" customFormat="false" ht="15" hidden="false" customHeight="false" outlineLevel="0" collapsed="false">
      <c r="A66" s="36" t="s">
        <v>179</v>
      </c>
      <c r="C66" s="95" t="n">
        <f aca="false">IFERROR(C65/C64,0)</f>
        <v>0.169910179640719</v>
      </c>
      <c r="D66" s="95" t="n">
        <f aca="false">IFERROR(D65/D64,0)</f>
        <v>0.154761904761905</v>
      </c>
      <c r="E66" s="95" t="n">
        <f aca="false">IFERROR(E65/E64,0)</f>
        <v>0.154225352112676</v>
      </c>
      <c r="F66" s="95" t="n">
        <f aca="false">IFERROR(F65/F64,0)</f>
        <v>0.170909090909091</v>
      </c>
      <c r="G66" s="95" t="n">
        <f aca="false">IFERROR(G65/G64,0)</f>
        <v>0.166884816753927</v>
      </c>
      <c r="H66" s="95" t="n">
        <f aca="false">IFERROR(H65/H64,0)</f>
        <v>0.181875393329138</v>
      </c>
      <c r="I66" s="95" t="n">
        <f aca="false">IFERROR(I65/I64,0)</f>
        <v>0.189013585351447</v>
      </c>
      <c r="J66" s="95" t="n">
        <f aca="false">IFERROR(J65/J64,0)</f>
        <v>0.184642438452521</v>
      </c>
      <c r="K66" s="95" t="n">
        <f aca="false">IFERROR(K65/K64,0)</f>
        <v>0.172427849339638</v>
      </c>
    </row>
    <row r="68" customFormat="false" ht="15" hidden="false" customHeight="false" outlineLevel="0" collapsed="false">
      <c r="A68" s="36" t="s">
        <v>182</v>
      </c>
      <c r="C68" s="93" t="n">
        <v>3678</v>
      </c>
      <c r="D68" s="93" t="n">
        <v>3238</v>
      </c>
      <c r="E68" s="93" t="n">
        <v>3405</v>
      </c>
      <c r="F68" s="93" t="n">
        <v>3063</v>
      </c>
      <c r="G68" s="93" t="n">
        <v>3200</v>
      </c>
      <c r="H68" s="93" t="n">
        <v>3794</v>
      </c>
      <c r="I68" s="93" t="n">
        <v>4558</v>
      </c>
      <c r="J68" s="93" t="n">
        <v>4271</v>
      </c>
      <c r="K68" s="94" t="n">
        <f aca="false">SUM(C68:J68)</f>
        <v>29207</v>
      </c>
      <c r="L68" s="94" t="n">
        <f aca="false">AVERAGE(C68:J68)</f>
        <v>3650.875</v>
      </c>
    </row>
    <row r="69" customFormat="false" ht="15" hidden="false" customHeight="false" outlineLevel="0" collapsed="false">
      <c r="A69" s="50" t="s">
        <v>183</v>
      </c>
      <c r="C69" s="94" t="n">
        <v>2198</v>
      </c>
      <c r="D69" s="94" t="n">
        <v>1619</v>
      </c>
      <c r="E69" s="94" t="n">
        <v>1672</v>
      </c>
      <c r="F69" s="94" t="n">
        <v>1577</v>
      </c>
      <c r="G69" s="94" t="n">
        <v>1532</v>
      </c>
      <c r="H69" s="94" t="n">
        <v>2010</v>
      </c>
      <c r="I69" s="94" t="n">
        <v>2174</v>
      </c>
      <c r="J69" s="94" t="n">
        <v>2155</v>
      </c>
      <c r="K69" s="94" t="n">
        <f aca="false">SUM(C69:J69)</f>
        <v>14937</v>
      </c>
      <c r="L69" s="94" t="n">
        <f aca="false">AVERAGE(C69:J69)</f>
        <v>1867.125</v>
      </c>
    </row>
    <row r="70" customFormat="false" ht="15" hidden="false" customHeight="false" outlineLevel="0" collapsed="false">
      <c r="A70" s="36" t="s">
        <v>179</v>
      </c>
      <c r="C70" s="95" t="n">
        <f aca="false">IFERROR(C69/C68,0)</f>
        <v>0.597607395323546</v>
      </c>
      <c r="D70" s="95" t="n">
        <f aca="false">IFERROR(D69/D68,0)</f>
        <v>0.5</v>
      </c>
      <c r="E70" s="95" t="n">
        <f aca="false">IFERROR(E69/E68,0)</f>
        <v>0.491042584434655</v>
      </c>
      <c r="F70" s="95" t="n">
        <f aca="false">IFERROR(F69/F68,0)</f>
        <v>0.514854717597127</v>
      </c>
      <c r="G70" s="95" t="n">
        <f aca="false">IFERROR(G69/G68,0)</f>
        <v>0.47875</v>
      </c>
      <c r="H70" s="95" t="n">
        <f aca="false">IFERROR(H69/H68,0)</f>
        <v>0.529783869267264</v>
      </c>
      <c r="I70" s="95" t="n">
        <f aca="false">IFERROR(I69/I68,0)</f>
        <v>0.476963580517771</v>
      </c>
      <c r="J70" s="95" t="n">
        <f aca="false">IFERROR(J69/J68,0)</f>
        <v>0.504565675485835</v>
      </c>
      <c r="K70" s="95" t="n">
        <f aca="false">IFERROR(K69/K68,0)</f>
        <v>0.511418495566131</v>
      </c>
    </row>
    <row r="72" customFormat="false" ht="15" hidden="false" customHeight="false" outlineLevel="0" collapsed="false">
      <c r="A72" s="67" t="s">
        <v>184</v>
      </c>
      <c r="B72" s="67"/>
      <c r="C72" s="67"/>
      <c r="D72" s="98"/>
      <c r="E72" s="67"/>
      <c r="F72" s="67"/>
      <c r="G72" s="67"/>
      <c r="H72" s="67"/>
      <c r="I72" s="67"/>
      <c r="J72" s="67"/>
      <c r="K72" s="67"/>
      <c r="L72" s="67"/>
      <c r="M72" s="78" t="s">
        <v>185</v>
      </c>
    </row>
    <row r="73" customFormat="false" ht="23.85" hidden="false" customHeight="false" outlineLevel="0" collapsed="false">
      <c r="A73" s="92" t="s">
        <v>186</v>
      </c>
      <c r="B73" s="92" t="s">
        <v>187</v>
      </c>
      <c r="C73" s="92" t="s">
        <v>188</v>
      </c>
    </row>
    <row r="74" customFormat="false" ht="15" hidden="false" customHeight="false" outlineLevel="0" collapsed="false">
      <c r="A74" s="36" t="s">
        <v>189</v>
      </c>
      <c r="B74" s="99" t="n">
        <v>16500</v>
      </c>
      <c r="C74" s="99" t="n">
        <v>12</v>
      </c>
    </row>
    <row r="75" customFormat="false" ht="15" hidden="false" customHeight="false" outlineLevel="0" collapsed="false">
      <c r="A75" s="36" t="s">
        <v>190</v>
      </c>
      <c r="B75" s="99" t="n">
        <v>40500</v>
      </c>
      <c r="C75" s="99" t="n">
        <v>3</v>
      </c>
    </row>
    <row r="76" customFormat="false" ht="15" hidden="false" customHeight="false" outlineLevel="0" collapsed="false">
      <c r="A76" s="36" t="s">
        <v>191</v>
      </c>
      <c r="B76" s="99" t="n">
        <v>25</v>
      </c>
      <c r="C76" s="99" t="n">
        <v>12</v>
      </c>
    </row>
    <row r="77" customFormat="false" ht="15" hidden="false" customHeight="false" outlineLevel="0" collapsed="false">
      <c r="A77" s="36" t="s">
        <v>192</v>
      </c>
      <c r="B77" s="99" t="n">
        <v>2725</v>
      </c>
      <c r="C77" s="99" t="n">
        <v>3</v>
      </c>
    </row>
    <row r="78" customFormat="false" ht="15" hidden="false" customHeight="false" outlineLevel="0" collapsed="false">
      <c r="A78" s="36" t="s">
        <v>193</v>
      </c>
      <c r="B78" s="99" t="n">
        <v>400</v>
      </c>
      <c r="C78" s="99" t="n">
        <v>12</v>
      </c>
    </row>
    <row r="79" customFormat="false" ht="15" hidden="false" customHeight="false" outlineLevel="0" collapsed="false">
      <c r="A79" s="36" t="s">
        <v>194</v>
      </c>
      <c r="B79" s="99" t="n">
        <v>831</v>
      </c>
      <c r="C79" s="99" t="n">
        <v>4</v>
      </c>
    </row>
    <row r="80" customFormat="false" ht="15" hidden="false" customHeight="false" outlineLevel="0" collapsed="false">
      <c r="A80" s="36" t="s">
        <v>195</v>
      </c>
      <c r="B80" s="99" t="n">
        <v>2310</v>
      </c>
      <c r="C80" s="99" t="n">
        <v>12</v>
      </c>
    </row>
    <row r="81" customFormat="false" ht="15" hidden="false" customHeight="false" outlineLevel="0" collapsed="false">
      <c r="A81" s="36" t="s">
        <v>196</v>
      </c>
      <c r="B81" s="99" t="n">
        <v>6121</v>
      </c>
      <c r="C81" s="99" t="n">
        <v>12</v>
      </c>
    </row>
    <row r="82" customFormat="false" ht="15" hidden="false" customHeight="false" outlineLevel="0" collapsed="false">
      <c r="A82" s="36" t="s">
        <v>197</v>
      </c>
      <c r="B82" s="99" t="n">
        <v>3821</v>
      </c>
      <c r="C82" s="99" t="n">
        <v>12</v>
      </c>
    </row>
    <row r="83" customFormat="false" ht="15" hidden="false" customHeight="false" outlineLevel="0" collapsed="false">
      <c r="A83" s="36" t="s">
        <v>198</v>
      </c>
      <c r="B83" s="99" t="n">
        <v>4408</v>
      </c>
      <c r="C83" s="99" t="n">
        <v>12</v>
      </c>
    </row>
    <row r="84" customFormat="false" ht="15" hidden="false" customHeight="false" outlineLevel="0" collapsed="false">
      <c r="A84" s="36" t="s">
        <v>199</v>
      </c>
      <c r="B84" s="99" t="n">
        <v>0</v>
      </c>
      <c r="C84" s="99" t="n">
        <v>12</v>
      </c>
    </row>
    <row r="85" customFormat="false" ht="15" hidden="false" customHeight="false" outlineLevel="0" collapsed="false">
      <c r="A85" s="36" t="s">
        <v>200</v>
      </c>
      <c r="B85" s="99" t="n">
        <v>1</v>
      </c>
      <c r="C85" s="99" t="n">
        <v>4</v>
      </c>
    </row>
    <row r="86" customFormat="false" ht="15" hidden="false" customHeight="false" outlineLevel="0" collapsed="false">
      <c r="A86" s="36" t="s">
        <v>201</v>
      </c>
      <c r="B86" s="99" t="n">
        <v>79</v>
      </c>
      <c r="C86" s="99" t="n">
        <v>12</v>
      </c>
    </row>
    <row r="87" customFormat="false" ht="15" hidden="false" customHeight="false" outlineLevel="0" collapsed="false">
      <c r="A87" s="50" t="s">
        <v>202</v>
      </c>
      <c r="B87" s="96" t="n">
        <f aca="false">SUM(B74:B86)</f>
        <v>77721</v>
      </c>
    </row>
    <row r="88" customFormat="false" ht="15" hidden="false" customHeight="false" outlineLevel="0" collapsed="false">
      <c r="A88" s="36" t="s">
        <v>203</v>
      </c>
      <c r="B88" s="94" t="n">
        <f aca="false">B74+B76+B78+B80+B81+B82+B83+B84+B86</f>
        <v>33664</v>
      </c>
    </row>
    <row r="89" customFormat="false" ht="15" hidden="false" customHeight="false" outlineLevel="0" collapsed="false">
      <c r="A89" s="36" t="s">
        <v>204</v>
      </c>
      <c r="B89" s="94" t="n">
        <f aca="false">B75+B77+B79+B85</f>
        <v>44057</v>
      </c>
    </row>
    <row r="90" customFormat="false" ht="15" hidden="false" customHeight="false" outlineLevel="0" collapsed="false">
      <c r="A90" s="36" t="s">
        <v>205</v>
      </c>
      <c r="B90" s="96" t="n">
        <f aca="false">SUMPRODUCT(B74:B86,C74:C86)/12</f>
        <v>44747.5833333333</v>
      </c>
    </row>
    <row r="91" customFormat="false" ht="15" hidden="false" customHeight="false" outlineLevel="0" collapsed="false">
      <c r="A91" s="36" t="s">
        <v>206</v>
      </c>
      <c r="B91" s="100" t="n">
        <v>34638</v>
      </c>
    </row>
    <row r="92" customFormat="false" ht="15" hidden="false" customHeight="false" outlineLevel="0" collapsed="false">
      <c r="A92" s="36" t="s">
        <v>207</v>
      </c>
      <c r="B92" s="96" t="n">
        <f aca="false">B88-B91</f>
        <v>-974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H9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22"/>
    <col collapsed="false" customWidth="true" hidden="false" outlineLevel="0" max="3" min="3" style="1" width="14"/>
    <col collapsed="false" customWidth="true" hidden="false" outlineLevel="0" max="5" min="4" style="1" width="15"/>
    <col collapsed="false" customWidth="true" hidden="false" outlineLevel="0" max="6" min="6" style="1" width="10"/>
    <col collapsed="false" customWidth="true" hidden="false" outlineLevel="0" max="7" min="7" style="1" width="18"/>
  </cols>
  <sheetData>
    <row r="1" customFormat="false" ht="15" hidden="false" customHeight="false" outlineLevel="0" collapsed="false">
      <c r="A1" s="50" t="s">
        <v>208</v>
      </c>
      <c r="B1" s="78" t="s">
        <v>209</v>
      </c>
    </row>
    <row r="3" customFormat="false" ht="15" hidden="false" customHeight="false" outlineLevel="0" collapsed="false">
      <c r="A3" s="67" t="s">
        <v>210</v>
      </c>
      <c r="B3" s="98"/>
      <c r="C3" s="67"/>
      <c r="D3" s="67"/>
      <c r="E3" s="67"/>
      <c r="F3" s="67"/>
      <c r="G3" s="67"/>
    </row>
    <row r="4" customFormat="false" ht="23.85" hidden="false" customHeight="false" outlineLevel="0" collapsed="false">
      <c r="A4" s="92" t="s">
        <v>211</v>
      </c>
      <c r="B4" s="92" t="s">
        <v>212</v>
      </c>
      <c r="C4" s="92" t="s">
        <v>213</v>
      </c>
      <c r="D4" s="92" t="s">
        <v>214</v>
      </c>
      <c r="E4" s="92" t="s">
        <v>215</v>
      </c>
      <c r="F4" s="92" t="s">
        <v>216</v>
      </c>
      <c r="G4" s="92" t="s">
        <v>217</v>
      </c>
    </row>
    <row r="5" customFormat="false" ht="15" hidden="false" customHeight="false" outlineLevel="0" collapsed="false">
      <c r="A5" s="36" t="s">
        <v>218</v>
      </c>
      <c r="B5" s="36" t="s">
        <v>219</v>
      </c>
      <c r="C5" s="101" t="s">
        <v>220</v>
      </c>
      <c r="D5" s="99" t="n">
        <v>80000</v>
      </c>
      <c r="E5" s="99" t="n">
        <v>90000</v>
      </c>
      <c r="F5" s="95" t="n">
        <f aca="false">IFERROR(E5/D5-1,"")</f>
        <v>0.125</v>
      </c>
      <c r="G5" s="99" t="n">
        <v>3125000</v>
      </c>
    </row>
    <row r="6" customFormat="false" ht="15" hidden="false" customHeight="false" outlineLevel="0" collapsed="false">
      <c r="A6" s="36" t="s">
        <v>221</v>
      </c>
      <c r="B6" s="36" t="s">
        <v>222</v>
      </c>
      <c r="C6" s="101" t="s">
        <v>223</v>
      </c>
      <c r="D6" s="99" t="n">
        <v>600</v>
      </c>
      <c r="E6" s="99" t="n">
        <v>600</v>
      </c>
      <c r="F6" s="95" t="n">
        <f aca="false">IFERROR(E6/D6-1,"")</f>
        <v>0</v>
      </c>
      <c r="G6" s="99" t="n">
        <v>0</v>
      </c>
    </row>
    <row r="7" customFormat="false" ht="15" hidden="false" customHeight="false" outlineLevel="0" collapsed="false">
      <c r="A7" s="36" t="s">
        <v>224</v>
      </c>
      <c r="B7" s="36" t="s">
        <v>222</v>
      </c>
      <c r="C7" s="101" t="s">
        <v>223</v>
      </c>
      <c r="D7" s="99" t="n">
        <v>600</v>
      </c>
      <c r="E7" s="99" t="n">
        <v>600</v>
      </c>
      <c r="F7" s="95" t="n">
        <f aca="false">IFERROR(E7/D7-1,"")</f>
        <v>0</v>
      </c>
      <c r="G7" s="99" t="n">
        <v>0</v>
      </c>
    </row>
    <row r="8" customFormat="false" ht="15" hidden="false" customHeight="false" outlineLevel="0" collapsed="false">
      <c r="A8" s="36" t="s">
        <v>225</v>
      </c>
      <c r="B8" s="36" t="s">
        <v>222</v>
      </c>
      <c r="C8" s="101" t="s">
        <v>223</v>
      </c>
      <c r="D8" s="99" t="n">
        <v>450</v>
      </c>
      <c r="E8" s="99" t="n">
        <v>450</v>
      </c>
      <c r="F8" s="95" t="n">
        <f aca="false">IFERROR(E8/D8-1,"")</f>
        <v>0</v>
      </c>
      <c r="G8" s="99" t="n">
        <v>8100000</v>
      </c>
    </row>
    <row r="9" customFormat="false" ht="15" hidden="false" customHeight="false" outlineLevel="0" collapsed="false">
      <c r="A9" s="36" t="s">
        <v>226</v>
      </c>
      <c r="B9" s="36" t="s">
        <v>222</v>
      </c>
      <c r="C9" s="101" t="s">
        <v>223</v>
      </c>
      <c r="D9" s="99" t="n">
        <v>350</v>
      </c>
      <c r="E9" s="99" t="n">
        <v>400</v>
      </c>
      <c r="F9" s="95" t="n">
        <f aca="false">IFERROR(E9/D9-1,"")</f>
        <v>0.142857142857143</v>
      </c>
      <c r="G9" s="99" t="n">
        <v>175000</v>
      </c>
    </row>
    <row r="10" customFormat="false" ht="15" hidden="false" customHeight="false" outlineLevel="0" collapsed="false">
      <c r="A10" s="36" t="s">
        <v>227</v>
      </c>
      <c r="B10" s="36" t="s">
        <v>222</v>
      </c>
      <c r="C10" s="101" t="s">
        <v>223</v>
      </c>
      <c r="D10" s="99" t="n">
        <v>350</v>
      </c>
      <c r="E10" s="99" t="n">
        <v>400</v>
      </c>
      <c r="F10" s="95" t="n">
        <f aca="false">IFERROR(E10/D10-1,"")</f>
        <v>0.142857142857143</v>
      </c>
      <c r="G10" s="99" t="n">
        <v>1200000</v>
      </c>
    </row>
    <row r="11" customFormat="false" ht="15" hidden="false" customHeight="false" outlineLevel="0" collapsed="false">
      <c r="A11" s="36" t="s">
        <v>156</v>
      </c>
      <c r="B11" s="36" t="s">
        <v>222</v>
      </c>
      <c r="C11" s="101" t="s">
        <v>223</v>
      </c>
      <c r="D11" s="99" t="n">
        <v>350</v>
      </c>
      <c r="E11" s="99" t="n">
        <v>400</v>
      </c>
      <c r="F11" s="95" t="n">
        <f aca="false">IFERROR(E11/D11-1,"")</f>
        <v>0.142857142857143</v>
      </c>
      <c r="G11" s="99" t="n">
        <v>1550000</v>
      </c>
    </row>
    <row r="12" customFormat="false" ht="15" hidden="false" customHeight="false" outlineLevel="0" collapsed="false">
      <c r="A12" s="36" t="s">
        <v>228</v>
      </c>
      <c r="B12" s="36" t="s">
        <v>222</v>
      </c>
      <c r="C12" s="101" t="s">
        <v>223</v>
      </c>
      <c r="D12" s="99" t="n">
        <v>350</v>
      </c>
      <c r="E12" s="99" t="n">
        <v>400</v>
      </c>
      <c r="F12" s="95" t="n">
        <f aca="false">IFERROR(E12/D12-1,"")</f>
        <v>0.142857142857143</v>
      </c>
      <c r="G12" s="99" t="n">
        <v>12000000</v>
      </c>
    </row>
    <row r="13" customFormat="false" ht="15" hidden="false" customHeight="false" outlineLevel="0" collapsed="false">
      <c r="A13" s="36" t="s">
        <v>229</v>
      </c>
      <c r="B13" s="36" t="s">
        <v>222</v>
      </c>
      <c r="C13" s="101" t="s">
        <v>223</v>
      </c>
      <c r="D13" s="99" t="n">
        <v>350</v>
      </c>
      <c r="E13" s="99" t="n">
        <v>400</v>
      </c>
      <c r="F13" s="95" t="n">
        <f aca="false">IFERROR(E13/D13-1,"")</f>
        <v>0.142857142857143</v>
      </c>
      <c r="G13" s="99" t="n">
        <v>0</v>
      </c>
    </row>
    <row r="14" customFormat="false" ht="15" hidden="false" customHeight="false" outlineLevel="0" collapsed="false">
      <c r="A14" s="36" t="s">
        <v>230</v>
      </c>
      <c r="B14" s="36" t="s">
        <v>222</v>
      </c>
      <c r="C14" s="101" t="s">
        <v>223</v>
      </c>
      <c r="D14" s="99" t="n">
        <v>350</v>
      </c>
      <c r="E14" s="99" t="n">
        <v>400</v>
      </c>
      <c r="F14" s="95" t="n">
        <f aca="false">IFERROR(E14/D14-1,"")</f>
        <v>0.142857142857143</v>
      </c>
      <c r="G14" s="99" t="n">
        <v>0</v>
      </c>
    </row>
    <row r="15" customFormat="false" ht="15" hidden="false" customHeight="false" outlineLevel="0" collapsed="false">
      <c r="A15" s="36" t="s">
        <v>231</v>
      </c>
      <c r="B15" s="36" t="s">
        <v>219</v>
      </c>
      <c r="C15" s="101" t="s">
        <v>220</v>
      </c>
      <c r="D15" s="99" t="n">
        <v>90000</v>
      </c>
      <c r="E15" s="99" t="n">
        <v>110000</v>
      </c>
      <c r="F15" s="95" t="n">
        <f aca="false">IFERROR(E15/D15-1,"")</f>
        <v>0.222222222222222</v>
      </c>
      <c r="G15" s="99" t="n">
        <v>3977777.778</v>
      </c>
    </row>
    <row r="16" customFormat="false" ht="15" hidden="false" customHeight="false" outlineLevel="0" collapsed="false">
      <c r="A16" s="36" t="s">
        <v>232</v>
      </c>
      <c r="B16" s="36" t="s">
        <v>222</v>
      </c>
      <c r="C16" s="101" t="s">
        <v>223</v>
      </c>
      <c r="D16" s="99" t="n">
        <v>350</v>
      </c>
      <c r="E16" s="99" t="n">
        <v>400</v>
      </c>
      <c r="F16" s="95" t="n">
        <f aca="false">IFERROR(E16/D16-1,"")</f>
        <v>0.142857142857143</v>
      </c>
      <c r="G16" s="99" t="n">
        <v>4550000</v>
      </c>
    </row>
    <row r="17" customFormat="false" ht="15" hidden="false" customHeight="false" outlineLevel="0" collapsed="false">
      <c r="A17" s="36" t="s">
        <v>233</v>
      </c>
      <c r="B17" s="36" t="s">
        <v>222</v>
      </c>
      <c r="C17" s="101" t="s">
        <v>223</v>
      </c>
      <c r="D17" s="99" t="n">
        <v>350</v>
      </c>
      <c r="E17" s="99" t="n">
        <v>400</v>
      </c>
      <c r="F17" s="95" t="n">
        <f aca="false">IFERROR(E17/D17-1,"")</f>
        <v>0.142857142857143</v>
      </c>
      <c r="G17" s="99" t="n">
        <v>100000</v>
      </c>
    </row>
    <row r="18" customFormat="false" ht="15" hidden="false" customHeight="false" outlineLevel="0" collapsed="false">
      <c r="A18" s="36" t="s">
        <v>234</v>
      </c>
      <c r="B18" s="36" t="s">
        <v>222</v>
      </c>
      <c r="C18" s="101" t="s">
        <v>223</v>
      </c>
      <c r="D18" s="99" t="n">
        <v>350</v>
      </c>
      <c r="E18" s="99" t="n">
        <v>400</v>
      </c>
      <c r="F18" s="95" t="n">
        <f aca="false">IFERROR(E18/D18-1,"")</f>
        <v>0.142857142857143</v>
      </c>
      <c r="G18" s="99" t="n">
        <v>0</v>
      </c>
    </row>
    <row r="19" customFormat="false" ht="15" hidden="false" customHeight="false" outlineLevel="0" collapsed="false">
      <c r="A19" s="36" t="s">
        <v>166</v>
      </c>
      <c r="B19" s="36" t="s">
        <v>222</v>
      </c>
      <c r="C19" s="101" t="s">
        <v>223</v>
      </c>
      <c r="D19" s="99" t="n">
        <v>350</v>
      </c>
      <c r="E19" s="99" t="n">
        <v>400</v>
      </c>
      <c r="F19" s="95" t="n">
        <f aca="false">IFERROR(E19/D19-1,"")</f>
        <v>0.142857142857143</v>
      </c>
      <c r="G19" s="99" t="n">
        <v>50000</v>
      </c>
    </row>
    <row r="20" customFormat="false" ht="15" hidden="false" customHeight="false" outlineLevel="0" collapsed="false">
      <c r="A20" s="36" t="s">
        <v>235</v>
      </c>
      <c r="B20" s="36" t="s">
        <v>236</v>
      </c>
      <c r="C20" s="101" t="s">
        <v>223</v>
      </c>
      <c r="D20" s="99" t="n">
        <v>350</v>
      </c>
      <c r="E20" s="99" t="n">
        <v>350</v>
      </c>
      <c r="F20" s="95" t="n">
        <f aca="false">IFERROR(E20/D20-1,"")</f>
        <v>0</v>
      </c>
      <c r="G20" s="99" t="n">
        <v>0</v>
      </c>
    </row>
    <row r="21" customFormat="false" ht="15" hidden="false" customHeight="false" outlineLevel="0" collapsed="false">
      <c r="A21" s="36" t="s">
        <v>237</v>
      </c>
      <c r="B21" s="36" t="s">
        <v>222</v>
      </c>
      <c r="C21" s="101" t="s">
        <v>223</v>
      </c>
      <c r="D21" s="99" t="n">
        <v>450</v>
      </c>
      <c r="E21" s="99" t="n">
        <v>600</v>
      </c>
      <c r="F21" s="95" t="n">
        <f aca="false">IFERROR(E21/D21-1,"")</f>
        <v>0.333333333333333</v>
      </c>
      <c r="G21" s="99" t="n">
        <v>0</v>
      </c>
    </row>
    <row r="22" customFormat="false" ht="15" hidden="false" customHeight="false" outlineLevel="0" collapsed="false">
      <c r="A22" s="36" t="s">
        <v>238</v>
      </c>
      <c r="B22" s="36" t="s">
        <v>222</v>
      </c>
      <c r="C22" s="101" t="s">
        <v>220</v>
      </c>
      <c r="D22" s="99" t="n">
        <v>70000</v>
      </c>
      <c r="E22" s="99" t="n">
        <v>100000</v>
      </c>
      <c r="F22" s="95" t="n">
        <f aca="false">IFERROR(E22/D22-1,"")</f>
        <v>0.428571428571429</v>
      </c>
      <c r="G22" s="99" t="n">
        <v>7200000</v>
      </c>
    </row>
    <row r="23" customFormat="false" ht="15" hidden="false" customHeight="false" outlineLevel="0" collapsed="false">
      <c r="A23" s="36" t="s">
        <v>239</v>
      </c>
      <c r="B23" s="36" t="s">
        <v>219</v>
      </c>
      <c r="C23" s="101" t="s">
        <v>220</v>
      </c>
      <c r="D23" s="99" t="n">
        <v>160000</v>
      </c>
      <c r="E23" s="99" t="n">
        <v>160000</v>
      </c>
      <c r="F23" s="95" t="n">
        <f aca="false">IFERROR(E23/D23-1,"")</f>
        <v>0</v>
      </c>
      <c r="G23" s="99" t="n">
        <v>0</v>
      </c>
    </row>
    <row r="24" customFormat="false" ht="15" hidden="false" customHeight="false" outlineLevel="0" collapsed="false">
      <c r="A24" s="36" t="s">
        <v>240</v>
      </c>
      <c r="B24" s="36" t="s">
        <v>219</v>
      </c>
      <c r="C24" s="101" t="s">
        <v>220</v>
      </c>
      <c r="D24" s="99" t="n">
        <v>50000</v>
      </c>
      <c r="E24" s="99" t="n">
        <v>50000</v>
      </c>
      <c r="F24" s="95" t="n">
        <f aca="false">IFERROR(E24/D24-1,"")</f>
        <v>0</v>
      </c>
      <c r="G24" s="99" t="n">
        <v>0</v>
      </c>
    </row>
    <row r="25" customFormat="false" ht="15" hidden="false" customHeight="false" outlineLevel="0" collapsed="false">
      <c r="A25" s="36" t="s">
        <v>241</v>
      </c>
      <c r="B25" s="36" t="s">
        <v>219</v>
      </c>
      <c r="C25" s="101" t="s">
        <v>220</v>
      </c>
      <c r="D25" s="99" t="n">
        <v>25000</v>
      </c>
      <c r="E25" s="99" t="n">
        <v>25000</v>
      </c>
      <c r="F25" s="95" t="n">
        <f aca="false">IFERROR(E25/D25-1,"")</f>
        <v>0</v>
      </c>
      <c r="G25" s="99" t="n">
        <v>0</v>
      </c>
    </row>
    <row r="26" customFormat="false" ht="15" hidden="false" customHeight="false" outlineLevel="0" collapsed="false">
      <c r="A26" s="36" t="s">
        <v>241</v>
      </c>
      <c r="B26" s="36" t="s">
        <v>219</v>
      </c>
      <c r="C26" s="101" t="s">
        <v>220</v>
      </c>
      <c r="D26" s="99" t="n">
        <v>10000</v>
      </c>
      <c r="E26" s="99" t="n">
        <v>10000</v>
      </c>
      <c r="F26" s="95" t="n">
        <f aca="false">IFERROR(E26/D26-1,"")</f>
        <v>0</v>
      </c>
      <c r="G26" s="99" t="n">
        <v>0</v>
      </c>
    </row>
    <row r="27" customFormat="false" ht="15" hidden="false" customHeight="false" outlineLevel="0" collapsed="false">
      <c r="A27" s="36" t="s">
        <v>242</v>
      </c>
      <c r="B27" s="36" t="s">
        <v>219</v>
      </c>
      <c r="C27" s="101" t="s">
        <v>220</v>
      </c>
      <c r="D27" s="99" t="n">
        <v>50000</v>
      </c>
      <c r="E27" s="99" t="n">
        <v>50000</v>
      </c>
      <c r="F27" s="95" t="n">
        <f aca="false">IFERROR(E27/D27-1,"")</f>
        <v>0</v>
      </c>
      <c r="G27" s="99" t="n">
        <v>0</v>
      </c>
    </row>
    <row r="28" customFormat="false" ht="15" hidden="false" customHeight="false" outlineLevel="0" collapsed="false">
      <c r="A28" s="36" t="s">
        <v>243</v>
      </c>
      <c r="B28" s="36" t="s">
        <v>219</v>
      </c>
      <c r="C28" s="101" t="s">
        <v>220</v>
      </c>
      <c r="D28" s="99" t="n">
        <v>7000</v>
      </c>
      <c r="E28" s="99" t="n">
        <v>10000</v>
      </c>
      <c r="F28" s="95" t="n">
        <f aca="false">IFERROR(E28/D28-1,"")</f>
        <v>0.428571428571429</v>
      </c>
      <c r="G28" s="99" t="n">
        <v>25714285.71</v>
      </c>
    </row>
    <row r="29" customFormat="false" ht="15" hidden="false" customHeight="false" outlineLevel="0" collapsed="false">
      <c r="A29" s="36" t="s">
        <v>244</v>
      </c>
      <c r="B29" s="36" t="s">
        <v>219</v>
      </c>
      <c r="C29" s="101" t="s">
        <v>220</v>
      </c>
      <c r="D29" s="99" t="n">
        <v>40000</v>
      </c>
      <c r="E29" s="99" t="n">
        <v>40000</v>
      </c>
      <c r="F29" s="95" t="n">
        <f aca="false">IFERROR(E29/D29-1,"")</f>
        <v>0</v>
      </c>
      <c r="G29" s="99" t="n">
        <v>0</v>
      </c>
    </row>
    <row r="30" customFormat="false" ht="15" hidden="false" customHeight="false" outlineLevel="0" collapsed="false">
      <c r="A30" s="36" t="s">
        <v>245</v>
      </c>
      <c r="B30" s="36" t="s">
        <v>219</v>
      </c>
      <c r="C30" s="101" t="s">
        <v>220</v>
      </c>
      <c r="D30" s="99" t="n">
        <v>120000</v>
      </c>
      <c r="E30" s="99" t="n">
        <v>120000</v>
      </c>
      <c r="F30" s="95" t="n">
        <f aca="false">IFERROR(E30/D30-1,"")</f>
        <v>0</v>
      </c>
      <c r="G30" s="99" t="n">
        <v>0</v>
      </c>
    </row>
    <row r="31" customFormat="false" ht="15" hidden="false" customHeight="false" outlineLevel="0" collapsed="false">
      <c r="A31" s="36" t="s">
        <v>246</v>
      </c>
      <c r="B31" s="36" t="s">
        <v>219</v>
      </c>
      <c r="C31" s="101" t="s">
        <v>42</v>
      </c>
      <c r="D31" s="99" t="n">
        <v>200000</v>
      </c>
      <c r="E31" s="99" t="n">
        <v>200000</v>
      </c>
      <c r="F31" s="95" t="n">
        <f aca="false">IFERROR(E31/D31-1,"")</f>
        <v>0</v>
      </c>
      <c r="G31" s="99" t="n">
        <v>0</v>
      </c>
    </row>
    <row r="32" customFormat="false" ht="15" hidden="false" customHeight="false" outlineLevel="0" collapsed="false">
      <c r="A32" s="36" t="s">
        <v>247</v>
      </c>
      <c r="B32" s="36" t="s">
        <v>219</v>
      </c>
      <c r="C32" s="101" t="s">
        <v>220</v>
      </c>
      <c r="D32" s="99" t="n">
        <v>50000</v>
      </c>
      <c r="E32" s="99" t="n">
        <v>50000</v>
      </c>
      <c r="F32" s="95" t="n">
        <f aca="false">IFERROR(E32/D32-1,"")</f>
        <v>0</v>
      </c>
      <c r="G32" s="99" t="n">
        <v>0</v>
      </c>
    </row>
    <row r="33" customFormat="false" ht="15" hidden="false" customHeight="false" outlineLevel="0" collapsed="false">
      <c r="A33" s="36" t="s">
        <v>241</v>
      </c>
      <c r="B33" s="36" t="s">
        <v>219</v>
      </c>
      <c r="C33" s="101" t="s">
        <v>220</v>
      </c>
      <c r="D33" s="99" t="n">
        <v>25000</v>
      </c>
      <c r="E33" s="99" t="n">
        <v>25000</v>
      </c>
      <c r="F33" s="95" t="n">
        <f aca="false">IFERROR(E33/D33-1,"")</f>
        <v>0</v>
      </c>
      <c r="G33" s="99" t="n">
        <v>0</v>
      </c>
    </row>
    <row r="34" customFormat="false" ht="15" hidden="false" customHeight="false" outlineLevel="0" collapsed="false">
      <c r="A34" s="36" t="s">
        <v>241</v>
      </c>
      <c r="B34" s="36" t="s">
        <v>219</v>
      </c>
      <c r="C34" s="101" t="s">
        <v>220</v>
      </c>
      <c r="D34" s="99" t="n">
        <v>10000</v>
      </c>
      <c r="E34" s="99" t="n">
        <v>10000</v>
      </c>
      <c r="F34" s="95" t="n">
        <f aca="false">IFERROR(E34/D34-1,"")</f>
        <v>0</v>
      </c>
      <c r="G34" s="99" t="n">
        <v>0</v>
      </c>
    </row>
    <row r="35" customFormat="false" ht="15" hidden="false" customHeight="false" outlineLevel="0" collapsed="false">
      <c r="A35" s="36" t="s">
        <v>248</v>
      </c>
      <c r="B35" s="36" t="s">
        <v>222</v>
      </c>
      <c r="C35" s="101" t="s">
        <v>220</v>
      </c>
      <c r="D35" s="99" t="n">
        <v>50000</v>
      </c>
      <c r="E35" s="99" t="n">
        <v>50000</v>
      </c>
      <c r="F35" s="95" t="n">
        <f aca="false">IFERROR(E35/D35-1,"")</f>
        <v>0</v>
      </c>
      <c r="G35" s="99" t="n">
        <v>0</v>
      </c>
    </row>
    <row r="36" customFormat="false" ht="15" hidden="false" customHeight="false" outlineLevel="0" collapsed="false">
      <c r="A36" s="36" t="s">
        <v>249</v>
      </c>
      <c r="B36" s="36" t="s">
        <v>219</v>
      </c>
      <c r="C36" s="101" t="s">
        <v>220</v>
      </c>
      <c r="D36" s="99" t="n">
        <v>38000</v>
      </c>
      <c r="E36" s="99" t="n">
        <v>38000</v>
      </c>
      <c r="F36" s="95" t="n">
        <f aca="false">IFERROR(E36/D36-1,"")</f>
        <v>0</v>
      </c>
      <c r="G36" s="99" t="n">
        <v>0</v>
      </c>
    </row>
    <row r="37" customFormat="false" ht="15" hidden="false" customHeight="false" outlineLevel="0" collapsed="false">
      <c r="A37" s="36" t="s">
        <v>241</v>
      </c>
      <c r="B37" s="36" t="s">
        <v>219</v>
      </c>
      <c r="C37" s="101" t="s">
        <v>220</v>
      </c>
      <c r="D37" s="99" t="n">
        <v>24000</v>
      </c>
      <c r="E37" s="99" t="n">
        <v>24000</v>
      </c>
      <c r="F37" s="95" t="n">
        <f aca="false">IFERROR(E37/D37-1,"")</f>
        <v>0</v>
      </c>
      <c r="G37" s="99" t="n">
        <v>0</v>
      </c>
    </row>
    <row r="38" customFormat="false" ht="15" hidden="false" customHeight="false" outlineLevel="0" collapsed="false">
      <c r="A38" s="36" t="s">
        <v>241</v>
      </c>
      <c r="B38" s="36" t="s">
        <v>219</v>
      </c>
      <c r="C38" s="101" t="s">
        <v>220</v>
      </c>
      <c r="D38" s="99" t="n">
        <v>12000</v>
      </c>
      <c r="E38" s="99" t="n">
        <v>12000</v>
      </c>
      <c r="F38" s="95" t="n">
        <f aca="false">IFERROR(E38/D38-1,"")</f>
        <v>0</v>
      </c>
      <c r="G38" s="99" t="n">
        <v>0</v>
      </c>
    </row>
    <row r="39" customFormat="false" ht="15" hidden="false" customHeight="false" outlineLevel="0" collapsed="false">
      <c r="A39" s="36" t="s">
        <v>250</v>
      </c>
      <c r="B39" s="36" t="s">
        <v>222</v>
      </c>
      <c r="C39" s="101" t="s">
        <v>223</v>
      </c>
      <c r="D39" s="99" t="n">
        <v>600</v>
      </c>
      <c r="E39" s="99" t="n">
        <v>1000</v>
      </c>
      <c r="F39" s="95" t="n">
        <f aca="false">IFERROR(E39/D39-1,"")</f>
        <v>0.666666666666667</v>
      </c>
      <c r="G39" s="99" t="n">
        <v>54400000</v>
      </c>
    </row>
    <row r="40" customFormat="false" ht="15" hidden="false" customHeight="false" outlineLevel="0" collapsed="false">
      <c r="A40" s="36" t="s">
        <v>251</v>
      </c>
      <c r="B40" s="36" t="s">
        <v>222</v>
      </c>
      <c r="C40" s="101" t="s">
        <v>223</v>
      </c>
      <c r="D40" s="99" t="n">
        <v>600</v>
      </c>
      <c r="E40" s="99" t="n">
        <v>1000</v>
      </c>
      <c r="F40" s="95" t="n">
        <f aca="false">IFERROR(E40/D40-1,"")</f>
        <v>0.666666666666667</v>
      </c>
      <c r="G40" s="99" t="n">
        <v>7200000</v>
      </c>
    </row>
    <row r="41" customFormat="false" ht="15" hidden="false" customHeight="false" outlineLevel="0" collapsed="false">
      <c r="A41" s="36" t="s">
        <v>252</v>
      </c>
      <c r="B41" s="36" t="s">
        <v>219</v>
      </c>
      <c r="C41" s="101" t="s">
        <v>220</v>
      </c>
      <c r="D41" s="99" t="n">
        <v>64000</v>
      </c>
      <c r="E41" s="99" t="n">
        <v>64000</v>
      </c>
      <c r="F41" s="95" t="n">
        <f aca="false">IFERROR(E41/D41-1,"")</f>
        <v>0</v>
      </c>
      <c r="G41" s="99" t="n">
        <v>0</v>
      </c>
    </row>
    <row r="42" customFormat="false" ht="15" hidden="false" customHeight="false" outlineLevel="0" collapsed="false">
      <c r="A42" s="36" t="s">
        <v>241</v>
      </c>
      <c r="B42" s="36" t="s">
        <v>219</v>
      </c>
      <c r="C42" s="101" t="s">
        <v>220</v>
      </c>
      <c r="D42" s="99" t="n">
        <v>50000</v>
      </c>
      <c r="E42" s="99" t="n">
        <v>50000</v>
      </c>
      <c r="F42" s="95" t="n">
        <f aca="false">IFERROR(E42/D42-1,"")</f>
        <v>0</v>
      </c>
      <c r="G42" s="99" t="n">
        <v>0</v>
      </c>
    </row>
    <row r="43" customFormat="false" ht="15" hidden="false" customHeight="false" outlineLevel="0" collapsed="false">
      <c r="A43" s="36" t="s">
        <v>241</v>
      </c>
      <c r="B43" s="36" t="s">
        <v>219</v>
      </c>
      <c r="C43" s="101" t="s">
        <v>220</v>
      </c>
      <c r="D43" s="99" t="n">
        <v>39000</v>
      </c>
      <c r="E43" s="99" t="n">
        <v>39000</v>
      </c>
      <c r="F43" s="95" t="n">
        <f aca="false">IFERROR(E43/D43-1,"")</f>
        <v>0</v>
      </c>
      <c r="G43" s="99" t="n">
        <v>0</v>
      </c>
    </row>
    <row r="44" customFormat="false" ht="15" hidden="false" customHeight="false" outlineLevel="0" collapsed="false">
      <c r="A44" s="36" t="s">
        <v>241</v>
      </c>
      <c r="B44" s="36" t="s">
        <v>219</v>
      </c>
      <c r="C44" s="101" t="s">
        <v>220</v>
      </c>
      <c r="D44" s="99" t="n">
        <v>25000</v>
      </c>
      <c r="E44" s="99" t="n">
        <v>25000</v>
      </c>
      <c r="F44" s="95" t="n">
        <f aca="false">IFERROR(E44/D44-1,"")</f>
        <v>0</v>
      </c>
      <c r="G44" s="99" t="n">
        <v>0</v>
      </c>
    </row>
    <row r="45" customFormat="false" ht="15" hidden="false" customHeight="false" outlineLevel="0" collapsed="false">
      <c r="A45" s="36" t="s">
        <v>241</v>
      </c>
      <c r="B45" s="36" t="s">
        <v>219</v>
      </c>
      <c r="C45" s="101" t="s">
        <v>220</v>
      </c>
      <c r="D45" s="99" t="n">
        <v>18000</v>
      </c>
      <c r="E45" s="99" t="n">
        <v>18000</v>
      </c>
      <c r="F45" s="95" t="n">
        <f aca="false">IFERROR(E45/D45-1,"")</f>
        <v>0</v>
      </c>
      <c r="G45" s="99" t="n">
        <v>0</v>
      </c>
    </row>
    <row r="46" customFormat="false" ht="15" hidden="false" customHeight="false" outlineLevel="0" collapsed="false">
      <c r="A46" s="36" t="s">
        <v>253</v>
      </c>
      <c r="B46" s="36" t="s">
        <v>219</v>
      </c>
      <c r="C46" s="101" t="s">
        <v>220</v>
      </c>
      <c r="D46" s="99" t="n">
        <v>30000</v>
      </c>
      <c r="E46" s="99" t="n">
        <v>30000</v>
      </c>
      <c r="F46" s="95" t="n">
        <f aca="false">IFERROR(E46/D46-1,"")</f>
        <v>0</v>
      </c>
      <c r="G46" s="99" t="n">
        <v>0</v>
      </c>
    </row>
    <row r="47" customFormat="false" ht="15" hidden="false" customHeight="false" outlineLevel="0" collapsed="false">
      <c r="A47" s="36" t="s">
        <v>254</v>
      </c>
      <c r="B47" s="36" t="s">
        <v>219</v>
      </c>
      <c r="C47" s="101" t="s">
        <v>220</v>
      </c>
      <c r="D47" s="99" t="n">
        <v>90000</v>
      </c>
      <c r="E47" s="99" t="n">
        <v>90000</v>
      </c>
      <c r="F47" s="95" t="n">
        <f aca="false">IFERROR(E47/D47-1,"")</f>
        <v>0</v>
      </c>
      <c r="G47" s="99" t="n">
        <v>0</v>
      </c>
    </row>
    <row r="48" customFormat="false" ht="15" hidden="false" customHeight="false" outlineLevel="0" collapsed="false">
      <c r="A48" s="36" t="s">
        <v>241</v>
      </c>
      <c r="B48" s="36" t="s">
        <v>219</v>
      </c>
      <c r="C48" s="101" t="s">
        <v>220</v>
      </c>
      <c r="D48" s="99" t="n">
        <v>30000</v>
      </c>
      <c r="E48" s="99" t="n">
        <v>30000</v>
      </c>
      <c r="F48" s="95" t="n">
        <f aca="false">IFERROR(E48/D48-1,"")</f>
        <v>0</v>
      </c>
      <c r="G48" s="99" t="n">
        <v>0</v>
      </c>
    </row>
    <row r="49" customFormat="false" ht="15" hidden="false" customHeight="false" outlineLevel="0" collapsed="false">
      <c r="A49" s="36" t="s">
        <v>241</v>
      </c>
      <c r="B49" s="36" t="s">
        <v>219</v>
      </c>
      <c r="C49" s="101" t="s">
        <v>220</v>
      </c>
      <c r="D49" s="99" t="n">
        <v>20000</v>
      </c>
      <c r="E49" s="99" t="n">
        <v>20000</v>
      </c>
      <c r="F49" s="95" t="n">
        <f aca="false">IFERROR(E49/D49-1,"")</f>
        <v>0</v>
      </c>
      <c r="G49" s="99" t="n">
        <v>0</v>
      </c>
    </row>
    <row r="50" customFormat="false" ht="15" hidden="false" customHeight="false" outlineLevel="0" collapsed="false">
      <c r="A50" s="36" t="s">
        <v>255</v>
      </c>
      <c r="B50" s="36" t="s">
        <v>219</v>
      </c>
      <c r="C50" s="101" t="s">
        <v>220</v>
      </c>
      <c r="D50" s="99" t="n">
        <v>140000</v>
      </c>
      <c r="E50" s="99" t="n">
        <v>140000</v>
      </c>
      <c r="F50" s="95" t="n">
        <f aca="false">IFERROR(E50/D50-1,"")</f>
        <v>0</v>
      </c>
      <c r="G50" s="99" t="n">
        <v>0</v>
      </c>
    </row>
    <row r="51" customFormat="false" ht="15" hidden="false" customHeight="false" outlineLevel="0" collapsed="false">
      <c r="A51" s="36" t="s">
        <v>241</v>
      </c>
      <c r="B51" s="36" t="s">
        <v>219</v>
      </c>
      <c r="C51" s="101" t="s">
        <v>220</v>
      </c>
      <c r="D51" s="99" t="n">
        <v>40000</v>
      </c>
      <c r="E51" s="99" t="n">
        <v>40000</v>
      </c>
      <c r="F51" s="95" t="n">
        <f aca="false">IFERROR(E51/D51-1,"")</f>
        <v>0</v>
      </c>
      <c r="G51" s="99" t="n">
        <v>0</v>
      </c>
    </row>
    <row r="52" customFormat="false" ht="15" hidden="false" customHeight="false" outlineLevel="0" collapsed="false">
      <c r="A52" s="36" t="s">
        <v>241</v>
      </c>
      <c r="B52" s="36" t="s">
        <v>219</v>
      </c>
      <c r="C52" s="101" t="s">
        <v>220</v>
      </c>
      <c r="D52" s="99" t="n">
        <v>30000</v>
      </c>
      <c r="E52" s="99" t="n">
        <v>30000</v>
      </c>
      <c r="F52" s="95" t="n">
        <f aca="false">IFERROR(E52/D52-1,"")</f>
        <v>0</v>
      </c>
      <c r="G52" s="99" t="n">
        <v>0</v>
      </c>
    </row>
    <row r="53" customFormat="false" ht="15" hidden="false" customHeight="false" outlineLevel="0" collapsed="false">
      <c r="A53" s="36" t="s">
        <v>256</v>
      </c>
      <c r="B53" s="36" t="s">
        <v>219</v>
      </c>
      <c r="C53" s="101" t="s">
        <v>220</v>
      </c>
      <c r="D53" s="99" t="n">
        <v>30000</v>
      </c>
      <c r="E53" s="99" t="n">
        <v>30000</v>
      </c>
      <c r="F53" s="95" t="n">
        <f aca="false">IFERROR(E53/D53-1,"")</f>
        <v>0</v>
      </c>
      <c r="G53" s="99" t="n">
        <v>0</v>
      </c>
    </row>
    <row r="54" customFormat="false" ht="15" hidden="false" customHeight="false" outlineLevel="0" collapsed="false">
      <c r="A54" s="36" t="s">
        <v>241</v>
      </c>
      <c r="B54" s="36" t="s">
        <v>219</v>
      </c>
      <c r="C54" s="101" t="s">
        <v>220</v>
      </c>
      <c r="D54" s="99" t="n">
        <v>20000</v>
      </c>
      <c r="E54" s="99" t="n">
        <v>20000</v>
      </c>
      <c r="F54" s="95" t="n">
        <f aca="false">IFERROR(E54/D54-1,"")</f>
        <v>0</v>
      </c>
      <c r="G54" s="99" t="n">
        <v>0</v>
      </c>
    </row>
    <row r="55" customFormat="false" ht="15" hidden="false" customHeight="false" outlineLevel="0" collapsed="false">
      <c r="A55" s="36" t="s">
        <v>257</v>
      </c>
      <c r="B55" s="36" t="s">
        <v>219</v>
      </c>
      <c r="C55" s="101" t="s">
        <v>220</v>
      </c>
      <c r="D55" s="99" t="n">
        <v>50000</v>
      </c>
      <c r="E55" s="99" t="n">
        <v>50000</v>
      </c>
      <c r="F55" s="95" t="n">
        <f aca="false">IFERROR(E55/D55-1,"")</f>
        <v>0</v>
      </c>
      <c r="G55" s="99" t="n">
        <v>0</v>
      </c>
    </row>
    <row r="56" customFormat="false" ht="15" hidden="false" customHeight="false" outlineLevel="0" collapsed="false">
      <c r="A56" s="36" t="s">
        <v>241</v>
      </c>
      <c r="B56" s="36" t="s">
        <v>219</v>
      </c>
      <c r="C56" s="101" t="s">
        <v>220</v>
      </c>
      <c r="D56" s="99" t="n">
        <v>30000</v>
      </c>
      <c r="E56" s="99" t="n">
        <v>30000</v>
      </c>
      <c r="F56" s="95" t="n">
        <f aca="false">IFERROR(E56/D56-1,"")</f>
        <v>0</v>
      </c>
      <c r="G56" s="99" t="n">
        <v>0</v>
      </c>
    </row>
    <row r="57" customFormat="false" ht="15" hidden="false" customHeight="false" outlineLevel="0" collapsed="false">
      <c r="A57" s="36" t="s">
        <v>258</v>
      </c>
      <c r="B57" s="36" t="s">
        <v>219</v>
      </c>
      <c r="C57" s="101" t="s">
        <v>220</v>
      </c>
      <c r="D57" s="99" t="n">
        <v>60000</v>
      </c>
      <c r="E57" s="99" t="n">
        <v>60000</v>
      </c>
      <c r="F57" s="95" t="n">
        <f aca="false">IFERROR(E57/D57-1,"")</f>
        <v>0</v>
      </c>
      <c r="G57" s="99" t="n">
        <v>0</v>
      </c>
    </row>
    <row r="58" customFormat="false" ht="15" hidden="false" customHeight="false" outlineLevel="0" collapsed="false">
      <c r="A58" s="36" t="s">
        <v>241</v>
      </c>
      <c r="B58" s="36" t="s">
        <v>219</v>
      </c>
      <c r="C58" s="101" t="s">
        <v>220</v>
      </c>
      <c r="D58" s="99" t="n">
        <v>25000</v>
      </c>
      <c r="E58" s="99" t="n">
        <v>25000</v>
      </c>
      <c r="F58" s="95" t="n">
        <f aca="false">IFERROR(E58/D58-1,"")</f>
        <v>0</v>
      </c>
      <c r="G58" s="99" t="n">
        <v>0</v>
      </c>
    </row>
    <row r="59" customFormat="false" ht="15" hidden="false" customHeight="false" outlineLevel="0" collapsed="false">
      <c r="A59" s="36" t="s">
        <v>259</v>
      </c>
      <c r="B59" s="36" t="s">
        <v>260</v>
      </c>
      <c r="C59" s="101" t="s">
        <v>220</v>
      </c>
      <c r="D59" s="99" t="n">
        <v>45600</v>
      </c>
      <c r="E59" s="99" t="n">
        <v>45600</v>
      </c>
      <c r="F59" s="95" t="n">
        <f aca="false">IFERROR(E59/D59-1,"")</f>
        <v>0</v>
      </c>
      <c r="G59" s="99" t="n">
        <v>0</v>
      </c>
    </row>
    <row r="60" customFormat="false" ht="15" hidden="false" customHeight="false" outlineLevel="0" collapsed="false">
      <c r="A60" s="36" t="s">
        <v>261</v>
      </c>
      <c r="B60" s="36" t="s">
        <v>262</v>
      </c>
      <c r="C60" s="101" t="s">
        <v>42</v>
      </c>
      <c r="D60" s="99" t="n">
        <v>30000</v>
      </c>
      <c r="E60" s="99" t="n">
        <v>30000</v>
      </c>
      <c r="F60" s="95" t="n">
        <f aca="false">IFERROR(E60/D60-1,"")</f>
        <v>0</v>
      </c>
      <c r="G60" s="99" t="n">
        <v>0</v>
      </c>
    </row>
    <row r="61" customFormat="false" ht="15" hidden="false" customHeight="false" outlineLevel="0" collapsed="false">
      <c r="A61" s="36" t="s">
        <v>263</v>
      </c>
      <c r="B61" s="36" t="s">
        <v>262</v>
      </c>
      <c r="C61" s="101" t="s">
        <v>42</v>
      </c>
      <c r="D61" s="99" t="n">
        <v>3000</v>
      </c>
      <c r="E61" s="99" t="n">
        <v>3000</v>
      </c>
      <c r="F61" s="95" t="n">
        <f aca="false">IFERROR(E61/D61-1,"")</f>
        <v>0</v>
      </c>
      <c r="G61" s="99" t="n">
        <v>0</v>
      </c>
    </row>
    <row r="62" customFormat="false" ht="15" hidden="false" customHeight="false" outlineLevel="0" collapsed="false">
      <c r="A62" s="36" t="s">
        <v>241</v>
      </c>
      <c r="B62" s="36" t="s">
        <v>262</v>
      </c>
      <c r="C62" s="101" t="s">
        <v>42</v>
      </c>
      <c r="D62" s="99" t="n">
        <v>6000</v>
      </c>
      <c r="E62" s="99" t="n">
        <v>6000</v>
      </c>
      <c r="F62" s="95" t="n">
        <f aca="false">IFERROR(E62/D62-1,"")</f>
        <v>0</v>
      </c>
      <c r="G62" s="99" t="n">
        <v>0</v>
      </c>
    </row>
    <row r="63" customFormat="false" ht="15" hidden="false" customHeight="false" outlineLevel="0" collapsed="false">
      <c r="A63" s="36" t="s">
        <v>264</v>
      </c>
      <c r="B63" s="36" t="s">
        <v>262</v>
      </c>
      <c r="C63" s="101" t="s">
        <v>223</v>
      </c>
      <c r="D63" s="99" t="n">
        <v>100</v>
      </c>
      <c r="E63" s="99" t="n">
        <v>100</v>
      </c>
      <c r="F63" s="95" t="n">
        <f aca="false">IFERROR(E63/D63-1,"")</f>
        <v>0</v>
      </c>
      <c r="G63" s="99" t="n">
        <v>0</v>
      </c>
    </row>
    <row r="64" customFormat="false" ht="15" hidden="false" customHeight="false" outlineLevel="0" collapsed="false">
      <c r="A64" s="50" t="s">
        <v>265</v>
      </c>
      <c r="G64" s="96" t="n">
        <f aca="false">SUM(G5:G63)</f>
        <v>129342063.488</v>
      </c>
    </row>
    <row r="66" customFormat="false" ht="15" hidden="false" customHeight="false" outlineLevel="0" collapsed="false">
      <c r="A66" s="102" t="s">
        <v>266</v>
      </c>
      <c r="B66" s="102"/>
      <c r="C66" s="102"/>
      <c r="D66" s="102"/>
      <c r="E66" s="102"/>
      <c r="F66" s="102"/>
      <c r="G66" s="102"/>
      <c r="H66" s="78" t="s">
        <v>267</v>
      </c>
    </row>
    <row r="67" customFormat="false" ht="15" hidden="false" customHeight="false" outlineLevel="0" collapsed="false">
      <c r="A67" s="52"/>
    </row>
    <row r="68" customFormat="false" ht="15" hidden="false" customHeight="false" outlineLevel="0" collapsed="false">
      <c r="A68" s="50" t="s">
        <v>268</v>
      </c>
      <c r="G68" s="96" t="n">
        <f aca="false">SUMIFS($G$5:$G$63,$B$5:$B$63,"Медийный инвентарь",$C$5:$C$63,"CPM")</f>
        <v>89325000</v>
      </c>
    </row>
    <row r="69" customFormat="false" ht="15" hidden="false" customHeight="false" outlineLevel="0" collapsed="false">
      <c r="A69" s="50" t="s">
        <v>269</v>
      </c>
      <c r="G69" s="96" t="n">
        <f aca="false">SUMIFS($G$5:$G$63,$B$5:$B$63,"Медийный инвентарь",$C$5:$C$63,"CPD")</f>
        <v>7200000</v>
      </c>
    </row>
    <row r="70" customFormat="false" ht="15" hidden="false" customHeight="false" outlineLevel="0" collapsed="false">
      <c r="A70" s="50" t="s">
        <v>270</v>
      </c>
      <c r="G70" s="96" t="n">
        <f aca="false">SUMIFS($G$5:$G$63,$B$5:$B$63,"Перфоманс",$C$5:$C$63,"CPD")</f>
        <v>32817063.488</v>
      </c>
    </row>
    <row r="71" customFormat="false" ht="15" hidden="false" customHeight="false" outlineLevel="0" collapsed="false">
      <c r="A71" s="50" t="s">
        <v>271</v>
      </c>
      <c r="G71" s="96" t="n">
        <f aca="false">G64-SUMIFS($G$5:$G$63,$B$5:$B$63,"Медийный инвентарь",$C$5:$C$63,"CPM")-SUMIFS($G$5:$G$63,$B$5:$B$63,"Медийный инвентарь",$C$5:$C$63,"CPD")-SUMIFS($G$5:$G$63,$B$5:$B$63,"Перфоманс",$C$5:$C$63,"CPD")</f>
        <v>0</v>
      </c>
    </row>
    <row r="72" customFormat="false" ht="15" hidden="false" customHeight="false" outlineLevel="0" collapsed="false">
      <c r="A72" s="50" t="s">
        <v>170</v>
      </c>
      <c r="G72" s="96" t="n">
        <f aca="false">SUM(G68:G71)</f>
        <v>129342063.488</v>
      </c>
    </row>
    <row r="74" customFormat="false" ht="15" hidden="false" customHeight="false" outlineLevel="0" collapsed="false">
      <c r="A74" s="67" t="s">
        <v>272</v>
      </c>
      <c r="B74" s="67"/>
      <c r="C74" s="67"/>
      <c r="D74" s="67"/>
      <c r="E74" s="67"/>
      <c r="F74" s="67"/>
      <c r="G74" s="67"/>
      <c r="H74" s="78" t="s">
        <v>273</v>
      </c>
    </row>
    <row r="75" customFormat="false" ht="15" hidden="false" customHeight="false" outlineLevel="0" collapsed="false">
      <c r="A75" s="92" t="s">
        <v>186</v>
      </c>
      <c r="B75" s="92" t="s">
        <v>73</v>
      </c>
      <c r="C75" s="92" t="s">
        <v>72</v>
      </c>
      <c r="D75" s="92" t="s">
        <v>274</v>
      </c>
    </row>
    <row r="76" customFormat="false" ht="15" hidden="false" customHeight="false" outlineLevel="0" collapsed="false">
      <c r="A76" s="36" t="s">
        <v>189</v>
      </c>
      <c r="B76" s="99" t="n">
        <v>4809</v>
      </c>
      <c r="C76" s="99" t="n">
        <v>2885.4</v>
      </c>
      <c r="D76" s="95" t="n">
        <f aca="false">IFERROR(C76/B76-1,"")</f>
        <v>-0.4</v>
      </c>
    </row>
    <row r="77" customFormat="false" ht="15" hidden="false" customHeight="false" outlineLevel="0" collapsed="false">
      <c r="A77" s="36" t="s">
        <v>190</v>
      </c>
      <c r="B77" s="99" t="n">
        <v>4809</v>
      </c>
      <c r="C77" s="99" t="n">
        <v>2885.4</v>
      </c>
      <c r="D77" s="95" t="n">
        <f aca="false">IFERROR(C77/B77-1,"")</f>
        <v>-0.4</v>
      </c>
    </row>
    <row r="78" customFormat="false" ht="15" hidden="false" customHeight="false" outlineLevel="0" collapsed="false">
      <c r="A78" s="36" t="s">
        <v>191</v>
      </c>
      <c r="B78" s="99" t="n">
        <v>28800</v>
      </c>
      <c r="C78" s="99" t="n">
        <v>30240</v>
      </c>
      <c r="D78" s="95" t="n">
        <f aca="false">IFERROR(C78/B78-1,"")</f>
        <v>0.05</v>
      </c>
    </row>
    <row r="79" customFormat="false" ht="15" hidden="false" customHeight="false" outlineLevel="0" collapsed="false">
      <c r="A79" s="36" t="s">
        <v>192</v>
      </c>
      <c r="B79" s="99" t="n">
        <v>28800</v>
      </c>
      <c r="C79" s="99" t="n">
        <v>30240</v>
      </c>
      <c r="D79" s="95" t="n">
        <f aca="false">IFERROR(C79/B79-1,"")</f>
        <v>0.05</v>
      </c>
    </row>
    <row r="80" customFormat="false" ht="15" hidden="false" customHeight="false" outlineLevel="0" collapsed="false">
      <c r="A80" s="36" t="s">
        <v>193</v>
      </c>
      <c r="B80" s="99" t="n">
        <v>30214</v>
      </c>
      <c r="C80" s="99" t="n">
        <v>24171.2</v>
      </c>
      <c r="D80" s="95" t="n">
        <f aca="false">IFERROR(C80/B80-1,"")</f>
        <v>-0.2</v>
      </c>
    </row>
    <row r="81" customFormat="false" ht="15" hidden="false" customHeight="false" outlineLevel="0" collapsed="false">
      <c r="A81" s="36" t="s">
        <v>194</v>
      </c>
      <c r="B81" s="99" t="n">
        <v>30214</v>
      </c>
      <c r="C81" s="99" t="n">
        <v>24171.2</v>
      </c>
      <c r="D81" s="95" t="n">
        <f aca="false">IFERROR(C81/B81-1,"")</f>
        <v>-0.2</v>
      </c>
    </row>
    <row r="82" customFormat="false" ht="15" hidden="false" customHeight="false" outlineLevel="0" collapsed="false">
      <c r="A82" s="36" t="s">
        <v>195</v>
      </c>
      <c r="B82" s="99" t="n">
        <v>14350</v>
      </c>
      <c r="C82" s="99" t="n">
        <v>11480</v>
      </c>
      <c r="D82" s="95" t="n">
        <f aca="false">IFERROR(C82/B82-1,"")</f>
        <v>-0.2</v>
      </c>
    </row>
    <row r="83" customFormat="false" ht="15" hidden="false" customHeight="false" outlineLevel="0" collapsed="false">
      <c r="A83" s="36" t="s">
        <v>196</v>
      </c>
      <c r="B83" s="99" t="n">
        <v>1784</v>
      </c>
      <c r="C83" s="99" t="n">
        <v>1784</v>
      </c>
      <c r="D83" s="95" t="n">
        <f aca="false">IFERROR(C83/B83-1,"")</f>
        <v>0</v>
      </c>
    </row>
    <row r="84" customFormat="false" ht="15" hidden="false" customHeight="false" outlineLevel="0" collapsed="false">
      <c r="A84" s="36" t="s">
        <v>197</v>
      </c>
      <c r="B84" s="99" t="n">
        <v>506</v>
      </c>
      <c r="C84" s="99" t="n">
        <v>2024</v>
      </c>
      <c r="D84" s="95" t="n">
        <f aca="false">IFERROR(C84/B84-1,"")</f>
        <v>3</v>
      </c>
    </row>
    <row r="85" customFormat="false" ht="15" hidden="false" customHeight="false" outlineLevel="0" collapsed="false">
      <c r="A85" s="36" t="s">
        <v>198</v>
      </c>
      <c r="B85" s="99" t="n">
        <v>1112</v>
      </c>
      <c r="C85" s="99" t="n">
        <v>1112</v>
      </c>
      <c r="D85" s="95" t="n">
        <f aca="false">IFERROR(C85/B85-1,"")</f>
        <v>0</v>
      </c>
    </row>
    <row r="86" customFormat="false" ht="15" hidden="false" customHeight="false" outlineLevel="0" collapsed="false">
      <c r="A86" s="36" t="s">
        <v>199</v>
      </c>
      <c r="B86" s="99" t="n">
        <v>200000</v>
      </c>
      <c r="C86" s="99" t="n">
        <v>240000</v>
      </c>
      <c r="D86" s="95" t="n">
        <f aca="false">IFERROR(C86/B86-1,"")</f>
        <v>0.2</v>
      </c>
    </row>
    <row r="87" customFormat="false" ht="15" hidden="false" customHeight="false" outlineLevel="0" collapsed="false">
      <c r="A87" s="36" t="s">
        <v>200</v>
      </c>
      <c r="B87" s="99" t="n">
        <v>200000</v>
      </c>
      <c r="C87" s="99" t="n">
        <v>240000</v>
      </c>
      <c r="D87" s="95" t="n">
        <f aca="false">IFERROR(C87/B87-1,"")</f>
        <v>0.2</v>
      </c>
    </row>
    <row r="88" customFormat="false" ht="15" hidden="false" customHeight="false" outlineLevel="0" collapsed="false">
      <c r="A88" s="36" t="s">
        <v>201</v>
      </c>
      <c r="B88" s="99" t="n">
        <v>7136</v>
      </c>
      <c r="C88" s="99" t="n">
        <v>7136</v>
      </c>
      <c r="D88" s="95" t="n">
        <f aca="false">IFERROR(C88/B88-1,"")</f>
        <v>0</v>
      </c>
    </row>
    <row r="90" customFormat="false" ht="15" hidden="false" customHeight="false" outlineLevel="0" collapsed="false">
      <c r="A90" s="67" t="s">
        <v>275</v>
      </c>
      <c r="B90" s="67"/>
      <c r="C90" s="67"/>
      <c r="D90" s="67"/>
      <c r="E90" s="67"/>
      <c r="F90" s="67"/>
      <c r="G90" s="67"/>
      <c r="H90" s="78" t="s">
        <v>276</v>
      </c>
    </row>
    <row r="91" customFormat="false" ht="15" hidden="false" customHeight="false" outlineLevel="0" collapsed="false">
      <c r="A91" s="36" t="s">
        <v>277</v>
      </c>
      <c r="B91" s="103" t="n">
        <v>0.75</v>
      </c>
    </row>
    <row r="92" customFormat="false" ht="15" hidden="false" customHeight="false" outlineLevel="0" collapsed="false">
      <c r="A92" s="36" t="s">
        <v>278</v>
      </c>
      <c r="B92" s="104"/>
    </row>
    <row r="93" customFormat="false" ht="15" hidden="false" customHeight="false" outlineLevel="0" collapsed="false">
      <c r="A93" s="50" t="s">
        <v>279</v>
      </c>
      <c r="B93" s="105" t="n">
        <f aca="false">B91*(1+B92)</f>
        <v>0.75</v>
      </c>
    </row>
    <row r="94" customFormat="false" ht="15" hidden="false" customHeight="false" outlineLevel="0" collapsed="false">
      <c r="A94" s="36" t="s">
        <v>280</v>
      </c>
      <c r="B94" s="99" t="n">
        <f aca="false">60000/0.94</f>
        <v>63829.7872340426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3C"/>
    <pageSetUpPr fitToPage="false"/>
  </sheetPr>
  <dimension ref="A1:R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5.33"/>
    <col collapsed="false" customWidth="true" hidden="false" outlineLevel="0" max="3" min="3" style="1" width="19.16"/>
    <col collapsed="false" customWidth="true" hidden="false" outlineLevel="0" max="4" min="4" style="1" width="13.5"/>
    <col collapsed="false" customWidth="true" hidden="false" outlineLevel="0" max="5" min="5" style="1" width="8"/>
    <col collapsed="false" customWidth="true" hidden="false" outlineLevel="0" max="6" min="6" style="1" width="13.83"/>
    <col collapsed="false" customWidth="true" hidden="false" outlineLevel="0" max="7" min="7" style="1" width="7.16"/>
    <col collapsed="false" customWidth="true" hidden="false" outlineLevel="0" max="9" min="8" style="1" width="15.33"/>
    <col collapsed="false" customWidth="true" hidden="false" outlineLevel="0" max="11" min="10" style="1" width="9.52"/>
    <col collapsed="false" customWidth="true" hidden="false" outlineLevel="0" max="12" min="12" style="1" width="8"/>
    <col collapsed="false" customWidth="true" hidden="false" outlineLevel="0" max="14" min="13" style="1" width="10"/>
    <col collapsed="false" customWidth="true" hidden="false" outlineLevel="0" max="16" min="15" style="1" width="13"/>
    <col collapsed="false" customWidth="true" hidden="false" outlineLevel="0" max="17" min="17" style="1" width="59.33"/>
  </cols>
  <sheetData>
    <row r="1" customFormat="false" ht="15" hidden="false" customHeight="false" outlineLevel="0" collapsed="false">
      <c r="A1" s="50" t="s">
        <v>281</v>
      </c>
    </row>
    <row r="2" customFormat="false" ht="15" hidden="false" customHeight="false" outlineLevel="0" collapsed="false">
      <c r="A2" s="52" t="s">
        <v>282</v>
      </c>
    </row>
    <row r="4" customFormat="false" ht="15" hidden="false" customHeight="false" outlineLevel="0" collapsed="false">
      <c r="A4" s="50" t="s">
        <v>283</v>
      </c>
      <c r="B4" s="106" t="n">
        <v>1</v>
      </c>
      <c r="C4" s="107" t="s">
        <v>284</v>
      </c>
    </row>
    <row r="5" customFormat="false" ht="15" hidden="false" customHeight="false" outlineLevel="0" collapsed="false">
      <c r="A5" s="108" t="s">
        <v>285</v>
      </c>
      <c r="B5" s="109" t="s">
        <v>9</v>
      </c>
      <c r="C5" s="109" t="s">
        <v>10</v>
      </c>
      <c r="D5" s="109" t="s">
        <v>11</v>
      </c>
      <c r="E5" s="109" t="s">
        <v>12</v>
      </c>
      <c r="F5" s="109" t="s">
        <v>13</v>
      </c>
      <c r="G5" s="109" t="s">
        <v>14</v>
      </c>
      <c r="H5" s="109" t="s">
        <v>15</v>
      </c>
      <c r="I5" s="109" t="s">
        <v>16</v>
      </c>
      <c r="J5" s="109" t="s">
        <v>17</v>
      </c>
      <c r="K5" s="109" t="s">
        <v>18</v>
      </c>
      <c r="L5" s="109" t="s">
        <v>19</v>
      </c>
      <c r="M5" s="109" t="s">
        <v>20</v>
      </c>
      <c r="N5" s="110" t="s">
        <v>286</v>
      </c>
    </row>
    <row r="6" customFormat="false" ht="15" hidden="false" customHeight="true" outlineLevel="0" collapsed="false">
      <c r="A6" s="111" t="s">
        <v>287</v>
      </c>
      <c r="B6" s="112" t="n">
        <v>1</v>
      </c>
      <c r="C6" s="112" t="n">
        <v>1.1</v>
      </c>
      <c r="D6" s="112" t="n">
        <v>1.2</v>
      </c>
      <c r="E6" s="112" t="n">
        <v>1.1</v>
      </c>
      <c r="F6" s="112" t="n">
        <v>1.2</v>
      </c>
      <c r="G6" s="112" t="n">
        <v>1</v>
      </c>
      <c r="H6" s="112" t="n">
        <v>1</v>
      </c>
      <c r="I6" s="112" t="n">
        <v>1.1</v>
      </c>
      <c r="J6" s="112" t="n">
        <v>1.1</v>
      </c>
      <c r="K6" s="112" t="n">
        <v>1.2</v>
      </c>
      <c r="L6" s="112" t="n">
        <v>1.4</v>
      </c>
      <c r="M6" s="112" t="n">
        <v>1.7</v>
      </c>
      <c r="N6" s="112" t="n">
        <f aca="false">SUM(B6:M6)</f>
        <v>14.1</v>
      </c>
    </row>
    <row r="7" customFormat="false" ht="15" hidden="false" customHeight="true" outlineLevel="0" collapsed="false"/>
    <row r="8" customFormat="false" ht="15" hidden="false" customHeight="false" outlineLevel="0" collapsed="false">
      <c r="A8" s="67" t="s">
        <v>288</v>
      </c>
      <c r="B8" s="113"/>
      <c r="C8" s="114" t="s">
        <v>289</v>
      </c>
    </row>
    <row r="9" customFormat="false" ht="15" hidden="false" customHeight="false" outlineLevel="0" collapsed="false">
      <c r="A9" s="92" t="s">
        <v>175</v>
      </c>
      <c r="B9" s="92" t="s">
        <v>290</v>
      </c>
    </row>
    <row r="10" customFormat="false" ht="15" hidden="false" customHeight="false" outlineLevel="0" collapsed="false">
      <c r="A10" s="36" t="s">
        <v>291</v>
      </c>
      <c r="B10" s="115" t="n">
        <f aca="false">Вводные!O3</f>
        <v>297.014906031425</v>
      </c>
    </row>
    <row r="11" customFormat="false" ht="15" hidden="false" customHeight="false" outlineLevel="0" collapsed="false">
      <c r="A11" s="36" t="s">
        <v>292</v>
      </c>
      <c r="B11" s="115" t="n">
        <f aca="false">SUM(Вводные!C3:J3)</f>
        <v>188.864316</v>
      </c>
    </row>
    <row r="12" customFormat="false" ht="15" hidden="false" customHeight="false" outlineLevel="0" collapsed="false">
      <c r="A12" s="36" t="s">
        <v>293</v>
      </c>
      <c r="B12" s="115" t="n">
        <f aca="false">Вводные!O4</f>
        <v>351.211495622608</v>
      </c>
    </row>
    <row r="13" customFormat="false" ht="15" hidden="false" customHeight="false" outlineLevel="0" collapsed="false">
      <c r="A13" s="50" t="s">
        <v>294</v>
      </c>
      <c r="B13" s="116" t="n">
        <f aca="false">B10/B11</f>
        <v>1.57263644251053</v>
      </c>
    </row>
    <row r="14" customFormat="false" ht="15" hidden="false" customHeight="false" outlineLevel="0" collapsed="false">
      <c r="A14" s="50" t="s">
        <v>295</v>
      </c>
      <c r="B14" s="117" t="n">
        <f aca="false">B12/B10-1</f>
        <v>0.18247094166193</v>
      </c>
    </row>
    <row r="15" customFormat="false" ht="15" hidden="false" customHeight="false" outlineLevel="0" collapsed="false">
      <c r="A15" s="36" t="s">
        <v>296</v>
      </c>
      <c r="B15" s="115" t="n">
        <v>1</v>
      </c>
      <c r="C15" s="107"/>
    </row>
    <row r="17" customFormat="false" ht="15" hidden="false" customHeight="false" outlineLevel="0" collapsed="false">
      <c r="A17" s="67" t="s">
        <v>297</v>
      </c>
      <c r="B17" s="118"/>
      <c r="C17" s="113"/>
      <c r="D17" s="118"/>
      <c r="E17" s="118"/>
      <c r="F17" s="118"/>
      <c r="G17" s="118"/>
      <c r="H17" s="118"/>
      <c r="I17" s="118"/>
      <c r="J17" s="118"/>
      <c r="K17" s="118"/>
      <c r="L17" s="114" t="s">
        <v>298</v>
      </c>
    </row>
    <row r="18" customFormat="false" ht="31.5" hidden="false" customHeight="true" outlineLevel="0" collapsed="false">
      <c r="A18" s="92" t="s">
        <v>144</v>
      </c>
      <c r="B18" s="92" t="s">
        <v>299</v>
      </c>
      <c r="C18" s="92" t="s">
        <v>300</v>
      </c>
      <c r="D18" s="92" t="s">
        <v>301</v>
      </c>
      <c r="E18" s="92" t="s">
        <v>302</v>
      </c>
      <c r="F18" s="92" t="s">
        <v>303</v>
      </c>
      <c r="G18" s="92" t="s">
        <v>304</v>
      </c>
      <c r="H18" s="92" t="s">
        <v>305</v>
      </c>
      <c r="I18" s="92" t="s">
        <v>306</v>
      </c>
      <c r="J18" s="92" t="s">
        <v>307</v>
      </c>
      <c r="K18" s="92" t="s">
        <v>308</v>
      </c>
    </row>
    <row r="19" customFormat="false" ht="15" hidden="false" customHeight="false" outlineLevel="0" collapsed="false">
      <c r="A19" s="36" t="s">
        <v>147</v>
      </c>
      <c r="B19" s="119" t="n">
        <f aca="false">DATA!K33</f>
        <v>4311883974</v>
      </c>
      <c r="C19" s="119" t="n">
        <f aca="false">DATA!K6</f>
        <v>1345820590</v>
      </c>
      <c r="D19" s="95" t="n">
        <f aca="false">IFERROR(C19/B19,0)</f>
        <v>0.312118924840068</v>
      </c>
      <c r="E19" s="120" t="n">
        <f aca="false">D19</f>
        <v>0.312118924840068</v>
      </c>
      <c r="F19" s="119" t="n">
        <f aca="false">ПРАЙС!D7</f>
        <v>600</v>
      </c>
      <c r="G19" s="119" t="n">
        <f aca="false">ПРАЙС!E7</f>
        <v>600</v>
      </c>
      <c r="H19" s="121" t="n">
        <f aca="false">C19*'APP Медиа'!$B$13</f>
        <v>2116486504.91502</v>
      </c>
      <c r="I19" s="122" t="n">
        <v>2294400748.80169</v>
      </c>
      <c r="J19" s="123" t="n">
        <f aca="false">(C19*F19+(H19-C19)*G19)/1000000000</f>
        <v>1269.89190294901</v>
      </c>
      <c r="K19" s="123" t="n">
        <f aca="false">I19*G19/1000000000</f>
        <v>1376.64044928101</v>
      </c>
    </row>
    <row r="20" customFormat="false" ht="15" hidden="false" customHeight="false" outlineLevel="0" collapsed="false">
      <c r="A20" s="36" t="s">
        <v>148</v>
      </c>
      <c r="B20" s="119" t="n">
        <f aca="false">DATA!K34</f>
        <v>1065643697</v>
      </c>
      <c r="C20" s="119" t="n">
        <f aca="false">DATA!K7</f>
        <v>600716283</v>
      </c>
      <c r="D20" s="95" t="n">
        <f aca="false">IFERROR(C20/B20,0)</f>
        <v>0.563712134450883</v>
      </c>
      <c r="E20" s="120" t="n">
        <f aca="false">D20</f>
        <v>0.563712134450883</v>
      </c>
      <c r="F20" s="119" t="n">
        <f aca="false">ПРАЙС!D12</f>
        <v>350</v>
      </c>
      <c r="G20" s="119" t="n">
        <f aca="false">ПРАЙС!E12</f>
        <v>400</v>
      </c>
      <c r="H20" s="121" t="n">
        <f aca="false">C20*'APP Медиа'!$B$13</f>
        <v>944708318.255269</v>
      </c>
      <c r="I20" s="122" t="n">
        <v>1024121565.51459</v>
      </c>
      <c r="J20" s="123" t="n">
        <f aca="false">(C20*F20+(H20-C20)*G20)/1000000000</f>
        <v>347.847513152108</v>
      </c>
      <c r="K20" s="123" t="n">
        <f aca="false">I20*G20/1000000000</f>
        <v>409.648626205836</v>
      </c>
    </row>
    <row r="21" customFormat="false" ht="15" hidden="false" customHeight="false" outlineLevel="0" collapsed="false">
      <c r="A21" s="36" t="s">
        <v>149</v>
      </c>
      <c r="B21" s="119" t="n">
        <f aca="false">DATA!K35</f>
        <v>780629716</v>
      </c>
      <c r="C21" s="119" t="n">
        <f aca="false">DATA!K8</f>
        <v>438379355</v>
      </c>
      <c r="D21" s="95" t="n">
        <f aca="false">IFERROR(C21/B21,0)</f>
        <v>0.561571441638535</v>
      </c>
      <c r="E21" s="120" t="n">
        <f aca="false">D21</f>
        <v>0.561571441638535</v>
      </c>
      <c r="F21" s="119" t="n">
        <f aca="false">ПРАЙС!D21</f>
        <v>450</v>
      </c>
      <c r="G21" s="119" t="n">
        <f aca="false">ПРАЙС!E21</f>
        <v>600</v>
      </c>
      <c r="H21" s="121" t="n">
        <f aca="false">C21*'APP Медиа'!$B$13</f>
        <v>689411349.317261</v>
      </c>
      <c r="I21" s="122" t="n">
        <v>747364045.28571</v>
      </c>
      <c r="J21" s="123" t="n">
        <f aca="false">(C21*F21+(H21-C21)*G21)/1000000000</f>
        <v>347.889906340357</v>
      </c>
      <c r="K21" s="123" t="n">
        <f aca="false">I21*G21/1000000000</f>
        <v>448.418427171426</v>
      </c>
    </row>
    <row r="22" customFormat="false" ht="15" hidden="false" customHeight="false" outlineLevel="0" collapsed="false">
      <c r="A22" s="36" t="s">
        <v>309</v>
      </c>
      <c r="B22" s="119" t="n">
        <f aca="false">DATA!K36</f>
        <v>746637090</v>
      </c>
      <c r="C22" s="119" t="n">
        <f aca="false">DATA!K9</f>
        <v>413410041</v>
      </c>
      <c r="D22" s="95" t="n">
        <f aca="false">IFERROR(C22/B22,0)</f>
        <v>0.553696094845757</v>
      </c>
      <c r="E22" s="120" t="n">
        <f aca="false">D22</f>
        <v>0.553696094845757</v>
      </c>
      <c r="F22" s="119" t="n">
        <f aca="false">ПРАЙС!D39</f>
        <v>600</v>
      </c>
      <c r="G22" s="119" t="n">
        <f aca="false">ПРАЙС!E39</f>
        <v>1000</v>
      </c>
      <c r="H22" s="121" t="n">
        <f aca="false">C22*'APP Медиа'!$B$13</f>
        <v>650143696.176373</v>
      </c>
      <c r="I22" s="122" t="n">
        <v>704795508.911435</v>
      </c>
      <c r="J22" s="123" t="n">
        <f aca="false">(C22*F22+(H22-C22)*G22)/1000000000</f>
        <v>484.779679776373</v>
      </c>
      <c r="K22" s="123" t="n">
        <f aca="false">I22*G22/1000000000</f>
        <v>704.795508911435</v>
      </c>
    </row>
    <row r="23" customFormat="false" ht="15" hidden="false" customHeight="false" outlineLevel="0" collapsed="false">
      <c r="A23" s="36" t="s">
        <v>151</v>
      </c>
      <c r="B23" s="119" t="n">
        <f aca="false">DATA!K37</f>
        <v>699021088</v>
      </c>
      <c r="C23" s="119" t="n">
        <f aca="false">DATA!K10</f>
        <v>343246953</v>
      </c>
      <c r="D23" s="95" t="n">
        <f aca="false">IFERROR(C23/B23,0)</f>
        <v>0.491039482059231</v>
      </c>
      <c r="E23" s="120" t="n">
        <f aca="false">D23</f>
        <v>0.491039482059231</v>
      </c>
      <c r="F23" s="119" t="n">
        <f aca="false">ПРАЙС!D12</f>
        <v>350</v>
      </c>
      <c r="G23" s="119" t="n">
        <f aca="false">ПРАЙС!E12</f>
        <v>400</v>
      </c>
      <c r="H23" s="121" t="n">
        <f aca="false">C23*'APP Медиа'!$B$13</f>
        <v>539802667.068499</v>
      </c>
      <c r="I23" s="122" t="n">
        <v>585179088.385842</v>
      </c>
      <c r="J23" s="123" t="n">
        <f aca="false">(C23*F23+(H23-C23)*G23)/1000000000</f>
        <v>198.7587191774</v>
      </c>
      <c r="K23" s="123" t="n">
        <f aca="false">I23*G23/1000000000</f>
        <v>234.071635354337</v>
      </c>
    </row>
    <row r="24" customFormat="false" ht="15" hidden="false" customHeight="false" outlineLevel="0" collapsed="false">
      <c r="A24" s="36" t="s">
        <v>152</v>
      </c>
      <c r="B24" s="119" t="n">
        <f aca="false">DATA!K38</f>
        <v>327393749</v>
      </c>
      <c r="C24" s="119" t="n">
        <f aca="false">DATA!K11</f>
        <v>225025326</v>
      </c>
      <c r="D24" s="95" t="n">
        <f aca="false">IFERROR(C24/B24,0)</f>
        <v>0.687323220700833</v>
      </c>
      <c r="E24" s="120" t="n">
        <f aca="false">D24</f>
        <v>0.687323220700833</v>
      </c>
      <c r="F24" s="119" t="n">
        <f aca="false">ПРАЙС!D8</f>
        <v>450</v>
      </c>
      <c r="G24" s="119" t="n">
        <f aca="false">ПРАЙС!E8</f>
        <v>450</v>
      </c>
      <c r="H24" s="121" t="n">
        <f aca="false">C24*'APP Медиа'!$B$13</f>
        <v>353883028.155412</v>
      </c>
      <c r="I24" s="122" t="n">
        <v>383630834.830476</v>
      </c>
      <c r="J24" s="123" t="n">
        <f aca="false">(C24*F24+(H24-C24)*G24)/1000000000</f>
        <v>159.247362669936</v>
      </c>
      <c r="K24" s="123" t="n">
        <f aca="false">I24*G24/1000000000</f>
        <v>172.633875673714</v>
      </c>
    </row>
    <row r="25" customFormat="false" ht="15" hidden="false" customHeight="false" outlineLevel="0" collapsed="false">
      <c r="A25" s="36" t="s">
        <v>153</v>
      </c>
      <c r="B25" s="119" t="n">
        <f aca="false">DATA!K39</f>
        <v>1036086155</v>
      </c>
      <c r="C25" s="119" t="n">
        <f aca="false">DATA!K12</f>
        <v>171630789</v>
      </c>
      <c r="D25" s="95" t="n">
        <f aca="false">IFERROR(C25/B25,0)</f>
        <v>0.165653008846547</v>
      </c>
      <c r="E25" s="120" t="n">
        <f aca="false">D25</f>
        <v>0.165653008846547</v>
      </c>
      <c r="F25" s="119" t="n">
        <f aca="false">ПРАЙС!D6</f>
        <v>600</v>
      </c>
      <c r="G25" s="119" t="n">
        <f aca="false">ПРАЙС!E6</f>
        <v>600</v>
      </c>
      <c r="H25" s="121" t="n">
        <f aca="false">C25*'APP Медиа'!$B$13</f>
        <v>269912833.438235</v>
      </c>
      <c r="I25" s="122" t="n">
        <v>292602010.791814</v>
      </c>
      <c r="J25" s="123" t="n">
        <f aca="false">(C25*F25+(H25-C25)*G25)/1000000000</f>
        <v>161.947700062941</v>
      </c>
      <c r="K25" s="123" t="n">
        <f aca="false">I25*G25/1000000000</f>
        <v>175.561206475088</v>
      </c>
    </row>
    <row r="26" customFormat="false" ht="15" hidden="false" customHeight="false" outlineLevel="0" collapsed="false">
      <c r="A26" s="36" t="s">
        <v>154</v>
      </c>
      <c r="B26" s="119" t="n">
        <f aca="false">DATA!K40</f>
        <v>115500217</v>
      </c>
      <c r="C26" s="119" t="n">
        <f aca="false">DATA!K13</f>
        <v>88018827</v>
      </c>
      <c r="D26" s="95" t="n">
        <f aca="false">IFERROR(C26/B26,0)</f>
        <v>0.762066334472774</v>
      </c>
      <c r="E26" s="120" t="n">
        <f aca="false">D26</f>
        <v>0.762066334472774</v>
      </c>
      <c r="F26" s="119" t="n">
        <f aca="false">ПРАЙС!D10</f>
        <v>350</v>
      </c>
      <c r="G26" s="119" t="n">
        <f aca="false">ПРАЙС!E10</f>
        <v>400</v>
      </c>
      <c r="H26" s="121" t="n">
        <f aca="false">C26*'APP Медиа'!$B$13</f>
        <v>138421614.96723</v>
      </c>
      <c r="I26" s="122" t="n">
        <v>150057492.118951</v>
      </c>
      <c r="J26" s="123" t="n">
        <f aca="false">(C26*F26+(H26-C26)*G26)/1000000000</f>
        <v>50.9677046368919</v>
      </c>
      <c r="K26" s="123" t="n">
        <f aca="false">I26*G26/1000000000</f>
        <v>60.0229968475804</v>
      </c>
    </row>
    <row r="27" customFormat="false" ht="15" hidden="false" customHeight="false" outlineLevel="0" collapsed="false">
      <c r="A27" s="36" t="s">
        <v>155</v>
      </c>
      <c r="B27" s="119" t="n">
        <f aca="false">DATA!K41</f>
        <v>157466270</v>
      </c>
      <c r="C27" s="119" t="n">
        <f aca="false">DATA!K14</f>
        <v>66337293</v>
      </c>
      <c r="D27" s="95" t="n">
        <f aca="false">IFERROR(C27/B27,0)</f>
        <v>0.421279382562374</v>
      </c>
      <c r="E27" s="120" t="n">
        <f aca="false">D27</f>
        <v>0.421279382562374</v>
      </c>
      <c r="F27" s="119" t="n">
        <f aca="false">ПРАЙС!D40</f>
        <v>600</v>
      </c>
      <c r="G27" s="119" t="n">
        <f aca="false">ПРАЙС!E40</f>
        <v>1000</v>
      </c>
      <c r="H27" s="121" t="n">
        <f aca="false">C27*'APP Медиа'!$B$13</f>
        <v>104324444.469299</v>
      </c>
      <c r="I27" s="122" t="n">
        <v>113094074.993069</v>
      </c>
      <c r="J27" s="123" t="n">
        <f aca="false">(C27*F27+(H27-C27)*G27)/1000000000</f>
        <v>77.7895272692987</v>
      </c>
      <c r="K27" s="123" t="n">
        <f aca="false">I27*G27/1000000000</f>
        <v>113.094074993069</v>
      </c>
    </row>
    <row r="28" customFormat="false" ht="15" hidden="false" customHeight="false" outlineLevel="0" collapsed="false">
      <c r="A28" s="36" t="s">
        <v>156</v>
      </c>
      <c r="B28" s="119" t="n">
        <f aca="false">DATA!K42</f>
        <v>162748470</v>
      </c>
      <c r="C28" s="119" t="n">
        <f aca="false">DATA!K15</f>
        <v>48272076</v>
      </c>
      <c r="D28" s="95" t="n">
        <f aca="false">IFERROR(C28/B28,0)</f>
        <v>0.296605405875705</v>
      </c>
      <c r="E28" s="120" t="n">
        <f aca="false">D28</f>
        <v>0.296605405875705</v>
      </c>
      <c r="F28" s="119" t="n">
        <f aca="false">ПРАЙС!D11</f>
        <v>350</v>
      </c>
      <c r="G28" s="119" t="n">
        <f aca="false">ПРАЙС!E11</f>
        <v>400</v>
      </c>
      <c r="H28" s="121" t="n">
        <f aca="false">C28*'APP Медиа'!$B$13</f>
        <v>75914425.873238</v>
      </c>
      <c r="I28" s="122" t="n">
        <v>82295878.17542</v>
      </c>
      <c r="J28" s="123" t="n">
        <f aca="false">(C28*F28+(H28-C28)*G28)/1000000000</f>
        <v>27.9521665492952</v>
      </c>
      <c r="K28" s="123" t="n">
        <f aca="false">I28*G28/1000000000</f>
        <v>32.918351270168</v>
      </c>
    </row>
    <row r="29" customFormat="false" ht="15" hidden="false" customHeight="false" outlineLevel="0" collapsed="false">
      <c r="A29" s="36" t="s">
        <v>157</v>
      </c>
      <c r="B29" s="119" t="n">
        <f aca="false">DATA!K43</f>
        <v>36588033</v>
      </c>
      <c r="C29" s="119" t="n">
        <f aca="false">DATA!K16</f>
        <v>23105497</v>
      </c>
      <c r="D29" s="95" t="n">
        <f aca="false">IFERROR(C29/B29,0)</f>
        <v>0.631504213413167</v>
      </c>
      <c r="E29" s="120" t="n">
        <f aca="false">D29</f>
        <v>0.631504213413167</v>
      </c>
      <c r="F29" s="119" t="n">
        <f aca="false">ПРАЙС!D16</f>
        <v>350</v>
      </c>
      <c r="G29" s="119" t="n">
        <f aca="false">ПРАЙС!E16</f>
        <v>400</v>
      </c>
      <c r="H29" s="121" t="n">
        <f aca="false">C29*'APP Медиа'!$B$13</f>
        <v>36336546.6045177</v>
      </c>
      <c r="I29" s="122" t="n">
        <v>39391037.7149417</v>
      </c>
      <c r="J29" s="123" t="n">
        <f aca="false">(C29*F29+(H29-C29)*G29)/1000000000</f>
        <v>13.3793437918071</v>
      </c>
      <c r="K29" s="123" t="n">
        <f aca="false">I29*G29/1000000000</f>
        <v>15.7564150859767</v>
      </c>
    </row>
    <row r="30" customFormat="false" ht="15" hidden="false" customHeight="false" outlineLevel="0" collapsed="false">
      <c r="A30" s="36" t="s">
        <v>158</v>
      </c>
      <c r="B30" s="119" t="n">
        <f aca="false">DATA!K44</f>
        <v>63483189</v>
      </c>
      <c r="C30" s="119" t="n">
        <f aca="false">DATA!K17</f>
        <v>22291337</v>
      </c>
      <c r="D30" s="95" t="n">
        <f aca="false">IFERROR(C30/B30,0)</f>
        <v>0.351137637398777</v>
      </c>
      <c r="E30" s="120" t="n">
        <f aca="false">D30</f>
        <v>0.351137637398777</v>
      </c>
      <c r="F30" s="119" t="n">
        <f aca="false">ПРАЙС!D9</f>
        <v>350</v>
      </c>
      <c r="G30" s="119" t="n">
        <f aca="false">ПРАЙС!E9</f>
        <v>400</v>
      </c>
      <c r="H30" s="121" t="n">
        <f aca="false">C30*'APP Медиа'!$B$13</f>
        <v>35056168.9184834</v>
      </c>
      <c r="I30" s="122" t="n">
        <v>38003030.0358169</v>
      </c>
      <c r="J30" s="123" t="n">
        <f aca="false">(C30*F30+(H30-C30)*G30)/1000000000</f>
        <v>12.9079007173933</v>
      </c>
      <c r="K30" s="123" t="n">
        <f aca="false">I30*G30/1000000000</f>
        <v>15.2012120143268</v>
      </c>
    </row>
    <row r="31" customFormat="false" ht="15" hidden="false" customHeight="false" outlineLevel="0" collapsed="false">
      <c r="A31" s="36" t="s">
        <v>159</v>
      </c>
      <c r="B31" s="119" t="n">
        <f aca="false">DATA!K45</f>
        <v>19689206</v>
      </c>
      <c r="C31" s="119" t="n">
        <f aca="false">DATA!K18</f>
        <v>9864551</v>
      </c>
      <c r="D31" s="95" t="n">
        <f aca="false">IFERROR(C31/B31,0)</f>
        <v>0.501013143953088</v>
      </c>
      <c r="E31" s="120" t="n">
        <f aca="false">D31</f>
        <v>0.501013143953088</v>
      </c>
      <c r="F31" s="122" t="n">
        <v>400</v>
      </c>
      <c r="G31" s="122" t="n">
        <v>450</v>
      </c>
      <c r="H31" s="122" t="n">
        <f aca="false">C31*'APP Медиа'!$B$13</f>
        <v>15513352.3916037</v>
      </c>
      <c r="I31" s="122" t="n">
        <v>16817422.299203</v>
      </c>
      <c r="J31" s="123" t="n">
        <f aca="false">(C31*F31+(H31-C31)*G31)/1000000000</f>
        <v>6.48778102622166</v>
      </c>
      <c r="K31" s="123" t="n">
        <f aca="false">I31*G31/1000000000</f>
        <v>7.56784003464135</v>
      </c>
      <c r="Q31" s="107"/>
    </row>
    <row r="32" customFormat="false" ht="15" hidden="false" customHeight="false" outlineLevel="0" collapsed="false">
      <c r="A32" s="36" t="s">
        <v>160</v>
      </c>
      <c r="B32" s="119" t="n">
        <f aca="false">DATA!K46</f>
        <v>4678593</v>
      </c>
      <c r="C32" s="119" t="n">
        <f aca="false">DATA!K19</f>
        <v>4678593</v>
      </c>
      <c r="D32" s="95" t="n">
        <f aca="false">IFERROR(C32/B32,0)</f>
        <v>1</v>
      </c>
      <c r="E32" s="120" t="n">
        <f aca="false">D32</f>
        <v>1</v>
      </c>
      <c r="F32" s="119" t="n">
        <f aca="false">ПРАЙС!D8</f>
        <v>450</v>
      </c>
      <c r="G32" s="119" t="n">
        <f aca="false">ПРАЙС!E8</f>
        <v>450</v>
      </c>
      <c r="H32" s="121" t="n">
        <f aca="false">C32*'APP Медиа'!$B$13</f>
        <v>7357725.85147467</v>
      </c>
      <c r="I32" s="122" t="n">
        <v>7976224.58914701</v>
      </c>
      <c r="J32" s="123" t="n">
        <f aca="false">(C32*F32+(H32-C32)*G32)/1000000000</f>
        <v>3.3109766331636</v>
      </c>
      <c r="K32" s="123" t="n">
        <f aca="false">I32*G32/1000000000</f>
        <v>3.58930106511615</v>
      </c>
    </row>
    <row r="33" customFormat="false" ht="15" hidden="false" customHeight="false" outlineLevel="0" collapsed="false">
      <c r="A33" s="36" t="s">
        <v>161</v>
      </c>
      <c r="B33" s="119" t="n">
        <f aca="false">DATA!K47</f>
        <v>150435958</v>
      </c>
      <c r="C33" s="119" t="n">
        <f aca="false">DATA!K20</f>
        <v>4052095</v>
      </c>
      <c r="D33" s="95" t="n">
        <f aca="false">IFERROR(C33/B33,0)</f>
        <v>0.0269356811620796</v>
      </c>
      <c r="E33" s="120" t="n">
        <f aca="false">D33</f>
        <v>0.0269356811620796</v>
      </c>
      <c r="F33" s="119" t="n">
        <f aca="false">ПРАЙС!D11</f>
        <v>350</v>
      </c>
      <c r="G33" s="119" t="n">
        <f aca="false">ПРАЙС!E11</f>
        <v>400</v>
      </c>
      <c r="H33" s="121" t="n">
        <f aca="false">C33*'APP Медиа'!$B$13</f>
        <v>6372472.26551471</v>
      </c>
      <c r="I33" s="122" t="n">
        <v>6908149.47497243</v>
      </c>
      <c r="J33" s="123" t="n">
        <f aca="false">(C33*F33+(H33-C33)*G33)/1000000000</f>
        <v>2.34638415620588</v>
      </c>
      <c r="K33" s="123" t="n">
        <f aca="false">I33*G33/1000000000</f>
        <v>2.76325978998897</v>
      </c>
    </row>
    <row r="34" customFormat="false" ht="15" hidden="false" customHeight="false" outlineLevel="0" collapsed="false">
      <c r="A34" s="36" t="s">
        <v>162</v>
      </c>
      <c r="B34" s="119" t="n">
        <f aca="false">DATA!K48</f>
        <v>6837543</v>
      </c>
      <c r="C34" s="119" t="n">
        <f aca="false">DATA!K21</f>
        <v>3360036</v>
      </c>
      <c r="D34" s="95" t="n">
        <f aca="false">IFERROR(C34/B34,0)</f>
        <v>0.491409852925239</v>
      </c>
      <c r="E34" s="120" t="n">
        <f aca="false">D34</f>
        <v>0.491409852925239</v>
      </c>
      <c r="F34" s="119" t="n">
        <f aca="false">ПРАЙС!D40</f>
        <v>600</v>
      </c>
      <c r="G34" s="119" t="n">
        <f aca="false">ПРАЙС!E40</f>
        <v>1000</v>
      </c>
      <c r="H34" s="121" t="n">
        <f aca="false">C34*'APP Медиа'!$B$13</f>
        <v>5284115.06174731</v>
      </c>
      <c r="I34" s="122" t="n">
        <v>5728303.73653344</v>
      </c>
      <c r="J34" s="123" t="n">
        <f aca="false">(C34*F34+(H34-C34)*G34)/1000000000</f>
        <v>3.94010066174731</v>
      </c>
      <c r="K34" s="123" t="n">
        <f aca="false">I34*G34/1000000000</f>
        <v>5.72830373653344</v>
      </c>
    </row>
    <row r="35" customFormat="false" ht="15" hidden="false" customHeight="false" outlineLevel="0" collapsed="false">
      <c r="A35" s="36" t="s">
        <v>163</v>
      </c>
      <c r="B35" s="119" t="n">
        <f aca="false">DATA!K49</f>
        <v>3635345</v>
      </c>
      <c r="C35" s="119" t="n">
        <f aca="false">DATA!K22</f>
        <v>2382744</v>
      </c>
      <c r="D35" s="95" t="n">
        <f aca="false">IFERROR(C35/B35,0)</f>
        <v>0.655438204627071</v>
      </c>
      <c r="E35" s="120" t="n">
        <f aca="false">D35</f>
        <v>0.655438204627071</v>
      </c>
      <c r="F35" s="119" t="n">
        <f aca="false">ПРАЙС!D16</f>
        <v>350</v>
      </c>
      <c r="G35" s="119" t="n">
        <f aca="false">ПРАЙС!E16</f>
        <v>400</v>
      </c>
      <c r="H35" s="121" t="n">
        <f aca="false">C35*'APP Медиа'!$B$13</f>
        <v>3747190.04757331</v>
      </c>
      <c r="I35" s="122" t="n">
        <v>4062183.07137264</v>
      </c>
      <c r="J35" s="123" t="n">
        <f aca="false">(C35*F35+(H35-C35)*G35)/1000000000</f>
        <v>1.37973881902932</v>
      </c>
      <c r="K35" s="123" t="n">
        <f aca="false">I35*G35/1000000000</f>
        <v>1.62487322854906</v>
      </c>
    </row>
    <row r="36" customFormat="false" ht="15" hidden="false" customHeight="false" outlineLevel="0" collapsed="false">
      <c r="A36" s="36" t="s">
        <v>164</v>
      </c>
      <c r="B36" s="119" t="n">
        <f aca="false">DATA!K50</f>
        <v>4538152</v>
      </c>
      <c r="C36" s="119" t="n">
        <f aca="false">DATA!K23</f>
        <v>1492219</v>
      </c>
      <c r="D36" s="95" t="n">
        <f aca="false">IFERROR(C36/B36,0)</f>
        <v>0.328816443345221</v>
      </c>
      <c r="E36" s="120" t="n">
        <f aca="false">D36</f>
        <v>0.328816443345221</v>
      </c>
      <c r="F36" s="119" t="n">
        <f aca="false">ПРАЙС!D13</f>
        <v>350</v>
      </c>
      <c r="G36" s="119" t="n">
        <f aca="false">ПРАЙС!E13</f>
        <v>400</v>
      </c>
      <c r="H36" s="121" t="n">
        <f aca="false">C36*'APP Медиа'!$B$13</f>
        <v>2346717.97960662</v>
      </c>
      <c r="I36" s="122" t="n">
        <v>2543985.74105343</v>
      </c>
      <c r="J36" s="123" t="n">
        <f aca="false">(C36*F36+(H36-C36)*G36)/1000000000</f>
        <v>0.864076241842648</v>
      </c>
      <c r="K36" s="123" t="n">
        <f aca="false">I36*G36/1000000000</f>
        <v>1.01759429642137</v>
      </c>
    </row>
    <row r="37" customFormat="false" ht="15" hidden="false" customHeight="false" outlineLevel="0" collapsed="false">
      <c r="A37" s="36" t="s">
        <v>165</v>
      </c>
      <c r="B37" s="119" t="n">
        <f aca="false">DATA!K51</f>
        <v>18231325</v>
      </c>
      <c r="C37" s="119" t="n">
        <f aca="false">DATA!K24</f>
        <v>1034774</v>
      </c>
      <c r="D37" s="95" t="n">
        <f aca="false">IFERROR(C37/B37,0)</f>
        <v>0.056758024992698</v>
      </c>
      <c r="E37" s="120" t="n">
        <f aca="false">D37</f>
        <v>0.056758024992698</v>
      </c>
      <c r="F37" s="119" t="n">
        <f aca="false">ПРАЙС!D17</f>
        <v>350</v>
      </c>
      <c r="G37" s="119" t="n">
        <f aca="false">ПРАЙС!E17</f>
        <v>400</v>
      </c>
      <c r="H37" s="121" t="n">
        <f aca="false">C37*'APP Медиа'!$B$13</f>
        <v>1627323.30216239</v>
      </c>
      <c r="I37" s="122" t="n">
        <v>1764117.93524463</v>
      </c>
      <c r="J37" s="123" t="n">
        <f aca="false">(C37*F37+(H37-C37)*G37)/1000000000</f>
        <v>0.599190620864957</v>
      </c>
      <c r="K37" s="123" t="n">
        <f aca="false">I37*G37/1000000000</f>
        <v>0.705647174097852</v>
      </c>
    </row>
    <row r="38" customFormat="false" ht="15" hidden="false" customHeight="false" outlineLevel="0" collapsed="false">
      <c r="A38" s="36" t="s">
        <v>166</v>
      </c>
      <c r="B38" s="119" t="n">
        <f aca="false">DATA!K52</f>
        <v>8689939</v>
      </c>
      <c r="C38" s="119" t="n">
        <f aca="false">DATA!K25</f>
        <v>187684</v>
      </c>
      <c r="D38" s="95" t="n">
        <f aca="false">IFERROR(C38/B38,0)</f>
        <v>0.021597850111491</v>
      </c>
      <c r="E38" s="120" t="n">
        <f aca="false">D38</f>
        <v>0.021597850111491</v>
      </c>
      <c r="F38" s="119" t="n">
        <f aca="false">ПРАЙС!D19</f>
        <v>350</v>
      </c>
      <c r="G38" s="119" t="n">
        <f aca="false">ПРАЙС!E19</f>
        <v>400</v>
      </c>
      <c r="H38" s="121" t="n">
        <f aca="false">C38*'APP Медиа'!$B$13</f>
        <v>295158.698076146</v>
      </c>
      <c r="I38" s="122" t="n">
        <v>319970.0712991</v>
      </c>
      <c r="J38" s="123" t="n">
        <f aca="false">(C38*F38+(H38-C38)*G38)/1000000000</f>
        <v>0.108679279230459</v>
      </c>
      <c r="K38" s="123" t="n">
        <f aca="false">I38*G38/1000000000</f>
        <v>0.12798802851964</v>
      </c>
    </row>
    <row r="39" customFormat="false" ht="15" hidden="false" customHeight="true" outlineLevel="0" collapsed="false">
      <c r="A39" s="124" t="s">
        <v>170</v>
      </c>
      <c r="B39" s="125" t="n">
        <f aca="false">SUM(B19:B38)</f>
        <v>9719817709</v>
      </c>
      <c r="C39" s="125" t="n">
        <f aca="false">SUM(C19:C38)</f>
        <v>3813307063</v>
      </c>
      <c r="D39" s="126" t="n">
        <f aca="false">IFERROR(C39/B39,0)</f>
        <v>0.392322899170125</v>
      </c>
      <c r="E39" s="126" t="n">
        <f aca="false">IFERROR(I39/(B39*'APP Медиа'!$B$13*(1+'APP Медиа'!$B$14)*'APP Медиа'!$B$15),0)</f>
        <v>0.35967226744804</v>
      </c>
      <c r="F39" s="125" t="n">
        <f aca="false">IFERROR(SUMPRODUCT(C19:C38,F19:F38)/C39,0)</f>
        <v>498.805546688282</v>
      </c>
      <c r="G39" s="125" t="n">
        <f aca="false">IFERROR(SUMPRODUCT(I19:I38,G19:G38)/I39,0)</f>
        <v>581.734379332882</v>
      </c>
      <c r="H39" s="125" t="n">
        <f aca="false">SUM(H19:H38)</f>
        <v>5996945653.7566</v>
      </c>
      <c r="I39" s="125" t="n">
        <f aca="false">SUM(I19:I38)</f>
        <v>6501055672.47858</v>
      </c>
      <c r="J39" s="127" t="n">
        <f aca="false">SUM(J19:J38)</f>
        <v>3172.39635453112</v>
      </c>
      <c r="K39" s="127" t="n">
        <f aca="false">SUM(K19:K38)</f>
        <v>3781.88758663784</v>
      </c>
      <c r="M39" s="107" t="s">
        <v>310</v>
      </c>
    </row>
    <row r="40" customFormat="false" ht="15" hidden="false" customHeight="true" outlineLevel="0" collapsed="false"/>
    <row r="41" customFormat="false" ht="15" hidden="false" customHeight="false" outlineLevel="0" collapsed="false">
      <c r="A41" s="67" t="s">
        <v>311</v>
      </c>
      <c r="B41" s="118"/>
      <c r="C41" s="118"/>
      <c r="D41" s="113"/>
      <c r="E41" s="118"/>
      <c r="F41" s="118"/>
      <c r="G41" s="118"/>
      <c r="H41" s="118"/>
      <c r="I41" s="118"/>
      <c r="J41" s="118"/>
      <c r="K41" s="118"/>
      <c r="L41" s="114" t="s">
        <v>312</v>
      </c>
    </row>
    <row r="42" customFormat="false" ht="15" hidden="false" customHeight="false" outlineLevel="0" collapsed="false">
      <c r="A42" s="92" t="s">
        <v>175</v>
      </c>
      <c r="B42" s="92" t="s">
        <v>73</v>
      </c>
      <c r="C42" s="92" t="s">
        <v>72</v>
      </c>
      <c r="D42" s="92" t="s">
        <v>313</v>
      </c>
    </row>
    <row r="43" customFormat="false" ht="15" hidden="false" customHeight="false" outlineLevel="0" collapsed="false">
      <c r="A43" s="36" t="s">
        <v>314</v>
      </c>
      <c r="B43" s="128" t="n">
        <f aca="false">DATA!L65</f>
        <v>264.375</v>
      </c>
      <c r="C43" s="129" t="n">
        <f aca="false">B43*(1+'APP Медиа'!$B$14)</f>
        <v>312.615755201873</v>
      </c>
      <c r="D43" s="101" t="s">
        <v>315</v>
      </c>
      <c r="F43" s="107"/>
      <c r="M43" s="52" t="s">
        <v>316</v>
      </c>
    </row>
    <row r="44" customFormat="false" ht="15" hidden="false" customHeight="false" outlineLevel="0" collapsed="false">
      <c r="A44" s="36" t="s">
        <v>317</v>
      </c>
      <c r="B44" s="130" t="n">
        <v>0.91</v>
      </c>
      <c r="C44" s="131" t="n">
        <f aca="false">B44</f>
        <v>0.91</v>
      </c>
      <c r="D44" s="101" t="s">
        <v>318</v>
      </c>
      <c r="F44" s="107"/>
    </row>
    <row r="45" customFormat="false" ht="15" hidden="false" customHeight="false" outlineLevel="0" collapsed="false">
      <c r="A45" s="36" t="s">
        <v>319</v>
      </c>
      <c r="B45" s="119" t="n">
        <f aca="false">ПРАЙС!D22</f>
        <v>70000</v>
      </c>
      <c r="C45" s="119" t="n">
        <f aca="false">ПРАЙС!E22</f>
        <v>100000</v>
      </c>
      <c r="D45" s="101" t="s">
        <v>320</v>
      </c>
      <c r="F45" s="107"/>
      <c r="M45" s="107" t="s">
        <v>321</v>
      </c>
    </row>
    <row r="46" customFormat="false" ht="15" hidden="false" customHeight="true" outlineLevel="0" collapsed="false">
      <c r="A46" s="124" t="s">
        <v>322</v>
      </c>
      <c r="B46" s="132" t="n">
        <f aca="false">(B43*B44*(8*B45+4*C45))/1000000</f>
        <v>230.958</v>
      </c>
      <c r="C46" s="132" t="n">
        <f aca="false">(C43*C44*12*C45)/1000000</f>
        <v>341.376404680445</v>
      </c>
      <c r="D46" s="133" t="s">
        <v>323</v>
      </c>
      <c r="F46" s="107"/>
    </row>
    <row r="47" customFormat="false" ht="15" hidden="false" customHeight="true" outlineLevel="0" collapsed="false"/>
    <row r="48" customFormat="false" ht="15" hidden="false" customHeight="false" outlineLevel="0" collapsed="false">
      <c r="A48" s="67" t="s">
        <v>324</v>
      </c>
      <c r="B48" s="113"/>
      <c r="C48" s="118"/>
      <c r="D48" s="118"/>
      <c r="E48" s="118"/>
      <c r="F48" s="118"/>
      <c r="G48" s="118"/>
      <c r="H48" s="118"/>
      <c r="I48" s="118"/>
      <c r="J48" s="118"/>
      <c r="K48" s="118"/>
      <c r="L48" s="118"/>
      <c r="M48" s="118"/>
      <c r="N48" s="118"/>
      <c r="O48" s="118"/>
      <c r="P48" s="118"/>
      <c r="Q48" s="118"/>
      <c r="R48" s="114" t="s">
        <v>325</v>
      </c>
    </row>
    <row r="49" customFormat="false" ht="15" hidden="false" customHeight="false" outlineLevel="0" collapsed="false">
      <c r="A49" s="92" t="s">
        <v>175</v>
      </c>
      <c r="B49" s="92" t="s">
        <v>313</v>
      </c>
      <c r="C49" s="92" t="s">
        <v>9</v>
      </c>
      <c r="D49" s="92" t="s">
        <v>10</v>
      </c>
      <c r="E49" s="92" t="s">
        <v>11</v>
      </c>
      <c r="F49" s="92" t="s">
        <v>12</v>
      </c>
      <c r="G49" s="92" t="s">
        <v>13</v>
      </c>
      <c r="H49" s="92" t="s">
        <v>14</v>
      </c>
      <c r="I49" s="92" t="s">
        <v>15</v>
      </c>
      <c r="J49" s="92" t="s">
        <v>16</v>
      </c>
      <c r="K49" s="92" t="s">
        <v>17</v>
      </c>
      <c r="L49" s="92" t="s">
        <v>18</v>
      </c>
      <c r="M49" s="92" t="s">
        <v>19</v>
      </c>
      <c r="N49" s="92" t="s">
        <v>20</v>
      </c>
      <c r="O49" s="92" t="s">
        <v>72</v>
      </c>
      <c r="P49" s="92" t="s">
        <v>73</v>
      </c>
      <c r="Q49" s="92" t="s">
        <v>326</v>
      </c>
    </row>
    <row r="50" customFormat="false" ht="15" hidden="false" customHeight="false" outlineLevel="0" collapsed="false">
      <c r="A50" s="36" t="s">
        <v>327</v>
      </c>
      <c r="B50" s="101" t="s">
        <v>26</v>
      </c>
      <c r="C50" s="104" t="n">
        <f aca="false">Вводные!C6</f>
        <v>0.0782103120572421</v>
      </c>
      <c r="D50" s="104" t="n">
        <f aca="false">Вводные!D6</f>
        <v>0.0780708026187539</v>
      </c>
      <c r="E50" s="104" t="n">
        <f aca="false">Вводные!E6</f>
        <v>0.0804849222493031</v>
      </c>
      <c r="F50" s="104" t="n">
        <f aca="false">Вводные!F6</f>
        <v>0.0812155534402316</v>
      </c>
      <c r="G50" s="104" t="n">
        <f aca="false">Вводные!G6</f>
        <v>0.0825160502606019</v>
      </c>
      <c r="H50" s="104" t="n">
        <f aca="false">Вводные!H6</f>
        <v>0.0830879332797307</v>
      </c>
      <c r="I50" s="104" t="n">
        <f aca="false">Вводные!I6</f>
        <v>0.0842349175765071</v>
      </c>
      <c r="J50" s="104" t="n">
        <f aca="false">Вводные!J6</f>
        <v>0.0848493526648935</v>
      </c>
      <c r="K50" s="104" t="n">
        <f aca="false">Вводные!K6</f>
        <v>0.0852768322580721</v>
      </c>
      <c r="L50" s="104" t="n">
        <f aca="false">Вводные!L6</f>
        <v>0.0864468678016341</v>
      </c>
      <c r="M50" s="104" t="n">
        <f aca="false">Вводные!M6</f>
        <v>0.0869399383090177</v>
      </c>
      <c r="N50" s="104" t="n">
        <f aca="false">Вводные!N6</f>
        <v>0.0886665174840125</v>
      </c>
      <c r="O50" s="134" t="n">
        <f aca="false">SUM(C50:N50)</f>
        <v>1</v>
      </c>
      <c r="Q50" s="107" t="s">
        <v>328</v>
      </c>
    </row>
    <row r="51" customFormat="false" ht="15" hidden="false" customHeight="false" outlineLevel="0" collapsed="false">
      <c r="A51" s="36" t="s">
        <v>329</v>
      </c>
      <c r="B51" s="101" t="s">
        <v>330</v>
      </c>
      <c r="C51" s="130" t="n">
        <v>0.301666961476773</v>
      </c>
      <c r="D51" s="130" t="n">
        <v>0.755515071033446</v>
      </c>
      <c r="E51" s="130" t="n">
        <v>1.02599509166227</v>
      </c>
      <c r="F51" s="130" t="n">
        <v>1.01676503677802</v>
      </c>
      <c r="G51" s="130" t="n">
        <v>1.00074027925246</v>
      </c>
      <c r="H51" s="130" t="n">
        <v>0.993852319115863</v>
      </c>
      <c r="I51" s="130" t="n">
        <v>0.980319534421139</v>
      </c>
      <c r="J51" s="130" t="n">
        <v>1.11225207752092</v>
      </c>
      <c r="K51" s="130" t="n">
        <v>1.10667652959049</v>
      </c>
      <c r="L51" s="130" t="n">
        <v>1.50108468784878</v>
      </c>
      <c r="M51" s="130" t="n">
        <v>1.89963638775757</v>
      </c>
      <c r="N51" s="130" t="n">
        <v>2.26178355532071</v>
      </c>
      <c r="O51" s="135" t="n">
        <f aca="false">IF('APP Медиа'!$B$4=1,N6,1)</f>
        <v>14.1</v>
      </c>
      <c r="P51" s="136"/>
      <c r="Q51" s="107" t="s">
        <v>331</v>
      </c>
    </row>
    <row r="52" customFormat="false" ht="15" hidden="false" customHeight="false" outlineLevel="0" collapsed="false">
      <c r="A52" s="36" t="s">
        <v>332</v>
      </c>
      <c r="B52" s="101" t="s">
        <v>323</v>
      </c>
      <c r="C52" s="123" t="n">
        <f aca="false">$K$39*C50*C51</f>
        <v>89.2278407084694</v>
      </c>
      <c r="D52" s="123" t="n">
        <f aca="false">$K$39*D50*D51</f>
        <v>223.069601771173</v>
      </c>
      <c r="E52" s="123" t="n">
        <f aca="false">$K$39*E50*E51</f>
        <v>312.297442479643</v>
      </c>
      <c r="F52" s="123" t="n">
        <f aca="false">$K$39*F50*F51</f>
        <v>312.297442479642</v>
      </c>
      <c r="G52" s="123" t="n">
        <f aca="false">$K$39*G50*G51</f>
        <v>312.297442479644</v>
      </c>
      <c r="H52" s="123" t="n">
        <f aca="false">$K$39*H50*H51</f>
        <v>312.297442479643</v>
      </c>
      <c r="I52" s="123" t="n">
        <f aca="false">$K$39*I50*I51</f>
        <v>312.297442479643</v>
      </c>
      <c r="J52" s="123" t="n">
        <f aca="false">$K$39*J50*J51</f>
        <v>356.911362833875</v>
      </c>
      <c r="K52" s="123" t="n">
        <f aca="false">$K$39*K50*K51</f>
        <v>356.911362833877</v>
      </c>
      <c r="L52" s="123" t="n">
        <f aca="false">$K$39*L50*L51</f>
        <v>490.753123896579</v>
      </c>
      <c r="M52" s="123" t="n">
        <f aca="false">$K$39*M50*M51</f>
        <v>624.594884959283</v>
      </c>
      <c r="N52" s="123" t="n">
        <f aca="false">$K$39*N50*N51</f>
        <v>758.436646021987</v>
      </c>
      <c r="O52" s="123" t="n">
        <f aca="false">SUM(C52:N52)</f>
        <v>4461.39203542346</v>
      </c>
      <c r="P52" s="137" t="n">
        <f aca="false">J39</f>
        <v>3172.39635453112</v>
      </c>
      <c r="Q52" s="138" t="s">
        <v>333</v>
      </c>
    </row>
    <row r="53" customFormat="false" ht="15" hidden="false" customHeight="false" outlineLevel="0" collapsed="false">
      <c r="A53" s="36" t="s">
        <v>334</v>
      </c>
      <c r="B53" s="101" t="s">
        <v>323</v>
      </c>
      <c r="C53" s="123" t="n">
        <f aca="false">$C$46*C50*C51</f>
        <v>8.05425300479025</v>
      </c>
      <c r="D53" s="123" t="n">
        <f aca="false">$C$46*D50*D51</f>
        <v>20.1356325119756</v>
      </c>
      <c r="E53" s="123" t="n">
        <f aca="false">$C$46*E50*E51</f>
        <v>28.1898855167658</v>
      </c>
      <c r="F53" s="123" t="n">
        <f aca="false">$C$46*F50*F51</f>
        <v>28.1898855167658</v>
      </c>
      <c r="G53" s="123" t="n">
        <f aca="false">$C$46*G50*G51</f>
        <v>28.1898855167659</v>
      </c>
      <c r="H53" s="123" t="n">
        <f aca="false">$C$46*H50*H51</f>
        <v>28.1898855167658</v>
      </c>
      <c r="I53" s="123" t="n">
        <f aca="false">$C$46*I50*I51</f>
        <v>28.1898855167658</v>
      </c>
      <c r="J53" s="123" t="n">
        <f aca="false">$C$46*J50*J51</f>
        <v>32.2170120191607</v>
      </c>
      <c r="K53" s="123" t="n">
        <f aca="false">$C$46*K50*K51</f>
        <v>32.2170120191609</v>
      </c>
      <c r="L53" s="123" t="n">
        <f aca="false">$C$46*L50*L51</f>
        <v>44.2983915263461</v>
      </c>
      <c r="M53" s="123" t="n">
        <f aca="false">$C$46*M50*M51</f>
        <v>56.3797710335315</v>
      </c>
      <c r="N53" s="123" t="n">
        <f aca="false">$C$46*N50*N51</f>
        <v>68.4611505407168</v>
      </c>
      <c r="O53" s="123" t="n">
        <f aca="false">SUM(C53:N53)</f>
        <v>402.712650239511</v>
      </c>
      <c r="P53" s="137" t="n">
        <f aca="false">B46</f>
        <v>230.958</v>
      </c>
      <c r="Q53" s="138" t="s">
        <v>335</v>
      </c>
    </row>
    <row r="54" customFormat="false" ht="15" hidden="false" customHeight="true" outlineLevel="0" collapsed="false">
      <c r="A54" s="139" t="s">
        <v>336</v>
      </c>
      <c r="B54" s="140" t="s">
        <v>323</v>
      </c>
      <c r="C54" s="141" t="n">
        <f aca="false">C52+C53</f>
        <v>97.2820937132597</v>
      </c>
      <c r="D54" s="141" t="n">
        <f aca="false">D52+D53</f>
        <v>243.205234283149</v>
      </c>
      <c r="E54" s="141" t="n">
        <f aca="false">E52+E53</f>
        <v>340.487327996409</v>
      </c>
      <c r="F54" s="141" t="n">
        <f aca="false">F52+F53</f>
        <v>340.487327996408</v>
      </c>
      <c r="G54" s="141" t="n">
        <f aca="false">G52+G53</f>
        <v>340.48732799641</v>
      </c>
      <c r="H54" s="141" t="n">
        <f aca="false">H52+H53</f>
        <v>340.487327996408</v>
      </c>
      <c r="I54" s="141" t="n">
        <f aca="false">I52+I53</f>
        <v>340.487327996409</v>
      </c>
      <c r="J54" s="141" t="n">
        <f aca="false">J52+J53</f>
        <v>389.128374853036</v>
      </c>
      <c r="K54" s="141" t="n">
        <f aca="false">K52+K53</f>
        <v>389.128374853038</v>
      </c>
      <c r="L54" s="141" t="n">
        <f aca="false">L52+L53</f>
        <v>535.051515422925</v>
      </c>
      <c r="M54" s="141" t="n">
        <f aca="false">M52+M53</f>
        <v>680.974655992815</v>
      </c>
      <c r="N54" s="141" t="n">
        <f aca="false">N52+N53</f>
        <v>826.897796562704</v>
      </c>
      <c r="O54" s="141" t="n">
        <f aca="false">SUM(C54:N54)</f>
        <v>4864.10468566297</v>
      </c>
      <c r="P54" s="142" t="n">
        <f aca="false">SUM(P52:P53)*N6/12</f>
        <v>3998.94136657407</v>
      </c>
      <c r="Q54" s="138" t="s">
        <v>337</v>
      </c>
    </row>
    <row r="55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3C"/>
    <pageSetUpPr fitToPage="false"/>
  </sheetPr>
  <dimension ref="A1:Q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1"/>
    <col collapsed="false" customWidth="true" hidden="false" outlineLevel="0" max="13" min="3" style="1" width="10"/>
    <col collapsed="false" customWidth="true" hidden="false" outlineLevel="0" max="14" min="14" style="1" width="12.83"/>
    <col collapsed="false" customWidth="true" hidden="false" outlineLevel="0" max="16" min="15" style="1" width="13"/>
  </cols>
  <sheetData>
    <row r="1" customFormat="false" ht="15" hidden="false" customHeight="false" outlineLevel="0" collapsed="false">
      <c r="A1" s="50" t="s">
        <v>338</v>
      </c>
    </row>
    <row r="2" customFormat="false" ht="15" hidden="false" customHeight="false" outlineLevel="0" collapsed="false">
      <c r="A2" s="52" t="s">
        <v>339</v>
      </c>
    </row>
    <row r="4" customFormat="false" ht="15" hidden="false" customHeight="false" outlineLevel="0" collapsed="false">
      <c r="A4" s="67" t="s">
        <v>340</v>
      </c>
      <c r="B4" s="118"/>
      <c r="C4" s="118"/>
    </row>
    <row r="5" customFormat="false" ht="15" hidden="false" customHeight="false" outlineLevel="0" collapsed="false">
      <c r="A5" s="50" t="s">
        <v>283</v>
      </c>
      <c r="B5" s="106" t="n">
        <v>1</v>
      </c>
      <c r="C5" s="107" t="s">
        <v>341</v>
      </c>
    </row>
    <row r="7" customFormat="false" ht="15" hidden="false" customHeight="false" outlineLevel="0" collapsed="false">
      <c r="A7" s="108" t="s">
        <v>285</v>
      </c>
      <c r="B7" s="109" t="s">
        <v>9</v>
      </c>
      <c r="C7" s="109" t="s">
        <v>10</v>
      </c>
      <c r="D7" s="109" t="s">
        <v>11</v>
      </c>
      <c r="E7" s="109" t="s">
        <v>12</v>
      </c>
      <c r="F7" s="109" t="s">
        <v>13</v>
      </c>
      <c r="G7" s="109" t="s">
        <v>14</v>
      </c>
      <c r="H7" s="109" t="s">
        <v>15</v>
      </c>
      <c r="I7" s="109" t="s">
        <v>16</v>
      </c>
      <c r="J7" s="109" t="s">
        <v>17</v>
      </c>
      <c r="K7" s="109" t="s">
        <v>18</v>
      </c>
      <c r="L7" s="109" t="s">
        <v>19</v>
      </c>
      <c r="M7" s="109" t="s">
        <v>20</v>
      </c>
      <c r="N7" s="110" t="s">
        <v>286</v>
      </c>
    </row>
    <row r="8" customFormat="false" ht="15" hidden="false" customHeight="true" outlineLevel="0" collapsed="false">
      <c r="A8" s="111" t="s">
        <v>287</v>
      </c>
      <c r="B8" s="112" t="n">
        <v>1</v>
      </c>
      <c r="C8" s="112" t="n">
        <v>1.1</v>
      </c>
      <c r="D8" s="112" t="n">
        <v>1.2</v>
      </c>
      <c r="E8" s="112" t="n">
        <v>1.1</v>
      </c>
      <c r="F8" s="112" t="n">
        <v>1.2</v>
      </c>
      <c r="G8" s="112" t="n">
        <v>1</v>
      </c>
      <c r="H8" s="112" t="n">
        <v>1</v>
      </c>
      <c r="I8" s="112" t="n">
        <v>1.1</v>
      </c>
      <c r="J8" s="112" t="n">
        <v>1.1</v>
      </c>
      <c r="K8" s="112" t="n">
        <v>1.2</v>
      </c>
      <c r="L8" s="112" t="n">
        <v>1.4</v>
      </c>
      <c r="M8" s="112" t="n">
        <v>1.7</v>
      </c>
      <c r="N8" s="112" t="n">
        <f aca="false">SUM(B8:M8)</f>
        <v>14.1</v>
      </c>
    </row>
    <row r="9" customFormat="false" ht="15" hidden="false" customHeight="true" outlineLevel="0" collapsed="false"/>
    <row r="10" customFormat="false" ht="15" hidden="false" customHeight="false" outlineLevel="0" collapsed="false">
      <c r="A10" s="50" t="s">
        <v>295</v>
      </c>
      <c r="B10" s="117" t="n">
        <f aca="false">'APP Медиа'!B14</f>
        <v>0.18247094166193</v>
      </c>
    </row>
    <row r="13" customFormat="false" ht="15" hidden="false" customHeight="false" outlineLevel="0" collapsed="false">
      <c r="A13" s="67" t="s">
        <v>342</v>
      </c>
      <c r="B13" s="113"/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4" t="s">
        <v>343</v>
      </c>
    </row>
    <row r="14" customFormat="false" ht="15" hidden="false" customHeight="false" outlineLevel="0" collapsed="false">
      <c r="A14" s="92" t="s">
        <v>175</v>
      </c>
      <c r="B14" s="92" t="s">
        <v>313</v>
      </c>
      <c r="C14" s="92" t="s">
        <v>9</v>
      </c>
      <c r="D14" s="92" t="s">
        <v>10</v>
      </c>
      <c r="E14" s="92" t="s">
        <v>11</v>
      </c>
      <c r="F14" s="92" t="s">
        <v>12</v>
      </c>
      <c r="G14" s="92" t="s">
        <v>13</v>
      </c>
      <c r="H14" s="92" t="s">
        <v>14</v>
      </c>
      <c r="I14" s="92" t="s">
        <v>15</v>
      </c>
      <c r="J14" s="92" t="s">
        <v>16</v>
      </c>
      <c r="K14" s="92" t="s">
        <v>17</v>
      </c>
      <c r="L14" s="92" t="s">
        <v>18</v>
      </c>
      <c r="M14" s="92" t="s">
        <v>19</v>
      </c>
      <c r="N14" s="92" t="s">
        <v>20</v>
      </c>
      <c r="O14" s="92" t="s">
        <v>72</v>
      </c>
      <c r="P14" s="92" t="s">
        <v>73</v>
      </c>
    </row>
    <row r="15" customFormat="false" ht="15" hidden="false" customHeight="false" outlineLevel="0" collapsed="false">
      <c r="A15" s="36" t="s">
        <v>344</v>
      </c>
      <c r="B15" s="101" t="s">
        <v>315</v>
      </c>
      <c r="C15" s="143" t="n">
        <f aca="false">DATA!C69</f>
        <v>2198</v>
      </c>
      <c r="D15" s="143" t="n">
        <f aca="false">DATA!D69</f>
        <v>1619</v>
      </c>
      <c r="E15" s="143" t="n">
        <f aca="false">DATA!E69</f>
        <v>1672</v>
      </c>
      <c r="F15" s="143" t="n">
        <f aca="false">DATA!F69</f>
        <v>1577</v>
      </c>
      <c r="G15" s="143" t="n">
        <f aca="false">DATA!G69</f>
        <v>1532</v>
      </c>
      <c r="H15" s="143" t="n">
        <f aca="false">DATA!H69</f>
        <v>2010</v>
      </c>
      <c r="I15" s="143" t="n">
        <f aca="false">DATA!I69</f>
        <v>2174</v>
      </c>
      <c r="J15" s="143" t="n">
        <f aca="false">DATA!J69</f>
        <v>2155</v>
      </c>
      <c r="K15" s="123" t="n">
        <f aca="false">J15*1.02</f>
        <v>2198.1</v>
      </c>
      <c r="L15" s="123" t="n">
        <f aca="false">K15*1.047</f>
        <v>2301.4107</v>
      </c>
      <c r="M15" s="123" t="n">
        <f aca="false">L15*1.05</f>
        <v>2416.481235</v>
      </c>
      <c r="N15" s="123" t="n">
        <f aca="false">M15*1.05</f>
        <v>2537.30529675</v>
      </c>
      <c r="O15" s="123" t="n">
        <f aca="false">AVERAGE(C15:N15)</f>
        <v>2032.5247693125</v>
      </c>
    </row>
    <row r="16" customFormat="false" ht="15" hidden="false" customHeight="false" outlineLevel="0" collapsed="false">
      <c r="A16" s="36" t="s">
        <v>345</v>
      </c>
      <c r="B16" s="101" t="s">
        <v>315</v>
      </c>
      <c r="C16" s="144" t="n">
        <v>662.191498957006</v>
      </c>
      <c r="D16" s="144" t="n">
        <v>1504.98067944774</v>
      </c>
      <c r="E16" s="144" t="n">
        <v>1931.39187195795</v>
      </c>
      <c r="F16" s="144" t="n">
        <v>2106.97295122684</v>
      </c>
      <c r="G16" s="144" t="n">
        <v>1931.39187195795</v>
      </c>
      <c r="H16" s="144" t="n">
        <v>2317.67024634954</v>
      </c>
      <c r="I16" s="144" t="n">
        <v>2317.67024634954</v>
      </c>
      <c r="J16" s="144" t="n">
        <v>2407.9690871164</v>
      </c>
      <c r="K16" s="144" t="n">
        <v>2407.9690871164</v>
      </c>
      <c r="L16" s="144" t="n">
        <v>3035.04437021961</v>
      </c>
      <c r="M16" s="144" t="n">
        <v>3310.95749478504</v>
      </c>
      <c r="N16" s="144" t="n">
        <v>3310.95749478505</v>
      </c>
      <c r="O16" s="123" t="n">
        <f aca="false">AVERAGE(C16:N16)</f>
        <v>2270.43057502242</v>
      </c>
    </row>
    <row r="17" customFormat="false" ht="15" hidden="false" customHeight="false" outlineLevel="0" collapsed="false">
      <c r="A17" s="36" t="s">
        <v>346</v>
      </c>
      <c r="B17" s="101" t="s">
        <v>320</v>
      </c>
      <c r="C17" s="143" t="n">
        <f aca="false">$O$35</f>
        <v>67961.8271168363</v>
      </c>
      <c r="D17" s="143" t="n">
        <f aca="false">$O$35</f>
        <v>67961.8271168363</v>
      </c>
      <c r="E17" s="143" t="n">
        <f aca="false">$O$35</f>
        <v>67961.8271168363</v>
      </c>
      <c r="F17" s="143" t="n">
        <f aca="false">$O$35</f>
        <v>67961.8271168363</v>
      </c>
      <c r="G17" s="143" t="n">
        <f aca="false">$O$35</f>
        <v>67961.8271168363</v>
      </c>
      <c r="H17" s="143" t="n">
        <f aca="false">$O$35</f>
        <v>67961.8271168363</v>
      </c>
      <c r="I17" s="143" t="n">
        <f aca="false">$O$35</f>
        <v>67961.8271168363</v>
      </c>
      <c r="J17" s="143" t="n">
        <f aca="false">$O$35</f>
        <v>67961.8271168363</v>
      </c>
      <c r="K17" s="143" t="n">
        <f aca="false">$O$35</f>
        <v>67961.8271168363</v>
      </c>
      <c r="L17" s="143" t="n">
        <f aca="false">$O$35</f>
        <v>67961.8271168363</v>
      </c>
      <c r="M17" s="143" t="n">
        <f aca="false">$O$35</f>
        <v>67961.8271168363</v>
      </c>
      <c r="N17" s="143" t="n">
        <f aca="false">$O$35</f>
        <v>67961.8271168363</v>
      </c>
      <c r="O17" s="123" t="n">
        <f aca="false">AVERAGE(C17:N17)</f>
        <v>67961.8271168363</v>
      </c>
    </row>
    <row r="18" customFormat="false" ht="15" hidden="false" customHeight="false" outlineLevel="0" collapsed="false">
      <c r="A18" s="36" t="s">
        <v>347</v>
      </c>
      <c r="B18" s="101" t="s">
        <v>330</v>
      </c>
      <c r="C18" s="145" t="n">
        <f aca="false">$O$48</f>
        <v>1.2586195055849</v>
      </c>
      <c r="D18" s="145" t="n">
        <f aca="false">$O$48</f>
        <v>1.2586195055849</v>
      </c>
      <c r="E18" s="145" t="n">
        <f aca="false">$O$48</f>
        <v>1.2586195055849</v>
      </c>
      <c r="F18" s="145" t="n">
        <f aca="false">$O$48</f>
        <v>1.2586195055849</v>
      </c>
      <c r="G18" s="145" t="n">
        <f aca="false">$O$48</f>
        <v>1.2586195055849</v>
      </c>
      <c r="H18" s="145" t="n">
        <f aca="false">$O$48</f>
        <v>1.2586195055849</v>
      </c>
      <c r="I18" s="145" t="n">
        <f aca="false">$O$48</f>
        <v>1.2586195055849</v>
      </c>
      <c r="J18" s="145" t="n">
        <f aca="false">$O$48</f>
        <v>1.2586195055849</v>
      </c>
      <c r="K18" s="145" t="n">
        <f aca="false">$O$48</f>
        <v>1.2586195055849</v>
      </c>
      <c r="L18" s="145" t="n">
        <f aca="false">$O$48</f>
        <v>1.2586195055849</v>
      </c>
      <c r="M18" s="145" t="n">
        <f aca="false">$O$48</f>
        <v>1.2586195055849</v>
      </c>
      <c r="N18" s="145" t="n">
        <f aca="false">$O$48</f>
        <v>1.2586195055849</v>
      </c>
      <c r="O18" s="146" t="n">
        <f aca="false">AVERAGE(C18:N18)</f>
        <v>1.2586195055849</v>
      </c>
    </row>
    <row r="19" customFormat="false" ht="15" hidden="false" customHeight="false" outlineLevel="0" collapsed="false">
      <c r="A19" s="36" t="s">
        <v>348</v>
      </c>
      <c r="B19" s="101" t="s">
        <v>320</v>
      </c>
      <c r="C19" s="123" t="n">
        <f aca="false">C17*C18</f>
        <v>85538.0812444389</v>
      </c>
      <c r="D19" s="123" t="n">
        <f aca="false">D17*D18</f>
        <v>85538.0812444389</v>
      </c>
      <c r="E19" s="123" t="n">
        <f aca="false">E17*E18</f>
        <v>85538.0812444389</v>
      </c>
      <c r="F19" s="123" t="n">
        <f aca="false">F17*F18</f>
        <v>85538.0812444389</v>
      </c>
      <c r="G19" s="123" t="n">
        <f aca="false">G17*G18</f>
        <v>85538.0812444389</v>
      </c>
      <c r="H19" s="123" t="n">
        <f aca="false">H17*H18</f>
        <v>85538.0812444389</v>
      </c>
      <c r="I19" s="123" t="n">
        <f aca="false">I17*I18</f>
        <v>85538.0812444389</v>
      </c>
      <c r="J19" s="123" t="n">
        <f aca="false">J17*J18</f>
        <v>85538.0812444389</v>
      </c>
      <c r="K19" s="123" t="n">
        <f aca="false">K17*K18</f>
        <v>85538.0812444389</v>
      </c>
      <c r="L19" s="123" t="n">
        <f aca="false">L17*L18</f>
        <v>85538.0812444389</v>
      </c>
      <c r="M19" s="123" t="n">
        <f aca="false">M17*M18</f>
        <v>85538.0812444389</v>
      </c>
      <c r="N19" s="123" t="n">
        <f aca="false">N17*N18</f>
        <v>85538.0812444389</v>
      </c>
      <c r="O19" s="123" t="n">
        <f aca="false">AVERAGE(C19:N19)</f>
        <v>85538.0812444389</v>
      </c>
    </row>
    <row r="20" customFormat="false" ht="15" hidden="false" customHeight="false" outlineLevel="0" collapsed="false">
      <c r="A20" s="36" t="s">
        <v>349</v>
      </c>
      <c r="B20" s="101" t="s">
        <v>330</v>
      </c>
      <c r="C20" s="146" t="n">
        <f aca="false">IF($B$5=1,B8,1)</f>
        <v>1</v>
      </c>
      <c r="D20" s="146" t="n">
        <f aca="false">IF($B$5=1,C8,1)</f>
        <v>1.1</v>
      </c>
      <c r="E20" s="146" t="n">
        <f aca="false">IF($B$5=1,D8,1)</f>
        <v>1.2</v>
      </c>
      <c r="F20" s="146" t="n">
        <f aca="false">IF($B$5=1,E8,1)</f>
        <v>1.1</v>
      </c>
      <c r="G20" s="146" t="n">
        <f aca="false">IF($B$5=1,F8,1)</f>
        <v>1.2</v>
      </c>
      <c r="H20" s="146" t="n">
        <f aca="false">IF($B$5=1,G8,1)</f>
        <v>1</v>
      </c>
      <c r="I20" s="146" t="n">
        <f aca="false">IF($B$5=1,H8,1)</f>
        <v>1</v>
      </c>
      <c r="J20" s="146" t="n">
        <f aca="false">IF($B$5=1,I8,1)</f>
        <v>1.1</v>
      </c>
      <c r="K20" s="146" t="n">
        <f aca="false">IF($B$5=1,J8,1)</f>
        <v>1.1</v>
      </c>
      <c r="L20" s="146" t="n">
        <f aca="false">IF($B$5=1,K8,1)</f>
        <v>1.2</v>
      </c>
      <c r="M20" s="146" t="n">
        <f aca="false">IF($B$5=1,L8,1)</f>
        <v>1.4</v>
      </c>
      <c r="N20" s="146" t="n">
        <f aca="false">IF($B$5=1,M8,1)</f>
        <v>1.7</v>
      </c>
      <c r="O20" s="123"/>
    </row>
    <row r="21" customFormat="false" ht="15" hidden="false" customHeight="false" outlineLevel="0" collapsed="false">
      <c r="A21" s="36"/>
      <c r="B21" s="101"/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23"/>
    </row>
    <row r="22" customFormat="false" ht="15" hidden="false" customHeight="false" outlineLevel="0" collapsed="false">
      <c r="A22" s="67" t="s">
        <v>350</v>
      </c>
      <c r="B22" s="113"/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4" t="s">
        <v>351</v>
      </c>
    </row>
    <row r="23" customFormat="false" ht="15" hidden="false" customHeight="false" outlineLevel="0" collapsed="false">
      <c r="A23" s="69" t="s">
        <v>352</v>
      </c>
      <c r="B23" s="147" t="s">
        <v>323</v>
      </c>
      <c r="C23" s="123" t="n">
        <f aca="false">C15*C17*C20/1000000</f>
        <v>149.380096002806</v>
      </c>
      <c r="D23" s="123" t="n">
        <f aca="false">D15*D17*D20/1000000</f>
        <v>121.033217912374</v>
      </c>
      <c r="E23" s="123" t="n">
        <f aca="false">E15*E17*E20/1000000</f>
        <v>136.35860992722</v>
      </c>
      <c r="F23" s="123" t="n">
        <f aca="false">F15*F17*F20/1000000</f>
        <v>117.893381499576</v>
      </c>
      <c r="G23" s="123" t="n">
        <f aca="false">G15*G17*G20/1000000</f>
        <v>124.941022971592</v>
      </c>
      <c r="H23" s="123" t="n">
        <f aca="false">H15*H17*H20/1000000</f>
        <v>136.603272504841</v>
      </c>
      <c r="I23" s="123" t="n">
        <f aca="false">I15*I17*I20/1000000</f>
        <v>147.749012152002</v>
      </c>
      <c r="J23" s="123" t="n">
        <f aca="false">J15*J17*J20/1000000</f>
        <v>161.10351118046</v>
      </c>
      <c r="K23" s="123" t="n">
        <f aca="false">K15*K17*K18*K20/1000000</f>
        <v>206.823382021741</v>
      </c>
      <c r="L23" s="123" t="n">
        <f aca="false">L15*L17*L18*L20/1000000</f>
        <v>236.229906520105</v>
      </c>
      <c r="M23" s="123" t="n">
        <f aca="false">M15*M17*M18*M20/1000000</f>
        <v>289.381635487129</v>
      </c>
      <c r="N23" s="123" t="n">
        <f aca="false">N15*N17*N18*N20/1000000</f>
        <v>368.961585246089</v>
      </c>
      <c r="O23" s="123" t="n">
        <f aca="false">SUM(C23:N23)</f>
        <v>2196.45863342593</v>
      </c>
      <c r="P23" s="69"/>
    </row>
    <row r="24" customFormat="false" ht="15" hidden="false" customHeight="true" outlineLevel="0" collapsed="false">
      <c r="A24" s="148" t="s">
        <v>353</v>
      </c>
      <c r="B24" s="149" t="s">
        <v>323</v>
      </c>
      <c r="C24" s="127" t="n">
        <f aca="false">C16*C19*C20/1000000</f>
        <v>56.6425902371611</v>
      </c>
      <c r="D24" s="127" t="n">
        <f aca="false">D16*D19*D20/1000000</f>
        <v>141.606475592903</v>
      </c>
      <c r="E24" s="127" t="n">
        <f aca="false">E16*E19*E20/1000000</f>
        <v>198.249065830066</v>
      </c>
      <c r="F24" s="127" t="n">
        <f aca="false">F16*F19*F20/1000000</f>
        <v>198.249065830064</v>
      </c>
      <c r="G24" s="127" t="n">
        <f aca="false">G16*G19*G20/1000000</f>
        <v>198.249065830066</v>
      </c>
      <c r="H24" s="127" t="n">
        <f aca="false">H16*H19*H20/1000000</f>
        <v>198.249065830066</v>
      </c>
      <c r="I24" s="127" t="n">
        <f aca="false">I16*I19*I20/1000000</f>
        <v>198.249065830066</v>
      </c>
      <c r="J24" s="127" t="n">
        <f aca="false">J16*J19*J20/1000000</f>
        <v>226.570360948646</v>
      </c>
      <c r="K24" s="127" t="n">
        <f aca="false">K16*K19*K20/1000000</f>
        <v>226.570360948646</v>
      </c>
      <c r="L24" s="127" t="n">
        <f aca="false">L16*L19*L20/1000000</f>
        <v>311.534246304386</v>
      </c>
      <c r="M24" s="127" t="n">
        <f aca="false">M16*M19*M20/1000000</f>
        <v>396.498131660129</v>
      </c>
      <c r="N24" s="127" t="n">
        <f aca="false">N16*N19*N20/1000000</f>
        <v>481.462017015873</v>
      </c>
      <c r="O24" s="127" t="n">
        <f aca="false">SUM(C24:N24)</f>
        <v>2832.12951185807</v>
      </c>
      <c r="P24" s="127" t="n">
        <f aca="false">O23</f>
        <v>2196.45863342593</v>
      </c>
    </row>
    <row r="25" customFormat="false" ht="15" hidden="false" customHeight="true" outlineLevel="0" collapsed="false"/>
    <row r="26" customFormat="false" ht="15" hidden="false" customHeight="false" outlineLevel="0" collapsed="false">
      <c r="A26" s="67" t="s">
        <v>354</v>
      </c>
      <c r="B26" s="67"/>
      <c r="C26" s="67"/>
      <c r="D26" s="67"/>
      <c r="E26" s="98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78" t="s">
        <v>355</v>
      </c>
    </row>
    <row r="27" customFormat="false" ht="15" hidden="false" customHeight="false" outlineLevel="0" collapsed="false">
      <c r="A27" s="52" t="s">
        <v>356</v>
      </c>
      <c r="O27" s="150"/>
    </row>
    <row r="28" customFormat="false" ht="15" hidden="false" customHeight="false" outlineLevel="0" collapsed="false">
      <c r="A28" s="36" t="s">
        <v>357</v>
      </c>
      <c r="O28" s="151" t="n">
        <v>6195.4</v>
      </c>
    </row>
    <row r="29" customFormat="false" ht="15" hidden="false" customHeight="false" outlineLevel="0" collapsed="false">
      <c r="A29" s="36" t="s">
        <v>358</v>
      </c>
      <c r="O29" s="152" t="n">
        <f aca="false">'APP Медиа'!P54</f>
        <v>3998.94136657407</v>
      </c>
    </row>
    <row r="30" customFormat="false" ht="15" hidden="false" customHeight="false" outlineLevel="0" collapsed="false">
      <c r="A30" s="50" t="s">
        <v>359</v>
      </c>
      <c r="O30" s="153" t="n">
        <f aca="false">O28-O29</f>
        <v>2196.45863342593</v>
      </c>
    </row>
    <row r="31" customFormat="false" ht="15" hidden="false" customHeight="false" outlineLevel="0" collapsed="false">
      <c r="A31" s="36" t="s">
        <v>360</v>
      </c>
      <c r="O31" s="154" t="n">
        <f aca="false">SUMPRODUCT(C15:J15,C20:J20)</f>
        <v>16112.9</v>
      </c>
    </row>
    <row r="32" customFormat="false" ht="15" hidden="false" customHeight="false" outlineLevel="0" collapsed="false">
      <c r="A32" s="36" t="s">
        <v>361</v>
      </c>
      <c r="O32" s="154" t="n">
        <f aca="false">SUMPRODUCT(K15:N15,K20:N20)</f>
        <v>12876.095573475</v>
      </c>
    </row>
    <row r="33" customFormat="false" ht="15" hidden="false" customHeight="false" outlineLevel="0" collapsed="false">
      <c r="A33" s="36" t="s">
        <v>362</v>
      </c>
      <c r="O33" s="155" t="n">
        <f aca="false">O47</f>
        <v>17576.2541276026</v>
      </c>
    </row>
    <row r="34" customFormat="false" ht="15" hidden="false" customHeight="false" outlineLevel="0" collapsed="false">
      <c r="A34" s="36" t="s">
        <v>363</v>
      </c>
      <c r="O34" s="156" t="n">
        <f aca="false">O32*O33/1000000</f>
        <v>226.313527970696</v>
      </c>
    </row>
    <row r="35" customFormat="false" ht="15" hidden="false" customHeight="false" outlineLevel="0" collapsed="false">
      <c r="A35" s="50" t="s">
        <v>364</v>
      </c>
      <c r="O35" s="96" t="n">
        <f aca="false">(O30-O34)*1000000/(O31+O32)</f>
        <v>67961.8271168363</v>
      </c>
    </row>
    <row r="37" customFormat="false" ht="15" hidden="false" customHeight="false" outlineLevel="0" collapsed="false">
      <c r="A37" s="67" t="s">
        <v>365</v>
      </c>
      <c r="B37" s="67"/>
      <c r="C37" s="98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78" t="s">
        <v>366</v>
      </c>
    </row>
    <row r="38" customFormat="false" ht="15" hidden="false" customHeight="false" outlineLevel="0" collapsed="false">
      <c r="A38" s="52"/>
    </row>
    <row r="39" customFormat="false" ht="15" hidden="false" customHeight="false" outlineLevel="0" collapsed="false">
      <c r="A39" s="36" t="s">
        <v>367</v>
      </c>
      <c r="O39" s="155" t="n">
        <f aca="false">ПРАЙС!G28</f>
        <v>25714285.71</v>
      </c>
    </row>
    <row r="40" customFormat="false" ht="15" hidden="false" customHeight="false" outlineLevel="0" collapsed="false">
      <c r="A40" s="36" t="s">
        <v>218</v>
      </c>
      <c r="O40" s="155" t="n">
        <f aca="false">ПРАЙС!G5</f>
        <v>3125000</v>
      </c>
    </row>
    <row r="41" customFormat="false" ht="15" hidden="false" customHeight="false" outlineLevel="0" collapsed="false">
      <c r="A41" s="36" t="s">
        <v>368</v>
      </c>
      <c r="O41" s="155" t="n">
        <f aca="false">ПРАЙС!G15</f>
        <v>3977777.778</v>
      </c>
    </row>
    <row r="42" customFormat="false" ht="15" hidden="false" customHeight="false" outlineLevel="0" collapsed="false">
      <c r="A42" s="50" t="s">
        <v>369</v>
      </c>
      <c r="O42" s="96" t="n">
        <f aca="false">ПРАЙС!G70</f>
        <v>32817063.488</v>
      </c>
    </row>
    <row r="43" customFormat="false" ht="15" hidden="false" customHeight="false" outlineLevel="0" collapsed="false">
      <c r="A43" s="36" t="s">
        <v>370</v>
      </c>
      <c r="O43" s="155" t="n">
        <f aca="false">ПРАЙС!G68</f>
        <v>89325000</v>
      </c>
    </row>
    <row r="44" customFormat="false" ht="15" hidden="false" customHeight="false" outlineLevel="0" collapsed="false">
      <c r="A44" s="36" t="s">
        <v>371</v>
      </c>
      <c r="O44" s="155" t="n">
        <f aca="false">ПРАЙС!G69</f>
        <v>7200000</v>
      </c>
    </row>
    <row r="46" customFormat="false" ht="15" hidden="false" customHeight="false" outlineLevel="0" collapsed="false">
      <c r="A46" s="36" t="s">
        <v>372</v>
      </c>
      <c r="O46" s="155" t="n">
        <f aca="false">AVERAGE(C15:J15)</f>
        <v>1867.125</v>
      </c>
    </row>
    <row r="47" customFormat="false" ht="15" hidden="false" customHeight="false" outlineLevel="0" collapsed="false">
      <c r="A47" s="50" t="s">
        <v>373</v>
      </c>
      <c r="O47" s="96" t="n">
        <f aca="false">O42/O46</f>
        <v>17576.2541276026</v>
      </c>
    </row>
    <row r="48" customFormat="false" ht="15" hidden="false" customHeight="false" outlineLevel="0" collapsed="false">
      <c r="A48" s="50" t="s">
        <v>374</v>
      </c>
      <c r="O48" s="105" t="n">
        <f aca="false">1+O47/O35</f>
        <v>1.2586195055849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3C"/>
    <pageSetUpPr fitToPage="false"/>
  </sheetPr>
  <dimension ref="A1:R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13" min="2" style="1" width="11.5"/>
    <col collapsed="false" customWidth="true" hidden="false" outlineLevel="0" max="14" min="14" style="1" width="12.83"/>
    <col collapsed="false" customWidth="true" hidden="false" outlineLevel="0" max="16" min="15" style="1" width="11.5"/>
    <col collapsed="false" customWidth="true" hidden="false" outlineLevel="0" max="17" min="17" style="1" width="90"/>
    <col collapsed="false" customWidth="true" hidden="false" outlineLevel="0" max="26" min="26" style="1" width="12.83"/>
  </cols>
  <sheetData>
    <row r="1" customFormat="false" ht="15" hidden="false" customHeight="false" outlineLevel="0" collapsed="false">
      <c r="A1" s="50" t="s">
        <v>375</v>
      </c>
    </row>
    <row r="2" customFormat="false" ht="15" hidden="false" customHeight="false" outlineLevel="0" collapsed="false">
      <c r="A2" s="52" t="s">
        <v>376</v>
      </c>
    </row>
    <row r="4" customFormat="false" ht="15" hidden="false" customHeight="false" outlineLevel="0" collapsed="false">
      <c r="A4" s="108" t="s">
        <v>285</v>
      </c>
      <c r="B4" s="109" t="s">
        <v>9</v>
      </c>
      <c r="C4" s="109" t="s">
        <v>10</v>
      </c>
      <c r="D4" s="109" t="s">
        <v>11</v>
      </c>
      <c r="E4" s="109" t="s">
        <v>12</v>
      </c>
      <c r="F4" s="109" t="s">
        <v>13</v>
      </c>
      <c r="G4" s="109" t="s">
        <v>14</v>
      </c>
      <c r="H4" s="109" t="s">
        <v>15</v>
      </c>
      <c r="I4" s="109" t="s">
        <v>16</v>
      </c>
      <c r="J4" s="109" t="s">
        <v>17</v>
      </c>
      <c r="K4" s="109" t="s">
        <v>18</v>
      </c>
      <c r="L4" s="109" t="s">
        <v>19</v>
      </c>
      <c r="M4" s="109" t="s">
        <v>20</v>
      </c>
      <c r="N4" s="110" t="s">
        <v>286</v>
      </c>
      <c r="O4" s="114" t="s">
        <v>377</v>
      </c>
    </row>
    <row r="5" customFormat="false" ht="15" hidden="false" customHeight="true" outlineLevel="0" collapsed="false">
      <c r="A5" s="111" t="s">
        <v>287</v>
      </c>
      <c r="B5" s="112" t="n">
        <v>1</v>
      </c>
      <c r="C5" s="112" t="n">
        <v>1.1</v>
      </c>
      <c r="D5" s="112" t="n">
        <v>1.2</v>
      </c>
      <c r="E5" s="112" t="n">
        <v>1.1</v>
      </c>
      <c r="F5" s="112" t="n">
        <v>1.2</v>
      </c>
      <c r="G5" s="112" t="n">
        <v>1</v>
      </c>
      <c r="H5" s="112" t="n">
        <v>1</v>
      </c>
      <c r="I5" s="112" t="n">
        <v>1.1</v>
      </c>
      <c r="J5" s="112" t="n">
        <v>1.1</v>
      </c>
      <c r="K5" s="112" t="n">
        <v>1.2</v>
      </c>
      <c r="L5" s="112" t="n">
        <v>1.4</v>
      </c>
      <c r="M5" s="112" t="n">
        <v>1.7</v>
      </c>
      <c r="N5" s="112" t="n">
        <f aca="false">SUM(B5:M5)</f>
        <v>14.1</v>
      </c>
    </row>
    <row r="6" customFormat="false" ht="15" hidden="false" customHeight="true" outlineLevel="0" collapsed="false">
      <c r="A6" s="111" t="s">
        <v>378</v>
      </c>
      <c r="B6" s="157" t="n">
        <v>0.172814902210624</v>
      </c>
      <c r="C6" s="157" t="n">
        <v>0.392769869413146</v>
      </c>
      <c r="D6" s="157" t="n">
        <v>0.504043464780987</v>
      </c>
      <c r="E6" s="157" t="n">
        <v>0.549839413866803</v>
      </c>
      <c r="F6" s="157" t="n">
        <v>0.504043464780987</v>
      </c>
      <c r="G6" s="157" t="n">
        <v>0.604852157737185</v>
      </c>
      <c r="H6" s="157" t="n">
        <v>0.604852157737185</v>
      </c>
      <c r="I6" s="157" t="n">
        <v>0.628374186093631</v>
      </c>
      <c r="J6" s="157" t="n">
        <v>0.628374186093631</v>
      </c>
      <c r="K6" s="157" t="n">
        <v>0.792068301798694</v>
      </c>
      <c r="L6" s="157" t="n">
        <v>0.864074511053121</v>
      </c>
      <c r="M6" s="157" t="n">
        <v>0.864074511053121</v>
      </c>
      <c r="N6" s="157" t="n">
        <f aca="false">SUMPRODUCT(B5:M5,B6:M6)/N5</f>
        <v>0.612810631247972</v>
      </c>
    </row>
    <row r="7" customFormat="false" ht="15" hidden="false" customHeight="true" outlineLevel="0" collapsed="false">
      <c r="A7" s="111" t="s">
        <v>379</v>
      </c>
      <c r="B7" s="157" t="n">
        <v>0.0698560413306586</v>
      </c>
      <c r="C7" s="157" t="n">
        <v>0.155940753716853</v>
      </c>
      <c r="D7" s="157" t="n">
        <v>0.152501810175173</v>
      </c>
      <c r="E7" s="157" t="n">
        <v>0.106445857414693</v>
      </c>
      <c r="F7" s="157" t="n">
        <v>0.33938425399864</v>
      </c>
      <c r="G7" s="157" t="n">
        <v>0.701632492484816</v>
      </c>
      <c r="H7" s="157" t="n">
        <v>0.9</v>
      </c>
      <c r="I7" s="157" t="n">
        <v>0.553137826463128</v>
      </c>
      <c r="J7" s="157" t="n">
        <v>0.68662284789314</v>
      </c>
      <c r="K7" s="157" t="n">
        <v>0.452570334918769</v>
      </c>
      <c r="L7" s="157" t="n">
        <v>0.519167727379021</v>
      </c>
      <c r="M7" s="157" t="n">
        <v>0.60824823279651</v>
      </c>
      <c r="N7" s="157" t="n">
        <v>0.44099681140765</v>
      </c>
    </row>
    <row r="9" customFormat="false" ht="15" hidden="false" customHeight="false" outlineLevel="0" collapsed="false">
      <c r="A9" s="67" t="s">
        <v>380</v>
      </c>
      <c r="B9" s="118"/>
      <c r="C9" s="113"/>
      <c r="D9" s="118"/>
      <c r="E9" s="118"/>
      <c r="F9" s="118"/>
      <c r="G9" s="118"/>
      <c r="H9" s="118"/>
      <c r="I9" s="118"/>
      <c r="J9" s="118"/>
      <c r="K9" s="118"/>
      <c r="L9" s="114" t="s">
        <v>381</v>
      </c>
    </row>
    <row r="10" customFormat="false" ht="31.5" hidden="false" customHeight="true" outlineLevel="0" collapsed="false">
      <c r="A10" s="92" t="s">
        <v>186</v>
      </c>
      <c r="B10" s="92" t="s">
        <v>382</v>
      </c>
      <c r="C10" s="92" t="s">
        <v>383</v>
      </c>
      <c r="D10" s="92" t="s">
        <v>384</v>
      </c>
      <c r="E10" s="92" t="s">
        <v>385</v>
      </c>
      <c r="F10" s="92" t="s">
        <v>386</v>
      </c>
      <c r="G10" s="92" t="s">
        <v>387</v>
      </c>
      <c r="H10" s="92" t="s">
        <v>388</v>
      </c>
      <c r="I10" s="92" t="s">
        <v>389</v>
      </c>
      <c r="J10" s="92" t="s">
        <v>307</v>
      </c>
      <c r="K10" s="92" t="s">
        <v>308</v>
      </c>
    </row>
    <row r="11" customFormat="false" ht="15" hidden="false" customHeight="false" outlineLevel="0" collapsed="false">
      <c r="A11" s="36" t="s">
        <v>189</v>
      </c>
      <c r="B11" s="119" t="n">
        <f aca="false">DATA!B74</f>
        <v>16500</v>
      </c>
      <c r="C11" s="122" t="n">
        <v>57000</v>
      </c>
      <c r="D11" s="119" t="n">
        <f aca="false">ПРАЙС!B76</f>
        <v>4809</v>
      </c>
      <c r="E11" s="119" t="n">
        <f aca="false">ПРАЙС!C76</f>
        <v>2885.4</v>
      </c>
      <c r="F11" s="128" t="n">
        <f aca="false">DATA!C74</f>
        <v>12</v>
      </c>
      <c r="G11" s="158" t="n">
        <v>12</v>
      </c>
      <c r="H11" s="104" t="n">
        <v>0.925</v>
      </c>
      <c r="I11" s="104" t="n">
        <v>1</v>
      </c>
      <c r="J11" s="129" t="n">
        <f aca="false">B11*D11*F11*H11/1000000</f>
        <v>880.76835</v>
      </c>
      <c r="K11" s="129" t="n">
        <f aca="false">C11*E11*G11*I11*$N$6/0.638297872340426/1000000</f>
        <v>1894.80718715374</v>
      </c>
    </row>
    <row r="12" customFormat="false" ht="15" hidden="false" customHeight="false" outlineLevel="0" collapsed="false">
      <c r="A12" s="36" t="s">
        <v>190</v>
      </c>
      <c r="B12" s="119" t="n">
        <f aca="false">DATA!B75</f>
        <v>40500</v>
      </c>
      <c r="C12" s="122" t="n">
        <v>0</v>
      </c>
      <c r="D12" s="119" t="n">
        <f aca="false">ПРАЙС!B77</f>
        <v>4809</v>
      </c>
      <c r="E12" s="119" t="n">
        <f aca="false">ПРАЙС!C77</f>
        <v>2885.4</v>
      </c>
      <c r="F12" s="128" t="n">
        <f aca="false">DATA!C75</f>
        <v>3</v>
      </c>
      <c r="G12" s="158" t="n">
        <v>0</v>
      </c>
      <c r="H12" s="104" t="n">
        <v>0.925</v>
      </c>
      <c r="I12" s="104" t="n">
        <v>1</v>
      </c>
      <c r="J12" s="129" t="n">
        <f aca="false">B12*D12*F12*H12/1000000</f>
        <v>540.4714875</v>
      </c>
      <c r="K12" s="129" t="n">
        <f aca="false">C12*E12*G12*I12*$N$6/0.638297872340426/1000000</f>
        <v>0</v>
      </c>
    </row>
    <row r="13" customFormat="false" ht="15" hidden="false" customHeight="false" outlineLevel="0" collapsed="false">
      <c r="A13" s="36" t="s">
        <v>191</v>
      </c>
      <c r="B13" s="119" t="n">
        <f aca="false">DATA!B76</f>
        <v>25</v>
      </c>
      <c r="C13" s="122" t="n">
        <v>2750</v>
      </c>
      <c r="D13" s="119" t="n">
        <f aca="false">ПРАЙС!B78</f>
        <v>28800</v>
      </c>
      <c r="E13" s="119" t="n">
        <f aca="false">ПРАЙС!C78</f>
        <v>30240</v>
      </c>
      <c r="F13" s="128" t="n">
        <f aca="false">DATA!C76</f>
        <v>12</v>
      </c>
      <c r="G13" s="158" t="n">
        <v>12</v>
      </c>
      <c r="H13" s="104" t="n">
        <v>0.925</v>
      </c>
      <c r="I13" s="104" t="n">
        <v>1</v>
      </c>
      <c r="J13" s="129" t="n">
        <f aca="false">B13*D13*F13*H13/1000000</f>
        <v>7.992</v>
      </c>
      <c r="K13" s="129" t="n">
        <f aca="false">C13*E13*G13*I13*$N$6/0.638297872340426/1000000</f>
        <v>958.073043378128</v>
      </c>
    </row>
    <row r="14" customFormat="false" ht="15" hidden="false" customHeight="false" outlineLevel="0" collapsed="false">
      <c r="A14" s="36" t="s">
        <v>192</v>
      </c>
      <c r="B14" s="119" t="n">
        <f aca="false">DATA!B77</f>
        <v>2725</v>
      </c>
      <c r="C14" s="122" t="n">
        <v>3250</v>
      </c>
      <c r="D14" s="119" t="n">
        <f aca="false">ПРАЙС!B79</f>
        <v>28800</v>
      </c>
      <c r="E14" s="119" t="n">
        <f aca="false">ПРАЙС!C79</f>
        <v>30240</v>
      </c>
      <c r="F14" s="128" t="n">
        <f aca="false">DATA!C77</f>
        <v>3</v>
      </c>
      <c r="G14" s="158" t="n">
        <v>2</v>
      </c>
      <c r="H14" s="104" t="n">
        <v>0.925</v>
      </c>
      <c r="I14" s="104" t="n">
        <v>1</v>
      </c>
      <c r="J14" s="129" t="n">
        <f aca="false">B14*D14*F14*H14/1000000</f>
        <v>217.782</v>
      </c>
      <c r="K14" s="129" t="n">
        <f aca="false">C14*E14*G14*I14*$N$6/0.638297872340426/1000000</f>
        <v>188.711357029025</v>
      </c>
    </row>
    <row r="15" customFormat="false" ht="15" hidden="false" customHeight="false" outlineLevel="0" collapsed="false">
      <c r="A15" s="36" t="s">
        <v>193</v>
      </c>
      <c r="B15" s="119" t="n">
        <f aca="false">DATA!B78</f>
        <v>400</v>
      </c>
      <c r="C15" s="122" t="n">
        <v>1231</v>
      </c>
      <c r="D15" s="119" t="n">
        <f aca="false">ПРАЙС!B80</f>
        <v>30214</v>
      </c>
      <c r="E15" s="119" t="n">
        <f aca="false">ПРАЙС!C80</f>
        <v>24171.2</v>
      </c>
      <c r="F15" s="128" t="n">
        <f aca="false">DATA!C78</f>
        <v>12</v>
      </c>
      <c r="G15" s="158" t="n">
        <v>12</v>
      </c>
      <c r="H15" s="104" t="n">
        <v>0.925</v>
      </c>
      <c r="I15" s="104" t="n">
        <v>1</v>
      </c>
      <c r="J15" s="129" t="n">
        <f aca="false">B15*D15*F15*H15/1000000</f>
        <v>134.15016</v>
      </c>
      <c r="K15" s="129" t="n">
        <f aca="false">C15*E15*G15*I15*$N$6/0.638297872340426/1000000</f>
        <v>342.799677788009</v>
      </c>
    </row>
    <row r="16" customFormat="false" ht="15" hidden="false" customHeight="false" outlineLevel="0" collapsed="false">
      <c r="A16" s="36" t="s">
        <v>194</v>
      </c>
      <c r="B16" s="119" t="n">
        <f aca="false">DATA!B79</f>
        <v>831</v>
      </c>
      <c r="C16" s="122" t="n">
        <v>428</v>
      </c>
      <c r="D16" s="119" t="n">
        <f aca="false">ПРАЙС!B81</f>
        <v>30214</v>
      </c>
      <c r="E16" s="119" t="n">
        <f aca="false">ПРАЙС!C81</f>
        <v>24171.2</v>
      </c>
      <c r="F16" s="128" t="n">
        <f aca="false">DATA!C79</f>
        <v>4</v>
      </c>
      <c r="G16" s="158" t="n">
        <v>4</v>
      </c>
      <c r="H16" s="104" t="n">
        <v>0.925</v>
      </c>
      <c r="I16" s="104" t="n">
        <v>1</v>
      </c>
      <c r="J16" s="129" t="n">
        <f aca="false">B16*D16*F16*H16/1000000</f>
        <v>92.8989858</v>
      </c>
      <c r="K16" s="129" t="n">
        <f aca="false">C16*E16*G16*I16*$N$6/0.638297872340426/1000000</f>
        <v>39.7287468435602</v>
      </c>
    </row>
    <row r="17" customFormat="false" ht="15" hidden="false" customHeight="false" outlineLevel="0" collapsed="false">
      <c r="A17" s="36" t="s">
        <v>195</v>
      </c>
      <c r="B17" s="119" t="n">
        <f aca="false">DATA!B80</f>
        <v>2310</v>
      </c>
      <c r="C17" s="122" t="n">
        <v>2310</v>
      </c>
      <c r="D17" s="119" t="n">
        <f aca="false">ПРАЙС!B82</f>
        <v>14350</v>
      </c>
      <c r="E17" s="119" t="n">
        <f aca="false">ПРАЙС!C82</f>
        <v>11480</v>
      </c>
      <c r="F17" s="128" t="n">
        <f aca="false">DATA!C80</f>
        <v>12</v>
      </c>
      <c r="G17" s="158" t="n">
        <v>12</v>
      </c>
      <c r="H17" s="104" t="n">
        <v>0.925</v>
      </c>
      <c r="I17" s="104" t="n">
        <v>1</v>
      </c>
      <c r="J17" s="129" t="n">
        <f aca="false">B17*D17*F17*H17/1000000</f>
        <v>367.94835</v>
      </c>
      <c r="K17" s="129" t="n">
        <f aca="false">C17*E17*G17*I17*$N$6/0.638297872340426/1000000</f>
        <v>305.518848277248</v>
      </c>
    </row>
    <row r="18" customFormat="false" ht="15" hidden="false" customHeight="false" outlineLevel="0" collapsed="false">
      <c r="A18" s="36" t="s">
        <v>196</v>
      </c>
      <c r="B18" s="119" t="n">
        <f aca="false">DATA!B81</f>
        <v>6121</v>
      </c>
      <c r="C18" s="122" t="n">
        <v>6121</v>
      </c>
      <c r="D18" s="119" t="n">
        <f aca="false">ПРАЙС!B83</f>
        <v>1784</v>
      </c>
      <c r="E18" s="119" t="n">
        <f aca="false">ПРАЙС!C83</f>
        <v>1784</v>
      </c>
      <c r="F18" s="128" t="n">
        <f aca="false">DATA!C81</f>
        <v>12</v>
      </c>
      <c r="G18" s="158" t="n">
        <v>12</v>
      </c>
      <c r="H18" s="104" t="n">
        <v>0.925</v>
      </c>
      <c r="I18" s="104" t="n">
        <v>1</v>
      </c>
      <c r="J18" s="129" t="n">
        <f aca="false">B18*D18*F18*H18/1000000</f>
        <v>121.2104904</v>
      </c>
      <c r="K18" s="129" t="n">
        <f aca="false">C18*E18*G18*I18*$N$6/0.638297872340426/1000000</f>
        <v>125.806004518462</v>
      </c>
    </row>
    <row r="19" customFormat="false" ht="15" hidden="false" customHeight="false" outlineLevel="0" collapsed="false">
      <c r="A19" s="36" t="s">
        <v>197</v>
      </c>
      <c r="B19" s="119" t="n">
        <f aca="false">DATA!B82</f>
        <v>3821</v>
      </c>
      <c r="C19" s="122" t="n">
        <v>3821</v>
      </c>
      <c r="D19" s="119" t="n">
        <f aca="false">ПРАЙС!B84</f>
        <v>506</v>
      </c>
      <c r="E19" s="119" t="n">
        <f aca="false">ПРАЙС!C84</f>
        <v>2024</v>
      </c>
      <c r="F19" s="128" t="n">
        <f aca="false">DATA!C82</f>
        <v>12</v>
      </c>
      <c r="G19" s="158" t="n">
        <v>12</v>
      </c>
      <c r="H19" s="104" t="n">
        <v>0.925</v>
      </c>
      <c r="I19" s="104" t="n">
        <v>1</v>
      </c>
      <c r="J19" s="129" t="n">
        <f aca="false">B19*D19*F19*H19/1000000</f>
        <v>21.4610286</v>
      </c>
      <c r="K19" s="129" t="n">
        <f aca="false">C19*E19*G19*I19*$N$6/0.638297872340426/1000000</f>
        <v>89.0987653663493</v>
      </c>
    </row>
    <row r="20" customFormat="false" ht="15" hidden="false" customHeight="false" outlineLevel="0" collapsed="false">
      <c r="A20" s="36" t="s">
        <v>198</v>
      </c>
      <c r="B20" s="119" t="n">
        <f aca="false">DATA!B83</f>
        <v>4408</v>
      </c>
      <c r="C20" s="122" t="n">
        <v>4408</v>
      </c>
      <c r="D20" s="119" t="n">
        <f aca="false">ПРАЙС!B85</f>
        <v>1112</v>
      </c>
      <c r="E20" s="119" t="n">
        <f aca="false">ПРАЙС!C85</f>
        <v>1112</v>
      </c>
      <c r="F20" s="128" t="n">
        <f aca="false">DATA!C83</f>
        <v>12</v>
      </c>
      <c r="G20" s="158" t="n">
        <v>12</v>
      </c>
      <c r="H20" s="104" t="n">
        <v>0.925</v>
      </c>
      <c r="I20" s="104" t="n">
        <v>1</v>
      </c>
      <c r="J20" s="129" t="n">
        <f aca="false">B20*D20*F20*H20/1000000</f>
        <v>54.4088256</v>
      </c>
      <c r="K20" s="129" t="n">
        <f aca="false">C20*E20*G20*I20*$N$6/0.638297872340426/1000000</f>
        <v>56.4716546949783</v>
      </c>
    </row>
    <row r="21" customFormat="false" ht="15" hidden="false" customHeight="false" outlineLevel="0" collapsed="false">
      <c r="A21" s="36" t="s">
        <v>199</v>
      </c>
      <c r="B21" s="119" t="n">
        <f aca="false">DATA!B84</f>
        <v>0</v>
      </c>
      <c r="C21" s="122" t="n">
        <v>1</v>
      </c>
      <c r="D21" s="119" t="n">
        <f aca="false">ПРАЙС!B86</f>
        <v>200000</v>
      </c>
      <c r="E21" s="119" t="n">
        <f aca="false">ПРАЙС!C86</f>
        <v>240000</v>
      </c>
      <c r="F21" s="128" t="n">
        <f aca="false">DATA!C84</f>
        <v>12</v>
      </c>
      <c r="G21" s="158" t="n">
        <v>12</v>
      </c>
      <c r="H21" s="104" t="n">
        <v>0.925</v>
      </c>
      <c r="I21" s="104" t="n">
        <v>1</v>
      </c>
      <c r="J21" s="129" t="n">
        <f aca="false">B21*D21*F21*H21/1000000</f>
        <v>0</v>
      </c>
      <c r="K21" s="129" t="n">
        <f aca="false">C21*E21*G21*I21*$N$6/0.638297872340426/1000000</f>
        <v>2.76500156819085</v>
      </c>
    </row>
    <row r="22" customFormat="false" ht="15" hidden="false" customHeight="false" outlineLevel="0" collapsed="false">
      <c r="A22" s="36" t="s">
        <v>200</v>
      </c>
      <c r="B22" s="119" t="n">
        <f aca="false">DATA!B85</f>
        <v>1</v>
      </c>
      <c r="C22" s="122" t="n">
        <v>20</v>
      </c>
      <c r="D22" s="119" t="n">
        <f aca="false">ПРАЙС!B87</f>
        <v>200000</v>
      </c>
      <c r="E22" s="119" t="n">
        <f aca="false">ПРАЙС!C87</f>
        <v>240000</v>
      </c>
      <c r="F22" s="128" t="n">
        <f aca="false">DATA!C85</f>
        <v>4</v>
      </c>
      <c r="G22" s="158" t="n">
        <v>2</v>
      </c>
      <c r="H22" s="104" t="n">
        <v>0.925</v>
      </c>
      <c r="I22" s="104" t="n">
        <v>1</v>
      </c>
      <c r="J22" s="129" t="n">
        <f aca="false">B22*D22*F22*H22/1000000</f>
        <v>0.74</v>
      </c>
      <c r="K22" s="129" t="n">
        <f aca="false">C22*E22*G22*I22*$N$6/0.638297872340426/1000000</f>
        <v>9.21667189396949</v>
      </c>
    </row>
    <row r="23" customFormat="false" ht="15" hidden="false" customHeight="false" outlineLevel="0" collapsed="false">
      <c r="A23" s="36" t="s">
        <v>201</v>
      </c>
      <c r="B23" s="119" t="n">
        <f aca="false">DATA!B86</f>
        <v>79</v>
      </c>
      <c r="C23" s="122" t="n">
        <v>79</v>
      </c>
      <c r="D23" s="119" t="n">
        <f aca="false">ПРАЙС!B88</f>
        <v>7136</v>
      </c>
      <c r="E23" s="119" t="n">
        <f aca="false">ПРАЙС!C88</f>
        <v>7136</v>
      </c>
      <c r="F23" s="128" t="n">
        <f aca="false">DATA!C86</f>
        <v>12</v>
      </c>
      <c r="G23" s="158" t="n">
        <v>12</v>
      </c>
      <c r="H23" s="104" t="n">
        <v>0.925</v>
      </c>
      <c r="I23" s="104" t="n">
        <v>1</v>
      </c>
      <c r="J23" s="129" t="n">
        <f aca="false">B23*D23*F23*H23/1000000</f>
        <v>6.2575584</v>
      </c>
      <c r="K23" s="129" t="n">
        <f aca="false">C23*E23*G23*I23*$N$6/0.638297872340426/1000000</f>
        <v>6.49480435024242</v>
      </c>
    </row>
    <row r="24" customFormat="false" ht="15" hidden="false" customHeight="false" outlineLevel="0" collapsed="false">
      <c r="A24" s="50" t="s">
        <v>390</v>
      </c>
      <c r="B24" s="159" t="n">
        <f aca="false">SUM(B11:B23)</f>
        <v>77721</v>
      </c>
      <c r="C24" s="159" t="n">
        <f aca="false">SUM(C11:C23)</f>
        <v>81419</v>
      </c>
      <c r="J24" s="160" t="n">
        <f aca="false">SUM(J11:J23)</f>
        <v>2446.0892363</v>
      </c>
      <c r="K24" s="160" t="n">
        <f aca="false">SUM(K11:K23)</f>
        <v>4019.49176286191</v>
      </c>
      <c r="Q24" s="107"/>
    </row>
    <row r="26" customFormat="false" ht="15" hidden="false" customHeight="false" outlineLevel="0" collapsed="false">
      <c r="A26" s="67" t="s">
        <v>391</v>
      </c>
      <c r="B26" s="118"/>
      <c r="C26" s="113"/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4" t="s">
        <v>392</v>
      </c>
    </row>
    <row r="27" customFormat="false" ht="15" hidden="false" customHeight="false" outlineLevel="0" collapsed="false">
      <c r="A27" s="92" t="s">
        <v>175</v>
      </c>
      <c r="B27" s="92" t="s">
        <v>313</v>
      </c>
      <c r="C27" s="92" t="s">
        <v>9</v>
      </c>
      <c r="D27" s="92" t="s">
        <v>10</v>
      </c>
      <c r="E27" s="92" t="s">
        <v>11</v>
      </c>
      <c r="F27" s="92" t="s">
        <v>12</v>
      </c>
      <c r="G27" s="92" t="s">
        <v>13</v>
      </c>
      <c r="H27" s="92" t="s">
        <v>14</v>
      </c>
      <c r="I27" s="92" t="s">
        <v>15</v>
      </c>
      <c r="J27" s="92" t="s">
        <v>16</v>
      </c>
      <c r="K27" s="92" t="s">
        <v>17</v>
      </c>
      <c r="L27" s="92" t="s">
        <v>18</v>
      </c>
      <c r="M27" s="92" t="s">
        <v>19</v>
      </c>
      <c r="N27" s="92" t="s">
        <v>20</v>
      </c>
      <c r="O27" s="92" t="s">
        <v>72</v>
      </c>
      <c r="P27" s="92" t="s">
        <v>73</v>
      </c>
    </row>
    <row r="28" customFormat="false" ht="15" hidden="false" customHeight="true" outlineLevel="0" collapsed="false">
      <c r="A28" s="41" t="s">
        <v>393</v>
      </c>
      <c r="B28" s="161" t="s">
        <v>323</v>
      </c>
      <c r="C28" s="162" t="n">
        <f aca="false">$K$24*B$5*B$6/SUMPRODUCT($B$5:$M$5,$B$6:$M$6)</f>
        <v>80.3909071359999</v>
      </c>
      <c r="D28" s="162" t="n">
        <f aca="false">$K$24*C$5*C$6/SUMPRODUCT($B$5:$M$5,$B$6:$M$6)</f>
        <v>200.981734001507</v>
      </c>
      <c r="E28" s="162" t="n">
        <f aca="false">$K$24*D$5*D$6/SUMPRODUCT($B$5:$M$5,$B$6:$M$6)</f>
        <v>281.368174976</v>
      </c>
      <c r="F28" s="162" t="n">
        <f aca="false">$K$24*E$5*E$6/SUMPRODUCT($B$5:$M$5,$B$6:$M$6)</f>
        <v>281.354776491477</v>
      </c>
      <c r="G28" s="162" t="n">
        <f aca="false">$K$24*F$5*F$6/SUMPRODUCT($B$5:$M$5,$B$6:$M$6)</f>
        <v>281.368174976</v>
      </c>
      <c r="H28" s="162" t="n">
        <f aca="false">$K$24*G$5*G$6/SUMPRODUCT($B$5:$M$5,$B$6:$M$6)</f>
        <v>281.368174976</v>
      </c>
      <c r="I28" s="162" t="n">
        <f aca="false">$K$24*H$5*H$6/SUMPRODUCT($B$5:$M$5,$B$6:$M$6)</f>
        <v>281.368174976</v>
      </c>
      <c r="J28" s="162" t="n">
        <f aca="false">$K$24*I$5*I$6/SUMPRODUCT($B$5:$M$5,$B$6:$M$6)</f>
        <v>321.541297736462</v>
      </c>
      <c r="K28" s="162" t="n">
        <f aca="false">$K$24*J$5*J$6/SUMPRODUCT($B$5:$M$5,$B$6:$M$6)</f>
        <v>321.541297736462</v>
      </c>
      <c r="L28" s="162" t="n">
        <f aca="false">$K$24*K$5*K$6/SUMPRODUCT($B$5:$M$5,$B$6:$M$6)</f>
        <v>442.149989248</v>
      </c>
      <c r="M28" s="162" t="n">
        <f aca="false">$K$24*L$5*L$6/SUMPRODUCT($B$5:$M$5,$B$6:$M$6)</f>
        <v>562.736349952</v>
      </c>
      <c r="N28" s="162" t="n">
        <f aca="false">$K$24*M$5*M$6/SUMPRODUCT($B$5:$M$5,$B$6:$M$6)</f>
        <v>683.322710656</v>
      </c>
      <c r="O28" s="163" t="n">
        <f aca="false">SUM(C28:N28)</f>
        <v>4019.49176286191</v>
      </c>
      <c r="P28" s="162" t="n">
        <f aca="false">J24</f>
        <v>2446.0892363</v>
      </c>
    </row>
    <row r="29" customFormat="false" ht="15" hidden="false" customHeight="false" outlineLevel="0" collapsed="false">
      <c r="A29" s="164" t="s">
        <v>394</v>
      </c>
      <c r="B29" s="101" t="s">
        <v>323</v>
      </c>
      <c r="C29" s="69" t="n">
        <v>27.4816347738525</v>
      </c>
      <c r="D29" s="69" t="n">
        <v>67.4824601310109</v>
      </c>
      <c r="E29" s="69" t="n">
        <v>71.9937569278687</v>
      </c>
      <c r="F29" s="69" t="n">
        <v>46.0638297422951</v>
      </c>
      <c r="G29" s="69" t="n">
        <v>160.218081735937</v>
      </c>
      <c r="H29" s="69" t="n">
        <v>276.024915478183</v>
      </c>
      <c r="I29" s="69" t="n">
        <v>354.063454288701</v>
      </c>
      <c r="J29" s="69" t="n">
        <v>239.367198320896</v>
      </c>
      <c r="K29" s="69" t="n">
        <v>297.132070056055</v>
      </c>
      <c r="L29" s="69" t="n">
        <v>213.651488119911</v>
      </c>
      <c r="M29" s="69" t="n">
        <v>285.939607194937</v>
      </c>
      <c r="N29" s="69" t="n">
        <v>406.788221807979</v>
      </c>
      <c r="O29" s="123" t="n">
        <f aca="false">SUM(C29:N29)</f>
        <v>2446.20671857763</v>
      </c>
      <c r="Q29" s="165"/>
    </row>
    <row r="30" customFormat="false" ht="15" hidden="false" customHeight="false" outlineLevel="0" collapsed="false"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</row>
    <row r="31" customFormat="false" ht="15" hidden="false" customHeight="false" outlineLevel="0" collapsed="false">
      <c r="A31" s="67" t="s">
        <v>395</v>
      </c>
      <c r="B31" s="118"/>
      <c r="C31" s="118"/>
      <c r="D31" s="113"/>
      <c r="E31" s="118"/>
      <c r="F31" s="118"/>
      <c r="G31" s="118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4" t="s">
        <v>396</v>
      </c>
    </row>
    <row r="32" customFormat="false" ht="15" hidden="false" customHeight="false" outlineLevel="0" collapsed="false">
      <c r="A32" s="36" t="s">
        <v>397</v>
      </c>
      <c r="O32" s="96" t="n">
        <f aca="false">B11+B13+B15+B17+B18+B19+B20+B21+B23</f>
        <v>33664</v>
      </c>
      <c r="Q32" s="107" t="s">
        <v>398</v>
      </c>
    </row>
    <row r="33" customFormat="false" ht="15" hidden="false" customHeight="false" outlineLevel="0" collapsed="false">
      <c r="A33" s="36" t="s">
        <v>399</v>
      </c>
      <c r="O33" s="96" t="n">
        <f aca="false">B12+B14+B16+B22</f>
        <v>44057</v>
      </c>
      <c r="Q33" s="107" t="s">
        <v>400</v>
      </c>
    </row>
    <row r="34" customFormat="false" ht="15" hidden="false" customHeight="false" outlineLevel="0" collapsed="false">
      <c r="A34" s="36" t="s">
        <v>401</v>
      </c>
      <c r="O34" s="96" t="n">
        <f aca="false">B24</f>
        <v>77721</v>
      </c>
      <c r="Q34" s="107" t="s">
        <v>402</v>
      </c>
    </row>
    <row r="35" customFormat="false" ht="15" hidden="false" customHeight="false" outlineLevel="0" collapsed="false">
      <c r="A35" s="36" t="s">
        <v>205</v>
      </c>
      <c r="O35" s="96" t="n">
        <f aca="false">SUMPRODUCT(B11:B23,F11:F23)/12</f>
        <v>44747.5833333333</v>
      </c>
      <c r="Q35" s="107" t="s">
        <v>403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3C"/>
    <pageSetUpPr fitToPage="false"/>
  </sheetPr>
  <dimension ref="A1:R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1"/>
    <col collapsed="false" customWidth="true" hidden="false" outlineLevel="0" max="14" min="3" style="1" width="10"/>
    <col collapsed="false" customWidth="true" hidden="false" outlineLevel="0" max="16" min="15" style="1" width="13"/>
    <col collapsed="false" customWidth="true" hidden="false" outlineLevel="0" max="17" min="17" style="1" width="75.34"/>
  </cols>
  <sheetData>
    <row r="1" customFormat="false" ht="15" hidden="false" customHeight="false" outlineLevel="0" collapsed="false">
      <c r="A1" s="50" t="s">
        <v>404</v>
      </c>
    </row>
    <row r="2" customFormat="false" ht="15" hidden="false" customHeight="false" outlineLevel="0" collapsed="false">
      <c r="A2" s="52" t="s">
        <v>405</v>
      </c>
    </row>
    <row r="3" customFormat="false" ht="15" hidden="false" customHeight="false" outlineLevel="0" collapsed="false">
      <c r="C3" s="53" t="n">
        <f aca="false">C9/$O$9</f>
        <v>0.02</v>
      </c>
      <c r="D3" s="53" t="n">
        <f aca="false">D9/$O$9</f>
        <v>0.05</v>
      </c>
      <c r="E3" s="53" t="n">
        <f aca="false">E9/$O$9</f>
        <v>0.07</v>
      </c>
      <c r="F3" s="53" t="n">
        <f aca="false">F9/$O$9</f>
        <v>0.07</v>
      </c>
      <c r="G3" s="53" t="n">
        <f aca="false">G9/$O$9</f>
        <v>0.0700000000000001</v>
      </c>
      <c r="H3" s="53" t="n">
        <f aca="false">H9/$O$9</f>
        <v>0.07</v>
      </c>
      <c r="I3" s="53" t="n">
        <f aca="false">I9/$O$9</f>
        <v>0.07</v>
      </c>
      <c r="J3" s="53" t="n">
        <f aca="false">J9/$O$9</f>
        <v>0.08</v>
      </c>
      <c r="K3" s="53" t="n">
        <f aca="false">K9/$O$9</f>
        <v>0.08</v>
      </c>
      <c r="L3" s="53" t="n">
        <f aca="false">L9/$O$9</f>
        <v>0.11</v>
      </c>
      <c r="M3" s="53" t="n">
        <f aca="false">M9/$O$9</f>
        <v>0.14</v>
      </c>
      <c r="N3" s="53" t="n">
        <f aca="false">N9/$O$9</f>
        <v>0.17</v>
      </c>
    </row>
    <row r="4" customFormat="false" ht="15" hidden="false" customHeight="false" outlineLevel="0" collapsed="false">
      <c r="A4" s="67" t="s">
        <v>406</v>
      </c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4" t="s">
        <v>407</v>
      </c>
    </row>
    <row r="5" customFormat="false" ht="15" hidden="false" customHeight="false" outlineLevel="0" collapsed="false">
      <c r="A5" s="92" t="s">
        <v>175</v>
      </c>
      <c r="B5" s="92" t="s">
        <v>313</v>
      </c>
      <c r="C5" s="92" t="s">
        <v>9</v>
      </c>
      <c r="D5" s="92" t="s">
        <v>10</v>
      </c>
      <c r="E5" s="92" t="s">
        <v>11</v>
      </c>
      <c r="F5" s="92" t="s">
        <v>12</v>
      </c>
      <c r="G5" s="92" t="s">
        <v>13</v>
      </c>
      <c r="H5" s="92" t="s">
        <v>14</v>
      </c>
      <c r="I5" s="92" t="s">
        <v>15</v>
      </c>
      <c r="J5" s="92" t="s">
        <v>16</v>
      </c>
      <c r="K5" s="92" t="s">
        <v>17</v>
      </c>
      <c r="L5" s="92" t="s">
        <v>18</v>
      </c>
      <c r="M5" s="92" t="s">
        <v>19</v>
      </c>
      <c r="N5" s="92" t="s">
        <v>20</v>
      </c>
      <c r="O5" s="92" t="s">
        <v>72</v>
      </c>
      <c r="P5" s="92" t="s">
        <v>73</v>
      </c>
      <c r="Q5" s="92" t="s">
        <v>326</v>
      </c>
    </row>
    <row r="6" customFormat="false" ht="15" hidden="false" customHeight="false" outlineLevel="0" collapsed="false">
      <c r="A6" s="36" t="s">
        <v>408</v>
      </c>
      <c r="B6" s="101" t="s">
        <v>323</v>
      </c>
      <c r="C6" s="158" t="n">
        <v>7.3142857142857</v>
      </c>
      <c r="D6" s="158" t="n">
        <v>24</v>
      </c>
      <c r="E6" s="158" t="n">
        <v>28</v>
      </c>
      <c r="F6" s="158" t="n">
        <v>24.8888888888889</v>
      </c>
      <c r="G6" s="158" t="n">
        <v>29.8666666666667</v>
      </c>
      <c r="H6" s="158" t="n">
        <v>31.36</v>
      </c>
      <c r="I6" s="158" t="n">
        <v>31.1111111111111</v>
      </c>
      <c r="J6" s="158" t="n">
        <v>25.6</v>
      </c>
      <c r="K6" s="158" t="n">
        <v>35.5555555555556</v>
      </c>
      <c r="L6" s="158" t="n">
        <v>52.7999999999999</v>
      </c>
      <c r="M6" s="158" t="n">
        <v>44.7999999999999</v>
      </c>
      <c r="N6" s="158" t="n">
        <v>57.2631578947369</v>
      </c>
      <c r="O6" s="160" t="n">
        <f aca="false">SUM(C6:N6)</f>
        <v>392.559665831245</v>
      </c>
      <c r="Q6" s="107" t="s">
        <v>409</v>
      </c>
    </row>
    <row r="7" customFormat="false" ht="15" hidden="false" customHeight="false" outlineLevel="0" collapsed="false">
      <c r="A7" s="36" t="s">
        <v>410</v>
      </c>
      <c r="B7" s="101" t="s">
        <v>323</v>
      </c>
      <c r="C7" s="158" t="n">
        <v>15.5428571428572</v>
      </c>
      <c r="D7" s="158" t="n">
        <v>33.3333333333333</v>
      </c>
      <c r="E7" s="158" t="n">
        <v>56</v>
      </c>
      <c r="F7" s="158" t="n">
        <v>62.2222222222222</v>
      </c>
      <c r="G7" s="158" t="n">
        <v>58.6666666666667</v>
      </c>
      <c r="H7" s="158" t="n">
        <v>56</v>
      </c>
      <c r="I7" s="158" t="n">
        <v>56</v>
      </c>
      <c r="J7" s="158" t="n">
        <v>70.4</v>
      </c>
      <c r="K7" s="158" t="n">
        <v>64</v>
      </c>
      <c r="L7" s="158" t="n">
        <v>79.2</v>
      </c>
      <c r="M7" s="158" t="n">
        <v>112</v>
      </c>
      <c r="N7" s="158" t="n">
        <v>124.547368421052</v>
      </c>
      <c r="O7" s="160" t="n">
        <f aca="false">SUM(C7:N7)</f>
        <v>787.912447786132</v>
      </c>
      <c r="Q7" s="107"/>
    </row>
    <row r="8" customFormat="false" ht="15" hidden="false" customHeight="false" outlineLevel="0" collapsed="false">
      <c r="A8" s="36" t="s">
        <v>411</v>
      </c>
      <c r="B8" s="101" t="s">
        <v>323</v>
      </c>
      <c r="C8" s="158" t="n">
        <v>9.14285714285713</v>
      </c>
      <c r="D8" s="158" t="n">
        <v>22.6666666666667</v>
      </c>
      <c r="E8" s="158" t="n">
        <v>28</v>
      </c>
      <c r="F8" s="158" t="n">
        <v>24.8888888888889</v>
      </c>
      <c r="G8" s="158" t="n">
        <v>23.4666666666667</v>
      </c>
      <c r="H8" s="158" t="n">
        <v>24.64</v>
      </c>
      <c r="I8" s="158" t="n">
        <v>24.8888888888889</v>
      </c>
      <c r="J8" s="158" t="n">
        <v>32</v>
      </c>
      <c r="K8" s="158" t="n">
        <v>28.4444444444444</v>
      </c>
      <c r="L8" s="158" t="n">
        <v>44</v>
      </c>
      <c r="M8" s="158" t="n">
        <v>67.1999999999999</v>
      </c>
      <c r="N8" s="158" t="n">
        <v>90.1894736842107</v>
      </c>
      <c r="O8" s="160" t="n">
        <f aca="false">SUM(C8:N8)</f>
        <v>419.527886382623</v>
      </c>
      <c r="Q8" s="107"/>
    </row>
    <row r="9" customFormat="false" ht="15" hidden="false" customHeight="false" outlineLevel="0" collapsed="false">
      <c r="A9" s="102" t="s">
        <v>412</v>
      </c>
      <c r="B9" s="166" t="s">
        <v>323</v>
      </c>
      <c r="C9" s="167" t="n">
        <f aca="false">C6+C7+C8</f>
        <v>32</v>
      </c>
      <c r="D9" s="167" t="n">
        <f aca="false">D6+D7+D8</f>
        <v>80</v>
      </c>
      <c r="E9" s="167" t="n">
        <f aca="false">E6+E7+E8</f>
        <v>112</v>
      </c>
      <c r="F9" s="167" t="n">
        <f aca="false">F6+F7+F8</f>
        <v>112</v>
      </c>
      <c r="G9" s="167" t="n">
        <f aca="false">G6+G7+G8</f>
        <v>112</v>
      </c>
      <c r="H9" s="167" t="n">
        <f aca="false">H6+H7+H8</f>
        <v>112</v>
      </c>
      <c r="I9" s="167" t="n">
        <f aca="false">I6+I7+I8</f>
        <v>112</v>
      </c>
      <c r="J9" s="167" t="n">
        <f aca="false">J6+J7+J8</f>
        <v>128</v>
      </c>
      <c r="K9" s="167" t="n">
        <f aca="false">K6+K7+K8</f>
        <v>128</v>
      </c>
      <c r="L9" s="167" t="n">
        <f aca="false">L6+L7+L8</f>
        <v>176</v>
      </c>
      <c r="M9" s="167" t="n">
        <f aca="false">M6+M7+M8</f>
        <v>224</v>
      </c>
      <c r="N9" s="167" t="n">
        <f aca="false">N6+N7+N8</f>
        <v>272</v>
      </c>
      <c r="O9" s="167" t="n">
        <f aca="false">SUM(C9:N9)</f>
        <v>1600</v>
      </c>
      <c r="P9" s="168" t="n">
        <f aca="false">O23</f>
        <v>987</v>
      </c>
      <c r="Q9" s="107"/>
    </row>
    <row r="11" customFormat="false" ht="15" hidden="false" customHeight="false" outlineLevel="0" collapsed="false">
      <c r="A11" s="36" t="s">
        <v>413</v>
      </c>
      <c r="B11" s="101" t="s">
        <v>26</v>
      </c>
      <c r="C11" s="104" t="n">
        <v>0.24969524589106</v>
      </c>
      <c r="D11" s="104" t="n">
        <v>0.24969524589106</v>
      </c>
      <c r="E11" s="104" t="n">
        <v>0.24969524589106</v>
      </c>
      <c r="F11" s="104" t="n">
        <v>0.24969524589106</v>
      </c>
      <c r="G11" s="104" t="n">
        <v>0.24969524589106</v>
      </c>
      <c r="H11" s="104" t="n">
        <v>0.24969524589106</v>
      </c>
      <c r="I11" s="104" t="n">
        <v>0.24969524589106</v>
      </c>
      <c r="J11" s="104" t="n">
        <v>0.24969524589106</v>
      </c>
      <c r="K11" s="104" t="n">
        <v>0.24969524589106</v>
      </c>
      <c r="L11" s="104" t="n">
        <v>0.24969524589106</v>
      </c>
      <c r="M11" s="104" t="n">
        <v>0.24969524589106</v>
      </c>
      <c r="N11" s="104" t="n">
        <v>0.24969524589106</v>
      </c>
      <c r="O11" s="95" t="n">
        <f aca="false">AVERAGE(C11:N11)</f>
        <v>0.24969524589106</v>
      </c>
      <c r="Q11" s="107"/>
    </row>
    <row r="12" customFormat="false" ht="15" hidden="false" customHeight="false" outlineLevel="0" collapsed="false">
      <c r="A12" s="36" t="s">
        <v>414</v>
      </c>
      <c r="B12" s="101" t="s">
        <v>26</v>
      </c>
      <c r="C12" s="104" t="n">
        <v>0.437271434418295</v>
      </c>
      <c r="D12" s="104" t="n">
        <v>0.374746038242551</v>
      </c>
      <c r="E12" s="104" t="n">
        <v>0.437271434418295</v>
      </c>
      <c r="F12" s="104" t="n">
        <v>0.374746038242551</v>
      </c>
      <c r="G12" s="104" t="n">
        <v>0.374746038242551</v>
      </c>
      <c r="H12" s="104" t="n">
        <v>0.374746038242551</v>
      </c>
      <c r="I12" s="104" t="n">
        <v>0.374746038242551</v>
      </c>
      <c r="J12" s="104" t="n">
        <v>0.374746038242551</v>
      </c>
      <c r="K12" s="104" t="n">
        <v>0.437271434418295</v>
      </c>
      <c r="L12" s="104" t="n">
        <v>0.374746038242551</v>
      </c>
      <c r="M12" s="104" t="n">
        <v>0.437271434418295</v>
      </c>
      <c r="N12" s="104" t="n">
        <v>0.437271434418295</v>
      </c>
      <c r="O12" s="95" t="n">
        <f aca="false">AVERAGE(C12:N12)</f>
        <v>0.400798286649111</v>
      </c>
      <c r="Q12" s="107"/>
    </row>
    <row r="13" customFormat="false" ht="15" hidden="false" customHeight="false" outlineLevel="0" collapsed="false">
      <c r="A13" s="36" t="s">
        <v>415</v>
      </c>
      <c r="B13" s="101" t="s">
        <v>26</v>
      </c>
      <c r="C13" s="104" t="n">
        <v>0.437271434418295</v>
      </c>
      <c r="D13" s="104" t="n">
        <v>0.437271434418295</v>
      </c>
      <c r="E13" s="104" t="n">
        <v>0.437271434418295</v>
      </c>
      <c r="F13" s="104" t="n">
        <v>0.437271434418295</v>
      </c>
      <c r="G13" s="104" t="n">
        <v>0.437271434418295</v>
      </c>
      <c r="H13" s="104" t="n">
        <v>0.437271434418295</v>
      </c>
      <c r="I13" s="104" t="n">
        <v>0.437271434418295</v>
      </c>
      <c r="J13" s="104" t="n">
        <v>0.437271434418295</v>
      </c>
      <c r="K13" s="104" t="n">
        <v>0.437271434418295</v>
      </c>
      <c r="L13" s="104" t="n">
        <v>0.437271434418295</v>
      </c>
      <c r="M13" s="104" t="n">
        <v>0.437271434418295</v>
      </c>
      <c r="N13" s="104" t="n">
        <v>0.437271434418295</v>
      </c>
      <c r="O13" s="95" t="n">
        <f aca="false">AVERAGE(C13:N13)</f>
        <v>0.437271434418295</v>
      </c>
      <c r="Q13" s="107"/>
    </row>
    <row r="14" customFormat="false" ht="15" hidden="false" customHeight="false" outlineLevel="0" collapsed="false">
      <c r="A14" s="50" t="s">
        <v>416</v>
      </c>
      <c r="B14" s="101" t="s">
        <v>323</v>
      </c>
      <c r="C14" s="160" t="n">
        <f aca="false">C6*(1-C11)+C7*(1-C12)+C8*(1-C13)</f>
        <v>19.3792999346995</v>
      </c>
      <c r="D14" s="160" t="n">
        <f aca="false">D6*(1-D11)+D7*(1-D12)+D8*(1-D13)</f>
        <v>51.6042936437148</v>
      </c>
      <c r="E14" s="160" t="n">
        <f aca="false">E6*(1-E11)+E7*(1-E12)+E8*(1-E13)</f>
        <v>68.2777326239135</v>
      </c>
      <c r="F14" s="160" t="n">
        <f aca="false">F6*(1-F11)+F7*(1-F12)+F8*(1-F13)</f>
        <v>71.5846313549862</v>
      </c>
      <c r="G14" s="160" t="n">
        <f aca="false">G6*(1-G11)+G7*(1-G12)+G8*(1-G13)</f>
        <v>72.2960314181414</v>
      </c>
      <c r="H14" s="160" t="n">
        <f aca="false">H6*(1-H11)+H7*(1-H12)+H8*(1-H13)</f>
        <v>72.4094108032067</v>
      </c>
      <c r="I14" s="160" t="n">
        <f aca="false">I6*(1-I11)+I7*(1-I12)+I8*(1-I13)</f>
        <v>72.3627251740622</v>
      </c>
      <c r="J14" s="160" t="n">
        <f aca="false">J6*(1-J11)+J7*(1-J12)+J8*(1-J13)</f>
        <v>81.2329947115278</v>
      </c>
      <c r="K14" s="160" t="n">
        <f aca="false">K6*(1-K11)+K7*(1-K12)+K8*(1-K13)</f>
        <v>78.6986319865377</v>
      </c>
      <c r="L14" s="160" t="n">
        <f aca="false">L6*(1-L11)+L7*(1-L12)+L8*(1-L13)</f>
        <v>113.896261673737</v>
      </c>
      <c r="M14" s="160" t="n">
        <f aca="false">M6*(1-M11)+M7*(1-M12)+M8*(1-M13)</f>
        <v>134.454611936322</v>
      </c>
      <c r="N14" s="160" t="n">
        <f aca="false">N6*(1-N11)+N7*(1-N12)+N8*(1-N13)</f>
        <v>163.803374739152</v>
      </c>
      <c r="O14" s="160" t="n">
        <f aca="false">SUM(C14:N14)</f>
        <v>1000</v>
      </c>
      <c r="Q14" s="107"/>
    </row>
    <row r="15" customFormat="false" ht="15" hidden="false" customHeight="false" outlineLevel="0" collapsed="false">
      <c r="A15" s="36" t="s">
        <v>417</v>
      </c>
      <c r="B15" s="101" t="s">
        <v>26</v>
      </c>
      <c r="C15" s="95" t="n">
        <f aca="false">IFERROR(1-C14/C9,"")</f>
        <v>0.394396877040642</v>
      </c>
      <c r="D15" s="95" t="n">
        <f aca="false">IFERROR(1-D14/D9,"")</f>
        <v>0.354946329453565</v>
      </c>
      <c r="E15" s="95" t="n">
        <f aca="false">IFERROR(1-E14/E9,"")</f>
        <v>0.390377387286486</v>
      </c>
      <c r="F15" s="95" t="n">
        <f aca="false">IFERROR(1-F14/F9,"")</f>
        <v>0.360851505759052</v>
      </c>
      <c r="G15" s="95" t="n">
        <f aca="false">IFERROR(1-G14/G9,"")</f>
        <v>0.354499719480881</v>
      </c>
      <c r="H15" s="95" t="n">
        <f aca="false">IFERROR(1-H14/H9,"")</f>
        <v>0.353487403542797</v>
      </c>
      <c r="I15" s="95" t="n">
        <f aca="false">IFERROR(1-I14/I9,"")</f>
        <v>0.353904239517302</v>
      </c>
      <c r="J15" s="95" t="n">
        <f aca="false">IFERROR(1-J14/J9,"")</f>
        <v>0.365367228816189</v>
      </c>
      <c r="K15" s="95" t="n">
        <f aca="false">IFERROR(1-K14/K9,"")</f>
        <v>0.385166937605174</v>
      </c>
      <c r="L15" s="95" t="n">
        <f aca="false">IFERROR(1-L14/L9,"")</f>
        <v>0.35286214958104</v>
      </c>
      <c r="M15" s="95" t="n">
        <f aca="false">IFERROR(1-M14/M9,"")</f>
        <v>0.399756196712848</v>
      </c>
      <c r="N15" s="95" t="n">
        <f aca="false">IFERROR(1-N14/N9,"")</f>
        <v>0.397781710517824</v>
      </c>
      <c r="O15" s="134" t="n">
        <f aca="false">IFERROR(1-O14/O9,"")</f>
        <v>0.375</v>
      </c>
      <c r="Q15" s="107"/>
    </row>
    <row r="17" customFormat="false" ht="15" hidden="false" customHeight="false" outlineLevel="0" collapsed="false">
      <c r="A17" s="67" t="s">
        <v>418</v>
      </c>
      <c r="B17" s="118"/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4" t="s">
        <v>419</v>
      </c>
    </row>
    <row r="18" customFormat="false" ht="15" hidden="false" customHeight="false" outlineLevel="0" collapsed="false">
      <c r="A18" s="36" t="s">
        <v>37</v>
      </c>
      <c r="B18" s="101" t="s">
        <v>323</v>
      </c>
      <c r="C18" s="158" t="n">
        <v>0.748</v>
      </c>
      <c r="D18" s="158" t="n">
        <v>2.805</v>
      </c>
      <c r="E18" s="158" t="n">
        <v>4.36333333333333</v>
      </c>
      <c r="F18" s="158" t="n">
        <v>3.49066666666667</v>
      </c>
      <c r="G18" s="158" t="n">
        <v>4.36333333333333</v>
      </c>
      <c r="H18" s="158" t="n">
        <v>3.63611111111111</v>
      </c>
      <c r="I18" s="158" t="n">
        <v>3.49066666666667</v>
      </c>
      <c r="J18" s="158" t="n">
        <v>3.32444444444444</v>
      </c>
      <c r="K18" s="158" t="n">
        <v>4.98666666666667</v>
      </c>
      <c r="L18" s="158" t="n">
        <v>6.85666666666667</v>
      </c>
      <c r="M18" s="158" t="n">
        <v>8.72666666666667</v>
      </c>
      <c r="N18" s="158" t="n">
        <v>7.33615384615385</v>
      </c>
      <c r="O18" s="160" t="n">
        <f aca="false">SUM(C18:N18)</f>
        <v>54.1277094017094</v>
      </c>
      <c r="Q18" s="107" t="s">
        <v>409</v>
      </c>
    </row>
    <row r="19" customFormat="false" ht="15" hidden="false" customHeight="false" outlineLevel="0" collapsed="false">
      <c r="A19" s="36" t="s">
        <v>420</v>
      </c>
      <c r="B19" s="101" t="s">
        <v>323</v>
      </c>
      <c r="C19" s="158" t="n">
        <v>2.992</v>
      </c>
      <c r="D19" s="158" t="n">
        <v>6.545</v>
      </c>
      <c r="E19" s="158" t="n">
        <v>8.72666666666667</v>
      </c>
      <c r="F19" s="158" t="n">
        <v>9.59933333333333</v>
      </c>
      <c r="G19" s="158" t="n">
        <v>8.72666666666667</v>
      </c>
      <c r="H19" s="158" t="n">
        <v>9.45388888888889</v>
      </c>
      <c r="I19" s="158" t="n">
        <v>9.59933333333333</v>
      </c>
      <c r="J19" s="158" t="n">
        <v>11.6355555555556</v>
      </c>
      <c r="K19" s="158" t="n">
        <v>9.97333333333333</v>
      </c>
      <c r="L19" s="158" t="n">
        <v>13.7133333333333</v>
      </c>
      <c r="M19" s="158" t="n">
        <v>17.4533333333333</v>
      </c>
      <c r="N19" s="158" t="n">
        <v>24.4538461538462</v>
      </c>
      <c r="O19" s="160" t="n">
        <f aca="false">SUM(C19:N19)</f>
        <v>132.872290598291</v>
      </c>
      <c r="Q19" s="107"/>
    </row>
    <row r="20" customFormat="false" ht="15" hidden="false" customHeight="false" outlineLevel="0" collapsed="false">
      <c r="A20" s="102" t="s">
        <v>421</v>
      </c>
      <c r="B20" s="166" t="s">
        <v>323</v>
      </c>
      <c r="C20" s="167" t="n">
        <f aca="false">C18+C19</f>
        <v>3.74</v>
      </c>
      <c r="D20" s="167" t="n">
        <f aca="false">D18+D19</f>
        <v>9.35</v>
      </c>
      <c r="E20" s="167" t="n">
        <f aca="false">E18+E19</f>
        <v>13.09</v>
      </c>
      <c r="F20" s="167" t="n">
        <f aca="false">F18+F19</f>
        <v>13.09</v>
      </c>
      <c r="G20" s="167" t="n">
        <f aca="false">G18+G19</f>
        <v>13.09</v>
      </c>
      <c r="H20" s="167" t="n">
        <f aca="false">H18+H19</f>
        <v>13.09</v>
      </c>
      <c r="I20" s="167" t="n">
        <f aca="false">I18+I19</f>
        <v>13.09</v>
      </c>
      <c r="J20" s="167" t="n">
        <f aca="false">J18+J19</f>
        <v>14.96</v>
      </c>
      <c r="K20" s="167" t="n">
        <f aca="false">K18+K19</f>
        <v>14.96</v>
      </c>
      <c r="L20" s="167" t="n">
        <f aca="false">L18+L19</f>
        <v>20.57</v>
      </c>
      <c r="M20" s="167" t="n">
        <f aca="false">M18+M19</f>
        <v>26.18</v>
      </c>
      <c r="N20" s="167" t="n">
        <f aca="false">N18+N19</f>
        <v>31.7900000000001</v>
      </c>
      <c r="O20" s="167" t="n">
        <f aca="false">SUM(C20:N20)</f>
        <v>187</v>
      </c>
      <c r="P20" s="168" t="n">
        <f aca="false">O24</f>
        <v>102.4</v>
      </c>
      <c r="Q20" s="107"/>
    </row>
    <row r="22" customFormat="false" ht="15" hidden="false" customHeight="false" outlineLevel="0" collapsed="false">
      <c r="A22" s="67" t="s">
        <v>422</v>
      </c>
      <c r="B22" s="118"/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4" t="s">
        <v>423</v>
      </c>
    </row>
    <row r="23" customFormat="false" ht="15" hidden="false" customHeight="false" outlineLevel="0" collapsed="false">
      <c r="A23" s="36" t="s">
        <v>424</v>
      </c>
      <c r="B23" s="101" t="s">
        <v>323</v>
      </c>
      <c r="C23" s="158" t="n">
        <v>16.9</v>
      </c>
      <c r="D23" s="158" t="n">
        <v>11.7</v>
      </c>
      <c r="E23" s="158" t="n">
        <v>3.4</v>
      </c>
      <c r="F23" s="158" t="n">
        <v>25.5</v>
      </c>
      <c r="G23" s="158" t="n">
        <v>57.6</v>
      </c>
      <c r="H23" s="158" t="n">
        <v>213.3</v>
      </c>
      <c r="I23" s="158" t="n">
        <v>71.9</v>
      </c>
      <c r="J23" s="158" t="n">
        <v>97.3</v>
      </c>
      <c r="K23" s="158" t="n">
        <v>120.8</v>
      </c>
      <c r="L23" s="158" t="n">
        <v>86.9</v>
      </c>
      <c r="M23" s="158" t="n">
        <v>116.3</v>
      </c>
      <c r="N23" s="158" t="n">
        <v>165.4</v>
      </c>
      <c r="O23" s="160" t="n">
        <f aca="false">SUM(C23:N23)</f>
        <v>987</v>
      </c>
      <c r="Q23" s="107"/>
    </row>
    <row r="24" customFormat="false" ht="15" hidden="false" customHeight="false" outlineLevel="0" collapsed="false">
      <c r="A24" s="36" t="s">
        <v>425</v>
      </c>
      <c r="B24" s="101" t="s">
        <v>323</v>
      </c>
      <c r="C24" s="158" t="n">
        <v>4.5</v>
      </c>
      <c r="D24" s="158" t="n">
        <v>1.5</v>
      </c>
      <c r="E24" s="158" t="n">
        <v>4.2</v>
      </c>
      <c r="F24" s="158" t="n">
        <v>5.3</v>
      </c>
      <c r="G24" s="158" t="n">
        <v>4.1</v>
      </c>
      <c r="H24" s="158" t="n">
        <v>8</v>
      </c>
      <c r="I24" s="158" t="n">
        <v>5.7</v>
      </c>
      <c r="J24" s="158" t="n">
        <v>11.5</v>
      </c>
      <c r="K24" s="158" t="n">
        <v>14.2</v>
      </c>
      <c r="L24" s="158" t="n">
        <v>10.2</v>
      </c>
      <c r="M24" s="158" t="n">
        <v>13.7</v>
      </c>
      <c r="N24" s="158" t="n">
        <v>19.5</v>
      </c>
      <c r="O24" s="160" t="n">
        <f aca="false">SUM(C24:N24)</f>
        <v>102.4</v>
      </c>
      <c r="Q24" s="107"/>
    </row>
    <row r="25" customFormat="false" ht="15" hidden="false" customHeight="false" outlineLevel="0" collapsed="false">
      <c r="A25" s="36" t="s">
        <v>426</v>
      </c>
      <c r="B25" s="101" t="s">
        <v>323</v>
      </c>
      <c r="C25" s="158" t="n">
        <v>17.85</v>
      </c>
      <c r="D25" s="158" t="n">
        <v>23.25</v>
      </c>
      <c r="E25" s="158" t="n">
        <v>38.1</v>
      </c>
      <c r="F25" s="158" t="n">
        <v>30.84</v>
      </c>
      <c r="G25" s="158" t="n">
        <v>38</v>
      </c>
      <c r="H25" s="158" t="n">
        <v>37.5</v>
      </c>
      <c r="I25" s="158" t="n">
        <v>37.5</v>
      </c>
      <c r="J25" s="158" t="n">
        <v>37.5</v>
      </c>
      <c r="K25" s="158" t="n">
        <v>40</v>
      </c>
      <c r="L25" s="158" t="n">
        <v>45</v>
      </c>
      <c r="M25" s="158" t="n">
        <v>72.5</v>
      </c>
      <c r="N25" s="158" t="n">
        <v>92.5</v>
      </c>
      <c r="O25" s="160" t="n">
        <f aca="false">SUM(C25:N25)</f>
        <v>510.54</v>
      </c>
      <c r="Q25" s="107" t="s">
        <v>427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3C"/>
    <pageSetUpPr fitToPage="false"/>
  </sheetPr>
  <dimension ref="A1:R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1"/>
    <col collapsed="false" customWidth="true" hidden="false" outlineLevel="0" max="3" min="3" style="1" width="13.16"/>
    <col collapsed="false" customWidth="true" hidden="false" outlineLevel="0" max="14" min="4" style="1" width="10"/>
    <col collapsed="false" customWidth="true" hidden="false" outlineLevel="0" max="16" min="15" style="1" width="13"/>
  </cols>
  <sheetData>
    <row r="1" customFormat="false" ht="15" hidden="false" customHeight="false" outlineLevel="0" collapsed="false">
      <c r="A1" s="50" t="s">
        <v>428</v>
      </c>
    </row>
    <row r="2" customFormat="false" ht="15" hidden="false" customHeight="false" outlineLevel="0" collapsed="false">
      <c r="A2" s="52" t="s">
        <v>429</v>
      </c>
      <c r="N2" s="70"/>
    </row>
    <row r="4" customFormat="false" ht="15" hidden="false" customHeight="false" outlineLevel="0" collapsed="false">
      <c r="A4" s="67" t="s">
        <v>430</v>
      </c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4" t="s">
        <v>431</v>
      </c>
    </row>
    <row r="5" customFormat="false" ht="15" hidden="false" customHeight="false" outlineLevel="0" collapsed="false">
      <c r="A5" s="92" t="s">
        <v>175</v>
      </c>
      <c r="B5" s="92" t="s">
        <v>313</v>
      </c>
      <c r="C5" s="92" t="s">
        <v>9</v>
      </c>
      <c r="D5" s="92" t="s">
        <v>10</v>
      </c>
      <c r="E5" s="92" t="s">
        <v>11</v>
      </c>
      <c r="F5" s="92" t="s">
        <v>12</v>
      </c>
      <c r="G5" s="92" t="s">
        <v>13</v>
      </c>
      <c r="H5" s="92" t="s">
        <v>14</v>
      </c>
      <c r="I5" s="92" t="s">
        <v>15</v>
      </c>
      <c r="J5" s="92" t="s">
        <v>16</v>
      </c>
      <c r="K5" s="92" t="s">
        <v>17</v>
      </c>
      <c r="L5" s="92" t="s">
        <v>18</v>
      </c>
      <c r="M5" s="92" t="s">
        <v>19</v>
      </c>
      <c r="N5" s="92" t="s">
        <v>20</v>
      </c>
      <c r="O5" s="92" t="s">
        <v>72</v>
      </c>
      <c r="P5" s="92" t="s">
        <v>73</v>
      </c>
    </row>
    <row r="6" customFormat="false" ht="15" hidden="false" customHeight="false" outlineLevel="0" collapsed="false">
      <c r="A6" s="36" t="s">
        <v>432</v>
      </c>
      <c r="B6" s="101" t="s">
        <v>315</v>
      </c>
      <c r="C6" s="158" t="n">
        <v>2</v>
      </c>
      <c r="D6" s="158" t="n">
        <v>4</v>
      </c>
      <c r="E6" s="158" t="n">
        <v>6</v>
      </c>
      <c r="F6" s="158" t="n">
        <v>6</v>
      </c>
      <c r="G6" s="158" t="n">
        <v>6</v>
      </c>
      <c r="H6" s="158" t="n">
        <v>6</v>
      </c>
      <c r="I6" s="158" t="n">
        <v>6</v>
      </c>
      <c r="J6" s="158" t="n">
        <v>6</v>
      </c>
      <c r="K6" s="158" t="n">
        <v>6</v>
      </c>
      <c r="L6" s="158" t="n">
        <v>6</v>
      </c>
      <c r="M6" s="158" t="n">
        <v>6</v>
      </c>
      <c r="N6" s="158" t="n">
        <v>6</v>
      </c>
      <c r="O6" s="129" t="n">
        <f aca="false">AVERAGE(C6:N6)</f>
        <v>5.5</v>
      </c>
    </row>
    <row r="7" customFormat="false" ht="15" hidden="false" customHeight="false" outlineLevel="0" collapsed="false">
      <c r="A7" s="36" t="s">
        <v>433</v>
      </c>
      <c r="B7" s="101" t="s">
        <v>434</v>
      </c>
      <c r="C7" s="158" t="n">
        <v>25</v>
      </c>
      <c r="D7" s="158" t="n">
        <v>25</v>
      </c>
      <c r="E7" s="158" t="n">
        <v>25</v>
      </c>
      <c r="F7" s="158" t="n">
        <v>25</v>
      </c>
      <c r="G7" s="158" t="n">
        <v>25</v>
      </c>
      <c r="H7" s="158" t="n">
        <v>25</v>
      </c>
      <c r="I7" s="158" t="n">
        <v>25</v>
      </c>
      <c r="J7" s="158" t="n">
        <v>25</v>
      </c>
      <c r="K7" s="158" t="n">
        <v>25</v>
      </c>
      <c r="L7" s="158" t="n">
        <v>25</v>
      </c>
      <c r="M7" s="158" t="n">
        <v>25</v>
      </c>
      <c r="N7" s="158" t="n">
        <v>25</v>
      </c>
      <c r="O7" s="129" t="n">
        <f aca="false">AVERAGE(C7:N7)</f>
        <v>25</v>
      </c>
    </row>
    <row r="8" customFormat="false" ht="15" hidden="false" customHeight="false" outlineLevel="0" collapsed="false">
      <c r="A8" s="36" t="s">
        <v>435</v>
      </c>
      <c r="B8" s="101" t="s">
        <v>315</v>
      </c>
      <c r="C8" s="158" t="n">
        <v>60</v>
      </c>
      <c r="D8" s="158" t="n">
        <v>60</v>
      </c>
      <c r="E8" s="158" t="n">
        <v>60</v>
      </c>
      <c r="F8" s="158" t="n">
        <v>60</v>
      </c>
      <c r="G8" s="158" t="n">
        <v>60</v>
      </c>
      <c r="H8" s="158" t="n">
        <v>60</v>
      </c>
      <c r="I8" s="158" t="n">
        <v>60</v>
      </c>
      <c r="J8" s="158" t="n">
        <v>60</v>
      </c>
      <c r="K8" s="158" t="n">
        <v>60</v>
      </c>
      <c r="L8" s="158" t="n">
        <v>70</v>
      </c>
      <c r="M8" s="158" t="n">
        <v>70</v>
      </c>
      <c r="N8" s="158" t="n">
        <v>70</v>
      </c>
      <c r="O8" s="129" t="n">
        <f aca="false">AVERAGE(C8:N8)</f>
        <v>62.5</v>
      </c>
    </row>
    <row r="9" customFormat="false" ht="15" hidden="false" customHeight="false" outlineLevel="0" collapsed="false">
      <c r="A9" s="36" t="s">
        <v>436</v>
      </c>
      <c r="B9" s="101" t="s">
        <v>330</v>
      </c>
      <c r="C9" s="158" t="n">
        <v>4</v>
      </c>
      <c r="D9" s="158" t="n">
        <v>4</v>
      </c>
      <c r="E9" s="158" t="n">
        <v>4</v>
      </c>
      <c r="F9" s="158" t="n">
        <v>4</v>
      </c>
      <c r="G9" s="158" t="n">
        <v>4</v>
      </c>
      <c r="H9" s="158" t="n">
        <v>4</v>
      </c>
      <c r="I9" s="158" t="n">
        <v>4</v>
      </c>
      <c r="J9" s="158" t="n">
        <v>4</v>
      </c>
      <c r="K9" s="158" t="n">
        <v>4</v>
      </c>
      <c r="L9" s="158" t="n">
        <v>4</v>
      </c>
      <c r="M9" s="158" t="n">
        <v>4</v>
      </c>
      <c r="N9" s="158" t="n">
        <v>4</v>
      </c>
      <c r="O9" s="129" t="n">
        <f aca="false">AVERAGE(C9:N9)</f>
        <v>4</v>
      </c>
    </row>
    <row r="10" customFormat="false" ht="15" hidden="false" customHeight="false" outlineLevel="0" collapsed="false">
      <c r="A10" s="36" t="s">
        <v>437</v>
      </c>
      <c r="B10" s="101" t="s">
        <v>315</v>
      </c>
      <c r="C10" s="121" t="n">
        <f aca="false">C6*C7*C8*C9</f>
        <v>12000</v>
      </c>
      <c r="D10" s="121" t="n">
        <f aca="false">D6*D7*D8*D9</f>
        <v>24000</v>
      </c>
      <c r="E10" s="121" t="n">
        <f aca="false">E6*E7*E8*E9</f>
        <v>36000</v>
      </c>
      <c r="F10" s="121" t="n">
        <f aca="false">F6*F7*F8*F9</f>
        <v>36000</v>
      </c>
      <c r="G10" s="121" t="n">
        <f aca="false">G6*G7*G8*G9</f>
        <v>36000</v>
      </c>
      <c r="H10" s="121" t="n">
        <f aca="false">H6*H7*H8*H9</f>
        <v>36000</v>
      </c>
      <c r="I10" s="121" t="n">
        <f aca="false">I6*I7*I8*I9</f>
        <v>36000</v>
      </c>
      <c r="J10" s="121" t="n">
        <f aca="false">J6*J7*J8*J9</f>
        <v>36000</v>
      </c>
      <c r="K10" s="121" t="n">
        <f aca="false">K6*K7*K8*K9</f>
        <v>36000</v>
      </c>
      <c r="L10" s="121" t="n">
        <f aca="false">L6*L7*L8*L9</f>
        <v>42000</v>
      </c>
      <c r="M10" s="121" t="n">
        <f aca="false">M6*M7*M8*M9</f>
        <v>42000</v>
      </c>
      <c r="N10" s="121" t="n">
        <f aca="false">N6*N7*N8*N9</f>
        <v>42000</v>
      </c>
      <c r="O10" s="159" t="n">
        <f aca="false">SUM(C10:N10)</f>
        <v>414000</v>
      </c>
    </row>
    <row r="11" customFormat="false" ht="15" hidden="false" customHeight="false" outlineLevel="0" collapsed="false">
      <c r="A11" s="36" t="s">
        <v>438</v>
      </c>
      <c r="B11" s="101" t="s">
        <v>315</v>
      </c>
      <c r="C11" s="122" t="n">
        <v>948</v>
      </c>
      <c r="D11" s="122" t="n">
        <v>1185</v>
      </c>
      <c r="E11" s="122" t="n">
        <v>1106</v>
      </c>
      <c r="F11" s="122" t="n">
        <v>1106</v>
      </c>
      <c r="G11" s="122" t="n">
        <v>1106</v>
      </c>
      <c r="H11" s="122" t="n">
        <v>1106</v>
      </c>
      <c r="I11" s="122" t="n">
        <v>1106</v>
      </c>
      <c r="J11" s="122" t="n">
        <v>1264</v>
      </c>
      <c r="K11" s="122" t="n">
        <v>1264</v>
      </c>
      <c r="L11" s="122" t="n">
        <v>1489.71428571429</v>
      </c>
      <c r="M11" s="122" t="n">
        <v>1896</v>
      </c>
      <c r="N11" s="122" t="n">
        <v>2302.28571428571</v>
      </c>
      <c r="O11" s="121" t="n">
        <f aca="false">AVERAGE(C11:N11)</f>
        <v>1323.25</v>
      </c>
    </row>
    <row r="12" customFormat="false" ht="15" hidden="false" customHeight="false" outlineLevel="0" collapsed="false">
      <c r="A12" s="36" t="s">
        <v>439</v>
      </c>
      <c r="B12" s="101" t="s">
        <v>330</v>
      </c>
      <c r="C12" s="130" t="n">
        <v>1</v>
      </c>
      <c r="D12" s="130" t="n">
        <v>1</v>
      </c>
      <c r="E12" s="130" t="n">
        <v>1</v>
      </c>
      <c r="F12" s="130" t="n">
        <v>1</v>
      </c>
      <c r="G12" s="130" t="n">
        <v>1</v>
      </c>
      <c r="H12" s="130" t="n">
        <v>1</v>
      </c>
      <c r="I12" s="130" t="n">
        <v>1</v>
      </c>
      <c r="J12" s="130" t="n">
        <v>1</v>
      </c>
      <c r="K12" s="130" t="n">
        <v>1</v>
      </c>
      <c r="L12" s="130" t="n">
        <v>1</v>
      </c>
      <c r="M12" s="130" t="n">
        <v>1</v>
      </c>
      <c r="N12" s="130" t="n">
        <v>1</v>
      </c>
      <c r="O12" s="169" t="n">
        <f aca="false">AVERAGE(C12:N12)</f>
        <v>1</v>
      </c>
    </row>
    <row r="13" customFormat="false" ht="15" hidden="false" customHeight="false" outlineLevel="0" collapsed="false">
      <c r="A13" s="50" t="s">
        <v>440</v>
      </c>
      <c r="B13" s="101" t="s">
        <v>441</v>
      </c>
      <c r="C13" s="159" t="n">
        <f aca="false">C10*C11*C12/1000000</f>
        <v>11.376</v>
      </c>
      <c r="D13" s="159" t="n">
        <f aca="false">D10*D11*D12/1000000</f>
        <v>28.44</v>
      </c>
      <c r="E13" s="159" t="n">
        <f aca="false">E10*E11*E12/1000000</f>
        <v>39.816</v>
      </c>
      <c r="F13" s="159" t="n">
        <f aca="false">F10*F11*F12/1000000</f>
        <v>39.816</v>
      </c>
      <c r="G13" s="159" t="n">
        <f aca="false">G10*G11*G12/1000000</f>
        <v>39.816</v>
      </c>
      <c r="H13" s="159" t="n">
        <f aca="false">H10*H11*H12/1000000</f>
        <v>39.816</v>
      </c>
      <c r="I13" s="159" t="n">
        <f aca="false">I10*I11*I12/1000000</f>
        <v>39.816</v>
      </c>
      <c r="J13" s="159" t="n">
        <f aca="false">J10*J11*J12/1000000</f>
        <v>45.504</v>
      </c>
      <c r="K13" s="159" t="n">
        <f aca="false">K10*K11*K12/1000000</f>
        <v>45.504</v>
      </c>
      <c r="L13" s="159" t="n">
        <f aca="false">L10*L11*L12/1000000</f>
        <v>62.5680000000002</v>
      </c>
      <c r="M13" s="159" t="n">
        <f aca="false">M10*M11*M12/1000000</f>
        <v>79.632</v>
      </c>
      <c r="N13" s="159" t="n">
        <f aca="false">N10*N11*N12/1000000</f>
        <v>96.6959999999998</v>
      </c>
      <c r="O13" s="159" t="n">
        <f aca="false">SUM(C13:N13)</f>
        <v>568.8</v>
      </c>
    </row>
    <row r="15" customFormat="false" ht="15" hidden="false" customHeight="false" outlineLevel="0" collapsed="false">
      <c r="A15" s="67" t="s">
        <v>442</v>
      </c>
      <c r="B15" s="118"/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3"/>
      <c r="Q15" s="114" t="s">
        <v>443</v>
      </c>
    </row>
    <row r="16" customFormat="false" ht="15" hidden="false" customHeight="false" outlineLevel="0" collapsed="false">
      <c r="A16" s="36" t="s">
        <v>444</v>
      </c>
      <c r="B16" s="101" t="s">
        <v>26</v>
      </c>
      <c r="C16" s="104" t="n">
        <v>0.5</v>
      </c>
      <c r="D16" s="104" t="n">
        <v>0.5</v>
      </c>
      <c r="E16" s="104" t="n">
        <v>0.5</v>
      </c>
      <c r="F16" s="104" t="n">
        <v>0.5</v>
      </c>
      <c r="G16" s="104" t="n">
        <v>0.5</v>
      </c>
      <c r="H16" s="104" t="n">
        <v>0.5</v>
      </c>
      <c r="I16" s="104" t="n">
        <v>0.5</v>
      </c>
      <c r="J16" s="104" t="n">
        <v>0.5</v>
      </c>
      <c r="K16" s="104" t="n">
        <v>0.5</v>
      </c>
      <c r="L16" s="104" t="n">
        <v>0.5</v>
      </c>
      <c r="M16" s="104" t="n">
        <v>0.5</v>
      </c>
      <c r="N16" s="104" t="n">
        <v>0.5</v>
      </c>
      <c r="O16" s="95" t="n">
        <f aca="false">AVERAGE(C16:N16)</f>
        <v>0.5</v>
      </c>
    </row>
    <row r="17" customFormat="false" ht="15" hidden="false" customHeight="false" outlineLevel="0" collapsed="false">
      <c r="A17" s="36" t="s">
        <v>445</v>
      </c>
      <c r="B17" s="101" t="s">
        <v>441</v>
      </c>
      <c r="C17" s="121" t="n">
        <f aca="false">C13*C16</f>
        <v>5.688</v>
      </c>
      <c r="D17" s="121" t="n">
        <f aca="false">D13*D16</f>
        <v>14.22</v>
      </c>
      <c r="E17" s="121" t="n">
        <f aca="false">E13*E16</f>
        <v>19.908</v>
      </c>
      <c r="F17" s="121" t="n">
        <f aca="false">F13*F16</f>
        <v>19.908</v>
      </c>
      <c r="G17" s="121" t="n">
        <f aca="false">G13*G16</f>
        <v>19.908</v>
      </c>
      <c r="H17" s="121" t="n">
        <f aca="false">H13*H16</f>
        <v>19.908</v>
      </c>
      <c r="I17" s="121" t="n">
        <f aca="false">I13*I16</f>
        <v>19.908</v>
      </c>
      <c r="J17" s="121" t="n">
        <f aca="false">J13*J16</f>
        <v>22.752</v>
      </c>
      <c r="K17" s="121" t="n">
        <f aca="false">K13*K16</f>
        <v>22.752</v>
      </c>
      <c r="L17" s="121" t="n">
        <f aca="false">L13*L16</f>
        <v>31.2840000000001</v>
      </c>
      <c r="M17" s="121" t="n">
        <f aca="false">M13*M16</f>
        <v>39.816</v>
      </c>
      <c r="N17" s="121" t="n">
        <f aca="false">N13*N16</f>
        <v>48.3479999999999</v>
      </c>
      <c r="O17" s="159" t="n">
        <f aca="false">SUM(C17:N17)</f>
        <v>284.4</v>
      </c>
    </row>
    <row r="18" customFormat="false" ht="15" hidden="false" customHeight="false" outlineLevel="0" collapsed="false">
      <c r="A18" s="36" t="s">
        <v>446</v>
      </c>
      <c r="B18" s="101" t="s">
        <v>441</v>
      </c>
      <c r="C18" s="121" t="n">
        <f aca="false">C13*(1-C16)</f>
        <v>5.688</v>
      </c>
      <c r="D18" s="121" t="n">
        <f aca="false">D13*(1-D16)</f>
        <v>14.22</v>
      </c>
      <c r="E18" s="121" t="n">
        <f aca="false">E13*(1-E16)</f>
        <v>19.908</v>
      </c>
      <c r="F18" s="121" t="n">
        <f aca="false">F13*(1-F16)</f>
        <v>19.908</v>
      </c>
      <c r="G18" s="121" t="n">
        <f aca="false">G13*(1-G16)</f>
        <v>19.908</v>
      </c>
      <c r="H18" s="121" t="n">
        <f aca="false">H13*(1-H16)</f>
        <v>19.908</v>
      </c>
      <c r="I18" s="121" t="n">
        <f aca="false">I13*(1-I16)</f>
        <v>19.908</v>
      </c>
      <c r="J18" s="121" t="n">
        <f aca="false">J13*(1-J16)</f>
        <v>22.752</v>
      </c>
      <c r="K18" s="121" t="n">
        <f aca="false">K13*(1-K16)</f>
        <v>22.752</v>
      </c>
      <c r="L18" s="121" t="n">
        <f aca="false">L13*(1-L16)</f>
        <v>31.2840000000001</v>
      </c>
      <c r="M18" s="121" t="n">
        <f aca="false">M13*(1-M16)</f>
        <v>39.816</v>
      </c>
      <c r="N18" s="121" t="n">
        <f aca="false">N13*(1-N16)</f>
        <v>48.3479999999999</v>
      </c>
      <c r="O18" s="159" t="n">
        <f aca="false">SUM(C18:N18)</f>
        <v>284.4</v>
      </c>
    </row>
    <row r="20" customFormat="false" ht="15" hidden="false" customHeight="false" outlineLevel="0" collapsed="false">
      <c r="A20" s="67" t="s">
        <v>447</v>
      </c>
      <c r="B20" s="118"/>
      <c r="C20" s="118"/>
      <c r="D20" s="118"/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3"/>
      <c r="Q20" s="114" t="s">
        <v>448</v>
      </c>
    </row>
    <row r="21" customFormat="false" ht="15" hidden="false" customHeight="false" outlineLevel="0" collapsed="false">
      <c r="A21" s="36" t="s">
        <v>449</v>
      </c>
      <c r="B21" s="101" t="s">
        <v>450</v>
      </c>
      <c r="C21" s="170" t="n">
        <f aca="false">ПРАЙС!$B$93</f>
        <v>0.75</v>
      </c>
      <c r="D21" s="170" t="n">
        <f aca="false">ПРАЙС!$B$93</f>
        <v>0.75</v>
      </c>
      <c r="E21" s="170" t="n">
        <f aca="false">ПРАЙС!$B$93</f>
        <v>0.75</v>
      </c>
      <c r="F21" s="170" t="n">
        <f aca="false">ПРАЙС!$B$93</f>
        <v>0.75</v>
      </c>
      <c r="G21" s="170" t="n">
        <f aca="false">ПРАЙС!$B$93</f>
        <v>0.75</v>
      </c>
      <c r="H21" s="170" t="n">
        <f aca="false">ПРАЙС!$B$93</f>
        <v>0.75</v>
      </c>
      <c r="I21" s="170" t="n">
        <f aca="false">ПРАЙС!$B$93</f>
        <v>0.75</v>
      </c>
      <c r="J21" s="170" t="n">
        <f aca="false">ПРАЙС!$B$93</f>
        <v>0.75</v>
      </c>
      <c r="K21" s="170" t="n">
        <f aca="false">ПРАЙС!$B$93</f>
        <v>0.75</v>
      </c>
      <c r="L21" s="170" t="n">
        <f aca="false">ПРАЙС!$B$93</f>
        <v>0.75</v>
      </c>
      <c r="M21" s="170" t="n">
        <f aca="false">ПРАЙС!$B$93</f>
        <v>0.75</v>
      </c>
      <c r="N21" s="170" t="n">
        <f aca="false">ПРАЙС!$B$93</f>
        <v>0.75</v>
      </c>
      <c r="O21" s="169" t="n">
        <f aca="false">AVERAGE(C21:N21)</f>
        <v>0.75</v>
      </c>
    </row>
    <row r="22" customFormat="false" ht="15" hidden="false" customHeight="false" outlineLevel="0" collapsed="false">
      <c r="A22" s="36" t="s">
        <v>451</v>
      </c>
      <c r="B22" s="101" t="s">
        <v>450</v>
      </c>
      <c r="C22" s="170" t="n">
        <v>0.5</v>
      </c>
      <c r="D22" s="170" t="n">
        <v>0.5</v>
      </c>
      <c r="E22" s="170" t="n">
        <v>0.5</v>
      </c>
      <c r="F22" s="170" t="n">
        <v>0.5</v>
      </c>
      <c r="G22" s="170" t="n">
        <v>0.5</v>
      </c>
      <c r="H22" s="170" t="n">
        <v>0.5</v>
      </c>
      <c r="I22" s="170" t="n">
        <v>0.5</v>
      </c>
      <c r="J22" s="170" t="n">
        <v>0.5</v>
      </c>
      <c r="K22" s="170" t="n">
        <v>0.5</v>
      </c>
      <c r="L22" s="170" t="n">
        <v>0.5</v>
      </c>
      <c r="M22" s="170" t="n">
        <v>0.5</v>
      </c>
      <c r="N22" s="170" t="n">
        <v>0.5</v>
      </c>
      <c r="O22" s="169" t="n">
        <f aca="false">AVERAGE(C22:N22)</f>
        <v>0.5</v>
      </c>
    </row>
    <row r="23" customFormat="false" ht="15" hidden="false" customHeight="false" outlineLevel="0" collapsed="false">
      <c r="A23" s="36" t="s">
        <v>452</v>
      </c>
      <c r="B23" s="101" t="s">
        <v>450</v>
      </c>
      <c r="C23" s="122" t="n">
        <f aca="false">80000*1.06</f>
        <v>84800</v>
      </c>
      <c r="D23" s="122" t="n">
        <f aca="false">70000*1.06</f>
        <v>74200</v>
      </c>
      <c r="E23" s="122" t="n">
        <f aca="false">90000*1.06</f>
        <v>95400</v>
      </c>
      <c r="F23" s="122" t="n">
        <f aca="false">93000*1.06</f>
        <v>98580</v>
      </c>
      <c r="G23" s="122" t="n">
        <f aca="false">95000*1.06</f>
        <v>100700</v>
      </c>
      <c r="H23" s="122" t="n">
        <f aca="false">100000*1.06</f>
        <v>106000</v>
      </c>
      <c r="I23" s="122" t="n">
        <f aca="false">100000*1.06</f>
        <v>106000</v>
      </c>
      <c r="J23" s="122" t="n">
        <f aca="false">107000*1.06</f>
        <v>113420</v>
      </c>
      <c r="K23" s="122" t="n">
        <f aca="false">107000*1.06</f>
        <v>113420</v>
      </c>
      <c r="L23" s="122" t="n">
        <f aca="false">107000*1.06</f>
        <v>113420</v>
      </c>
      <c r="M23" s="122" t="n">
        <f aca="false">115000*1.06</f>
        <v>121900</v>
      </c>
      <c r="N23" s="122" t="n">
        <f aca="false">120000*1.06</f>
        <v>127200</v>
      </c>
      <c r="O23" s="121" t="n">
        <f aca="false">AVERAGE(C23:N23)</f>
        <v>104586.666666667</v>
      </c>
    </row>
    <row r="24" customFormat="false" ht="15" hidden="false" customHeight="false" outlineLevel="0" collapsed="false">
      <c r="A24" s="36" t="s">
        <v>453</v>
      </c>
      <c r="B24" s="101" t="s">
        <v>454</v>
      </c>
      <c r="C24" s="129" t="n">
        <f aca="false">C6*C7*C23/1000000</f>
        <v>4.24</v>
      </c>
      <c r="D24" s="129" t="n">
        <f aca="false">D6*D7*D23/1000000</f>
        <v>7.42</v>
      </c>
      <c r="E24" s="129" t="n">
        <f aca="false">E6*E7*E23/1000000</f>
        <v>14.31</v>
      </c>
      <c r="F24" s="129" t="n">
        <f aca="false">F6*F7*F23/1000000</f>
        <v>14.787</v>
      </c>
      <c r="G24" s="129" t="n">
        <f aca="false">G6*G7*G23/1000000</f>
        <v>15.105</v>
      </c>
      <c r="H24" s="129" t="n">
        <f aca="false">H6*H7*H23/1000000</f>
        <v>15.9</v>
      </c>
      <c r="I24" s="129" t="n">
        <f aca="false">I6*I7*I23/1000000</f>
        <v>15.9</v>
      </c>
      <c r="J24" s="129" t="n">
        <f aca="false">J6*J7*J23/1000000</f>
        <v>17.013</v>
      </c>
      <c r="K24" s="129" t="n">
        <f aca="false">K6*K7*K23/1000000</f>
        <v>17.013</v>
      </c>
      <c r="L24" s="129" t="n">
        <f aca="false">L6*L7*L23/1000000</f>
        <v>17.013</v>
      </c>
      <c r="M24" s="129" t="n">
        <f aca="false">M6*M7*M23/1000000</f>
        <v>18.285</v>
      </c>
      <c r="N24" s="129" t="n">
        <f aca="false">N6*N7*N23/1000000</f>
        <v>19.08</v>
      </c>
      <c r="O24" s="160" t="n">
        <f aca="false">SUM(C24:N24)</f>
        <v>176.066</v>
      </c>
    </row>
    <row r="25" customFormat="false" ht="15" hidden="false" customHeight="false" outlineLevel="0" collapsed="false">
      <c r="A25" s="36" t="s">
        <v>455</v>
      </c>
      <c r="B25" s="101" t="s">
        <v>454</v>
      </c>
      <c r="C25" s="171" t="n">
        <f aca="false">1572580/1000000</f>
        <v>1.57258</v>
      </c>
      <c r="D25" s="171" t="n">
        <f aca="false">3387147/1000000</f>
        <v>3.387147</v>
      </c>
      <c r="E25" s="171" t="n">
        <f aca="false">4321588/1000000</f>
        <v>4.321588</v>
      </c>
      <c r="F25" s="171" t="n">
        <f aca="false">5328775/1000000</f>
        <v>5.328775</v>
      </c>
      <c r="G25" s="171" t="n">
        <f aca="false">6495575/1000000</f>
        <v>6.495575</v>
      </c>
      <c r="H25" s="171" t="n">
        <f aca="false">6617872/1000000</f>
        <v>6.617872</v>
      </c>
      <c r="I25" s="171" t="n">
        <f aca="false">6410866/1000000</f>
        <v>6.410866</v>
      </c>
      <c r="J25" s="171" t="n">
        <f aca="false">5760800/1000000</f>
        <v>5.7608</v>
      </c>
      <c r="K25" s="171" t="n">
        <f aca="false">6237729/1000000</f>
        <v>6.237729</v>
      </c>
      <c r="L25" s="171" t="n">
        <f aca="false">6595838/1000000</f>
        <v>6.595838</v>
      </c>
      <c r="M25" s="171" t="n">
        <f aca="false">6597352/1000000</f>
        <v>6.597352</v>
      </c>
      <c r="N25" s="171" t="n">
        <f aca="false">7082370/1000000</f>
        <v>7.08237</v>
      </c>
      <c r="O25" s="160" t="n">
        <f aca="false">SUM(C25:N25)</f>
        <v>66.408492</v>
      </c>
    </row>
    <row r="26" customFormat="false" ht="15" hidden="false" customHeight="false" outlineLevel="0" collapsed="false">
      <c r="A26" s="36" t="s">
        <v>456</v>
      </c>
      <c r="B26" s="101" t="s">
        <v>450</v>
      </c>
      <c r="C26" s="169" t="n">
        <f aca="false">IFERROR((C24+C25)/C13,0)</f>
        <v>0.510951125175809</v>
      </c>
      <c r="D26" s="169" t="n">
        <f aca="false">IFERROR((D24+D25)/D13,0)</f>
        <v>0.379998136427567</v>
      </c>
      <c r="E26" s="169" t="n">
        <f aca="false">IFERROR((E24+E25)/E13,0)</f>
        <v>0.467942234277677</v>
      </c>
      <c r="F26" s="169" t="n">
        <f aca="false">IFERROR((F24+F25)/F13,0)</f>
        <v>0.505218379545911</v>
      </c>
      <c r="G26" s="169" t="n">
        <f aca="false">IFERROR((G24+G25)/G13,0)</f>
        <v>0.542509920634921</v>
      </c>
      <c r="H26" s="169" t="n">
        <f aca="false">IFERROR((H24+H25)/H13,0)</f>
        <v>0.5655483222825</v>
      </c>
      <c r="I26" s="169" t="n">
        <f aca="false">IFERROR((I24+I25)/I13,0)</f>
        <v>0.560349256580269</v>
      </c>
      <c r="J26" s="169" t="n">
        <f aca="false">IFERROR((J24+J25)/J13,0)</f>
        <v>0.500479078762307</v>
      </c>
      <c r="K26" s="169" t="n">
        <f aca="false">IFERROR((K24+K25)/K13,0)</f>
        <v>0.510960113396625</v>
      </c>
      <c r="L26" s="169" t="n">
        <f aca="false">IFERROR((L24+L25)/L13,0)</f>
        <v>0.377330872011251</v>
      </c>
      <c r="M26" s="169" t="n">
        <f aca="false">IFERROR((M24+M25)/M13,0)</f>
        <v>0.312466747036367</v>
      </c>
      <c r="N26" s="169" t="n">
        <f aca="false">IFERROR((N24+N25)/N13,0)</f>
        <v>0.270563104988831</v>
      </c>
      <c r="O26" s="169" t="n">
        <f aca="false">AVERAGE(C26:N26)</f>
        <v>0.458693107593336</v>
      </c>
    </row>
    <row r="27" customFormat="false" ht="15" hidden="false" customHeight="false" outlineLevel="0" collapsed="false">
      <c r="A27" s="50" t="s">
        <v>457</v>
      </c>
      <c r="B27" s="101" t="s">
        <v>450</v>
      </c>
      <c r="C27" s="135" t="n">
        <f aca="false">C22-C26</f>
        <v>-0.0109511251758088</v>
      </c>
      <c r="D27" s="135" t="n">
        <f aca="false">D22-D26</f>
        <v>0.120001863572433</v>
      </c>
      <c r="E27" s="135" t="n">
        <f aca="false">E22-E26</f>
        <v>0.0320577657223227</v>
      </c>
      <c r="F27" s="135" t="n">
        <f aca="false">F22-F26</f>
        <v>-0.00521837954591109</v>
      </c>
      <c r="G27" s="135" t="n">
        <f aca="false">G22-G26</f>
        <v>-0.0425099206349205</v>
      </c>
      <c r="H27" s="135" t="n">
        <f aca="false">H22-H26</f>
        <v>-0.0655483222824995</v>
      </c>
      <c r="I27" s="135" t="n">
        <f aca="false">I22-I26</f>
        <v>-0.0603492565802692</v>
      </c>
      <c r="J27" s="135" t="n">
        <f aca="false">J22-J26</f>
        <v>-0.000479078762306684</v>
      </c>
      <c r="K27" s="135" t="n">
        <f aca="false">K22-K26</f>
        <v>-0.0109601133966245</v>
      </c>
      <c r="L27" s="135" t="n">
        <f aca="false">L22-L26</f>
        <v>0.122669127988749</v>
      </c>
      <c r="M27" s="135" t="n">
        <f aca="false">M22-M26</f>
        <v>0.187533252963633</v>
      </c>
      <c r="N27" s="135" t="n">
        <f aca="false">N22-N26</f>
        <v>0.229436895011169</v>
      </c>
      <c r="O27" s="169" t="n">
        <f aca="false">AVERAGE(C27:N27)</f>
        <v>0.0413068924066638</v>
      </c>
    </row>
    <row r="28" customFormat="false" ht="15" hidden="false" customHeight="false" outlineLevel="0" collapsed="false">
      <c r="A28" s="50" t="s">
        <v>458</v>
      </c>
      <c r="B28" s="101" t="s">
        <v>450</v>
      </c>
      <c r="C28" s="135" t="n">
        <f aca="false">C21-C26</f>
        <v>0.239048874824191</v>
      </c>
      <c r="D28" s="135" t="n">
        <f aca="false">D21-D26</f>
        <v>0.370001863572433</v>
      </c>
      <c r="E28" s="135" t="n">
        <f aca="false">E21-E26</f>
        <v>0.282057765722323</v>
      </c>
      <c r="F28" s="135" t="n">
        <f aca="false">F21-F26</f>
        <v>0.244781620454089</v>
      </c>
      <c r="G28" s="135" t="n">
        <f aca="false">G21-G26</f>
        <v>0.207490079365079</v>
      </c>
      <c r="H28" s="135" t="n">
        <f aca="false">H21-H26</f>
        <v>0.1844516777175</v>
      </c>
      <c r="I28" s="135" t="n">
        <f aca="false">I21-I26</f>
        <v>0.189650743419731</v>
      </c>
      <c r="J28" s="135" t="n">
        <f aca="false">J21-J26</f>
        <v>0.249520921237693</v>
      </c>
      <c r="K28" s="135" t="n">
        <f aca="false">K21-K26</f>
        <v>0.239039886603376</v>
      </c>
      <c r="L28" s="135" t="n">
        <f aca="false">L21-L26</f>
        <v>0.372669127988749</v>
      </c>
      <c r="M28" s="135" t="n">
        <f aca="false">M21-M26</f>
        <v>0.437533252963633</v>
      </c>
      <c r="N28" s="135" t="n">
        <f aca="false">N21-N26</f>
        <v>0.479436895011169</v>
      </c>
      <c r="O28" s="169" t="n">
        <f aca="false">AVERAGE(C28:N28)</f>
        <v>0.291306892406664</v>
      </c>
    </row>
    <row r="30" customFormat="false" ht="15" hidden="false" customHeight="false" outlineLevel="0" collapsed="false">
      <c r="A30" s="67" t="s">
        <v>459</v>
      </c>
      <c r="B30" s="118"/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4" t="s">
        <v>460</v>
      </c>
      <c r="R30" s="114"/>
    </row>
    <row r="31" customFormat="false" ht="15" hidden="false" customHeight="false" outlineLevel="0" collapsed="false">
      <c r="A31" s="102" t="s">
        <v>461</v>
      </c>
      <c r="B31" s="166" t="s">
        <v>454</v>
      </c>
      <c r="C31" s="167" t="n">
        <f aca="false">C17*C21</f>
        <v>4.266</v>
      </c>
      <c r="D31" s="167" t="n">
        <f aca="false">D17*D21</f>
        <v>10.665</v>
      </c>
      <c r="E31" s="167" t="n">
        <f aca="false">E17*E21</f>
        <v>14.931</v>
      </c>
      <c r="F31" s="167" t="n">
        <f aca="false">F17*F21</f>
        <v>14.931</v>
      </c>
      <c r="G31" s="167" t="n">
        <f aca="false">G17*G21</f>
        <v>14.931</v>
      </c>
      <c r="H31" s="167" t="n">
        <f aca="false">H17*H21</f>
        <v>14.931</v>
      </c>
      <c r="I31" s="167" t="n">
        <f aca="false">I17*I21</f>
        <v>14.931</v>
      </c>
      <c r="J31" s="167" t="n">
        <f aca="false">J17*J21</f>
        <v>17.064</v>
      </c>
      <c r="K31" s="167" t="n">
        <f aca="false">K17*K21</f>
        <v>17.064</v>
      </c>
      <c r="L31" s="167" t="n">
        <f aca="false">L17*L21</f>
        <v>23.4630000000001</v>
      </c>
      <c r="M31" s="167" t="n">
        <f aca="false">M17*M21</f>
        <v>29.862</v>
      </c>
      <c r="N31" s="167" t="n">
        <f aca="false">N17*N21</f>
        <v>36.2609999999999</v>
      </c>
      <c r="O31" s="167" t="n">
        <f aca="false">SUM(C31:N31)</f>
        <v>213.3</v>
      </c>
      <c r="P31" s="172"/>
    </row>
    <row r="32" customFormat="false" ht="15" hidden="false" customHeight="false" outlineLevel="0" collapsed="false">
      <c r="A32" s="102" t="s">
        <v>462</v>
      </c>
      <c r="B32" s="166" t="s">
        <v>454</v>
      </c>
      <c r="C32" s="167" t="n">
        <f aca="false">C18*C22</f>
        <v>2.844</v>
      </c>
      <c r="D32" s="167" t="n">
        <f aca="false">D18*D22</f>
        <v>7.11</v>
      </c>
      <c r="E32" s="167" t="n">
        <f aca="false">E18*E22</f>
        <v>9.954</v>
      </c>
      <c r="F32" s="167" t="n">
        <f aca="false">F18*F22</f>
        <v>9.954</v>
      </c>
      <c r="G32" s="167" t="n">
        <f aca="false">G18*G22</f>
        <v>9.954</v>
      </c>
      <c r="H32" s="167" t="n">
        <f aca="false">H18*H22</f>
        <v>9.954</v>
      </c>
      <c r="I32" s="167" t="n">
        <f aca="false">I18*I22</f>
        <v>9.954</v>
      </c>
      <c r="J32" s="167" t="n">
        <f aca="false">J18*J22</f>
        <v>11.376</v>
      </c>
      <c r="K32" s="167" t="n">
        <f aca="false">K18*K22</f>
        <v>11.376</v>
      </c>
      <c r="L32" s="167" t="n">
        <f aca="false">L18*L22</f>
        <v>15.642</v>
      </c>
      <c r="M32" s="167" t="n">
        <f aca="false">M18*M22</f>
        <v>19.908</v>
      </c>
      <c r="N32" s="167" t="n">
        <f aca="false">N18*N22</f>
        <v>24.174</v>
      </c>
      <c r="O32" s="167" t="n">
        <f aca="false">SUM(C32:N32)</f>
        <v>142.2</v>
      </c>
      <c r="P32" s="172" t="n">
        <v>11.448</v>
      </c>
    </row>
    <row r="33" customFormat="false" ht="15" hidden="false" customHeight="false" outlineLevel="0" collapsed="false">
      <c r="A33" s="28" t="s">
        <v>463</v>
      </c>
      <c r="B33" s="173" t="s">
        <v>454</v>
      </c>
      <c r="C33" s="174" t="n">
        <f aca="false">C31+C32</f>
        <v>7.11</v>
      </c>
      <c r="D33" s="174" t="n">
        <f aca="false">D31+D32</f>
        <v>17.775</v>
      </c>
      <c r="E33" s="174" t="n">
        <f aca="false">E31+E32</f>
        <v>24.885</v>
      </c>
      <c r="F33" s="174" t="n">
        <f aca="false">F31+F32</f>
        <v>24.885</v>
      </c>
      <c r="G33" s="174" t="n">
        <f aca="false">G31+G32</f>
        <v>24.885</v>
      </c>
      <c r="H33" s="174" t="n">
        <f aca="false">H31+H32</f>
        <v>24.885</v>
      </c>
      <c r="I33" s="174" t="n">
        <f aca="false">I31+I32</f>
        <v>24.885</v>
      </c>
      <c r="J33" s="174" t="n">
        <f aca="false">J31+J32</f>
        <v>28.44</v>
      </c>
      <c r="K33" s="174" t="n">
        <f aca="false">K31+K32</f>
        <v>28.44</v>
      </c>
      <c r="L33" s="174" t="n">
        <f aca="false">L31+L32</f>
        <v>39.1050000000001</v>
      </c>
      <c r="M33" s="174" t="n">
        <f aca="false">M31+M32</f>
        <v>49.77</v>
      </c>
      <c r="N33" s="174" t="n">
        <f aca="false">N31+N32</f>
        <v>60.4349999999999</v>
      </c>
      <c r="O33" s="174" t="n">
        <f aca="false">SUM(C33:N33)</f>
        <v>355.5</v>
      </c>
      <c r="P33" s="175"/>
      <c r="Q33" s="70" t="n">
        <f aca="false">O31/O33</f>
        <v>0.6</v>
      </c>
    </row>
    <row r="34" customFormat="false" ht="15" hidden="false" customHeight="false" outlineLevel="0" collapsed="false">
      <c r="A34" s="36" t="s">
        <v>464</v>
      </c>
      <c r="B34" s="101" t="s">
        <v>454</v>
      </c>
      <c r="C34" s="129" t="n">
        <f aca="false">-C24</f>
        <v>-4.24</v>
      </c>
      <c r="D34" s="129" t="n">
        <f aca="false">-D24</f>
        <v>-7.42</v>
      </c>
      <c r="E34" s="129" t="n">
        <f aca="false">-E24</f>
        <v>-14.31</v>
      </c>
      <c r="F34" s="129" t="n">
        <f aca="false">-F24</f>
        <v>-14.787</v>
      </c>
      <c r="G34" s="129" t="n">
        <f aca="false">-G24</f>
        <v>-15.105</v>
      </c>
      <c r="H34" s="129" t="n">
        <f aca="false">-H24</f>
        <v>-15.9</v>
      </c>
      <c r="I34" s="129" t="n">
        <f aca="false">-I24</f>
        <v>-15.9</v>
      </c>
      <c r="J34" s="129" t="n">
        <f aca="false">-J24</f>
        <v>-17.013</v>
      </c>
      <c r="K34" s="129" t="n">
        <f aca="false">-K24</f>
        <v>-17.013</v>
      </c>
      <c r="L34" s="129" t="n">
        <f aca="false">-L24</f>
        <v>-17.013</v>
      </c>
      <c r="M34" s="129" t="n">
        <f aca="false">-M24</f>
        <v>-18.285</v>
      </c>
      <c r="N34" s="129" t="n">
        <f aca="false">-N24</f>
        <v>-19.08</v>
      </c>
      <c r="O34" s="160" t="n">
        <f aca="false">SUM(C34:N34)</f>
        <v>-176.066</v>
      </c>
    </row>
    <row r="35" customFormat="false" ht="15" hidden="false" customHeight="false" outlineLevel="0" collapsed="false">
      <c r="A35" s="36" t="s">
        <v>465</v>
      </c>
      <c r="B35" s="101" t="s">
        <v>454</v>
      </c>
      <c r="C35" s="129" t="n">
        <f aca="false">-C25</f>
        <v>-1.57258</v>
      </c>
      <c r="D35" s="129" t="n">
        <f aca="false">-D25</f>
        <v>-3.387147</v>
      </c>
      <c r="E35" s="129" t="n">
        <f aca="false">-E25</f>
        <v>-4.321588</v>
      </c>
      <c r="F35" s="129" t="n">
        <f aca="false">-F25</f>
        <v>-5.328775</v>
      </c>
      <c r="G35" s="129" t="n">
        <f aca="false">-G25</f>
        <v>-6.495575</v>
      </c>
      <c r="H35" s="129" t="n">
        <f aca="false">-H25</f>
        <v>-6.617872</v>
      </c>
      <c r="I35" s="129" t="n">
        <f aca="false">-I25</f>
        <v>-6.410866</v>
      </c>
      <c r="J35" s="129" t="n">
        <f aca="false">-J25</f>
        <v>-5.7608</v>
      </c>
      <c r="K35" s="129" t="n">
        <f aca="false">-K25</f>
        <v>-6.237729</v>
      </c>
      <c r="L35" s="129" t="n">
        <f aca="false">-L25</f>
        <v>-6.595838</v>
      </c>
      <c r="M35" s="129" t="n">
        <f aca="false">-M25</f>
        <v>-6.597352</v>
      </c>
      <c r="N35" s="129" t="n">
        <f aca="false">-N25</f>
        <v>-7.08237</v>
      </c>
      <c r="O35" s="160" t="n">
        <f aca="false">SUM(C35:N35)</f>
        <v>-66.408492</v>
      </c>
    </row>
    <row r="36" customFormat="false" ht="15" hidden="false" customHeight="false" outlineLevel="0" collapsed="false">
      <c r="A36" s="28" t="s">
        <v>466</v>
      </c>
      <c r="B36" s="173" t="s">
        <v>454</v>
      </c>
      <c r="C36" s="174" t="n">
        <f aca="false">C34+C35</f>
        <v>-5.81258</v>
      </c>
      <c r="D36" s="174" t="n">
        <f aca="false">D34+D35</f>
        <v>-10.807147</v>
      </c>
      <c r="E36" s="174" t="n">
        <f aca="false">E34+E35</f>
        <v>-18.631588</v>
      </c>
      <c r="F36" s="174" t="n">
        <f aca="false">F34+F35</f>
        <v>-20.115775</v>
      </c>
      <c r="G36" s="174" t="n">
        <f aca="false">G34+G35</f>
        <v>-21.600575</v>
      </c>
      <c r="H36" s="174" t="n">
        <f aca="false">H34+H35</f>
        <v>-22.517872</v>
      </c>
      <c r="I36" s="174" t="n">
        <f aca="false">I34+I35</f>
        <v>-22.310866</v>
      </c>
      <c r="J36" s="174" t="n">
        <f aca="false">J34+J35</f>
        <v>-22.7738</v>
      </c>
      <c r="K36" s="174" t="n">
        <f aca="false">K34+K35</f>
        <v>-23.250729</v>
      </c>
      <c r="L36" s="174" t="n">
        <f aca="false">L34+L35</f>
        <v>-23.608838</v>
      </c>
      <c r="M36" s="174" t="n">
        <f aca="false">M34+M35</f>
        <v>-24.882352</v>
      </c>
      <c r="N36" s="174" t="n">
        <f aca="false">N34+N35</f>
        <v>-26.16237</v>
      </c>
      <c r="O36" s="174" t="n">
        <f aca="false">SUM(C36:N36)</f>
        <v>-242.474492</v>
      </c>
      <c r="P36" s="175"/>
    </row>
    <row r="37" customFormat="false" ht="15" hidden="false" customHeight="false" outlineLevel="0" collapsed="false">
      <c r="A37" s="50" t="s">
        <v>467</v>
      </c>
      <c r="B37" s="101" t="s">
        <v>454</v>
      </c>
      <c r="C37" s="160" t="n">
        <f aca="false">C33+C34+C35</f>
        <v>1.29742</v>
      </c>
      <c r="D37" s="160" t="n">
        <f aca="false">D33+D34+D35</f>
        <v>6.967853</v>
      </c>
      <c r="E37" s="160" t="n">
        <f aca="false">E33+E34+E35</f>
        <v>6.253412</v>
      </c>
      <c r="F37" s="160" t="n">
        <f aca="false">F33+F34+F35</f>
        <v>4.769225</v>
      </c>
      <c r="G37" s="160" t="n">
        <f aca="false">G33+G34+G35</f>
        <v>3.284425</v>
      </c>
      <c r="H37" s="160" t="n">
        <f aca="false">H33+H34+H35</f>
        <v>2.367128</v>
      </c>
      <c r="I37" s="160" t="n">
        <f aca="false">I33+I34+I35</f>
        <v>2.574134</v>
      </c>
      <c r="J37" s="160" t="n">
        <f aca="false">J33+J34+J35</f>
        <v>5.6662</v>
      </c>
      <c r="K37" s="160" t="n">
        <f aca="false">K33+K34+K35</f>
        <v>5.189271</v>
      </c>
      <c r="L37" s="160" t="n">
        <f aca="false">L33+L34+L35</f>
        <v>15.4961620000001</v>
      </c>
      <c r="M37" s="160" t="n">
        <f aca="false">M33+M34+M35</f>
        <v>24.887648</v>
      </c>
      <c r="N37" s="160" t="n">
        <f aca="false">N33+N34+N35</f>
        <v>34.2726299999999</v>
      </c>
      <c r="O37" s="160" t="n">
        <f aca="false">SUM(C37:N37)</f>
        <v>113.025508</v>
      </c>
      <c r="Q37" s="114"/>
    </row>
    <row r="38" customFormat="false" ht="15" hidden="false" customHeight="false" outlineLevel="0" collapsed="false">
      <c r="A38" s="36" t="s">
        <v>468</v>
      </c>
      <c r="B38" s="101" t="s">
        <v>26</v>
      </c>
      <c r="C38" s="95" t="n">
        <f aca="false">IFERROR(C37/C33,0)</f>
        <v>0.182478199718706</v>
      </c>
      <c r="D38" s="95" t="n">
        <f aca="false">IFERROR(D37/D33,0)</f>
        <v>0.392002981715893</v>
      </c>
      <c r="E38" s="95" t="n">
        <f aca="false">IFERROR(E37/E33,0)</f>
        <v>0.251292425155716</v>
      </c>
      <c r="F38" s="95" t="n">
        <f aca="false">IFERROR(F37/F33,0)</f>
        <v>0.191650592726542</v>
      </c>
      <c r="G38" s="95" t="n">
        <f aca="false">IFERROR(G37/G33,0)</f>
        <v>0.131984126984127</v>
      </c>
      <c r="H38" s="95" t="n">
        <f aca="false">IFERROR(H37/H33,0)</f>
        <v>0.0951226843480008</v>
      </c>
      <c r="I38" s="95" t="n">
        <f aca="false">IFERROR(I37/I33,0)</f>
        <v>0.103441189471569</v>
      </c>
      <c r="J38" s="95" t="n">
        <f aca="false">IFERROR(J37/J33,0)</f>
        <v>0.199233473980309</v>
      </c>
      <c r="K38" s="95" t="n">
        <f aca="false">IFERROR(K37/K33,0)</f>
        <v>0.182463818565401</v>
      </c>
      <c r="L38" s="95" t="n">
        <f aca="false">IFERROR(L37/L33,0)</f>
        <v>0.396270604781999</v>
      </c>
      <c r="M38" s="95" t="n">
        <f aca="false">IFERROR(M37/M33,0)</f>
        <v>0.500053204741812</v>
      </c>
      <c r="N38" s="95" t="n">
        <f aca="false">IFERROR(N37/N33,0)</f>
        <v>0.56709903201787</v>
      </c>
      <c r="O38" s="134" t="n">
        <f aca="false">IFERROR(O37/O33,0)</f>
        <v>0.317933918424754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3C"/>
    <pageSetUpPr fitToPage="false"/>
  </sheetPr>
  <dimension ref="A1:N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176" width="34.83"/>
    <col collapsed="false" customWidth="true" hidden="false" outlineLevel="0" max="14" min="2" style="176" width="12"/>
    <col collapsed="false" customWidth="false" hidden="false" outlineLevel="0" max="16384" min="15" style="176" width="8.67"/>
  </cols>
  <sheetData>
    <row r="1" customFormat="false" ht="15" hidden="false" customHeight="false" outlineLevel="0" collapsed="false">
      <c r="A1" s="50" t="s">
        <v>469</v>
      </c>
      <c r="C1" s="177" t="s">
        <v>470</v>
      </c>
    </row>
    <row r="2" customFormat="false" ht="15" hidden="false" customHeight="false" outlineLevel="0" collapsed="false">
      <c r="A2" s="178" t="s">
        <v>471</v>
      </c>
      <c r="B2" s="178" t="s">
        <v>472</v>
      </c>
      <c r="D2" s="107"/>
    </row>
    <row r="3" customFormat="false" ht="15" hidden="false" customHeight="false" outlineLevel="0" collapsed="false">
      <c r="A3" s="179" t="s">
        <v>473</v>
      </c>
      <c r="B3" s="180" t="n">
        <v>100000000</v>
      </c>
    </row>
    <row r="4" customFormat="false" ht="15" hidden="false" customHeight="false" outlineLevel="0" collapsed="false">
      <c r="A4" s="179" t="s">
        <v>474</v>
      </c>
      <c r="B4" s="180" t="n">
        <v>100000000</v>
      </c>
    </row>
    <row r="5" customFormat="false" ht="15" hidden="false" customHeight="false" outlineLevel="0" collapsed="false">
      <c r="A5" s="179" t="s">
        <v>475</v>
      </c>
      <c r="B5" s="180" t="n">
        <v>100000000</v>
      </c>
    </row>
    <row r="6" customFormat="false" ht="15" hidden="false" customHeight="false" outlineLevel="0" collapsed="false">
      <c r="A6" s="179" t="s">
        <v>476</v>
      </c>
      <c r="B6" s="180" t="n">
        <v>20000000</v>
      </c>
    </row>
    <row r="7" customFormat="false" ht="15" hidden="false" customHeight="false" outlineLevel="0" collapsed="false">
      <c r="A7" s="179" t="s">
        <v>477</v>
      </c>
      <c r="B7" s="180" t="n">
        <v>100000000</v>
      </c>
    </row>
    <row r="8" customFormat="false" ht="15" hidden="false" customHeight="false" outlineLevel="0" collapsed="false">
      <c r="A8" s="179" t="s">
        <v>478</v>
      </c>
      <c r="B8" s="180" t="n">
        <v>60000000</v>
      </c>
    </row>
    <row r="9" customFormat="false" ht="15" hidden="false" customHeight="false" outlineLevel="0" collapsed="false">
      <c r="A9" s="179" t="s">
        <v>479</v>
      </c>
      <c r="B9" s="180" t="n">
        <v>50000000</v>
      </c>
    </row>
    <row r="10" customFormat="false" ht="15" hidden="false" customHeight="false" outlineLevel="0" collapsed="false">
      <c r="A10" s="179" t="s">
        <v>480</v>
      </c>
      <c r="B10" s="180" t="n">
        <v>30000000</v>
      </c>
    </row>
    <row r="11" customFormat="false" ht="15" hidden="false" customHeight="false" outlineLevel="0" collapsed="false">
      <c r="A11" s="179" t="s">
        <v>481</v>
      </c>
      <c r="B11" s="180" t="n">
        <v>15000000</v>
      </c>
    </row>
    <row r="12" customFormat="false" ht="15" hidden="false" customHeight="false" outlineLevel="0" collapsed="false">
      <c r="A12" s="179" t="s">
        <v>482</v>
      </c>
      <c r="B12" s="180" t="n">
        <v>100000000</v>
      </c>
    </row>
    <row r="13" customFormat="false" ht="15" hidden="false" customHeight="false" outlineLevel="0" collapsed="false">
      <c r="A13" s="179" t="s">
        <v>483</v>
      </c>
      <c r="B13" s="180" t="n">
        <v>75000000</v>
      </c>
    </row>
    <row r="14" customFormat="false" ht="15" hidden="false" customHeight="true" outlineLevel="0" collapsed="false">
      <c r="A14" s="181"/>
      <c r="B14" s="182" t="n">
        <f aca="false">SUM(B3:B13)</f>
        <v>750000000</v>
      </c>
    </row>
    <row r="15" customFormat="false" ht="15" hidden="false" customHeight="true" outlineLevel="0" collapsed="false"/>
    <row r="16" customFormat="false" ht="15" hidden="false" customHeight="false" outlineLevel="0" collapsed="false">
      <c r="A16" s="50" t="s">
        <v>484</v>
      </c>
    </row>
    <row r="17" customFormat="false" ht="15" hidden="false" customHeight="false" outlineLevel="0" collapsed="false">
      <c r="A17" s="5"/>
      <c r="B17" s="6" t="s">
        <v>9</v>
      </c>
      <c r="C17" s="6" t="s">
        <v>10</v>
      </c>
      <c r="D17" s="6" t="s">
        <v>11</v>
      </c>
      <c r="E17" s="6" t="s">
        <v>12</v>
      </c>
      <c r="F17" s="6" t="s">
        <v>13</v>
      </c>
      <c r="G17" s="6" t="s">
        <v>14</v>
      </c>
      <c r="H17" s="6" t="s">
        <v>15</v>
      </c>
      <c r="I17" s="6" t="s">
        <v>16</v>
      </c>
      <c r="J17" s="6" t="s">
        <v>17</v>
      </c>
      <c r="K17" s="6" t="s">
        <v>18</v>
      </c>
      <c r="L17" s="6" t="s">
        <v>19</v>
      </c>
      <c r="M17" s="6" t="s">
        <v>20</v>
      </c>
      <c r="N17" s="6" t="s">
        <v>72</v>
      </c>
    </row>
    <row r="18" customFormat="false" ht="15" hidden="false" customHeight="false" outlineLevel="0" collapsed="false">
      <c r="A18" s="10" t="s">
        <v>77</v>
      </c>
      <c r="B18" s="60" t="n">
        <v>17.0041828989972</v>
      </c>
      <c r="C18" s="60" t="n">
        <v>42.510457247493</v>
      </c>
      <c r="D18" s="60" t="n">
        <v>59.5146401464902</v>
      </c>
      <c r="E18" s="60" t="n">
        <v>59.5146401464902</v>
      </c>
      <c r="F18" s="60" t="n">
        <v>59.5146401464902</v>
      </c>
      <c r="G18" s="60" t="n">
        <v>59.5146401464902</v>
      </c>
      <c r="H18" s="60" t="n">
        <v>59.5146401464902</v>
      </c>
      <c r="I18" s="60" t="n">
        <v>68.0167315959888</v>
      </c>
      <c r="J18" s="60" t="n">
        <v>68.0167315959888</v>
      </c>
      <c r="K18" s="60" t="n">
        <v>93.5230059444846</v>
      </c>
      <c r="L18" s="60" t="n">
        <v>119.02928029298</v>
      </c>
      <c r="M18" s="60" t="n">
        <v>144.535554641476</v>
      </c>
      <c r="N18" s="60" t="n">
        <v>850.20914494986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B7942"/>
    <pageSetUpPr fitToPage="false"/>
  </sheetPr>
  <dimension ref="A1:Q46"/>
  <sheetViews>
    <sheetView showFormulas="false" showGridLines="fals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B1" activeCellId="0" sqref="B1"/>
    </sheetView>
  </sheetViews>
  <sheetFormatPr defaultColWidth="8.83203125" defaultRowHeight="12.75" zeroHeight="false" outlineLevelRow="1" outlineLevelCol="1"/>
  <cols>
    <col collapsed="false" customWidth="true" hidden="true" outlineLevel="1" max="1" min="1" style="183" width="25.16"/>
    <col collapsed="false" customWidth="true" hidden="false" outlineLevel="0" max="2" min="2" style="184" width="54.67"/>
    <col collapsed="false" customWidth="true" hidden="false" outlineLevel="0" max="4" min="3" style="185" width="12.33"/>
    <col collapsed="false" customWidth="true" hidden="false" outlineLevel="0" max="5" min="5" style="185" width="13.16"/>
    <col collapsed="false" customWidth="true" hidden="false" outlineLevel="0" max="7" min="6" style="185" width="12.33"/>
    <col collapsed="false" customWidth="true" hidden="false" outlineLevel="0" max="9" min="8" style="185" width="12.67"/>
    <col collapsed="false" customWidth="true" hidden="false" outlineLevel="0" max="14" min="10" style="185" width="12.33"/>
    <col collapsed="false" customWidth="true" hidden="false" outlineLevel="0" max="16" min="15" style="185" width="16.5"/>
    <col collapsed="false" customWidth="false" hidden="false" outlineLevel="0" max="16384" min="17" style="184" width="8.83"/>
  </cols>
  <sheetData>
    <row r="1" customFormat="false" ht="12.75" hidden="false" customHeight="false" outlineLevel="0" collapsed="false">
      <c r="B1" s="186" t="s">
        <v>485</v>
      </c>
      <c r="Q1" s="187" t="s">
        <v>486</v>
      </c>
    </row>
    <row r="2" customFormat="false" ht="12.75" hidden="false" customHeight="false" outlineLevel="0" collapsed="false">
      <c r="B2" s="188" t="s">
        <v>8</v>
      </c>
      <c r="C2" s="189" t="s">
        <v>487</v>
      </c>
      <c r="D2" s="189" t="s">
        <v>488</v>
      </c>
      <c r="E2" s="189" t="s">
        <v>489</v>
      </c>
      <c r="F2" s="189" t="s">
        <v>490</v>
      </c>
      <c r="G2" s="189" t="s">
        <v>491</v>
      </c>
      <c r="H2" s="189" t="s">
        <v>492</v>
      </c>
      <c r="I2" s="189" t="s">
        <v>493</v>
      </c>
      <c r="J2" s="189" t="s">
        <v>494</v>
      </c>
      <c r="K2" s="189" t="s">
        <v>495</v>
      </c>
      <c r="L2" s="189" t="s">
        <v>496</v>
      </c>
      <c r="M2" s="189" t="s">
        <v>497</v>
      </c>
      <c r="N2" s="189" t="s">
        <v>498</v>
      </c>
      <c r="O2" s="189" t="n">
        <v>2027</v>
      </c>
      <c r="P2" s="189" t="n">
        <v>2026</v>
      </c>
    </row>
    <row r="3" customFormat="false" ht="12.75" hidden="false" customHeight="false" outlineLevel="1" collapsed="false">
      <c r="A3" s="190"/>
      <c r="B3" s="191" t="s">
        <v>81</v>
      </c>
      <c r="C3" s="192" t="n">
        <f aca="false">PEX!C24</f>
        <v>-20.5021320287505</v>
      </c>
      <c r="D3" s="192" t="n">
        <f aca="false">PEX!D24</f>
        <v>-20.8874989805594</v>
      </c>
      <c r="E3" s="192" t="n">
        <f aca="false">PEX!E24</f>
        <v>-20.9962314129087</v>
      </c>
      <c r="F3" s="192" t="n">
        <f aca="false">PEX!F24</f>
        <v>-21.3474454508537</v>
      </c>
      <c r="G3" s="192" t="n">
        <f aca="false">PEX!G24</f>
        <v>-21.7459610511498</v>
      </c>
      <c r="H3" s="192" t="n">
        <f aca="false">PEX!H24</f>
        <v>-21.1991644550706</v>
      </c>
      <c r="I3" s="192" t="n">
        <f aca="false">PEX!I24</f>
        <v>-21.7290558201795</v>
      </c>
      <c r="J3" s="192" t="n">
        <f aca="false">PEX!J24</f>
        <v>-18.5087631381029</v>
      </c>
      <c r="K3" s="192" t="n">
        <f aca="false">PEX!K24</f>
        <v>-21.5601117907646</v>
      </c>
      <c r="L3" s="192" t="n">
        <f aca="false">PEX!L24</f>
        <v>-23.021618076732</v>
      </c>
      <c r="M3" s="192" t="n">
        <f aca="false">PEX!M24</f>
        <v>-23.0304143073749</v>
      </c>
      <c r="N3" s="192" t="n">
        <f aca="false">PEX!N24</f>
        <v>-23.8732957818878</v>
      </c>
      <c r="O3" s="192" t="n">
        <f aca="false">SUM(C3:N3)</f>
        <v>-258.401692294334</v>
      </c>
      <c r="P3" s="192" t="n">
        <v>-201.500852056</v>
      </c>
    </row>
    <row r="4" customFormat="false" ht="12.75" hidden="false" customHeight="false" outlineLevel="1" collapsed="false">
      <c r="A4" s="190"/>
      <c r="B4" s="191" t="s">
        <v>82</v>
      </c>
      <c r="C4" s="192" t="n">
        <f aca="false">PEX!C25</f>
        <v>-0</v>
      </c>
      <c r="D4" s="192" t="n">
        <f aca="false">PEX!D25</f>
        <v>-0</v>
      </c>
      <c r="E4" s="192" t="n">
        <f aca="false">PEX!E25</f>
        <v>-0</v>
      </c>
      <c r="F4" s="192" t="n">
        <f aca="false">PEX!F25</f>
        <v>-0</v>
      </c>
      <c r="G4" s="192" t="n">
        <f aca="false">PEX!G25</f>
        <v>-0</v>
      </c>
      <c r="H4" s="192" t="n">
        <f aca="false">PEX!H25</f>
        <v>-0</v>
      </c>
      <c r="I4" s="192" t="n">
        <f aca="false">PEX!I25</f>
        <v>-0</v>
      </c>
      <c r="J4" s="192" t="n">
        <f aca="false">PEX!J25</f>
        <v>-0</v>
      </c>
      <c r="K4" s="192" t="n">
        <f aca="false">PEX!K25</f>
        <v>-0</v>
      </c>
      <c r="L4" s="192" t="n">
        <f aca="false">PEX!L25</f>
        <v>-0</v>
      </c>
      <c r="M4" s="192" t="n">
        <f aca="false">PEX!M25</f>
        <v>-0</v>
      </c>
      <c r="N4" s="192" t="n">
        <f aca="false">PEX!N25</f>
        <v>-0</v>
      </c>
      <c r="O4" s="192" t="n">
        <f aca="false">SUM(C4:N4)</f>
        <v>0</v>
      </c>
      <c r="P4" s="192" t="n">
        <v>0</v>
      </c>
    </row>
    <row r="5" customFormat="false" ht="12.75" hidden="false" customHeight="false" outlineLevel="1" collapsed="false">
      <c r="A5" s="190"/>
      <c r="B5" s="191" t="s">
        <v>83</v>
      </c>
      <c r="C5" s="192" t="n">
        <f aca="false">PEX!C26</f>
        <v>-71.2503220921336</v>
      </c>
      <c r="D5" s="192" t="n">
        <f aca="false">PEX!D26</f>
        <v>-72.5895740002543</v>
      </c>
      <c r="E5" s="192" t="n">
        <f aca="false">PEX!E26</f>
        <v>-72.9674479118985</v>
      </c>
      <c r="F5" s="192" t="n">
        <f aca="false">PEX!F26</f>
        <v>-74.1880094267577</v>
      </c>
      <c r="G5" s="192" t="n">
        <f aca="false">PEX!G26</f>
        <v>-75.5729563600826</v>
      </c>
      <c r="H5" s="192" t="n">
        <f aca="false">PEX!H26</f>
        <v>-73.6726938149534</v>
      </c>
      <c r="I5" s="192" t="n">
        <f aca="false">PEX!I26</f>
        <v>-75.5142062188784</v>
      </c>
      <c r="J5" s="192" t="n">
        <f aca="false">PEX!J26</f>
        <v>-64.3228388768313</v>
      </c>
      <c r="K5" s="192" t="n">
        <f aca="false">PEX!K26</f>
        <v>-74.9270811094276</v>
      </c>
      <c r="L5" s="192" t="n">
        <f aca="false">PEX!L26</f>
        <v>-80.0062013428174</v>
      </c>
      <c r="M5" s="192" t="n">
        <f aca="false">PEX!M26</f>
        <v>-80.0367705668191</v>
      </c>
      <c r="N5" s="192" t="n">
        <f aca="false">PEX!N26</f>
        <v>-82.9660062414466</v>
      </c>
      <c r="O5" s="192" t="n">
        <f aca="false">SUM(C5:N5)</f>
        <v>-898.0141079623</v>
      </c>
      <c r="P5" s="192" t="n">
        <v>-700.268664288</v>
      </c>
    </row>
    <row r="6" customFormat="false" ht="12.75" hidden="false" customHeight="false" outlineLevel="1" collapsed="false">
      <c r="A6" s="190"/>
      <c r="B6" s="191" t="s">
        <v>84</v>
      </c>
      <c r="C6" s="192" t="n">
        <f aca="false">PEX!C27</f>
        <v>-2.68955150571714</v>
      </c>
      <c r="D6" s="192" t="n">
        <f aca="false">PEX!D27</f>
        <v>-2.74010548049584</v>
      </c>
      <c r="E6" s="192" t="n">
        <f aca="false">PEX!E27</f>
        <v>-2.75436943493411</v>
      </c>
      <c r="F6" s="192" t="n">
        <f aca="false">PEX!F27</f>
        <v>-2.80044309416424</v>
      </c>
      <c r="G6" s="192" t="n">
        <f aca="false">PEX!G27</f>
        <v>-2.85272196112916</v>
      </c>
      <c r="H6" s="192" t="n">
        <f aca="false">PEX!H27</f>
        <v>-2.78099100133221</v>
      </c>
      <c r="I6" s="192" t="n">
        <f aca="false">PEX!I27</f>
        <v>-2.8505042654599</v>
      </c>
      <c r="J6" s="192" t="n">
        <f aca="false">PEX!J27</f>
        <v>-2.4280534188951</v>
      </c>
      <c r="K6" s="192" t="n">
        <f aca="false">PEX!K27</f>
        <v>-2.8283415134077</v>
      </c>
      <c r="L6" s="192" t="n">
        <f aca="false">PEX!L27</f>
        <v>-3.02006774102766</v>
      </c>
      <c r="M6" s="192" t="n">
        <f aca="false">PEX!M27</f>
        <v>-3.02122166567008</v>
      </c>
      <c r="N6" s="192" t="n">
        <f aca="false">PEX!N27</f>
        <v>-3.13179422152614</v>
      </c>
      <c r="O6" s="192" t="n">
        <f aca="false">SUM(C6:N6)</f>
        <v>-33.8981653037593</v>
      </c>
      <c r="P6" s="192" t="n">
        <v>-26.433685984</v>
      </c>
    </row>
    <row r="7" customFormat="false" ht="12.75" hidden="false" customHeight="false" outlineLevel="1" collapsed="false">
      <c r="A7" s="190"/>
      <c r="B7" s="191" t="s">
        <v>85</v>
      </c>
      <c r="C7" s="192" t="n">
        <f aca="false">PEX!C28</f>
        <v>-4.61554389752305</v>
      </c>
      <c r="D7" s="192" t="n">
        <f aca="false">PEX!D28</f>
        <v>-4.7022996593255</v>
      </c>
      <c r="E7" s="192" t="n">
        <f aca="false">PEX!E28</f>
        <v>-4.7267780557132</v>
      </c>
      <c r="F7" s="192" t="n">
        <f aca="false">PEX!F28</f>
        <v>-4.80584514040897</v>
      </c>
      <c r="G7" s="192" t="n">
        <f aca="false">PEX!G28</f>
        <v>-4.89556099261572</v>
      </c>
      <c r="H7" s="192" t="n">
        <f aca="false">PEX!H28</f>
        <v>-4.77246337093028</v>
      </c>
      <c r="I7" s="192" t="n">
        <f aca="false">PEX!I28</f>
        <v>-4.8917552013189</v>
      </c>
      <c r="J7" s="192" t="n">
        <f aca="false">PEX!J28</f>
        <v>-4.16678658751066</v>
      </c>
      <c r="K7" s="192" t="n">
        <f aca="false">PEX!K28</f>
        <v>-4.85372166495812</v>
      </c>
      <c r="L7" s="192" t="n">
        <f aca="false">PEX!L28</f>
        <v>-5.18274336913644</v>
      </c>
      <c r="M7" s="192" t="n">
        <f aca="false">PEX!M28</f>
        <v>-5.18472362117111</v>
      </c>
      <c r="N7" s="192" t="n">
        <f aca="false">PEX!N28</f>
        <v>-5.3744773716868</v>
      </c>
      <c r="O7" s="192" t="n">
        <f aca="false">SUM(C7:N7)</f>
        <v>-58.1726989322987</v>
      </c>
      <c r="P7" s="192" t="n">
        <v>-45.36289332</v>
      </c>
    </row>
    <row r="8" customFormat="false" ht="12.75" hidden="false" customHeight="false" outlineLevel="1" collapsed="false">
      <c r="A8" s="190"/>
      <c r="B8" s="191" t="s">
        <v>86</v>
      </c>
      <c r="C8" s="192" t="n">
        <f aca="false">PEX!C29</f>
        <v>-11.5559543508355</v>
      </c>
      <c r="D8" s="192" t="n">
        <f aca="false">PEX!D29</f>
        <v>-11.7731650729779</v>
      </c>
      <c r="E8" s="192" t="n">
        <f aca="false">PEX!E29</f>
        <v>-11.8344517246745</v>
      </c>
      <c r="F8" s="192" t="n">
        <f aca="false">PEX!F29</f>
        <v>-12.0324122774684</v>
      </c>
      <c r="G8" s="192" t="n">
        <f aca="false">PEX!G29</f>
        <v>-12.2570341889193</v>
      </c>
      <c r="H8" s="192" t="n">
        <f aca="false">PEX!H29</f>
        <v>-11.9488342175884</v>
      </c>
      <c r="I8" s="192" t="n">
        <f aca="false">PEX!I29</f>
        <v>-12.247505615154</v>
      </c>
      <c r="J8" s="192" t="n">
        <f aca="false">PEX!J29</f>
        <v>-10.4323990116934</v>
      </c>
      <c r="K8" s="192" t="n">
        <f aca="false">PEX!K29</f>
        <v>-12.1522809093026</v>
      </c>
      <c r="L8" s="192" t="n">
        <f aca="false">PEX!L29</f>
        <v>-12.9760537686527</v>
      </c>
      <c r="M8" s="192" t="n">
        <f aca="false">PEX!M29</f>
        <v>-12.9810117330062</v>
      </c>
      <c r="N8" s="192" t="n">
        <f aca="false">PEX!N29</f>
        <v>-13.456098900964</v>
      </c>
      <c r="O8" s="192" t="n">
        <f aca="false">SUM(C8:N8)</f>
        <v>-145.647201771237</v>
      </c>
      <c r="P8" s="192" t="n">
        <v>-113.575244016</v>
      </c>
    </row>
    <row r="9" customFormat="false" ht="12.75" hidden="false" customHeight="false" outlineLevel="1" collapsed="false">
      <c r="A9" s="190"/>
      <c r="B9" s="191" t="s">
        <v>87</v>
      </c>
      <c r="C9" s="192" t="n">
        <f aca="false">PEX!C30</f>
        <v>-3.35054297746118</v>
      </c>
      <c r="D9" s="192" t="n">
        <f aca="false">PEX!D30</f>
        <v>-3.41352123417703</v>
      </c>
      <c r="E9" s="192" t="n">
        <f aca="false">PEX!E30</f>
        <v>-3.43129073673995</v>
      </c>
      <c r="F9" s="192" t="n">
        <f aca="false">PEX!F30</f>
        <v>-3.48868758340799</v>
      </c>
      <c r="G9" s="192" t="n">
        <f aca="false">PEX!G30</f>
        <v>-3.55381464649141</v>
      </c>
      <c r="H9" s="192" t="n">
        <f aca="false">PEX!H30</f>
        <v>-3.46445489149013</v>
      </c>
      <c r="I9" s="192" t="n">
        <f aca="false">PEX!I30</f>
        <v>-3.55105192392038</v>
      </c>
      <c r="J9" s="192" t="n">
        <f aca="false">PEX!J30</f>
        <v>-3.02477841167441</v>
      </c>
      <c r="K9" s="192" t="n">
        <f aca="false">PEX!K30</f>
        <v>-3.52344239382145</v>
      </c>
      <c r="L9" s="192" t="n">
        <f aca="false">PEX!L30</f>
        <v>-3.76228777907682</v>
      </c>
      <c r="M9" s="192" t="n">
        <f aca="false">PEX!M30</f>
        <v>-3.76372529536865</v>
      </c>
      <c r="N9" s="192" t="n">
        <f aca="false">PEX!N30</f>
        <v>-3.90147246240968</v>
      </c>
      <c r="O9" s="192" t="n">
        <f aca="false">SUM(C9:N9)</f>
        <v>-42.2290703360391</v>
      </c>
      <c r="P9" s="192" t="n">
        <v>-32.930100336</v>
      </c>
    </row>
    <row r="10" customFormat="false" ht="12.75" hidden="false" customHeight="false" outlineLevel="0" collapsed="false">
      <c r="A10" s="190"/>
      <c r="B10" s="193" t="s">
        <v>50</v>
      </c>
      <c r="C10" s="194" t="n">
        <f aca="false">SUM(C3:C9)</f>
        <v>-113.964046852421</v>
      </c>
      <c r="D10" s="194" t="n">
        <f aca="false">SUM(D3:D9)</f>
        <v>-116.10616442779</v>
      </c>
      <c r="E10" s="194" t="n">
        <f aca="false">SUM(E3:E9)</f>
        <v>-116.710569276869</v>
      </c>
      <c r="F10" s="194" t="n">
        <f aca="false">SUM(F3:F9)</f>
        <v>-118.662842973061</v>
      </c>
      <c r="G10" s="194" t="n">
        <f aca="false">SUM(G3:G9)</f>
        <v>-120.878049200388</v>
      </c>
      <c r="H10" s="194" t="n">
        <f aca="false">SUM(H3:H9)</f>
        <v>-117.838601751365</v>
      </c>
      <c r="I10" s="194" t="n">
        <f aca="false">SUM(I3:I9)</f>
        <v>-120.784079044911</v>
      </c>
      <c r="J10" s="194" t="n">
        <f aca="false">SUM(J3:J9)</f>
        <v>-102.883619444708</v>
      </c>
      <c r="K10" s="194" t="n">
        <f aca="false">SUM(K3:K9)</f>
        <v>-119.844979381682</v>
      </c>
      <c r="L10" s="194" t="n">
        <f aca="false">SUM(L3:L9)</f>
        <v>-127.968972077443</v>
      </c>
      <c r="M10" s="194" t="n">
        <f aca="false">SUM(M3:M9)</f>
        <v>-128.01786718941</v>
      </c>
      <c r="N10" s="194" t="n">
        <f aca="false">SUM(N3:N9)</f>
        <v>-132.703144979921</v>
      </c>
      <c r="O10" s="194" t="n">
        <f aca="false">SUM(C10:N10)</f>
        <v>-1436.36293659997</v>
      </c>
      <c r="P10" s="194" t="n">
        <f aca="false">SUM(P3:P9)</f>
        <v>-1120.07144</v>
      </c>
    </row>
    <row r="11" customFormat="false" ht="12.75" hidden="false" customHeight="false" outlineLevel="1" collapsed="false">
      <c r="A11" s="190" t="s">
        <v>88</v>
      </c>
      <c r="B11" s="195" t="s">
        <v>88</v>
      </c>
      <c r="C11" s="196" t="n">
        <f aca="false">-SUMIFS(Потребности!J:J,Потребности!$Y:$Y,Расходы!$A11)/1000000</f>
        <v>-0.005</v>
      </c>
      <c r="D11" s="196" t="n">
        <f aca="false">-SUMIFS(Потребности!K:K,Потребности!$Y:$Y,Расходы!$A11)/1000000</f>
        <v>-0</v>
      </c>
      <c r="E11" s="196" t="n">
        <f aca="false">-SUMIFS(Потребности!L:L,Потребности!$Y:$Y,Расходы!$A11)/1000000</f>
        <v>-0.005</v>
      </c>
      <c r="F11" s="196" t="n">
        <f aca="false">-SUMIFS(Потребности!M:M,Потребности!$Y:$Y,Расходы!$A11)/1000000</f>
        <v>-0.005</v>
      </c>
      <c r="G11" s="196" t="n">
        <f aca="false">-SUMIFS(Потребности!N:N,Потребности!$Y:$Y,Расходы!$A11)/1000000</f>
        <v>-0.005</v>
      </c>
      <c r="H11" s="196" t="n">
        <f aca="false">-SUMIFS(Потребности!O:O,Потребности!$Y:$Y,Расходы!$A11)/1000000</f>
        <v>-0</v>
      </c>
      <c r="I11" s="196" t="n">
        <f aca="false">-SUMIFS(Потребности!P:P,Потребности!$Y:$Y,Расходы!$A11)/1000000</f>
        <v>-0.005</v>
      </c>
      <c r="J11" s="196" t="n">
        <f aca="false">-SUMIFS(Потребности!Q:Q,Потребности!$Y:$Y,Расходы!$A11)/1000000</f>
        <v>-0</v>
      </c>
      <c r="K11" s="196" t="n">
        <f aca="false">-SUMIFS(Потребности!R:R,Потребности!$Y:$Y,Расходы!$A11)/1000000</f>
        <v>-0.005</v>
      </c>
      <c r="L11" s="196" t="n">
        <f aca="false">-SUMIFS(Потребности!S:S,Потребности!$Y:$Y,Расходы!$A11)/1000000</f>
        <v>-0</v>
      </c>
      <c r="M11" s="196" t="n">
        <f aca="false">-SUMIFS(Потребности!T:T,Потребности!$Y:$Y,Расходы!$A11)/1000000</f>
        <v>-0.005</v>
      </c>
      <c r="N11" s="196" t="n">
        <f aca="false">-SUMIFS(Потребности!U:U,Потребности!$Y:$Y,Расходы!$A11)/1000000</f>
        <v>-0.005</v>
      </c>
      <c r="O11" s="196" t="n">
        <f aca="false">SUM(C11:N11)</f>
        <v>-0.04</v>
      </c>
      <c r="P11" s="196" t="n">
        <v>-0.4</v>
      </c>
    </row>
    <row r="12" customFormat="false" ht="12.75" hidden="false" customHeight="false" outlineLevel="1" collapsed="false">
      <c r="A12" s="190" t="s">
        <v>89</v>
      </c>
      <c r="B12" s="195" t="s">
        <v>89</v>
      </c>
      <c r="C12" s="196" t="n">
        <f aca="false">-SUMIFS(Потребности!J:J,Потребности!$Y:$Y,Расходы!$A12)/1000000</f>
        <v>-0.375</v>
      </c>
      <c r="D12" s="196" t="n">
        <f aca="false">-SUMIFS(Потребности!K:K,Потребности!$Y:$Y,Расходы!$A12)/1000000</f>
        <v>-0.375</v>
      </c>
      <c r="E12" s="196" t="n">
        <f aca="false">-SUMIFS(Потребности!L:L,Потребности!$Y:$Y,Расходы!$A12)/1000000</f>
        <v>-0.51</v>
      </c>
      <c r="F12" s="196" t="n">
        <f aca="false">-SUMIFS(Потребности!M:M,Потребности!$Y:$Y,Расходы!$A12)/1000000</f>
        <v>-0.375</v>
      </c>
      <c r="G12" s="196" t="n">
        <f aca="false">-SUMIFS(Потребности!N:N,Потребности!$Y:$Y,Расходы!$A12)/1000000</f>
        <v>-0.375</v>
      </c>
      <c r="H12" s="196" t="n">
        <f aca="false">-SUMIFS(Потребности!O:O,Потребности!$Y:$Y,Расходы!$A12)/1000000</f>
        <v>-0.375</v>
      </c>
      <c r="I12" s="196" t="n">
        <f aca="false">-SUMIFS(Потребности!P:P,Потребности!$Y:$Y,Расходы!$A12)/1000000</f>
        <v>-0.51</v>
      </c>
      <c r="J12" s="196" t="n">
        <f aca="false">-SUMIFS(Потребности!Q:Q,Потребности!$Y:$Y,Расходы!$A12)/1000000</f>
        <v>-0.375</v>
      </c>
      <c r="K12" s="196" t="n">
        <f aca="false">-SUMIFS(Потребности!R:R,Потребности!$Y:$Y,Расходы!$A12)/1000000</f>
        <v>-0.375</v>
      </c>
      <c r="L12" s="196" t="n">
        <f aca="false">-SUMIFS(Потребности!S:S,Потребности!$Y:$Y,Расходы!$A12)/1000000</f>
        <v>-0.375</v>
      </c>
      <c r="M12" s="196" t="n">
        <f aca="false">-SUMIFS(Потребности!T:T,Потребности!$Y:$Y,Расходы!$A12)/1000000</f>
        <v>-0.375</v>
      </c>
      <c r="N12" s="196" t="n">
        <f aca="false">-SUMIFS(Потребности!U:U,Потребности!$Y:$Y,Расходы!$A12)/1000000</f>
        <v>-0.375</v>
      </c>
      <c r="O12" s="196" t="n">
        <f aca="false">SUM(C12:N12)</f>
        <v>-4.77</v>
      </c>
      <c r="P12" s="196" t="n">
        <v>-3</v>
      </c>
    </row>
    <row r="13" customFormat="false" ht="12.75" hidden="false" customHeight="false" outlineLevel="1" collapsed="false">
      <c r="A13" s="190" t="s">
        <v>90</v>
      </c>
      <c r="B13" s="195" t="s">
        <v>90</v>
      </c>
      <c r="C13" s="196" t="n">
        <f aca="false">-SUMIFS(Потребности!J:J,Потребности!$Y:$Y,Расходы!$A13)/1000000</f>
        <v>-0.869198133256529</v>
      </c>
      <c r="D13" s="196" t="n">
        <f aca="false">-SUMIFS(Потребности!K:K,Потребности!$Y:$Y,Расходы!$A13)/1000000</f>
        <v>-0.869198133256529</v>
      </c>
      <c r="E13" s="196" t="n">
        <f aca="false">-SUMIFS(Потребности!L:L,Потребности!$Y:$Y,Расходы!$A13)/1000000</f>
        <v>-0.869198133256529</v>
      </c>
      <c r="F13" s="196" t="n">
        <f aca="false">-SUMIFS(Потребности!M:M,Потребности!$Y:$Y,Расходы!$A13)/1000000</f>
        <v>-0.869198133256529</v>
      </c>
      <c r="G13" s="196" t="n">
        <f aca="false">-SUMIFS(Потребности!N:N,Потребности!$Y:$Y,Расходы!$A13)/1000000</f>
        <v>-0.869198133256529</v>
      </c>
      <c r="H13" s="196" t="n">
        <f aca="false">-SUMIFS(Потребности!O:O,Потребности!$Y:$Y,Расходы!$A13)/1000000</f>
        <v>-0.869198133256529</v>
      </c>
      <c r="I13" s="196" t="n">
        <f aca="false">-SUMIFS(Потребности!P:P,Потребности!$Y:$Y,Расходы!$A13)/1000000</f>
        <v>-0.869198133256529</v>
      </c>
      <c r="J13" s="196" t="n">
        <f aca="false">-SUMIFS(Потребности!Q:Q,Потребности!$Y:$Y,Расходы!$A13)/1000000</f>
        <v>-0.869198133256529</v>
      </c>
      <c r="K13" s="196" t="n">
        <f aca="false">-SUMIFS(Потребности!R:R,Потребности!$Y:$Y,Расходы!$A13)/1000000</f>
        <v>-0.869198133256529</v>
      </c>
      <c r="L13" s="196" t="n">
        <f aca="false">-SUMIFS(Потребности!S:S,Потребности!$Y:$Y,Расходы!$A13)/1000000</f>
        <v>-0.869198133256529</v>
      </c>
      <c r="M13" s="196" t="n">
        <f aca="false">-SUMIFS(Потребности!T:T,Потребности!$Y:$Y,Расходы!$A13)/1000000</f>
        <v>-0.882419923960377</v>
      </c>
      <c r="N13" s="196" t="n">
        <f aca="false">-SUMIFS(Потребности!U:U,Потребности!$Y:$Y,Расходы!$A13)/1000000</f>
        <v>-0.972502982022831</v>
      </c>
      <c r="O13" s="196" t="n">
        <f aca="false">SUM(C13:N13)</f>
        <v>-10.5469042385485</v>
      </c>
      <c r="P13" s="196" t="n">
        <v>-6.5</v>
      </c>
    </row>
    <row r="14" customFormat="false" ht="12.75" hidden="false" customHeight="false" outlineLevel="1" collapsed="false">
      <c r="A14" s="190" t="s">
        <v>91</v>
      </c>
      <c r="B14" s="195" t="s">
        <v>91</v>
      </c>
      <c r="C14" s="196" t="n">
        <f aca="false">-SUMIFS(Потребности!J:J,Потребности!$Y:$Y,Расходы!$A14)/1000000</f>
        <v>-0</v>
      </c>
      <c r="D14" s="196" t="n">
        <f aca="false">-SUMIFS(Потребности!K:K,Потребности!$Y:$Y,Расходы!$A14)/1000000</f>
        <v>-0</v>
      </c>
      <c r="E14" s="196" t="n">
        <f aca="false">-SUMIFS(Потребности!L:L,Потребности!$Y:$Y,Расходы!$A14)/1000000</f>
        <v>-0</v>
      </c>
      <c r="F14" s="196" t="n">
        <f aca="false">-SUMIFS(Потребности!M:M,Потребности!$Y:$Y,Расходы!$A14)/1000000</f>
        <v>-0</v>
      </c>
      <c r="G14" s="196" t="n">
        <f aca="false">-SUMIFS(Потребности!N:N,Потребности!$Y:$Y,Расходы!$A14)/1000000</f>
        <v>-0</v>
      </c>
      <c r="H14" s="196" t="n">
        <f aca="false">-SUMIFS(Потребности!O:O,Потребности!$Y:$Y,Расходы!$A14)/1000000</f>
        <v>-0</v>
      </c>
      <c r="I14" s="196" t="n">
        <f aca="false">-SUMIFS(Потребности!P:P,Потребности!$Y:$Y,Расходы!$A14)/1000000</f>
        <v>-0</v>
      </c>
      <c r="J14" s="196" t="n">
        <f aca="false">-SUMIFS(Потребности!Q:Q,Потребности!$Y:$Y,Расходы!$A14)/1000000</f>
        <v>-0</v>
      </c>
      <c r="K14" s="196" t="n">
        <f aca="false">-SUMIFS(Потребности!R:R,Потребности!$Y:$Y,Расходы!$A14)/1000000</f>
        <v>-0</v>
      </c>
      <c r="L14" s="196" t="n">
        <f aca="false">-SUMIFS(Потребности!S:S,Потребности!$Y:$Y,Расходы!$A14)/1000000</f>
        <v>-0</v>
      </c>
      <c r="M14" s="196" t="n">
        <f aca="false">-SUMIFS(Потребности!T:T,Потребности!$Y:$Y,Расходы!$A14)/1000000</f>
        <v>-0</v>
      </c>
      <c r="N14" s="196" t="n">
        <f aca="false">-SUMIFS(Потребности!U:U,Потребности!$Y:$Y,Расходы!$A14)/1000000</f>
        <v>-0</v>
      </c>
      <c r="O14" s="196" t="n">
        <f aca="false">SUM(C14:N14)</f>
        <v>0</v>
      </c>
      <c r="P14" s="196" t="n">
        <v>-4.9</v>
      </c>
    </row>
    <row r="15" customFormat="false" ht="12.75" hidden="false" customHeight="false" outlineLevel="1" collapsed="false">
      <c r="A15" s="190" t="s">
        <v>92</v>
      </c>
      <c r="B15" s="195" t="s">
        <v>92</v>
      </c>
      <c r="C15" s="196" t="n">
        <f aca="false">-SUMIFS(Потребности!J:J,Потребности!$Y:$Y,Расходы!$A15)/1000000</f>
        <v>-0.037333</v>
      </c>
      <c r="D15" s="196" t="n">
        <f aca="false">-SUMIFS(Потребности!K:K,Потребности!$Y:$Y,Расходы!$A15)/1000000</f>
        <v>-0.037333</v>
      </c>
      <c r="E15" s="196" t="n">
        <f aca="false">-SUMIFS(Потребности!L:L,Потребности!$Y:$Y,Расходы!$A15)/1000000</f>
        <v>-0.037333</v>
      </c>
      <c r="F15" s="196" t="n">
        <f aca="false">-SUMIFS(Потребности!M:M,Потребности!$Y:$Y,Расходы!$A15)/1000000</f>
        <v>-0.37233367</v>
      </c>
      <c r="G15" s="196" t="n">
        <f aca="false">-SUMIFS(Потребности!N:N,Потребности!$Y:$Y,Расходы!$A15)/1000000</f>
        <v>-0.037333</v>
      </c>
      <c r="H15" s="196" t="n">
        <f aca="false">-SUMIFS(Потребности!O:O,Потребности!$Y:$Y,Расходы!$A15)/1000000</f>
        <v>-0.037333</v>
      </c>
      <c r="I15" s="196" t="n">
        <f aca="false">-SUMIFS(Потребности!P:P,Потребности!$Y:$Y,Расходы!$A15)/1000000</f>
        <v>-0.037333</v>
      </c>
      <c r="J15" s="196" t="n">
        <f aca="false">-SUMIFS(Потребности!Q:Q,Потребности!$Y:$Y,Расходы!$A15)/1000000</f>
        <v>-0.377003</v>
      </c>
      <c r="K15" s="196" t="n">
        <f aca="false">-SUMIFS(Потребности!R:R,Потребности!$Y:$Y,Расходы!$A15)/1000000</f>
        <v>-0.037333</v>
      </c>
      <c r="L15" s="196" t="n">
        <f aca="false">-SUMIFS(Потребности!S:S,Потребности!$Y:$Y,Расходы!$A15)/1000000</f>
        <v>-0.037333</v>
      </c>
      <c r="M15" s="196" t="n">
        <f aca="false">-SUMIFS(Потребности!T:T,Потребности!$Y:$Y,Расходы!$A15)/1000000</f>
        <v>-0.037333</v>
      </c>
      <c r="N15" s="196" t="n">
        <f aca="false">-SUMIFS(Потребности!U:U,Потребности!$Y:$Y,Расходы!$A15)/1000000</f>
        <v>-0.037333</v>
      </c>
      <c r="O15" s="196" t="n">
        <f aca="false">SUM(C15:N15)</f>
        <v>-1.12266667</v>
      </c>
      <c r="P15" s="196" t="n">
        <v>0</v>
      </c>
    </row>
    <row r="16" customFormat="false" ht="12.75" hidden="false" customHeight="false" outlineLevel="1" collapsed="false">
      <c r="A16" s="190" t="s">
        <v>93</v>
      </c>
      <c r="B16" s="195" t="s">
        <v>93</v>
      </c>
      <c r="C16" s="196" t="n">
        <f aca="false">-SUMIFS(Потребности!J:J,Потребности!$Y:$Y,Расходы!$A16)/1000000</f>
        <v>-0</v>
      </c>
      <c r="D16" s="196" t="n">
        <f aca="false">-SUMIFS(Потребности!K:K,Потребности!$Y:$Y,Расходы!$A16)/1000000</f>
        <v>-0</v>
      </c>
      <c r="E16" s="196" t="n">
        <f aca="false">-SUMIFS(Потребности!L:L,Потребности!$Y:$Y,Расходы!$A16)/1000000</f>
        <v>-0.51209</v>
      </c>
      <c r="F16" s="196" t="n">
        <f aca="false">-SUMIFS(Потребности!M:M,Потребности!$Y:$Y,Расходы!$A16)/1000000</f>
        <v>-0.51209</v>
      </c>
      <c r="G16" s="196" t="n">
        <f aca="false">-SUMIFS(Потребности!N:N,Потребности!$Y:$Y,Расходы!$A16)/1000000</f>
        <v>-0.51209</v>
      </c>
      <c r="H16" s="196" t="n">
        <f aca="false">-SUMIFS(Потребности!O:O,Потребности!$Y:$Y,Расходы!$A16)/1000000</f>
        <v>-0.51209</v>
      </c>
      <c r="I16" s="196" t="n">
        <f aca="false">-SUMIFS(Потребности!P:P,Потребности!$Y:$Y,Расходы!$A16)/1000000</f>
        <v>-0.51209</v>
      </c>
      <c r="J16" s="196" t="n">
        <f aca="false">-SUMIFS(Потребности!Q:Q,Потребности!$Y:$Y,Расходы!$A16)/1000000</f>
        <v>-0.51209</v>
      </c>
      <c r="K16" s="196" t="n">
        <f aca="false">-SUMIFS(Потребности!R:R,Потребности!$Y:$Y,Расходы!$A16)/1000000</f>
        <v>-0.51209</v>
      </c>
      <c r="L16" s="196" t="n">
        <f aca="false">-SUMIFS(Потребности!S:S,Потребности!$Y:$Y,Расходы!$A16)/1000000</f>
        <v>-0.51209</v>
      </c>
      <c r="M16" s="196" t="n">
        <f aca="false">-SUMIFS(Потребности!T:T,Потребности!$Y:$Y,Расходы!$A16)/1000000</f>
        <v>-0.51209</v>
      </c>
      <c r="N16" s="196" t="n">
        <f aca="false">-SUMIFS(Потребности!U:U,Потребности!$Y:$Y,Расходы!$A16)/1000000</f>
        <v>-0.51209</v>
      </c>
      <c r="O16" s="196" t="n">
        <f aca="false">SUM(C16:N16)</f>
        <v>-5.1209</v>
      </c>
      <c r="P16" s="196" t="n">
        <v>-5.7</v>
      </c>
    </row>
    <row r="17" customFormat="false" ht="12.75" hidden="false" customHeight="false" outlineLevel="1" collapsed="false">
      <c r="A17" s="190" t="s">
        <v>94</v>
      </c>
      <c r="B17" s="195" t="s">
        <v>94</v>
      </c>
      <c r="C17" s="196" t="n">
        <f aca="false">-SUMIFS(Потребности!J:J,Потребности!$Y:$Y,Расходы!$A17)/1000000</f>
        <v>-0</v>
      </c>
      <c r="D17" s="196" t="n">
        <f aca="false">-SUMIFS(Потребности!K:K,Потребности!$Y:$Y,Расходы!$A17)/1000000</f>
        <v>-4</v>
      </c>
      <c r="E17" s="196" t="n">
        <f aca="false">-SUMIFS(Потребности!L:L,Потребности!$Y:$Y,Расходы!$A17)/1000000</f>
        <v>-0</v>
      </c>
      <c r="F17" s="196" t="n">
        <f aca="false">-SUMIFS(Потребности!M:M,Потребности!$Y:$Y,Расходы!$A17)/1000000</f>
        <v>-10.25</v>
      </c>
      <c r="G17" s="196" t="n">
        <f aca="false">-SUMIFS(Потребности!N:N,Потребности!$Y:$Y,Расходы!$A17)/1000000</f>
        <v>-0</v>
      </c>
      <c r="H17" s="196" t="n">
        <f aca="false">-SUMIFS(Потребности!O:O,Потребности!$Y:$Y,Расходы!$A17)/1000000</f>
        <v>-0</v>
      </c>
      <c r="I17" s="196" t="n">
        <f aca="false">-SUMIFS(Потребности!P:P,Потребности!$Y:$Y,Расходы!$A17)/1000000</f>
        <v>-6</v>
      </c>
      <c r="J17" s="196" t="n">
        <f aca="false">-SUMIFS(Потребности!Q:Q,Потребности!$Y:$Y,Расходы!$A17)/1000000</f>
        <v>-0</v>
      </c>
      <c r="K17" s="196" t="n">
        <f aca="false">-SUMIFS(Потребности!R:R,Потребности!$Y:$Y,Расходы!$A17)/1000000</f>
        <v>-0</v>
      </c>
      <c r="L17" s="196" t="n">
        <f aca="false">-SUMIFS(Потребности!S:S,Потребности!$Y:$Y,Расходы!$A17)/1000000</f>
        <v>-0</v>
      </c>
      <c r="M17" s="196" t="n">
        <f aca="false">-SUMIFS(Потребности!T:T,Потребности!$Y:$Y,Расходы!$A17)/1000000</f>
        <v>-0</v>
      </c>
      <c r="N17" s="196" t="n">
        <f aca="false">-SUMIFS(Потребности!U:U,Потребности!$Y:$Y,Расходы!$A17)/1000000</f>
        <v>-0</v>
      </c>
      <c r="O17" s="196" t="n">
        <f aca="false">SUM(C17:N17)</f>
        <v>-20.25</v>
      </c>
      <c r="P17" s="196" t="n">
        <v>-14</v>
      </c>
    </row>
    <row r="18" customFormat="false" ht="12.75" hidden="false" customHeight="false" outlineLevel="1" collapsed="false">
      <c r="A18" s="190" t="s">
        <v>95</v>
      </c>
      <c r="B18" s="195" t="s">
        <v>95</v>
      </c>
      <c r="C18" s="196" t="n">
        <f aca="false">-SUMIFS(Потребности!J:J,Потребности!$Y:$Y,Расходы!$A18)/1000000</f>
        <v>-0.02799675</v>
      </c>
      <c r="D18" s="196" t="n">
        <f aca="false">-SUMIFS(Потребности!K:K,Потребности!$Y:$Y,Расходы!$A18)/1000000</f>
        <v>-0.02799675</v>
      </c>
      <c r="E18" s="196" t="n">
        <f aca="false">-SUMIFS(Потребности!L:L,Потребности!$Y:$Y,Расходы!$A18)/1000000</f>
        <v>-0.02799675</v>
      </c>
      <c r="F18" s="196" t="n">
        <f aca="false">-SUMIFS(Потребности!M:M,Потребности!$Y:$Y,Расходы!$A18)/1000000</f>
        <v>-0.02799675</v>
      </c>
      <c r="G18" s="196" t="n">
        <f aca="false">-SUMIFS(Потребности!N:N,Потребности!$Y:$Y,Расходы!$A18)/1000000</f>
        <v>-0.02799675</v>
      </c>
      <c r="H18" s="196" t="n">
        <f aca="false">-SUMIFS(Потребности!O:O,Потребности!$Y:$Y,Расходы!$A18)/1000000</f>
        <v>-0.02799675</v>
      </c>
      <c r="I18" s="196" t="n">
        <f aca="false">-SUMIFS(Потребности!P:P,Потребности!$Y:$Y,Расходы!$A18)/1000000</f>
        <v>-0.02799675</v>
      </c>
      <c r="J18" s="196" t="n">
        <f aca="false">-SUMIFS(Потребности!Q:Q,Потребности!$Y:$Y,Расходы!$A18)/1000000</f>
        <v>-0.02799675</v>
      </c>
      <c r="K18" s="196" t="n">
        <f aca="false">-SUMIFS(Потребности!R:R,Потребности!$Y:$Y,Расходы!$A18)/1000000</f>
        <v>-0.02799675</v>
      </c>
      <c r="L18" s="196" t="n">
        <f aca="false">-SUMIFS(Потребности!S:S,Потребности!$Y:$Y,Расходы!$A18)/1000000</f>
        <v>-0.02799675</v>
      </c>
      <c r="M18" s="196" t="n">
        <f aca="false">-SUMIFS(Потребности!T:T,Потребности!$Y:$Y,Расходы!$A18)/1000000</f>
        <v>-0.02799675</v>
      </c>
      <c r="N18" s="196" t="n">
        <f aca="false">-SUMIFS(Потребности!U:U,Потребности!$Y:$Y,Расходы!$A18)/1000000</f>
        <v>-0.02799675</v>
      </c>
      <c r="O18" s="196" t="n">
        <f aca="false">SUM(C18:N18)</f>
        <v>-0.335961</v>
      </c>
      <c r="P18" s="196" t="n">
        <v>0</v>
      </c>
    </row>
    <row r="19" customFormat="false" ht="12.75" hidden="false" customHeight="false" outlineLevel="1" collapsed="false">
      <c r="A19" s="190" t="s">
        <v>96</v>
      </c>
      <c r="B19" s="195" t="s">
        <v>96</v>
      </c>
      <c r="C19" s="196" t="n">
        <f aca="false">-SUMIFS(Потребности!J:J,Потребности!$Y:$Y,Расходы!$A19)/1000000</f>
        <v>-0.0416666666666667</v>
      </c>
      <c r="D19" s="196" t="n">
        <f aca="false">-SUMIFS(Потребности!K:K,Потребности!$Y:$Y,Расходы!$A19)/1000000</f>
        <v>-0.0416666666666667</v>
      </c>
      <c r="E19" s="196" t="n">
        <f aca="false">-SUMIFS(Потребности!L:L,Потребности!$Y:$Y,Расходы!$A19)/1000000</f>
        <v>-0.0416666666666667</v>
      </c>
      <c r="F19" s="196" t="n">
        <f aca="false">-SUMIFS(Потребности!M:M,Потребности!$Y:$Y,Расходы!$A19)/1000000</f>
        <v>-0.0416666666666667</v>
      </c>
      <c r="G19" s="196" t="n">
        <f aca="false">-SUMIFS(Потребности!N:N,Потребности!$Y:$Y,Расходы!$A19)/1000000</f>
        <v>-0.0416666666666667</v>
      </c>
      <c r="H19" s="196" t="n">
        <f aca="false">-SUMIFS(Потребности!O:O,Потребности!$Y:$Y,Расходы!$A19)/1000000</f>
        <v>-0.0416666666666667</v>
      </c>
      <c r="I19" s="196" t="n">
        <f aca="false">-SUMIFS(Потребности!P:P,Потребности!$Y:$Y,Расходы!$A19)/1000000</f>
        <v>-0.0416666666666667</v>
      </c>
      <c r="J19" s="196" t="n">
        <f aca="false">-SUMIFS(Потребности!Q:Q,Потребности!$Y:$Y,Расходы!$A19)/1000000</f>
        <v>-0.0416666666666667</v>
      </c>
      <c r="K19" s="196" t="n">
        <f aca="false">-SUMIFS(Потребности!R:R,Потребности!$Y:$Y,Расходы!$A19)/1000000</f>
        <v>-0.0416666666666667</v>
      </c>
      <c r="L19" s="196" t="n">
        <f aca="false">-SUMIFS(Потребности!S:S,Потребности!$Y:$Y,Расходы!$A19)/1000000</f>
        <v>-0.0416666666666667</v>
      </c>
      <c r="M19" s="196" t="n">
        <f aca="false">-SUMIFS(Потребности!T:T,Потребности!$Y:$Y,Расходы!$A19)/1000000</f>
        <v>-0.0416666666666667</v>
      </c>
      <c r="N19" s="196" t="n">
        <f aca="false">-SUMIFS(Потребности!U:U,Потребности!$Y:$Y,Расходы!$A19)/1000000</f>
        <v>-0.0416666666666667</v>
      </c>
      <c r="O19" s="196" t="n">
        <f aca="false">SUM(C19:N19)</f>
        <v>-0.5</v>
      </c>
      <c r="P19" s="196" t="n">
        <v>-1.2</v>
      </c>
    </row>
    <row r="20" customFormat="false" ht="12.75" hidden="false" customHeight="false" outlineLevel="1" collapsed="false">
      <c r="A20" s="190" t="s">
        <v>97</v>
      </c>
      <c r="B20" s="195" t="s">
        <v>97</v>
      </c>
      <c r="C20" s="196" t="n">
        <v>0.2</v>
      </c>
      <c r="D20" s="196" t="n">
        <v>0.2</v>
      </c>
      <c r="E20" s="196" t="n">
        <v>0.2</v>
      </c>
      <c r="F20" s="196" t="n">
        <v>0.2</v>
      </c>
      <c r="G20" s="196" t="n">
        <v>0.2</v>
      </c>
      <c r="H20" s="196" t="n">
        <v>0.2</v>
      </c>
      <c r="I20" s="196" t="n">
        <v>0.2</v>
      </c>
      <c r="J20" s="196" t="n">
        <v>0.2</v>
      </c>
      <c r="K20" s="196" t="n">
        <v>0.2</v>
      </c>
      <c r="L20" s="196" t="n">
        <v>0.2</v>
      </c>
      <c r="M20" s="196" t="n">
        <v>0.2</v>
      </c>
      <c r="N20" s="196" t="n">
        <v>0.2</v>
      </c>
      <c r="O20" s="196" t="n">
        <f aca="false">SUM(C20:N20)</f>
        <v>2.4</v>
      </c>
      <c r="P20" s="196" t="n">
        <v>3</v>
      </c>
    </row>
    <row r="21" customFormat="false" ht="12.75" hidden="false" customHeight="false" outlineLevel="0" collapsed="false">
      <c r="A21" s="190"/>
      <c r="B21" s="193" t="s">
        <v>51</v>
      </c>
      <c r="C21" s="194" t="n">
        <f aca="false">SUM(C11:C20)</f>
        <v>-1.1561945499232</v>
      </c>
      <c r="D21" s="194" t="n">
        <f aca="false">SUM(D11:D20)</f>
        <v>-5.1511945499232</v>
      </c>
      <c r="E21" s="194" t="n">
        <f aca="false">SUM(E11:E20)</f>
        <v>-1.8032845499232</v>
      </c>
      <c r="F21" s="194" t="n">
        <f aca="false">SUM(F11:F20)</f>
        <v>-12.2532852199232</v>
      </c>
      <c r="G21" s="194" t="n">
        <f aca="false">SUM(G11:G20)</f>
        <v>-1.6682845499232</v>
      </c>
      <c r="H21" s="194" t="n">
        <f aca="false">SUM(H11:H20)</f>
        <v>-1.6632845499232</v>
      </c>
      <c r="I21" s="194" t="n">
        <f aca="false">SUM(I11:I20)</f>
        <v>-7.8032845499232</v>
      </c>
      <c r="J21" s="194" t="n">
        <f aca="false">SUM(J11:J20)</f>
        <v>-2.0029545499232</v>
      </c>
      <c r="K21" s="194" t="n">
        <f aca="false">SUM(K11:K20)</f>
        <v>-1.6682845499232</v>
      </c>
      <c r="L21" s="194" t="n">
        <f aca="false">SUM(L11:L20)</f>
        <v>-1.6632845499232</v>
      </c>
      <c r="M21" s="194" t="n">
        <f aca="false">SUM(M11:M20)</f>
        <v>-1.68150634062704</v>
      </c>
      <c r="N21" s="194" t="n">
        <f aca="false">SUM(N11:N20)</f>
        <v>-1.7715893986895</v>
      </c>
      <c r="O21" s="194" t="n">
        <f aca="false">SUM(C21:N21)</f>
        <v>-40.2864319085485</v>
      </c>
      <c r="P21" s="194" t="n">
        <f aca="false">SUM(P11:P20)</f>
        <v>-32.7</v>
      </c>
    </row>
    <row r="22" customFormat="false" ht="12.75" hidden="false" customHeight="false" outlineLevel="1" collapsed="false">
      <c r="A22" s="190" t="s">
        <v>98</v>
      </c>
      <c r="B22" s="195" t="s">
        <v>98</v>
      </c>
      <c r="C22" s="196" t="n">
        <f aca="false">-SUMIFS(Потребности!J:J,Потребности!$Y:$Y,Расходы!$A22)/1000000</f>
        <v>-0.675</v>
      </c>
      <c r="D22" s="196" t="n">
        <f aca="false">-SUMIFS(Потребности!K:K,Потребности!$Y:$Y,Расходы!$A22)/1000000</f>
        <v>-3.525</v>
      </c>
      <c r="E22" s="196" t="n">
        <f aca="false">-SUMIFS(Потребности!L:L,Потребности!$Y:$Y,Расходы!$A22)/1000000</f>
        <v>-4.25</v>
      </c>
      <c r="F22" s="196" t="n">
        <f aca="false">-SUMIFS(Потребности!M:M,Потребности!$Y:$Y,Расходы!$A22)/1000000</f>
        <v>-2.675</v>
      </c>
      <c r="G22" s="196" t="n">
        <f aca="false">-SUMIFS(Потребности!N:N,Потребности!$Y:$Y,Расходы!$A22)/1000000</f>
        <v>-0.875</v>
      </c>
      <c r="H22" s="196" t="n">
        <f aca="false">-SUMIFS(Потребности!O:O,Потребности!$Y:$Y,Расходы!$A22)/1000000</f>
        <v>-1.9</v>
      </c>
      <c r="I22" s="196" t="n">
        <f aca="false">-SUMIFS(Потребности!P:P,Потребности!$Y:$Y,Расходы!$A22)/1000000</f>
        <v>-4.675</v>
      </c>
      <c r="J22" s="196" t="n">
        <f aca="false">-SUMIFS(Потребности!Q:Q,Потребности!$Y:$Y,Расходы!$A22)/1000000</f>
        <v>-2.025</v>
      </c>
      <c r="K22" s="196" t="n">
        <f aca="false">-SUMIFS(Потребности!R:R,Потребности!$Y:$Y,Расходы!$A22)/1000000</f>
        <v>-3.45</v>
      </c>
      <c r="L22" s="196" t="n">
        <f aca="false">-SUMIFS(Потребности!S:S,Потребности!$Y:$Y,Расходы!$A22)/1000000</f>
        <v>-1.975</v>
      </c>
      <c r="M22" s="196" t="n">
        <f aca="false">-SUMIFS(Потребности!T:T,Потребности!$Y:$Y,Расходы!$A22)/1000000</f>
        <v>-5.875</v>
      </c>
      <c r="N22" s="196" t="n">
        <f aca="false">-SUMIFS(Потребности!U:U,Потребности!$Y:$Y,Расходы!$A22)/1000000</f>
        <v>-1.4</v>
      </c>
      <c r="O22" s="196" t="n">
        <f aca="false">SUM(C22:N22)</f>
        <v>-33.3</v>
      </c>
      <c r="P22" s="196" t="n">
        <v>-23.25</v>
      </c>
    </row>
    <row r="23" customFormat="false" ht="12.75" hidden="false" customHeight="false" outlineLevel="1" collapsed="false">
      <c r="A23" s="190" t="s">
        <v>99</v>
      </c>
      <c r="B23" s="195" t="s">
        <v>99</v>
      </c>
      <c r="C23" s="196" t="n">
        <f aca="false">-SUMIFS(Потребности!J:J,Потребности!$Y:$Y,Расходы!$A23)/1000000</f>
        <v>-0</v>
      </c>
      <c r="D23" s="196" t="n">
        <f aca="false">-SUMIFS(Потребности!K:K,Потребности!$Y:$Y,Расходы!$A23)/1000000</f>
        <v>-1.5</v>
      </c>
      <c r="E23" s="196" t="n">
        <f aca="false">-SUMIFS(Потребности!L:L,Потребности!$Y:$Y,Расходы!$A23)/1000000</f>
        <v>-0</v>
      </c>
      <c r="F23" s="196" t="n">
        <f aca="false">-SUMIFS(Потребности!M:M,Потребности!$Y:$Y,Расходы!$A23)/1000000</f>
        <v>-0</v>
      </c>
      <c r="G23" s="196" t="n">
        <f aca="false">-SUMIFS(Потребности!N:N,Потребности!$Y:$Y,Расходы!$A23)/1000000</f>
        <v>-0</v>
      </c>
      <c r="H23" s="196" t="n">
        <f aca="false">-SUMIFS(Потребности!O:O,Потребности!$Y:$Y,Расходы!$A23)/1000000</f>
        <v>-0.15</v>
      </c>
      <c r="I23" s="196" t="n">
        <f aca="false">-SUMIFS(Потребности!P:P,Потребности!$Y:$Y,Расходы!$A23)/1000000</f>
        <v>-0</v>
      </c>
      <c r="J23" s="196" t="n">
        <f aca="false">-SUMIFS(Потребности!Q:Q,Потребности!$Y:$Y,Расходы!$A23)/1000000</f>
        <v>-0</v>
      </c>
      <c r="K23" s="196" t="n">
        <f aca="false">-SUMIFS(Потребности!R:R,Потребности!$Y:$Y,Расходы!$A23)/1000000</f>
        <v>-0.15</v>
      </c>
      <c r="L23" s="196" t="n">
        <f aca="false">-SUMIFS(Потребности!S:S,Потребности!$Y:$Y,Расходы!$A23)/1000000</f>
        <v>-0</v>
      </c>
      <c r="M23" s="196" t="n">
        <f aca="false">-SUMIFS(Потребности!T:T,Потребности!$Y:$Y,Расходы!$A23)/1000000</f>
        <v>-0</v>
      </c>
      <c r="N23" s="196" t="n">
        <f aca="false">-SUMIFS(Потребности!U:U,Потребности!$Y:$Y,Расходы!$A23)/1000000</f>
        <v>-0</v>
      </c>
      <c r="O23" s="196" t="n">
        <f aca="false">SUM(C23:N23)</f>
        <v>-1.8</v>
      </c>
      <c r="P23" s="196" t="n">
        <v>-3.5</v>
      </c>
    </row>
    <row r="24" customFormat="false" ht="12.75" hidden="false" customHeight="false" outlineLevel="1" collapsed="false">
      <c r="A24" s="190" t="s">
        <v>100</v>
      </c>
      <c r="B24" s="195" t="s">
        <v>100</v>
      </c>
      <c r="C24" s="196" t="n">
        <f aca="false">-SUMIFS(Потребности!J:J,Потребности!$Y:$Y,Расходы!$A24)/1000000</f>
        <v>-1.1260256</v>
      </c>
      <c r="D24" s="196" t="n">
        <f aca="false">-SUMIFS(Потребности!K:K,Потребности!$Y:$Y,Расходы!$A24)/1000000</f>
        <v>-1.1260256</v>
      </c>
      <c r="E24" s="196" t="n">
        <f aca="false">-SUMIFS(Потребности!L:L,Потребности!$Y:$Y,Расходы!$A24)/1000000</f>
        <v>-1.1260256</v>
      </c>
      <c r="F24" s="196" t="n">
        <f aca="false">-SUMIFS(Потребности!M:M,Потребности!$Y:$Y,Расходы!$A24)/1000000</f>
        <v>-1.1260256</v>
      </c>
      <c r="G24" s="196" t="n">
        <f aca="false">-SUMIFS(Потребности!N:N,Потребности!$Y:$Y,Расходы!$A24)/1000000</f>
        <v>-1.1260256</v>
      </c>
      <c r="H24" s="196" t="n">
        <f aca="false">-SUMIFS(Потребности!O:O,Потребности!$Y:$Y,Расходы!$A24)/1000000</f>
        <v>-1.1260256</v>
      </c>
      <c r="I24" s="196" t="n">
        <f aca="false">-SUMIFS(Потребности!P:P,Потребности!$Y:$Y,Расходы!$A24)/1000000</f>
        <v>-1.4670104</v>
      </c>
      <c r="J24" s="196" t="n">
        <f aca="false">-SUMIFS(Потребности!Q:Q,Потребности!$Y:$Y,Расходы!$A24)/1000000</f>
        <v>-1.4670104</v>
      </c>
      <c r="K24" s="196" t="n">
        <f aca="false">-SUMIFS(Потребности!R:R,Потребности!$Y:$Y,Расходы!$A24)/1000000</f>
        <v>-1.4670104</v>
      </c>
      <c r="L24" s="196" t="n">
        <f aca="false">-SUMIFS(Потребности!S:S,Потребности!$Y:$Y,Расходы!$A24)/1000000</f>
        <v>-1.4670104</v>
      </c>
      <c r="M24" s="196" t="n">
        <f aca="false">-SUMIFS(Потребности!T:T,Потребности!$Y:$Y,Расходы!$A24)/1000000</f>
        <v>-1.4670104</v>
      </c>
      <c r="N24" s="196" t="n">
        <f aca="false">-SUMIFS(Потребности!U:U,Потребности!$Y:$Y,Расходы!$A24)/1000000</f>
        <v>-1.4670104</v>
      </c>
      <c r="O24" s="196" t="n">
        <f aca="false">SUM(C24:N24)</f>
        <v>-15.558216</v>
      </c>
      <c r="P24" s="196" t="n">
        <v>-8.3</v>
      </c>
    </row>
    <row r="25" customFormat="false" ht="12.75" hidden="false" customHeight="false" outlineLevel="1" collapsed="false">
      <c r="A25" s="190" t="s">
        <v>101</v>
      </c>
      <c r="B25" s="195" t="s">
        <v>101</v>
      </c>
      <c r="C25" s="196" t="n">
        <f aca="false">-SUMIFS(Потребности!J:J,Потребности!$Y:$Y,Расходы!$A25)/1000000</f>
        <v>-4.16666666666667</v>
      </c>
      <c r="D25" s="196" t="n">
        <f aca="false">-SUMIFS(Потребности!K:K,Потребности!$Y:$Y,Расходы!$A25)/1000000</f>
        <v>-4.16666666666667</v>
      </c>
      <c r="E25" s="196" t="n">
        <f aca="false">-SUMIFS(Потребности!L:L,Потребности!$Y:$Y,Расходы!$A25)/1000000</f>
        <v>-4.16666666666667</v>
      </c>
      <c r="F25" s="196" t="n">
        <f aca="false">-SUMIFS(Потребности!M:M,Потребности!$Y:$Y,Расходы!$A25)/1000000</f>
        <v>-4.16666666666667</v>
      </c>
      <c r="G25" s="196" t="n">
        <f aca="false">-SUMIFS(Потребности!N:N,Потребности!$Y:$Y,Расходы!$A25)/1000000</f>
        <v>-4.16666666666667</v>
      </c>
      <c r="H25" s="196" t="n">
        <f aca="false">-SUMIFS(Потребности!O:O,Потребности!$Y:$Y,Расходы!$A25)/1000000</f>
        <v>-4.16666666666667</v>
      </c>
      <c r="I25" s="196" t="n">
        <f aca="false">-SUMIFS(Потребности!P:P,Потребности!$Y:$Y,Расходы!$A25)/1000000</f>
        <v>-4.16666666666667</v>
      </c>
      <c r="J25" s="196" t="n">
        <f aca="false">-SUMIFS(Потребности!Q:Q,Потребности!$Y:$Y,Расходы!$A25)/1000000</f>
        <v>-4.16666666666667</v>
      </c>
      <c r="K25" s="196" t="n">
        <f aca="false">-SUMIFS(Потребности!R:R,Потребности!$Y:$Y,Расходы!$A25)/1000000</f>
        <v>-4.16666666666667</v>
      </c>
      <c r="L25" s="196" t="n">
        <f aca="false">-SUMIFS(Потребности!S:S,Потребности!$Y:$Y,Расходы!$A25)/1000000</f>
        <v>-4.16666666666667</v>
      </c>
      <c r="M25" s="196" t="n">
        <f aca="false">-SUMIFS(Потребности!T:T,Потребности!$Y:$Y,Расходы!$A25)/1000000</f>
        <v>-4.16666666666667</v>
      </c>
      <c r="N25" s="196" t="n">
        <f aca="false">-SUMIFS(Потребности!U:U,Потребности!$Y:$Y,Расходы!$A25)/1000000</f>
        <v>-4.16666666666667</v>
      </c>
      <c r="O25" s="196" t="n">
        <f aca="false">SUM(C25:N25)</f>
        <v>-50</v>
      </c>
      <c r="P25" s="196" t="n">
        <v>-20.2</v>
      </c>
    </row>
    <row r="26" customFormat="false" ht="12.75" hidden="false" customHeight="false" outlineLevel="1" collapsed="false">
      <c r="A26" s="190" t="s">
        <v>78</v>
      </c>
      <c r="B26" s="195" t="s">
        <v>78</v>
      </c>
      <c r="C26" s="196" t="n">
        <f aca="false">-SUMIFS(Потребности!J:J,Потребности!$Y:$Y,Расходы!$A26)/1000000</f>
        <v>-19.3792999412308</v>
      </c>
      <c r="D26" s="196" t="n">
        <f aca="false">-SUMIFS(Потребности!K:K,Потребности!$Y:$Y,Расходы!$A26)/1000000</f>
        <v>-51.6042936445303</v>
      </c>
      <c r="E26" s="196" t="n">
        <f aca="false">-SUMIFS(Потребности!L:L,Потребности!$Y:$Y,Расходы!$A26)/1000000</f>
        <v>-68.2777326169087</v>
      </c>
      <c r="F26" s="196" t="n">
        <f aca="false">-SUMIFS(Потребности!M:M,Потребности!$Y:$Y,Расходы!$A26)/1000000</f>
        <v>-71.584631349173</v>
      </c>
      <c r="G26" s="196" t="n">
        <f aca="false">-SUMIFS(Потребности!N:N,Потребности!$Y:$Y,Расходы!$A26)/1000000</f>
        <v>-72.2960314163378</v>
      </c>
      <c r="H26" s="196" t="n">
        <f aca="false">-SUMIFS(Потребности!O:O,Потребности!$Y:$Y,Расходы!$A26)/1000000</f>
        <v>-72.4094107967425</v>
      </c>
      <c r="I26" s="196" t="n">
        <f aca="false">-SUMIFS(Потребности!P:P,Потребности!$Y:$Y,Расходы!$A26)/1000000</f>
        <v>-72.3627251784065</v>
      </c>
      <c r="J26" s="196" t="n">
        <f aca="false">-SUMIFS(Потребности!Q:Q,Потребности!$Y:$Y,Расходы!$A26)/1000000</f>
        <v>-81.2329947107716</v>
      </c>
      <c r="K26" s="196" t="n">
        <f aca="false">-SUMIFS(Потребности!R:R,Потребности!$Y:$Y,Расходы!$A26)/1000000</f>
        <v>-78.6986319872387</v>
      </c>
      <c r="L26" s="196" t="n">
        <f aca="false">-SUMIFS(Потребности!S:S,Потребности!$Y:$Y,Расходы!$A26)/1000000</f>
        <v>-113.896261674083</v>
      </c>
      <c r="M26" s="196" t="n">
        <f aca="false">-SUMIFS(Потребности!T:T,Потребности!$Y:$Y,Расходы!$A26)/1000000</f>
        <v>-134.454611938544</v>
      </c>
      <c r="N26" s="196" t="n">
        <f aca="false">-SUMIFS(Потребности!U:U,Потребности!$Y:$Y,Расходы!$A26)/1000000</f>
        <v>-163.803374746033</v>
      </c>
      <c r="O26" s="196" t="n">
        <f aca="false">SUM(C26:N26)</f>
        <v>-1000</v>
      </c>
      <c r="P26" s="196" t="n">
        <v>-510.54</v>
      </c>
    </row>
    <row r="27" customFormat="false" ht="12.75" hidden="false" customHeight="false" outlineLevel="1" collapsed="false">
      <c r="A27" s="190" t="s">
        <v>79</v>
      </c>
      <c r="B27" s="195" t="s">
        <v>79</v>
      </c>
      <c r="C27" s="196" t="n">
        <f aca="false">-SUMIFS(Потребности!J:J,Потребности!$Y:$Y,Расходы!$A27)/1000000</f>
        <v>-4.24</v>
      </c>
      <c r="D27" s="196" t="n">
        <f aca="false">-SUMIFS(Потребности!K:K,Потребности!$Y:$Y,Расходы!$A27)/1000000</f>
        <v>-7.42</v>
      </c>
      <c r="E27" s="196" t="n">
        <f aca="false">-SUMIFS(Потребности!L:L,Потребности!$Y:$Y,Расходы!$A27)/1000000</f>
        <v>-14.31</v>
      </c>
      <c r="F27" s="196" t="n">
        <f aca="false">-SUMIFS(Потребности!M:M,Потребности!$Y:$Y,Расходы!$A27)/1000000</f>
        <v>-14.787</v>
      </c>
      <c r="G27" s="196" t="n">
        <f aca="false">-SUMIFS(Потребности!N:N,Потребности!$Y:$Y,Расходы!$A27)/1000000</f>
        <v>-15.105</v>
      </c>
      <c r="H27" s="196" t="n">
        <f aca="false">-SUMIFS(Потребности!O:O,Потребности!$Y:$Y,Расходы!$A27)/1000000</f>
        <v>-15.9</v>
      </c>
      <c r="I27" s="196" t="n">
        <f aca="false">-SUMIFS(Потребности!P:P,Потребности!$Y:$Y,Расходы!$A27)/1000000</f>
        <v>-15.9</v>
      </c>
      <c r="J27" s="196" t="n">
        <f aca="false">-SUMIFS(Потребности!Q:Q,Потребности!$Y:$Y,Расходы!$A27)/1000000</f>
        <v>-17.013</v>
      </c>
      <c r="K27" s="196" t="n">
        <f aca="false">-SUMIFS(Потребности!R:R,Потребности!$Y:$Y,Расходы!$A27)/1000000</f>
        <v>-17.013</v>
      </c>
      <c r="L27" s="196" t="n">
        <f aca="false">-SUMIFS(Потребности!S:S,Потребности!$Y:$Y,Расходы!$A27)/1000000</f>
        <v>-17.013</v>
      </c>
      <c r="M27" s="196" t="n">
        <f aca="false">-SUMIFS(Потребности!T:T,Потребности!$Y:$Y,Расходы!$A27)/1000000</f>
        <v>-18.285</v>
      </c>
      <c r="N27" s="196" t="n">
        <f aca="false">-SUMIFS(Потребности!U:U,Потребности!$Y:$Y,Расходы!$A27)/1000000</f>
        <v>-19.08</v>
      </c>
      <c r="O27" s="196" t="n">
        <f aca="false">SUM(C27:N27)</f>
        <v>-176.066</v>
      </c>
      <c r="P27" s="196" t="n">
        <v>-15.6</v>
      </c>
    </row>
    <row r="28" customFormat="false" ht="12.75" hidden="false" customHeight="false" outlineLevel="1" collapsed="false">
      <c r="A28" s="190" t="s">
        <v>80</v>
      </c>
      <c r="B28" s="195" t="s">
        <v>80</v>
      </c>
      <c r="C28" s="196" t="n">
        <f aca="false">-SUMIFS(Потребности!J:J,Потребности!$Y:$Y,Расходы!$A28)/1000000</f>
        <v>-66.25</v>
      </c>
      <c r="D28" s="196" t="n">
        <f aca="false">-SUMIFS(Потребности!K:K,Потребности!$Y:$Y,Расходы!$A28)/1000000</f>
        <v>-66.25</v>
      </c>
      <c r="E28" s="196" t="n">
        <f aca="false">-SUMIFS(Потребности!L:L,Потребности!$Y:$Y,Расходы!$A28)/1000000</f>
        <v>-66.25</v>
      </c>
      <c r="F28" s="196" t="n">
        <f aca="false">-SUMIFS(Потребности!M:M,Потребности!$Y:$Y,Расходы!$A28)/1000000</f>
        <v>-66.25</v>
      </c>
      <c r="G28" s="196" t="n">
        <f aca="false">-SUMIFS(Потребности!N:N,Потребности!$Y:$Y,Расходы!$A28)/1000000</f>
        <v>-66.25</v>
      </c>
      <c r="H28" s="196" t="n">
        <f aca="false">-SUMIFS(Потребности!O:O,Потребности!$Y:$Y,Расходы!$A28)/1000000</f>
        <v>-66.25</v>
      </c>
      <c r="I28" s="196" t="n">
        <f aca="false">-SUMIFS(Потребности!P:P,Потребности!$Y:$Y,Расходы!$A28)/1000000</f>
        <v>-66.25</v>
      </c>
      <c r="J28" s="196" t="n">
        <f aca="false">-SUMIFS(Потребности!Q:Q,Потребности!$Y:$Y,Расходы!$A28)/1000000</f>
        <v>-66.25</v>
      </c>
      <c r="K28" s="196" t="n">
        <f aca="false">-SUMIFS(Потребности!R:R,Потребности!$Y:$Y,Расходы!$A28)/1000000</f>
        <v>-66.25</v>
      </c>
      <c r="L28" s="196" t="n">
        <f aca="false">-SUMIFS(Потребности!S:S,Потребности!$Y:$Y,Расходы!$A28)/1000000</f>
        <v>-66.25</v>
      </c>
      <c r="M28" s="196" t="n">
        <f aca="false">-SUMIFS(Потребности!T:T,Потребности!$Y:$Y,Расходы!$A28)/1000000</f>
        <v>-66.25</v>
      </c>
      <c r="N28" s="196" t="n">
        <f aca="false">-SUMIFS(Потребности!U:U,Потребности!$Y:$Y,Расходы!$A28)/1000000</f>
        <v>-66.25</v>
      </c>
      <c r="O28" s="196" t="n">
        <f aca="false">SUM(C28:N28)</f>
        <v>-795</v>
      </c>
      <c r="P28" s="196" t="n">
        <v>-354.4</v>
      </c>
    </row>
    <row r="29" customFormat="false" ht="12.75" hidden="false" customHeight="false" outlineLevel="0" collapsed="false">
      <c r="A29" s="190"/>
      <c r="B29" s="193" t="s">
        <v>52</v>
      </c>
      <c r="C29" s="194" t="n">
        <f aca="false">SUM(C22:C28)</f>
        <v>-95.8369922078975</v>
      </c>
      <c r="D29" s="194" t="n">
        <f aca="false">SUM(D22:D28)</f>
        <v>-135.591985911197</v>
      </c>
      <c r="E29" s="194" t="n">
        <f aca="false">SUM(E22:E28)</f>
        <v>-158.380424883575</v>
      </c>
      <c r="F29" s="194" t="n">
        <f aca="false">SUM(F22:F28)</f>
        <v>-160.58932361584</v>
      </c>
      <c r="G29" s="194" t="n">
        <f aca="false">SUM(G22:G28)</f>
        <v>-159.818723683005</v>
      </c>
      <c r="H29" s="194" t="n">
        <f aca="false">SUM(H22:H28)</f>
        <v>-161.902103063409</v>
      </c>
      <c r="I29" s="194" t="n">
        <f aca="false">SUM(I22:I28)</f>
        <v>-164.821402245073</v>
      </c>
      <c r="J29" s="194" t="n">
        <f aca="false">SUM(J22:J28)</f>
        <v>-172.154671777438</v>
      </c>
      <c r="K29" s="194" t="n">
        <f aca="false">SUM(K22:K28)</f>
        <v>-171.195309053905</v>
      </c>
      <c r="L29" s="194" t="n">
        <f aca="false">SUM(L22:L28)</f>
        <v>-204.767938740749</v>
      </c>
      <c r="M29" s="194" t="n">
        <f aca="false">SUM(M22:M28)</f>
        <v>-230.498289005211</v>
      </c>
      <c r="N29" s="194" t="n">
        <f aca="false">SUM(N22:N28)</f>
        <v>-256.1670518127</v>
      </c>
      <c r="O29" s="194" t="n">
        <f aca="false">SUM(C29:N29)</f>
        <v>-2071.724216</v>
      </c>
      <c r="P29" s="194" t="n">
        <f aca="false">SUM(P22:P26)</f>
        <v>-565.79</v>
      </c>
    </row>
    <row r="30" customFormat="false" ht="12.75" hidden="false" customHeight="false" outlineLevel="1" collapsed="false">
      <c r="A30" s="190" t="s">
        <v>54</v>
      </c>
      <c r="B30" s="195" t="s">
        <v>102</v>
      </c>
      <c r="C30" s="196" t="n">
        <f aca="false">-SUMIFS(Потребности!J:J,Потребности!$Y:$Y,Расходы!$A30)/1000000</f>
        <v>-6.44907272921417</v>
      </c>
      <c r="D30" s="196" t="n">
        <f aca="false">-SUMIFS(Потребности!K:K,Потребности!$Y:$Y,Расходы!$A30)/1000000</f>
        <v>-6.44907272921417</v>
      </c>
      <c r="E30" s="196" t="n">
        <f aca="false">-SUMIFS(Потребности!L:L,Потребности!$Y:$Y,Расходы!$A30)/1000000</f>
        <v>-6.84907272921417</v>
      </c>
      <c r="F30" s="196" t="n">
        <f aca="false">-SUMIFS(Потребности!M:M,Потребности!$Y:$Y,Расходы!$A30)/1000000</f>
        <v>-6.64907272921417</v>
      </c>
      <c r="G30" s="196" t="n">
        <f aca="false">-SUMIFS(Потребности!N:N,Потребности!$Y:$Y,Расходы!$A30)/1000000</f>
        <v>-7.14907272921417</v>
      </c>
      <c r="H30" s="196" t="n">
        <f aca="false">-SUMIFS(Потребности!O:O,Потребности!$Y:$Y,Расходы!$A30)/1000000</f>
        <v>-7.09957968014875</v>
      </c>
      <c r="I30" s="196" t="n">
        <f aca="false">-SUMIFS(Потребности!P:P,Потребности!$Y:$Y,Расходы!$A30)/1000000</f>
        <v>-7.04200677321728</v>
      </c>
      <c r="J30" s="196" t="n">
        <f aca="false">-SUMIFS(Потребности!Q:Q,Потребности!$Y:$Y,Расходы!$A30)/1000000</f>
        <v>-7.30994301384494</v>
      </c>
      <c r="K30" s="196" t="n">
        <f aca="false">-SUMIFS(Потребности!R:R,Потребности!$Y:$Y,Расходы!$A30)/1000000</f>
        <v>-8.82134158688551</v>
      </c>
      <c r="L30" s="196" t="n">
        <f aca="false">-SUMIFS(Потребности!S:S,Потребности!$Y:$Y,Расходы!$A30)/1000000</f>
        <v>-9.42744069455684</v>
      </c>
      <c r="M30" s="196" t="n">
        <f aca="false">-SUMIFS(Потребности!T:T,Потребности!$Y:$Y,Расходы!$A30)/1000000</f>
        <v>-9.42744069455684</v>
      </c>
      <c r="N30" s="196" t="n">
        <f aca="false">-SUMIFS(Потребности!U:U,Потребности!$Y:$Y,Расходы!$A30)/1000000</f>
        <v>-9.42744069455684</v>
      </c>
      <c r="O30" s="196" t="n">
        <f aca="false">SUM(C30:N30)</f>
        <v>-92.1005567838379</v>
      </c>
      <c r="P30" s="196" t="n">
        <v>-58.6</v>
      </c>
    </row>
    <row r="31" customFormat="false" ht="12.75" hidden="false" customHeight="false" outlineLevel="0" collapsed="false">
      <c r="A31" s="190"/>
      <c r="B31" s="193" t="s">
        <v>54</v>
      </c>
      <c r="C31" s="194" t="n">
        <f aca="false">SUM(C30)</f>
        <v>-6.44907272921417</v>
      </c>
      <c r="D31" s="194" t="n">
        <f aca="false">SUM(D30)</f>
        <v>-6.44907272921417</v>
      </c>
      <c r="E31" s="194" t="n">
        <f aca="false">SUM(E30)</f>
        <v>-6.84907272921417</v>
      </c>
      <c r="F31" s="194" t="n">
        <f aca="false">SUM(F30)</f>
        <v>-6.64907272921417</v>
      </c>
      <c r="G31" s="194" t="n">
        <f aca="false">SUM(G30)</f>
        <v>-7.14907272921417</v>
      </c>
      <c r="H31" s="194" t="n">
        <f aca="false">SUM(H30)</f>
        <v>-7.09957968014875</v>
      </c>
      <c r="I31" s="194" t="n">
        <f aca="false">SUM(I30)</f>
        <v>-7.04200677321728</v>
      </c>
      <c r="J31" s="194" t="n">
        <f aca="false">SUM(J30)</f>
        <v>-7.30994301384494</v>
      </c>
      <c r="K31" s="194" t="n">
        <f aca="false">SUM(K30)</f>
        <v>-8.82134158688551</v>
      </c>
      <c r="L31" s="194" t="n">
        <f aca="false">SUM(L30)</f>
        <v>-9.42744069455684</v>
      </c>
      <c r="M31" s="194" t="n">
        <f aca="false">SUM(M30)</f>
        <v>-9.42744069455684</v>
      </c>
      <c r="N31" s="194" t="n">
        <f aca="false">SUM(N30)</f>
        <v>-9.42744069455684</v>
      </c>
      <c r="O31" s="194" t="n">
        <f aca="false">SUM(C31:N31)</f>
        <v>-92.1005567838379</v>
      </c>
      <c r="P31" s="194" t="n">
        <f aca="false">P30</f>
        <v>-58.6</v>
      </c>
    </row>
    <row r="32" customFormat="false" ht="12.75" hidden="false" customHeight="false" outlineLevel="1" collapsed="false">
      <c r="A32" s="190" t="s">
        <v>103</v>
      </c>
      <c r="B32" s="195" t="s">
        <v>103</v>
      </c>
      <c r="C32" s="196" t="n">
        <f aca="false">-SUMIFS(Потребности!J:J,Потребности!$Y:$Y,Расходы!$A32)</f>
        <v>-0</v>
      </c>
      <c r="D32" s="196" t="n">
        <f aca="false">-SUMIFS(Потребности!K:K,Потребности!$Y:$Y,Расходы!$A32)</f>
        <v>-0</v>
      </c>
      <c r="E32" s="196" t="n">
        <f aca="false">-SUMIFS(Потребности!L:L,Потребности!$Y:$Y,Расходы!$A32)</f>
        <v>-0</v>
      </c>
      <c r="F32" s="196" t="n">
        <f aca="false">-SUMIFS(Потребности!M:M,Потребности!$Y:$Y,Расходы!$A32)</f>
        <v>-0</v>
      </c>
      <c r="G32" s="196" t="n">
        <f aca="false">-SUMIFS(Потребности!N:N,Потребности!$Y:$Y,Расходы!$A32)</f>
        <v>-0</v>
      </c>
      <c r="H32" s="196" t="n">
        <f aca="false">-SUMIFS(Потребности!O:O,Потребности!$Y:$Y,Расходы!$A32)</f>
        <v>-0</v>
      </c>
      <c r="I32" s="196" t="n">
        <f aca="false">-SUMIFS(Потребности!P:P,Потребности!$Y:$Y,Расходы!$A32)</f>
        <v>-0</v>
      </c>
      <c r="J32" s="196" t="n">
        <f aca="false">-SUMIFS(Потребности!Q:Q,Потребности!$Y:$Y,Расходы!$A32)</f>
        <v>-0</v>
      </c>
      <c r="K32" s="196" t="n">
        <f aca="false">-SUMIFS(Потребности!R:R,Потребности!$Y:$Y,Расходы!$A32)</f>
        <v>-0</v>
      </c>
      <c r="L32" s="196" t="n">
        <f aca="false">-SUMIFS(Потребности!S:S,Потребности!$Y:$Y,Расходы!$A32)</f>
        <v>-0</v>
      </c>
      <c r="M32" s="196" t="n">
        <f aca="false">-SUMIFS(Потребности!T:T,Потребности!$Y:$Y,Расходы!$A32)</f>
        <v>-0</v>
      </c>
      <c r="N32" s="196" t="n">
        <f aca="false">-SUMIFS(Потребности!U:U,Потребности!$Y:$Y,Расходы!$A32)</f>
        <v>-0</v>
      </c>
      <c r="O32" s="196" t="n">
        <f aca="false">SUM(C32:N32)</f>
        <v>0</v>
      </c>
      <c r="P32" s="196" t="n">
        <v>0</v>
      </c>
    </row>
    <row r="33" customFormat="false" ht="12.75" hidden="false" customHeight="false" outlineLevel="1" collapsed="false">
      <c r="A33" s="190" t="s">
        <v>104</v>
      </c>
      <c r="B33" s="195" t="s">
        <v>104</v>
      </c>
      <c r="C33" s="196" t="n">
        <v>-0.313333333333333</v>
      </c>
      <c r="D33" s="196" t="n">
        <v>-0.313333333333333</v>
      </c>
      <c r="E33" s="196" t="n">
        <v>-0.313333333333333</v>
      </c>
      <c r="F33" s="196" t="n">
        <v>-0.313333333333333</v>
      </c>
      <c r="G33" s="196" t="n">
        <v>-0.313333333333333</v>
      </c>
      <c r="H33" s="196" t="n">
        <v>-0.313333333333333</v>
      </c>
      <c r="I33" s="196" t="n">
        <v>-0.313333333333333</v>
      </c>
      <c r="J33" s="196" t="n">
        <v>-0.313333333333333</v>
      </c>
      <c r="K33" s="196" t="n">
        <v>-0.313333333333333</v>
      </c>
      <c r="L33" s="196" t="n">
        <v>-0.313333333333333</v>
      </c>
      <c r="M33" s="196" t="n">
        <v>-0.313333333333333</v>
      </c>
      <c r="N33" s="196" t="n">
        <v>-0.313333333333333</v>
      </c>
      <c r="O33" s="196" t="n">
        <f aca="false">SUM(C33:N33)</f>
        <v>-3.76</v>
      </c>
      <c r="P33" s="196" t="n">
        <v>-5</v>
      </c>
    </row>
    <row r="34" customFormat="false" ht="12.75" hidden="false" customHeight="false" outlineLevel="1" collapsed="false">
      <c r="A34" s="190" t="s">
        <v>105</v>
      </c>
      <c r="B34" s="195" t="s">
        <v>105</v>
      </c>
      <c r="C34" s="196" t="n">
        <f aca="false">-('APP Медиа'!C54+'APP Перформанс'!C24+'Content factory'!C31+DMP!C9+DMP!C20+'In-store'!C28)*0.7%</f>
        <v>-1.92025113760494</v>
      </c>
      <c r="D34" s="196" t="n">
        <f aca="false">-('APP Медиа'!D54+'APP Перформанс'!D24+'Content factory'!D31+DMP!D9+DMP!D20+'In-store'!D28)*0.7%</f>
        <v>-4.80065910714291</v>
      </c>
      <c r="E34" s="196" t="n">
        <f aca="false">-('APP Медиа'!E54+'APP Перформанс'!E24+'Content factory'!E31+DMP!E9+DMP!E20+'In-store'!E28)*0.7%</f>
        <v>-6.72087898161732</v>
      </c>
      <c r="F34" s="196" t="n">
        <f aca="false">-('APP Медиа'!F54+'APP Перформанс'!F24+'Content factory'!F31+DMP!F9+DMP!F20+'In-store'!F28)*0.7%</f>
        <v>-6.72078519222565</v>
      </c>
      <c r="G34" s="196" t="n">
        <f aca="false">-('APP Медиа'!G54+'APP Перформанс'!G24+'Content factory'!G31+DMP!G9+DMP!G20+'In-store'!G28)*0.7%</f>
        <v>-6.72087898161733</v>
      </c>
      <c r="H34" s="196" t="n">
        <f aca="false">-('APP Медиа'!H54+'APP Перформанс'!H24+'Content factory'!H31+DMP!H9+DMP!H20+'In-store'!H28)*0.7%</f>
        <v>-6.72087898161732</v>
      </c>
      <c r="I34" s="196" t="n">
        <f aca="false">-('APP Медиа'!I54+'APP Перформанс'!I24+'Content factory'!I31+DMP!I9+DMP!I20+'In-store'!I28)*0.7%</f>
        <v>-6.72087898161732</v>
      </c>
      <c r="J34" s="196" t="n">
        <f aca="false">-('APP Медиа'!J54+'APP Перформанс'!J24+'Content factory'!J31+DMP!J9+DMP!J20+'In-store'!J28)*0.7%</f>
        <v>-7.680848234767</v>
      </c>
      <c r="K34" s="196" t="n">
        <f aca="false">-('APP Медиа'!K54+'APP Перформанс'!K24+'Content factory'!K31+DMP!K9+DMP!K20+'In-store'!K28)*0.7%</f>
        <v>-7.68084823476702</v>
      </c>
      <c r="L34" s="196" t="n">
        <f aca="false">-('APP Медиа'!L54+'APP Перформанс'!L24+'Content factory'!L31+DMP!L9+DMP!L20+'In-store'!L28)*0.7%</f>
        <v>-10.5613812568272</v>
      </c>
      <c r="M34" s="196" t="n">
        <f aca="false">-('APP Медиа'!M54+'APP Перформанс'!M24+'Content factory'!M31+DMP!M9+DMP!M20+'In-store'!M28)*0.7%</f>
        <v>-13.4417579632346</v>
      </c>
      <c r="N34" s="196" t="n">
        <f aca="false">-('APP Медиа'!N54+'APP Перформанс'!N24+'Content factory'!N31+DMP!N9+DMP!N20+'In-store'!N28)*0.7%</f>
        <v>-16.322134669642</v>
      </c>
      <c r="O34" s="196" t="n">
        <f aca="false">SUM(C34:N34)</f>
        <v>-96.0121817226806</v>
      </c>
      <c r="P34" s="196" t="n">
        <v>-80.7</v>
      </c>
    </row>
    <row r="35" customFormat="false" ht="12.75" hidden="false" customHeight="false" outlineLevel="1" collapsed="false">
      <c r="A35" s="190" t="s">
        <v>499</v>
      </c>
      <c r="B35" s="195" t="s">
        <v>106</v>
      </c>
      <c r="C35" s="196" t="n">
        <v>-0.0858333333333333</v>
      </c>
      <c r="D35" s="196" t="n">
        <v>-0.0858333333333333</v>
      </c>
      <c r="E35" s="196" t="n">
        <v>-0.0858333333333333</v>
      </c>
      <c r="F35" s="196" t="n">
        <v>-0.0858333333333333</v>
      </c>
      <c r="G35" s="196" t="n">
        <v>-0.0858333333333333</v>
      </c>
      <c r="H35" s="196" t="n">
        <v>-0.0858333333333333</v>
      </c>
      <c r="I35" s="196" t="n">
        <v>-0.0858333333333333</v>
      </c>
      <c r="J35" s="196" t="n">
        <v>-0.0858333333333333</v>
      </c>
      <c r="K35" s="196" t="n">
        <v>-0.0858333333333333</v>
      </c>
      <c r="L35" s="196" t="n">
        <v>-0.0858333333333333</v>
      </c>
      <c r="M35" s="196" t="n">
        <v>-0.0858333333333333</v>
      </c>
      <c r="N35" s="196" t="n">
        <v>-0.0858333333333333</v>
      </c>
      <c r="O35" s="196" t="n">
        <f aca="false">SUM(C35:N35)</f>
        <v>-1.03</v>
      </c>
      <c r="P35" s="196" t="n">
        <v>-2.6</v>
      </c>
    </row>
    <row r="36" customFormat="false" ht="12.75" hidden="false" customHeight="false" outlineLevel="1" collapsed="false">
      <c r="A36" s="190" t="s">
        <v>499</v>
      </c>
      <c r="B36" s="195" t="s">
        <v>107</v>
      </c>
      <c r="C36" s="196" t="n">
        <v>-0.06</v>
      </c>
      <c r="D36" s="196" t="n">
        <v>-0.06</v>
      </c>
      <c r="E36" s="196" t="n">
        <v>-0.06</v>
      </c>
      <c r="F36" s="196" t="n">
        <v>-0.06</v>
      </c>
      <c r="G36" s="196" t="n">
        <v>-0.06</v>
      </c>
      <c r="H36" s="196" t="n">
        <v>-0.06</v>
      </c>
      <c r="I36" s="196" t="n">
        <v>-0.06</v>
      </c>
      <c r="J36" s="196" t="n">
        <v>-0.06</v>
      </c>
      <c r="K36" s="196" t="n">
        <v>-0.06</v>
      </c>
      <c r="L36" s="196" t="n">
        <v>-0.06</v>
      </c>
      <c r="M36" s="196" t="n">
        <v>-0.06</v>
      </c>
      <c r="N36" s="196" t="n">
        <v>-0.06</v>
      </c>
      <c r="O36" s="196" t="n">
        <f aca="false">SUM(C36:N36)</f>
        <v>-0.72</v>
      </c>
      <c r="P36" s="196" t="n">
        <v>-1.9</v>
      </c>
    </row>
    <row r="37" customFormat="false" ht="12.75" hidden="false" customHeight="false" outlineLevel="1" collapsed="false">
      <c r="A37" s="190" t="s">
        <v>499</v>
      </c>
      <c r="B37" s="195" t="s">
        <v>108</v>
      </c>
      <c r="C37" s="196" t="n">
        <v>-0.02</v>
      </c>
      <c r="D37" s="196" t="n">
        <v>-0.02</v>
      </c>
      <c r="E37" s="196" t="n">
        <v>-0.02</v>
      </c>
      <c r="F37" s="196" t="n">
        <v>-0.02</v>
      </c>
      <c r="G37" s="196" t="n">
        <v>-0.02</v>
      </c>
      <c r="H37" s="196" t="n">
        <v>-0.02</v>
      </c>
      <c r="I37" s="196" t="n">
        <v>-0.02</v>
      </c>
      <c r="J37" s="196" t="n">
        <v>-0.02</v>
      </c>
      <c r="K37" s="196" t="n">
        <v>-0.02</v>
      </c>
      <c r="L37" s="196" t="n">
        <v>-0.02</v>
      </c>
      <c r="M37" s="196" t="n">
        <v>-0.02</v>
      </c>
      <c r="N37" s="196" t="n">
        <v>-0.02</v>
      </c>
      <c r="O37" s="196" t="n">
        <f aca="false">SUM(C37:N37)</f>
        <v>-0.24</v>
      </c>
      <c r="P37" s="196" t="n">
        <v>-0.2</v>
      </c>
    </row>
    <row r="38" customFormat="false" ht="12.75" hidden="false" customHeight="false" outlineLevel="1" collapsed="false">
      <c r="A38" s="190" t="s">
        <v>109</v>
      </c>
      <c r="B38" s="195" t="s">
        <v>109</v>
      </c>
      <c r="C38" s="196" t="n">
        <v>-0.0458333333333333</v>
      </c>
      <c r="D38" s="196" t="n">
        <v>-0.0458333333333333</v>
      </c>
      <c r="E38" s="196" t="n">
        <v>-0.0458333333333333</v>
      </c>
      <c r="F38" s="196" t="n">
        <v>-0.0458333333333333</v>
      </c>
      <c r="G38" s="196" t="n">
        <v>-0.0458333333333333</v>
      </c>
      <c r="H38" s="196" t="n">
        <v>-0.0458333333333333</v>
      </c>
      <c r="I38" s="196" t="n">
        <v>-0.0458333333333333</v>
      </c>
      <c r="J38" s="196" t="n">
        <v>-0.0458333333333333</v>
      </c>
      <c r="K38" s="196" t="n">
        <v>-0.0458333333333333</v>
      </c>
      <c r="L38" s="196" t="n">
        <v>-0.0458333333333333</v>
      </c>
      <c r="M38" s="196" t="n">
        <v>-0.0458333333333333</v>
      </c>
      <c r="N38" s="196" t="n">
        <v>-0.0458333333333333</v>
      </c>
      <c r="O38" s="196" t="n">
        <f aca="false">SUM(C38:N38)</f>
        <v>-0.55</v>
      </c>
      <c r="P38" s="196" t="n">
        <v>-0.7</v>
      </c>
    </row>
    <row r="39" customFormat="false" ht="12.75" hidden="false" customHeight="false" outlineLevel="1" collapsed="false">
      <c r="A39" s="190" t="s">
        <v>110</v>
      </c>
      <c r="B39" s="195" t="s">
        <v>110</v>
      </c>
      <c r="C39" s="196" t="n">
        <v>0</v>
      </c>
      <c r="D39" s="196" t="n">
        <v>0</v>
      </c>
      <c r="E39" s="196" t="n">
        <v>0</v>
      </c>
      <c r="F39" s="196" t="n">
        <v>0</v>
      </c>
      <c r="G39" s="196" t="n">
        <v>0</v>
      </c>
      <c r="H39" s="196" t="n">
        <v>0</v>
      </c>
      <c r="I39" s="196" t="n">
        <v>0</v>
      </c>
      <c r="J39" s="196" t="n">
        <v>0</v>
      </c>
      <c r="K39" s="196" t="n">
        <v>0</v>
      </c>
      <c r="L39" s="196" t="n">
        <v>0</v>
      </c>
      <c r="M39" s="196" t="n">
        <v>0</v>
      </c>
      <c r="N39" s="196" t="n">
        <v>0</v>
      </c>
      <c r="O39" s="196" t="n">
        <f aca="false">SUM(C39:N39)</f>
        <v>0</v>
      </c>
      <c r="P39" s="196" t="n">
        <v>-0.5</v>
      </c>
    </row>
    <row r="40" customFormat="false" ht="12.75" hidden="false" customHeight="false" outlineLevel="0" collapsed="false">
      <c r="A40" s="190"/>
      <c r="B40" s="193" t="s">
        <v>53</v>
      </c>
      <c r="C40" s="194" t="n">
        <f aca="false">SUM(C32:C39)</f>
        <v>-2.44525113760494</v>
      </c>
      <c r="D40" s="194" t="n">
        <f aca="false">SUM(D32:D39)</f>
        <v>-5.32565910714291</v>
      </c>
      <c r="E40" s="194" t="n">
        <f aca="false">SUM(E32:E39)</f>
        <v>-7.24587898161732</v>
      </c>
      <c r="F40" s="194" t="n">
        <f aca="false">SUM(F32:F39)</f>
        <v>-7.24578519222565</v>
      </c>
      <c r="G40" s="194" t="n">
        <f aca="false">SUM(G32:G39)</f>
        <v>-7.24587898161733</v>
      </c>
      <c r="H40" s="194" t="n">
        <f aca="false">SUM(H32:H39)</f>
        <v>-7.24587898161732</v>
      </c>
      <c r="I40" s="194" t="n">
        <f aca="false">SUM(I32:I39)</f>
        <v>-7.24587898161732</v>
      </c>
      <c r="J40" s="194" t="n">
        <f aca="false">SUM(J32:J39)</f>
        <v>-8.205848234767</v>
      </c>
      <c r="K40" s="194" t="n">
        <f aca="false">SUM(K32:K39)</f>
        <v>-8.20584823476702</v>
      </c>
      <c r="L40" s="194" t="n">
        <f aca="false">SUM(L32:L39)</f>
        <v>-11.0863812568272</v>
      </c>
      <c r="M40" s="194" t="n">
        <f aca="false">SUM(M32:M39)</f>
        <v>-13.9667579632346</v>
      </c>
      <c r="N40" s="194" t="n">
        <f aca="false">SUM(N32:N39)</f>
        <v>-16.847134669642</v>
      </c>
      <c r="O40" s="194" t="n">
        <f aca="false">SUM(C40:N40)</f>
        <v>-102.312181722681</v>
      </c>
      <c r="P40" s="194" t="n">
        <f aca="false">SUM(P32:P39)</f>
        <v>-91.6</v>
      </c>
    </row>
    <row r="41" customFormat="false" ht="12.75" hidden="false" customHeight="false" outlineLevel="0" collapsed="false">
      <c r="A41" s="190"/>
      <c r="B41" s="197" t="s">
        <v>55</v>
      </c>
      <c r="C41" s="198" t="n">
        <f aca="false">SUM(C31,C29,C21,C10,C40)</f>
        <v>-219.851557477061</v>
      </c>
      <c r="D41" s="198" t="n">
        <f aca="false">SUM(D31,D29,D21,D10,D40)</f>
        <v>-268.624076725267</v>
      </c>
      <c r="E41" s="198" t="n">
        <f aca="false">SUM(E31,E29,E21,E10,E40)</f>
        <v>-290.989230421199</v>
      </c>
      <c r="F41" s="198" t="n">
        <f aca="false">SUM(F31,F29,F21,F10,F40)</f>
        <v>-305.400309730264</v>
      </c>
      <c r="G41" s="198" t="n">
        <f aca="false">SUM(G31,G29,G21,G10,G40)</f>
        <v>-296.760009144147</v>
      </c>
      <c r="H41" s="198" t="n">
        <f aca="false">SUM(H31,H29,H21,H10,H40)</f>
        <v>-295.749448026464</v>
      </c>
      <c r="I41" s="198" t="n">
        <f aca="false">SUM(I31,I29,I21,I10,I40)</f>
        <v>-307.696651594742</v>
      </c>
      <c r="J41" s="198" t="n">
        <f aca="false">SUM(J31,J29,J21,J10,J40)</f>
        <v>-292.557037020681</v>
      </c>
      <c r="K41" s="198" t="n">
        <f aca="false">SUM(K31,K29,K21,K10,K40)</f>
        <v>-309.735762807163</v>
      </c>
      <c r="L41" s="198" t="n">
        <f aca="false">SUM(L31,L29,L21,L10,L40)</f>
        <v>-354.9140173195</v>
      </c>
      <c r="M41" s="198" t="n">
        <f aca="false">SUM(M31,M29,M21,M10,M40)</f>
        <v>-383.591861193039</v>
      </c>
      <c r="N41" s="198" t="n">
        <f aca="false">SUM(N31,N29,N21,N10,N40)</f>
        <v>-416.916361555509</v>
      </c>
      <c r="O41" s="198" t="n">
        <f aca="false">SUM(C41:N41)</f>
        <v>-3742.78632301504</v>
      </c>
      <c r="P41" s="198" t="n">
        <f aca="false">SUM(P31,P29,P21,P10,P40)</f>
        <v>-1868.76144</v>
      </c>
    </row>
    <row r="42" customFormat="false" ht="12.75" hidden="false" customHeight="false" outlineLevel="1" collapsed="false">
      <c r="A42" s="190" t="s">
        <v>500</v>
      </c>
      <c r="B42" s="195" t="s">
        <v>500</v>
      </c>
      <c r="C42" s="196" t="n">
        <f aca="false">-SUMIFS(Потребности!J:J,Потребности!$Y:$Y,Расходы!$A42)/1000000-PEX!BG$16/1000000</f>
        <v>-42.4589221570622</v>
      </c>
      <c r="D42" s="196" t="n">
        <f aca="false">-SUMIFS(Потребности!K:K,Потребности!$Y:$Y,Расходы!$A42)/1000000-PEX!BH$16/1000000</f>
        <v>-43.0455801144657</v>
      </c>
      <c r="E42" s="196" t="n">
        <f aca="false">-SUMIFS(Потребности!L:L,Потребности!$Y:$Y,Расходы!$A42)/1000000-PEX!BI$16/1000000</f>
        <v>-44.5059008430205</v>
      </c>
      <c r="F42" s="196" t="n">
        <f aca="false">-SUMIFS(Потребности!M:M,Потребности!$Y:$Y,Расходы!$A42)/1000000-PEX!BJ$16/1000000</f>
        <v>-44.3697992096137</v>
      </c>
      <c r="G42" s="196" t="n">
        <f aca="false">-SUMIFS(Потребности!N:N,Потребности!$Y:$Y,Расходы!$A42)/1000000-PEX!BK$16/1000000</f>
        <v>-44.5288118210764</v>
      </c>
      <c r="H42" s="196" t="n">
        <f aca="false">-SUMIFS(Потребности!O:O,Потребности!$Y:$Y,Расходы!$A42)/1000000-PEX!BL$16/1000000</f>
        <v>-44.1829047514327</v>
      </c>
      <c r="I42" s="196" t="n">
        <f aca="false">-SUMIFS(Потребности!P:P,Потребности!$Y:$Y,Расходы!$A42)/1000000-PEX!BM$16/1000000</f>
        <v>-47.1088453652662</v>
      </c>
      <c r="J42" s="196" t="n">
        <f aca="false">-SUMIFS(Потребности!Q:Q,Потребности!$Y:$Y,Расходы!$A42)/1000000-PEX!BN$16/1000000</f>
        <v>-46.6230449100597</v>
      </c>
      <c r="K42" s="196" t="n">
        <f aca="false">-SUMIFS(Потребности!R:R,Потребности!$Y:$Y,Расходы!$A42)/1000000-PEX!BO$16/1000000</f>
        <v>-46.2426262744877</v>
      </c>
      <c r="L42" s="196" t="n">
        <f aca="false">-SUMIFS(Потребности!S:S,Потребности!$Y:$Y,Расходы!$A42)/1000000-PEX!BP$16/1000000</f>
        <v>-46.092339570551</v>
      </c>
      <c r="M42" s="196" t="n">
        <f aca="false">-SUMIFS(Потребности!T:T,Потребности!$Y:$Y,Расходы!$A42)/1000000-PEX!BQ$16/1000000</f>
        <v>-45.9706611366441</v>
      </c>
      <c r="N42" s="196" t="n">
        <f aca="false">-SUMIFS(Потребности!U:U,Потребности!$Y:$Y,Расходы!$A42)/1000000-PEX!BR$16/1000000</f>
        <v>-45.904436886102</v>
      </c>
      <c r="O42" s="196" t="n">
        <f aca="false">SUM(C42:N42)</f>
        <v>-541.033873039782</v>
      </c>
      <c r="P42" s="196" t="n">
        <v>-447.2</v>
      </c>
    </row>
    <row r="43" customFormat="false" ht="12.75" hidden="false" customHeight="false" outlineLevel="1" collapsed="false">
      <c r="A43" s="190" t="s">
        <v>501</v>
      </c>
      <c r="B43" s="195" t="s">
        <v>501</v>
      </c>
      <c r="C43" s="196" t="n">
        <f aca="false">-SUMIFS(Потребности!J:J,Потребности!$Y:$Y,Расходы!$A43)/1000000</f>
        <v>-0</v>
      </c>
      <c r="D43" s="196" t="n">
        <f aca="false">-SUMIFS(Потребности!K:K,Потребности!$Y:$Y,Расходы!$A43)/1000000</f>
        <v>-0</v>
      </c>
      <c r="E43" s="196" t="n">
        <f aca="false">-SUMIFS(Потребности!L:L,Потребности!$Y:$Y,Расходы!$A43)/1000000</f>
        <v>-0</v>
      </c>
      <c r="F43" s="196" t="n">
        <f aca="false">-SUMIFS(Потребности!M:M,Потребности!$Y:$Y,Расходы!$A43)/1000000</f>
        <v>-10.23056</v>
      </c>
      <c r="G43" s="196" t="n">
        <f aca="false">-SUMIFS(Потребности!N:N,Потребности!$Y:$Y,Расходы!$A43)/1000000</f>
        <v>-18.36096</v>
      </c>
      <c r="H43" s="196" t="n">
        <f aca="false">-SUMIFS(Потребности!O:O,Потребности!$Y:$Y,Расходы!$A43)/1000000</f>
        <v>-52.57255814</v>
      </c>
      <c r="I43" s="196" t="n">
        <f aca="false">-SUMIFS(Потребности!P:P,Потребности!$Y:$Y,Расходы!$A43)/1000000</f>
        <v>-45.67833721</v>
      </c>
      <c r="J43" s="196" t="n">
        <f aca="false">-SUMIFS(Потребности!Q:Q,Потребности!$Y:$Y,Расходы!$A43)/1000000</f>
        <v>-56.6199534892</v>
      </c>
      <c r="K43" s="196" t="n">
        <f aca="false">-SUMIFS(Потребности!R:R,Потребности!$Y:$Y,Расходы!$A43)/1000000</f>
        <v>-155.41</v>
      </c>
      <c r="L43" s="196" t="n">
        <f aca="false">-SUMIFS(Потребности!S:S,Потребности!$Y:$Y,Расходы!$A43)/1000000</f>
        <v>-170.7335</v>
      </c>
      <c r="M43" s="196" t="n">
        <f aca="false">-SUMIFS(Потребности!T:T,Потребности!$Y:$Y,Расходы!$A43)/1000000</f>
        <v>-0</v>
      </c>
      <c r="N43" s="196" t="n">
        <f aca="false">-SUMIFS(Потребности!U:U,Потребности!$Y:$Y,Расходы!$A43)/1000000</f>
        <v>-100</v>
      </c>
      <c r="O43" s="196" t="n">
        <f aca="false">SUM(C43:N43)</f>
        <v>-609.6058688392</v>
      </c>
      <c r="P43" s="196" t="n">
        <v>-732.4</v>
      </c>
    </row>
    <row r="44" customFormat="false" ht="12.75" hidden="false" customHeight="false" outlineLevel="0" collapsed="false">
      <c r="A44" s="190"/>
      <c r="B44" s="199" t="s">
        <v>502</v>
      </c>
      <c r="C44" s="198" t="n">
        <f aca="false">C42+C43</f>
        <v>-42.4589221570622</v>
      </c>
      <c r="D44" s="198" t="n">
        <f aca="false">D42+D43</f>
        <v>-43.0455801144657</v>
      </c>
      <c r="E44" s="198" t="n">
        <f aca="false">E42+E43</f>
        <v>-44.5059008430205</v>
      </c>
      <c r="F44" s="198" t="n">
        <f aca="false">F42+F43</f>
        <v>-54.6003592096137</v>
      </c>
      <c r="G44" s="198" t="n">
        <f aca="false">G42+G43</f>
        <v>-62.8897718210764</v>
      </c>
      <c r="H44" s="198" t="n">
        <f aca="false">H42+H43</f>
        <v>-96.7554628914327</v>
      </c>
      <c r="I44" s="198" t="n">
        <f aca="false">I42+I43</f>
        <v>-92.7871825752662</v>
      </c>
      <c r="J44" s="198" t="n">
        <f aca="false">J42+J43</f>
        <v>-103.24299839926</v>
      </c>
      <c r="K44" s="198" t="n">
        <f aca="false">K42+K43</f>
        <v>-201.652626274488</v>
      </c>
      <c r="L44" s="198" t="n">
        <f aca="false">L42+L43</f>
        <v>-216.825839570551</v>
      </c>
      <c r="M44" s="198" t="n">
        <f aca="false">M42+M43</f>
        <v>-45.9706611366441</v>
      </c>
      <c r="N44" s="198" t="n">
        <f aca="false">N42+N43</f>
        <v>-145.904436886102</v>
      </c>
      <c r="O44" s="198" t="n">
        <f aca="false">SUM(C44:N44)</f>
        <v>-1150.63974187898</v>
      </c>
      <c r="P44" s="198" t="n">
        <f aca="false">SUM(P42:P43)</f>
        <v>-1179.6</v>
      </c>
    </row>
    <row r="46" customFormat="false" ht="12.75" hidden="false" customHeight="false" outlineLevel="0" collapsed="false">
      <c r="O46" s="200"/>
      <c r="P46" s="20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R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5"/>
    <col collapsed="false" customWidth="true" hidden="false" outlineLevel="0" max="16" min="3" style="1" width="11"/>
    <col collapsed="false" customWidth="true" hidden="false" outlineLevel="0" max="17" min="17" style="1" width="75.83"/>
  </cols>
  <sheetData>
    <row r="1" customFormat="false" ht="15" hidden="false" customHeight="false" outlineLevel="0" collapsed="false">
      <c r="A1" s="50" t="s">
        <v>503</v>
      </c>
    </row>
    <row r="2" customFormat="false" ht="15" hidden="false" customHeight="false" outlineLevel="0" collapsed="false">
      <c r="A2" s="52" t="s">
        <v>504</v>
      </c>
    </row>
    <row r="3" customFormat="false" ht="15" hidden="false" customHeight="false" outlineLevel="0" collapsed="false">
      <c r="Q3" s="78" t="s">
        <v>505</v>
      </c>
    </row>
    <row r="4" customFormat="false" ht="15" hidden="false" customHeight="false" outlineLevel="0" collapsed="false">
      <c r="A4" s="67" t="s">
        <v>506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R4" s="78"/>
    </row>
    <row r="5" customFormat="false" ht="15" hidden="false" customHeight="false" outlineLevel="0" collapsed="false">
      <c r="A5" s="92" t="s">
        <v>175</v>
      </c>
      <c r="B5" s="92" t="s">
        <v>313</v>
      </c>
      <c r="C5" s="92" t="s">
        <v>9</v>
      </c>
      <c r="D5" s="92" t="s">
        <v>10</v>
      </c>
      <c r="E5" s="92" t="s">
        <v>11</v>
      </c>
      <c r="F5" s="92" t="s">
        <v>12</v>
      </c>
      <c r="G5" s="92" t="s">
        <v>13</v>
      </c>
      <c r="H5" s="92" t="s">
        <v>14</v>
      </c>
      <c r="I5" s="92" t="s">
        <v>15</v>
      </c>
      <c r="J5" s="92" t="s">
        <v>16</v>
      </c>
      <c r="K5" s="92" t="s">
        <v>17</v>
      </c>
      <c r="L5" s="92" t="s">
        <v>18</v>
      </c>
      <c r="M5" s="92" t="s">
        <v>19</v>
      </c>
      <c r="N5" s="92" t="s">
        <v>20</v>
      </c>
      <c r="O5" s="92" t="s">
        <v>72</v>
      </c>
      <c r="P5" s="92" t="s">
        <v>73</v>
      </c>
    </row>
    <row r="6" customFormat="false" ht="15" hidden="false" customHeight="false" outlineLevel="0" collapsed="false">
      <c r="A6" s="36" t="s">
        <v>507</v>
      </c>
      <c r="B6" s="36" t="s">
        <v>508</v>
      </c>
      <c r="C6" s="156" t="n">
        <v>28.9257922503103</v>
      </c>
      <c r="D6" s="156" t="n">
        <f aca="false">C6*(D8/C8)</f>
        <v>29.5725520423742</v>
      </c>
      <c r="E6" s="156" t="n">
        <f aca="false">D6*(E8/D8)</f>
        <v>29.2627543475912</v>
      </c>
      <c r="F6" s="156" t="n">
        <f aca="false">E6*(F8/E8)</f>
        <v>29.5715296118383</v>
      </c>
      <c r="G6" s="156" t="n">
        <f aca="false">F6*(G8/F8)</f>
        <v>29.6684798993807</v>
      </c>
      <c r="H6" s="156" t="n">
        <f aca="false">G6*(H8/G8)</f>
        <v>30.0234139314526</v>
      </c>
      <c r="I6" s="156" t="n">
        <f aca="false">H6*(I8/H8)</f>
        <v>30.166124948026</v>
      </c>
      <c r="J6" s="156" t="n">
        <f aca="false">I6*(J8/I8)</f>
        <v>30.4952082999624</v>
      </c>
      <c r="K6" s="156" t="n">
        <f aca="false">J6*(K8/J8)</f>
        <v>30.8871266546944</v>
      </c>
      <c r="L6" s="156" t="n">
        <f aca="false">K6*(L8/K8)</f>
        <v>31.0064901350752</v>
      </c>
      <c r="M6" s="156" t="n">
        <f aca="false">L6*(M8/L8)</f>
        <v>31.3650048731399</v>
      </c>
      <c r="N6" s="156" t="n">
        <f aca="false">M6*(N8/M8)</f>
        <v>31.2782017661424</v>
      </c>
      <c r="O6" s="153" t="n">
        <f aca="false">SUM(C6:N6)</f>
        <v>362.222678759988</v>
      </c>
    </row>
    <row r="7" customFormat="false" ht="15" hidden="false" customHeight="false" outlineLevel="0" collapsed="false">
      <c r="A7" s="36" t="s">
        <v>509</v>
      </c>
      <c r="B7" s="36" t="s">
        <v>450</v>
      </c>
      <c r="C7" s="201" t="n">
        <v>5.75</v>
      </c>
      <c r="D7" s="201" t="n">
        <v>5.75</v>
      </c>
      <c r="E7" s="201" t="n">
        <v>5.75</v>
      </c>
      <c r="F7" s="201" t="n">
        <v>5.75</v>
      </c>
      <c r="G7" s="201" t="n">
        <v>5.75</v>
      </c>
      <c r="H7" s="201" t="n">
        <v>5.75</v>
      </c>
      <c r="I7" s="201" t="n">
        <v>5.75</v>
      </c>
      <c r="J7" s="201" t="n">
        <v>5.75</v>
      </c>
      <c r="K7" s="201" t="n">
        <v>5.75</v>
      </c>
      <c r="L7" s="201" t="n">
        <v>5.75</v>
      </c>
      <c r="M7" s="201" t="n">
        <v>5.75</v>
      </c>
      <c r="N7" s="201" t="n">
        <v>5.75</v>
      </c>
      <c r="O7" s="105" t="n">
        <f aca="false">AVERAGE(C7:N7)</f>
        <v>5.75</v>
      </c>
      <c r="Q7" s="107" t="s">
        <v>510</v>
      </c>
    </row>
    <row r="8" customFormat="false" ht="15" hidden="false" customHeight="false" outlineLevel="0" collapsed="false">
      <c r="A8" s="36" t="s">
        <v>511</v>
      </c>
      <c r="B8" s="36" t="s">
        <v>26</v>
      </c>
      <c r="C8" s="95" t="n">
        <v>0.132485442974104</v>
      </c>
      <c r="D8" s="95" t="n">
        <v>0.13544772164941</v>
      </c>
      <c r="E8" s="95" t="n">
        <v>0.134028791288903</v>
      </c>
      <c r="F8" s="95" t="n">
        <v>0.135443038729707</v>
      </c>
      <c r="G8" s="95" t="n">
        <v>0.135887088859099</v>
      </c>
      <c r="H8" s="95" t="n">
        <v>0.137512751937182</v>
      </c>
      <c r="I8" s="95" t="n">
        <v>0.138166394613047</v>
      </c>
      <c r="J8" s="95" t="n">
        <v>0.139673656826625</v>
      </c>
      <c r="K8" s="95" t="n">
        <v>0.141468714897534</v>
      </c>
      <c r="L8" s="95" t="n">
        <v>0.142015421568049</v>
      </c>
      <c r="M8" s="95" t="n">
        <v>0.143657484937454</v>
      </c>
      <c r="N8" s="95" t="n">
        <v>0.143259910759275</v>
      </c>
      <c r="O8" s="97" t="n">
        <f aca="false">AVERAGE(C8:N8)</f>
        <v>0.138253868253366</v>
      </c>
    </row>
    <row r="9" customFormat="false" ht="15" hidden="false" customHeight="false" outlineLevel="0" collapsed="false">
      <c r="A9" s="50" t="s">
        <v>512</v>
      </c>
      <c r="B9" s="36" t="s">
        <v>454</v>
      </c>
      <c r="C9" s="202" t="n">
        <f aca="false">C6*C7</f>
        <v>166.323305439284</v>
      </c>
      <c r="D9" s="202" t="n">
        <f aca="false">D6*D7</f>
        <v>170.042174243652</v>
      </c>
      <c r="E9" s="202" t="n">
        <f aca="false">E6*E7</f>
        <v>168.260837498649</v>
      </c>
      <c r="F9" s="202" t="n">
        <f aca="false">F6*F7</f>
        <v>170.036295268071</v>
      </c>
      <c r="G9" s="202" t="n">
        <f aca="false">G6*G7</f>
        <v>170.593759421439</v>
      </c>
      <c r="H9" s="202" t="n">
        <f aca="false">H6*H7</f>
        <v>172.634630105852</v>
      </c>
      <c r="I9" s="202" t="n">
        <f aca="false">I6*I7</f>
        <v>173.455218451149</v>
      </c>
      <c r="J9" s="202" t="n">
        <f aca="false">J6*J7</f>
        <v>175.347447724784</v>
      </c>
      <c r="K9" s="202" t="n">
        <f aca="false">K6*K7</f>
        <v>177.600978264493</v>
      </c>
      <c r="L9" s="202" t="n">
        <f aca="false">L6*L7</f>
        <v>178.287318276682</v>
      </c>
      <c r="M9" s="202" t="n">
        <f aca="false">M6*M7</f>
        <v>180.348778020555</v>
      </c>
      <c r="N9" s="202" t="n">
        <f aca="false">N6*N7</f>
        <v>179.849660155319</v>
      </c>
      <c r="O9" s="153" t="n">
        <f aca="false">SUM(C9:N9)</f>
        <v>2082.78040286993</v>
      </c>
    </row>
    <row r="11" customFormat="false" ht="15" hidden="false" customHeight="false" outlineLevel="0" collapsed="false">
      <c r="A11" s="36" t="s">
        <v>513</v>
      </c>
      <c r="B11" s="36" t="s">
        <v>315</v>
      </c>
      <c r="C11" s="156" t="n">
        <v>38</v>
      </c>
      <c r="D11" s="156" t="n">
        <v>45.6</v>
      </c>
      <c r="E11" s="156" t="n">
        <v>54.264</v>
      </c>
      <c r="F11" s="156" t="n">
        <v>64.03152</v>
      </c>
      <c r="G11" s="156" t="n">
        <v>74.916878</v>
      </c>
      <c r="H11" s="156" t="n">
        <v>86.903579</v>
      </c>
      <c r="I11" s="156" t="n">
        <v>99.939116</v>
      </c>
      <c r="J11" s="156" t="n">
        <v>113.930592</v>
      </c>
      <c r="K11" s="156" t="n">
        <v>128.741569</v>
      </c>
      <c r="L11" s="156" t="n">
        <v>144.190557</v>
      </c>
      <c r="M11" s="156" t="n">
        <v>160.051519</v>
      </c>
      <c r="N11" s="156" t="n">
        <v>176.05667</v>
      </c>
      <c r="O11" s="153" t="n">
        <f aca="false">AVERAGE(C11:N11)</f>
        <v>98.8855</v>
      </c>
      <c r="Q11" s="107" t="s">
        <v>514</v>
      </c>
    </row>
    <row r="12" customFormat="false" ht="15" hidden="false" customHeight="false" outlineLevel="0" collapsed="false">
      <c r="A12" s="36" t="s">
        <v>515</v>
      </c>
      <c r="B12" s="36" t="s">
        <v>26</v>
      </c>
      <c r="C12" s="95" t="n">
        <v>0</v>
      </c>
      <c r="D12" s="95" t="n">
        <v>0.2</v>
      </c>
      <c r="E12" s="95" t="n">
        <v>0.19</v>
      </c>
      <c r="F12" s="95" t="n">
        <v>0.18</v>
      </c>
      <c r="G12" s="95" t="n">
        <v>0.17</v>
      </c>
      <c r="H12" s="95" t="n">
        <v>0.16</v>
      </c>
      <c r="I12" s="95" t="n">
        <v>0.15</v>
      </c>
      <c r="J12" s="95" t="n">
        <v>0.14</v>
      </c>
      <c r="K12" s="95" t="n">
        <v>0.13</v>
      </c>
      <c r="L12" s="95" t="n">
        <v>0.12</v>
      </c>
      <c r="M12" s="95" t="n">
        <v>0.11</v>
      </c>
      <c r="N12" s="95" t="n">
        <v>0.1</v>
      </c>
      <c r="O12" s="97" t="n">
        <f aca="false">AVERAGE(C12:N12)</f>
        <v>0.1375</v>
      </c>
    </row>
    <row r="13" customFormat="false" ht="15" hidden="false" customHeight="false" outlineLevel="0" collapsed="false">
      <c r="A13" s="36" t="s">
        <v>516</v>
      </c>
      <c r="B13" s="36" t="s">
        <v>454</v>
      </c>
      <c r="C13" s="201" t="n">
        <v>0.96135</v>
      </c>
      <c r="D13" s="201" t="n">
        <v>0.96135</v>
      </c>
      <c r="E13" s="201" t="n">
        <v>0.96135</v>
      </c>
      <c r="F13" s="201" t="n">
        <v>0.96135</v>
      </c>
      <c r="G13" s="201" t="n">
        <v>0.96135</v>
      </c>
      <c r="H13" s="201" t="n">
        <v>0.96135</v>
      </c>
      <c r="I13" s="201" t="n">
        <v>0.96135</v>
      </c>
      <c r="J13" s="201" t="n">
        <v>0.96135</v>
      </c>
      <c r="K13" s="201" t="n">
        <v>0.96135</v>
      </c>
      <c r="L13" s="201" t="n">
        <v>0.96135</v>
      </c>
      <c r="M13" s="201" t="n">
        <v>0.96135</v>
      </c>
      <c r="N13" s="201" t="n">
        <v>0.96135</v>
      </c>
      <c r="O13" s="105" t="n">
        <f aca="false">AVERAGE(C13:N13)</f>
        <v>0.96135</v>
      </c>
      <c r="Q13" s="107" t="s">
        <v>517</v>
      </c>
    </row>
    <row r="14" customFormat="false" ht="15" hidden="false" customHeight="false" outlineLevel="0" collapsed="false">
      <c r="A14" s="50" t="s">
        <v>518</v>
      </c>
      <c r="B14" s="36" t="s">
        <v>454</v>
      </c>
      <c r="C14" s="202" t="n">
        <f aca="false">C11*C13</f>
        <v>36.5313</v>
      </c>
      <c r="D14" s="202" t="n">
        <f aca="false">D11*D13</f>
        <v>43.83756</v>
      </c>
      <c r="E14" s="202" t="n">
        <f aca="false">E11*E13</f>
        <v>52.1666964</v>
      </c>
      <c r="F14" s="202" t="n">
        <f aca="false">F11*F13</f>
        <v>61.556701752</v>
      </c>
      <c r="G14" s="202" t="n">
        <f aca="false">G11*G13</f>
        <v>72.0213406653</v>
      </c>
      <c r="H14" s="202" t="n">
        <f aca="false">H11*H13</f>
        <v>83.54475567165</v>
      </c>
      <c r="I14" s="202" t="n">
        <f aca="false">I11*I13</f>
        <v>96.0764691666</v>
      </c>
      <c r="J14" s="202" t="n">
        <f aca="false">J11*J13</f>
        <v>109.5271746192</v>
      </c>
      <c r="K14" s="202" t="n">
        <f aca="false">K11*K13</f>
        <v>123.76570735815</v>
      </c>
      <c r="L14" s="202" t="n">
        <f aca="false">L11*L13</f>
        <v>138.61759197195</v>
      </c>
      <c r="M14" s="202" t="n">
        <f aca="false">M11*M13</f>
        <v>153.86552779065</v>
      </c>
      <c r="N14" s="202" t="n">
        <f aca="false">N11*N13</f>
        <v>169.2520797045</v>
      </c>
      <c r="O14" s="153" t="n">
        <f aca="false">SUM(C14:N14)</f>
        <v>1140.7629051</v>
      </c>
    </row>
    <row r="16" customFormat="false" ht="15" hidden="false" customHeight="false" outlineLevel="0" collapsed="false">
      <c r="A16" s="36" t="s">
        <v>519</v>
      </c>
      <c r="B16" s="36" t="s">
        <v>315</v>
      </c>
      <c r="C16" s="156" t="n">
        <v>17.645833</v>
      </c>
      <c r="D16" s="156" t="n">
        <v>24</v>
      </c>
      <c r="E16" s="156" t="n">
        <v>25.383333</v>
      </c>
      <c r="F16" s="156" t="n">
        <v>26.8464</v>
      </c>
      <c r="G16" s="156" t="n">
        <v>28.393797</v>
      </c>
      <c r="H16" s="156" t="n">
        <v>30.030384</v>
      </c>
      <c r="I16" s="156" t="n">
        <v>31.761302</v>
      </c>
      <c r="J16" s="156" t="n">
        <v>33.591988</v>
      </c>
      <c r="K16" s="156" t="n">
        <v>35.528193</v>
      </c>
      <c r="L16" s="156" t="n">
        <v>37.575999</v>
      </c>
      <c r="M16" s="156" t="n">
        <v>39.741837</v>
      </c>
      <c r="N16" s="156" t="n">
        <v>42.032513</v>
      </c>
      <c r="O16" s="153" t="n">
        <f aca="false">AVERAGE(C16:N16)</f>
        <v>31.04429825</v>
      </c>
    </row>
    <row r="17" customFormat="false" ht="15" hidden="false" customHeight="false" outlineLevel="0" collapsed="false">
      <c r="A17" s="36" t="s">
        <v>520</v>
      </c>
      <c r="B17" s="36" t="s">
        <v>454</v>
      </c>
      <c r="C17" s="201" t="n">
        <v>2.072161</v>
      </c>
      <c r="D17" s="201" t="n">
        <v>2.079309</v>
      </c>
      <c r="E17" s="201" t="n">
        <v>2.110254</v>
      </c>
      <c r="F17" s="201" t="n">
        <v>2.145641</v>
      </c>
      <c r="G17" s="201" t="n">
        <v>2.180502</v>
      </c>
      <c r="H17" s="201" t="n">
        <v>2.221156</v>
      </c>
      <c r="I17" s="201" t="n">
        <v>2.258018</v>
      </c>
      <c r="J17" s="201" t="n">
        <v>2.290118</v>
      </c>
      <c r="K17" s="201" t="n">
        <v>2.344347</v>
      </c>
      <c r="L17" s="201" t="n">
        <v>2.418103</v>
      </c>
      <c r="M17" s="201" t="n">
        <v>2.436691</v>
      </c>
      <c r="N17" s="201" t="n">
        <v>2.525662</v>
      </c>
      <c r="O17" s="105" t="n">
        <f aca="false">AVERAGE(C17:N17)</f>
        <v>2.25683016666667</v>
      </c>
    </row>
    <row r="18" customFormat="false" ht="15" hidden="false" customHeight="false" outlineLevel="0" collapsed="false">
      <c r="A18" s="50" t="s">
        <v>521</v>
      </c>
      <c r="B18" s="36" t="s">
        <v>454</v>
      </c>
      <c r="C18" s="202" t="n">
        <f aca="false">C16*C17</f>
        <v>36.565006955113</v>
      </c>
      <c r="D18" s="202" t="n">
        <f aca="false">D16*D17</f>
        <v>49.903416</v>
      </c>
      <c r="E18" s="202" t="n">
        <f aca="false">E16*E17</f>
        <v>53.565279996582</v>
      </c>
      <c r="F18" s="202" t="n">
        <f aca="false">F16*F17</f>
        <v>57.6027365424</v>
      </c>
      <c r="G18" s="202" t="n">
        <f aca="false">G16*G17</f>
        <v>61.912731146094</v>
      </c>
      <c r="H18" s="202" t="n">
        <f aca="false">H16*H17</f>
        <v>66.702167603904</v>
      </c>
      <c r="I18" s="202" t="n">
        <f aca="false">I16*I17</f>
        <v>71.717591619436</v>
      </c>
      <c r="J18" s="202" t="n">
        <f aca="false">J16*J17</f>
        <v>76.929616374584</v>
      </c>
      <c r="K18" s="202" t="n">
        <f aca="false">K16*K17</f>
        <v>83.290412674971</v>
      </c>
      <c r="L18" s="202" t="n">
        <f aca="false">L16*L17</f>
        <v>90.862635909897</v>
      </c>
      <c r="M18" s="202" t="n">
        <f aca="false">M16*M17</f>
        <v>96.838576541367</v>
      </c>
      <c r="N18" s="202" t="n">
        <f aca="false">N16*N17</f>
        <v>106.159920848606</v>
      </c>
      <c r="O18" s="153" t="n">
        <f aca="false">SUM(C18:N18)</f>
        <v>852.050092212954</v>
      </c>
    </row>
    <row r="20" customFormat="false" ht="15" hidden="false" customHeight="false" outlineLevel="0" collapsed="false">
      <c r="A20" s="36" t="s">
        <v>522</v>
      </c>
      <c r="B20" s="36" t="s">
        <v>315</v>
      </c>
      <c r="C20" s="156" t="n">
        <v>10.5</v>
      </c>
      <c r="D20" s="156" t="n">
        <v>10.875</v>
      </c>
      <c r="E20" s="156" t="n">
        <v>11.26875</v>
      </c>
      <c r="F20" s="156" t="n">
        <v>11.682188</v>
      </c>
      <c r="G20" s="156" t="n">
        <v>13.116297</v>
      </c>
      <c r="H20" s="156" t="n">
        <v>13.572112</v>
      </c>
      <c r="I20" s="156" t="n">
        <v>14.050717</v>
      </c>
      <c r="J20" s="156" t="n">
        <v>14.553253</v>
      </c>
      <c r="K20" s="156" t="n">
        <v>16.080916</v>
      </c>
      <c r="L20" s="156" t="n">
        <v>16.634962</v>
      </c>
      <c r="M20" s="156" t="n">
        <v>17.21671</v>
      </c>
      <c r="N20" s="156" t="n">
        <v>17.827545</v>
      </c>
      <c r="O20" s="153" t="n">
        <f aca="false">AVERAGE(C20:N20)</f>
        <v>13.9482041666667</v>
      </c>
    </row>
    <row r="21" customFormat="false" ht="15" hidden="false" customHeight="false" outlineLevel="0" collapsed="false">
      <c r="A21" s="36" t="s">
        <v>523</v>
      </c>
      <c r="B21" s="36" t="s">
        <v>454</v>
      </c>
      <c r="C21" s="201" t="n">
        <v>1.907511</v>
      </c>
      <c r="D21" s="201" t="n">
        <v>2.083482</v>
      </c>
      <c r="E21" s="201" t="n">
        <v>2.127355</v>
      </c>
      <c r="F21" s="201" t="n">
        <v>2.172303</v>
      </c>
      <c r="G21" s="201" t="n">
        <v>2.24894</v>
      </c>
      <c r="H21" s="201" t="n">
        <v>2.296244</v>
      </c>
      <c r="I21" s="201" t="n">
        <v>2.34469</v>
      </c>
      <c r="J21" s="201" t="n">
        <v>2.394314</v>
      </c>
      <c r="K21" s="201" t="n">
        <v>2.472168</v>
      </c>
      <c r="L21" s="201" t="n">
        <v>2.524377</v>
      </c>
      <c r="M21" s="201" t="n">
        <v>2.577844</v>
      </c>
      <c r="N21" s="201" t="n">
        <v>2.632607</v>
      </c>
      <c r="O21" s="105" t="n">
        <f aca="false">AVERAGE(C21:N21)</f>
        <v>2.31515291666667</v>
      </c>
    </row>
    <row r="22" customFormat="false" ht="15" hidden="false" customHeight="false" outlineLevel="0" collapsed="false">
      <c r="A22" s="50" t="s">
        <v>524</v>
      </c>
      <c r="B22" s="36" t="s">
        <v>454</v>
      </c>
      <c r="C22" s="202" t="n">
        <f aca="false">C20*C21</f>
        <v>20.0288655</v>
      </c>
      <c r="D22" s="202" t="n">
        <f aca="false">D20*D21</f>
        <v>22.65786675</v>
      </c>
      <c r="E22" s="202" t="n">
        <f aca="false">E20*E21</f>
        <v>23.97263165625</v>
      </c>
      <c r="F22" s="202" t="n">
        <f aca="false">F20*F21</f>
        <v>25.377252038964</v>
      </c>
      <c r="G22" s="202" t="n">
        <f aca="false">G20*G21</f>
        <v>29.49776497518</v>
      </c>
      <c r="H22" s="202" t="n">
        <f aca="false">H20*H21</f>
        <v>31.164880747328</v>
      </c>
      <c r="I22" s="202" t="n">
        <f aca="false">I20*I21</f>
        <v>32.94457564273</v>
      </c>
      <c r="J22" s="202" t="n">
        <f aca="false">J20*J21</f>
        <v>34.845057403442</v>
      </c>
      <c r="K22" s="202" t="n">
        <f aca="false">K20*K21</f>
        <v>39.754725945888</v>
      </c>
      <c r="L22" s="202" t="n">
        <f aca="false">L20*L21</f>
        <v>41.992915468674</v>
      </c>
      <c r="M22" s="202" t="n">
        <f aca="false">M20*M21</f>
        <v>44.38199257324</v>
      </c>
      <c r="N22" s="202" t="n">
        <f aca="false">N20*N21</f>
        <v>46.932919759815</v>
      </c>
      <c r="O22" s="153" t="n">
        <f aca="false">SUM(C22:N22)</f>
        <v>393.551448461511</v>
      </c>
    </row>
    <row r="24" customFormat="false" ht="15" hidden="false" customHeight="false" outlineLevel="0" collapsed="false">
      <c r="A24" s="36" t="s">
        <v>525</v>
      </c>
      <c r="B24" s="36" t="s">
        <v>508</v>
      </c>
      <c r="C24" s="201" t="n">
        <v>3.63310181625829</v>
      </c>
      <c r="D24" s="201" t="n">
        <v>3.78056201118784</v>
      </c>
      <c r="E24" s="201" t="n">
        <v>3.80390495244802</v>
      </c>
      <c r="F24" s="201" t="n">
        <v>3.9051938290741</v>
      </c>
      <c r="G24" s="201" t="n">
        <v>3.97701975386998</v>
      </c>
      <c r="H24" s="201" t="n">
        <v>4.0821023256646</v>
      </c>
      <c r="I24" s="201" t="n">
        <v>4.15717067848868</v>
      </c>
      <c r="J24" s="201" t="n">
        <v>4.25677276123189</v>
      </c>
      <c r="K24" s="201" t="n">
        <v>4.36449018044944</v>
      </c>
      <c r="L24" s="201" t="n">
        <v>4.432727182986</v>
      </c>
      <c r="M24" s="201" t="n">
        <v>4.53417465245113</v>
      </c>
      <c r="N24" s="201" t="n">
        <v>4.57000409898344</v>
      </c>
      <c r="O24" s="105" t="n">
        <f aca="false">SUM(C24:N24)</f>
        <v>49.4972242430934</v>
      </c>
    </row>
    <row r="25" customFormat="false" ht="15" hidden="false" customHeight="false" outlineLevel="0" collapsed="false">
      <c r="A25" s="36" t="s">
        <v>526</v>
      </c>
      <c r="B25" s="36" t="s">
        <v>450</v>
      </c>
      <c r="C25" s="201" t="n">
        <v>5.75</v>
      </c>
      <c r="D25" s="201" t="n">
        <v>5.75</v>
      </c>
      <c r="E25" s="201" t="n">
        <v>5.75</v>
      </c>
      <c r="F25" s="201" t="n">
        <v>5.75</v>
      </c>
      <c r="G25" s="201" t="n">
        <v>5.75</v>
      </c>
      <c r="H25" s="201" t="n">
        <v>5.75</v>
      </c>
      <c r="I25" s="201" t="n">
        <v>5.75</v>
      </c>
      <c r="J25" s="201" t="n">
        <v>5.75</v>
      </c>
      <c r="K25" s="201" t="n">
        <v>5.75</v>
      </c>
      <c r="L25" s="201" t="n">
        <v>5.75</v>
      </c>
      <c r="M25" s="201" t="n">
        <v>5.75</v>
      </c>
      <c r="N25" s="201" t="n">
        <v>5.75</v>
      </c>
      <c r="O25" s="105" t="n">
        <f aca="false">AVERAGE(C25:N25)</f>
        <v>5.75</v>
      </c>
    </row>
    <row r="26" customFormat="false" ht="15" hidden="false" customHeight="false" outlineLevel="0" collapsed="false">
      <c r="A26" s="50" t="s">
        <v>527</v>
      </c>
      <c r="B26" s="36" t="s">
        <v>454</v>
      </c>
      <c r="C26" s="202" t="n">
        <f aca="false">C24*C25</f>
        <v>20.8903354434852</v>
      </c>
      <c r="D26" s="202" t="n">
        <f aca="false">D24*D25</f>
        <v>21.7382315643301</v>
      </c>
      <c r="E26" s="202" t="n">
        <f aca="false">E24*E25</f>
        <v>21.8724534765761</v>
      </c>
      <c r="F26" s="202" t="n">
        <f aca="false">F24*F25</f>
        <v>22.4548645171761</v>
      </c>
      <c r="G26" s="202" t="n">
        <f aca="false">G24*G25</f>
        <v>22.8678635847524</v>
      </c>
      <c r="H26" s="202" t="n">
        <f aca="false">H24*H25</f>
        <v>23.4720883725715</v>
      </c>
      <c r="I26" s="202" t="n">
        <f aca="false">I24*I25</f>
        <v>23.9037314013099</v>
      </c>
      <c r="J26" s="202" t="n">
        <f aca="false">J24*J25</f>
        <v>24.4764433770834</v>
      </c>
      <c r="K26" s="202" t="n">
        <f aca="false">K24*K25</f>
        <v>25.0958185375843</v>
      </c>
      <c r="L26" s="202" t="n">
        <f aca="false">L24*L25</f>
        <v>25.4881813021695</v>
      </c>
      <c r="M26" s="202" t="n">
        <f aca="false">M24*M25</f>
        <v>26.071504251594</v>
      </c>
      <c r="N26" s="202" t="n">
        <f aca="false">N24*N25</f>
        <v>26.2775235691548</v>
      </c>
      <c r="O26" s="153" t="n">
        <f aca="false">SUM(C26:N26)</f>
        <v>284.609039397787</v>
      </c>
    </row>
    <row r="28" customFormat="false" ht="15" hidden="false" customHeight="false" outlineLevel="0" collapsed="false">
      <c r="A28" s="36" t="s">
        <v>528</v>
      </c>
      <c r="B28" s="36" t="s">
        <v>529</v>
      </c>
      <c r="C28" s="201" t="n">
        <v>3.7</v>
      </c>
      <c r="D28" s="201" t="n">
        <v>3.7</v>
      </c>
      <c r="E28" s="201" t="n">
        <v>3.7</v>
      </c>
      <c r="F28" s="201" t="n">
        <v>3.7</v>
      </c>
      <c r="G28" s="201" t="n">
        <v>3.7</v>
      </c>
      <c r="H28" s="201" t="n">
        <v>3.7</v>
      </c>
      <c r="I28" s="201" t="n">
        <v>3.7</v>
      </c>
      <c r="J28" s="201" t="n">
        <v>3.7</v>
      </c>
      <c r="K28" s="201" t="n">
        <v>3.7</v>
      </c>
      <c r="L28" s="201" t="n">
        <v>3.7</v>
      </c>
      <c r="M28" s="201" t="n">
        <v>3.7</v>
      </c>
      <c r="N28" s="201" t="n">
        <v>3.7</v>
      </c>
      <c r="O28" s="105" t="n">
        <f aca="false">SUM(C28:N28)</f>
        <v>44.4</v>
      </c>
    </row>
    <row r="29" customFormat="false" ht="15" hidden="false" customHeight="false" outlineLevel="0" collapsed="false">
      <c r="A29" s="36" t="s">
        <v>530</v>
      </c>
      <c r="B29" s="36" t="s">
        <v>450</v>
      </c>
      <c r="C29" s="201" t="n">
        <v>5.42</v>
      </c>
      <c r="D29" s="201" t="n">
        <v>5.42</v>
      </c>
      <c r="E29" s="201" t="n">
        <v>5.42</v>
      </c>
      <c r="F29" s="201" t="n">
        <v>5.42</v>
      </c>
      <c r="G29" s="201" t="n">
        <v>5.42</v>
      </c>
      <c r="H29" s="201" t="n">
        <v>5.42</v>
      </c>
      <c r="I29" s="201" t="n">
        <v>5.42</v>
      </c>
      <c r="J29" s="201" t="n">
        <v>5.42</v>
      </c>
      <c r="K29" s="201" t="n">
        <v>5.42</v>
      </c>
      <c r="L29" s="201" t="n">
        <v>5.42</v>
      </c>
      <c r="M29" s="201" t="n">
        <v>5.42</v>
      </c>
      <c r="N29" s="201" t="n">
        <v>5.42</v>
      </c>
      <c r="O29" s="105" t="n">
        <f aca="false">AVERAGE(C29:N29)</f>
        <v>5.42</v>
      </c>
    </row>
    <row r="30" customFormat="false" ht="15" hidden="false" customHeight="false" outlineLevel="0" collapsed="false">
      <c r="A30" s="50" t="s">
        <v>531</v>
      </c>
      <c r="B30" s="36" t="s">
        <v>454</v>
      </c>
      <c r="C30" s="202" t="n">
        <f aca="false">C28*C29</f>
        <v>20.054</v>
      </c>
      <c r="D30" s="202" t="n">
        <f aca="false">D28*D29</f>
        <v>20.054</v>
      </c>
      <c r="E30" s="202" t="n">
        <f aca="false">E28*E29</f>
        <v>20.054</v>
      </c>
      <c r="F30" s="202" t="n">
        <f aca="false">F28*F29</f>
        <v>20.054</v>
      </c>
      <c r="G30" s="202" t="n">
        <f aca="false">G28*G29</f>
        <v>20.054</v>
      </c>
      <c r="H30" s="202" t="n">
        <f aca="false">H28*H29</f>
        <v>20.054</v>
      </c>
      <c r="I30" s="202" t="n">
        <f aca="false">I28*I29</f>
        <v>20.054</v>
      </c>
      <c r="J30" s="202" t="n">
        <f aca="false">J28*J29</f>
        <v>20.054</v>
      </c>
      <c r="K30" s="202" t="n">
        <f aca="false">K28*K29</f>
        <v>20.054</v>
      </c>
      <c r="L30" s="202" t="n">
        <f aca="false">L28*L29</f>
        <v>20.054</v>
      </c>
      <c r="M30" s="202" t="n">
        <f aca="false">M28*M29</f>
        <v>20.054</v>
      </c>
      <c r="N30" s="202" t="n">
        <f aca="false">N28*N29</f>
        <v>20.054</v>
      </c>
      <c r="O30" s="153" t="n">
        <f aca="false">SUM(C30:N30)</f>
        <v>240.648</v>
      </c>
    </row>
    <row r="32" customFormat="false" ht="15" hidden="false" customHeight="false" outlineLevel="0" collapsed="false">
      <c r="A32" s="50" t="s">
        <v>532</v>
      </c>
      <c r="B32" s="36" t="s">
        <v>454</v>
      </c>
      <c r="C32" s="202" t="n">
        <v>37.5</v>
      </c>
      <c r="D32" s="202" t="n">
        <v>37.5</v>
      </c>
      <c r="E32" s="202" t="n">
        <v>37.5</v>
      </c>
      <c r="F32" s="202" t="n">
        <v>37.5</v>
      </c>
      <c r="G32" s="202" t="n">
        <v>37.5</v>
      </c>
      <c r="H32" s="202" t="n">
        <v>37.5</v>
      </c>
      <c r="I32" s="202" t="n">
        <v>37.5</v>
      </c>
      <c r="J32" s="202" t="n">
        <v>37.5</v>
      </c>
      <c r="K32" s="202" t="n">
        <v>37.5</v>
      </c>
      <c r="L32" s="202" t="n">
        <v>37.5</v>
      </c>
      <c r="M32" s="202" t="n">
        <v>37.5</v>
      </c>
      <c r="N32" s="202" t="n">
        <v>37.5</v>
      </c>
      <c r="O32" s="153" t="n">
        <f aca="false">SUM(C32:N32)</f>
        <v>450</v>
      </c>
      <c r="Q32" s="107"/>
    </row>
    <row r="34" customFormat="false" ht="15" hidden="false" customHeight="false" outlineLevel="0" collapsed="false">
      <c r="A34" s="50" t="s">
        <v>533</v>
      </c>
      <c r="B34" s="36" t="s">
        <v>454</v>
      </c>
      <c r="C34" s="153" t="n">
        <f aca="false">C9+C14+C18+C22+C26+C30+C32</f>
        <v>337.892813337882</v>
      </c>
      <c r="D34" s="153" t="n">
        <f aca="false">D9+D14+D18+D22+D26+D30+D32</f>
        <v>365.733248557982</v>
      </c>
      <c r="E34" s="153" t="n">
        <f aca="false">E9+E14+E18+E22+E26+E30+E32</f>
        <v>377.391899028058</v>
      </c>
      <c r="F34" s="153" t="n">
        <f aca="false">F9+F14+F18+F22+F26+F30+F32</f>
        <v>394.581850118611</v>
      </c>
      <c r="G34" s="153" t="n">
        <f aca="false">G9+G14+G18+G22+G26+G30+G32</f>
        <v>414.447459792765</v>
      </c>
      <c r="H34" s="153" t="n">
        <f aca="false">H9+H14+H18+H22+H26+H30+H32</f>
        <v>435.072522501306</v>
      </c>
      <c r="I34" s="153" t="n">
        <f aca="false">I9+I14+I18+I22+I26+I30+I32</f>
        <v>455.651586281225</v>
      </c>
      <c r="J34" s="153" t="n">
        <f aca="false">J9+J14+J18+J22+J26+J30+J32</f>
        <v>478.679739499093</v>
      </c>
      <c r="K34" s="153" t="n">
        <f aca="false">K9+K14+K18+K22+K26+K30+K32</f>
        <v>507.061642781086</v>
      </c>
      <c r="L34" s="153" t="n">
        <f aca="false">L9+L14+L18+L22+L26+L30+L32</f>
        <v>532.802642929373</v>
      </c>
      <c r="M34" s="153" t="n">
        <f aca="false">M9+M14+M18+M22+M26+M30+M32</f>
        <v>559.060379177406</v>
      </c>
      <c r="N34" s="153" t="n">
        <f aca="false">N9+N14+N18+N22+N26+N30+N32</f>
        <v>586.026104037395</v>
      </c>
      <c r="O34" s="153" t="n">
        <f aca="false">SUM(C34:N34)</f>
        <v>5444.40188804218</v>
      </c>
      <c r="P34" s="203" t="n">
        <v>3007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AW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83203125" defaultRowHeight="12" zeroHeight="false" outlineLevelRow="0" outlineLevelCol="1"/>
  <cols>
    <col collapsed="false" customWidth="true" hidden="false" outlineLevel="0" max="1" min="1" style="204" width="14.52"/>
    <col collapsed="false" customWidth="true" hidden="false" outlineLevel="0" max="2" min="2" style="204" width="41.5"/>
    <col collapsed="false" customWidth="true" hidden="false" outlineLevel="0" max="3" min="3" style="205" width="47"/>
    <col collapsed="false" customWidth="true" hidden="false" outlineLevel="0" max="4" min="4" style="204" width="11.5"/>
    <col collapsed="false" customWidth="true" hidden="true" outlineLevel="1" max="5" min="5" style="204" width="11.83"/>
    <col collapsed="false" customWidth="true" hidden="true" outlineLevel="1" max="6" min="6" style="204" width="9.83"/>
    <col collapsed="false" customWidth="true" hidden="true" outlineLevel="1" max="7" min="7" style="204" width="9.52"/>
    <col collapsed="false" customWidth="true" hidden="false" outlineLevel="0" max="8" min="8" style="204" width="21.16"/>
    <col collapsed="false" customWidth="true" hidden="false" outlineLevel="0" max="9" min="9" style="204" width="11.83"/>
    <col collapsed="false" customWidth="true" hidden="true" outlineLevel="1" max="21" min="10" style="204" width="9.52"/>
    <col collapsed="false" customWidth="true" hidden="false" outlineLevel="0" max="24" min="22" style="204" width="10.51"/>
    <col collapsed="false" customWidth="true" hidden="false" outlineLevel="0" max="25" min="25" style="204" width="44.51"/>
    <col collapsed="false" customWidth="false" hidden="false" outlineLevel="0" max="30" min="26" style="204" width="8.83"/>
    <col collapsed="false" customWidth="true" hidden="false" outlineLevel="0" max="31" min="31" style="206" width="2.16"/>
    <col collapsed="false" customWidth="true" hidden="false" outlineLevel="0" max="32" min="32" style="206" width="35"/>
    <col collapsed="false" customWidth="true" hidden="false" outlineLevel="0" max="33" min="33" style="206" width="27.16"/>
    <col collapsed="false" customWidth="true" hidden="false" outlineLevel="0" max="34" min="34" style="206" width="12.67"/>
    <col collapsed="false" customWidth="true" hidden="false" outlineLevel="0" max="35" min="35" style="206" width="6.51"/>
    <col collapsed="false" customWidth="true" hidden="false" outlineLevel="0" max="36" min="36" style="206" width="9.52"/>
    <col collapsed="false" customWidth="true" hidden="false" outlineLevel="0" max="37" min="37" style="206" width="6.51"/>
    <col collapsed="false" customWidth="true" hidden="false" outlineLevel="0" max="38" min="38" style="206" width="10"/>
    <col collapsed="false" customWidth="true" hidden="false" outlineLevel="0" max="39" min="39" style="206" width="10.51"/>
    <col collapsed="false" customWidth="false" hidden="false" outlineLevel="0" max="40" min="40" style="206" width="8.83"/>
    <col collapsed="false" customWidth="true" hidden="false" outlineLevel="0" max="41" min="41" style="206" width="11.16"/>
    <col collapsed="false" customWidth="true" hidden="false" outlineLevel="0" max="44" min="42" style="204" width="15.83"/>
    <col collapsed="false" customWidth="false" hidden="false" outlineLevel="0" max="45" min="45" style="204" width="8.83"/>
    <col collapsed="false" customWidth="true" hidden="false" outlineLevel="0" max="46" min="46" style="204" width="11.5"/>
    <col collapsed="false" customWidth="false" hidden="false" outlineLevel="0" max="47" min="47" style="204" width="8.83"/>
    <col collapsed="false" customWidth="true" hidden="false" outlineLevel="0" max="48" min="48" style="204" width="10"/>
    <col collapsed="false" customWidth="false" hidden="false" outlineLevel="0" max="16384" min="49" style="204" width="8.83"/>
  </cols>
  <sheetData>
    <row r="1" customFormat="false" ht="13.5" hidden="false" customHeight="true" outlineLevel="0" collapsed="false">
      <c r="A1" s="207" t="s">
        <v>534</v>
      </c>
      <c r="C1" s="204"/>
      <c r="Z1" s="208" t="s">
        <v>535</v>
      </c>
      <c r="AA1" s="208"/>
      <c r="AB1" s="208"/>
      <c r="AC1" s="208"/>
      <c r="AD1" s="208"/>
      <c r="AF1" s="209" t="s">
        <v>536</v>
      </c>
      <c r="AG1" s="210"/>
      <c r="AI1" s="204"/>
      <c r="AP1" s="211" t="s">
        <v>537</v>
      </c>
      <c r="AQ1" s="211"/>
      <c r="AR1" s="211"/>
      <c r="AS1" s="210" t="s">
        <v>538</v>
      </c>
      <c r="AT1" s="206"/>
      <c r="AU1" s="206"/>
      <c r="AV1" s="206"/>
      <c r="AW1" s="212" t="s">
        <v>539</v>
      </c>
    </row>
    <row r="2" customFormat="false" ht="12" hidden="false" customHeight="false" outlineLevel="0" collapsed="false">
      <c r="C2" s="204"/>
      <c r="T2" s="213"/>
      <c r="U2" s="213"/>
      <c r="V2" s="213"/>
      <c r="Z2" s="208"/>
      <c r="AA2" s="208"/>
      <c r="AB2" s="208"/>
      <c r="AC2" s="208"/>
      <c r="AD2" s="208"/>
      <c r="AF2" s="214" t="s">
        <v>540</v>
      </c>
      <c r="AG2" s="214"/>
      <c r="AH2" s="214" t="s">
        <v>290</v>
      </c>
      <c r="AP2" s="211"/>
      <c r="AQ2" s="211"/>
      <c r="AR2" s="211"/>
      <c r="AS2" s="215"/>
      <c r="AT2" s="206"/>
      <c r="AU2" s="206"/>
      <c r="AV2" s="206"/>
    </row>
    <row r="3" customFormat="false" ht="22.35" hidden="false" customHeight="false" outlineLevel="0" collapsed="false">
      <c r="A3" s="216" t="s">
        <v>541</v>
      </c>
      <c r="B3" s="216" t="s">
        <v>542</v>
      </c>
      <c r="C3" s="216" t="s">
        <v>543</v>
      </c>
      <c r="D3" s="216" t="s">
        <v>544</v>
      </c>
      <c r="E3" s="216" t="s">
        <v>545</v>
      </c>
      <c r="F3" s="217" t="s">
        <v>546</v>
      </c>
      <c r="G3" s="217" t="s">
        <v>547</v>
      </c>
      <c r="H3" s="216" t="s">
        <v>548</v>
      </c>
      <c r="I3" s="216" t="s">
        <v>326</v>
      </c>
      <c r="J3" s="218" t="n">
        <v>46388</v>
      </c>
      <c r="K3" s="218" t="n">
        <v>46419</v>
      </c>
      <c r="L3" s="218" t="n">
        <v>46447</v>
      </c>
      <c r="M3" s="218" t="n">
        <v>46478</v>
      </c>
      <c r="N3" s="218" t="n">
        <v>46508</v>
      </c>
      <c r="O3" s="218" t="n">
        <v>46539</v>
      </c>
      <c r="P3" s="218" t="n">
        <v>46569</v>
      </c>
      <c r="Q3" s="218" t="n">
        <v>46600</v>
      </c>
      <c r="R3" s="218" t="n">
        <v>46631</v>
      </c>
      <c r="S3" s="218" t="n">
        <v>46661</v>
      </c>
      <c r="T3" s="218" t="n">
        <v>46692</v>
      </c>
      <c r="U3" s="218" t="n">
        <v>46722</v>
      </c>
      <c r="V3" s="219" t="s">
        <v>72</v>
      </c>
      <c r="W3" s="220" t="s">
        <v>549</v>
      </c>
      <c r="X3" s="221" t="s">
        <v>550</v>
      </c>
      <c r="Y3" s="216" t="s">
        <v>551</v>
      </c>
      <c r="Z3" s="208"/>
      <c r="AA3" s="208"/>
      <c r="AB3" s="208"/>
      <c r="AC3" s="208"/>
      <c r="AD3" s="208"/>
      <c r="AF3" s="206" t="s">
        <v>552</v>
      </c>
      <c r="AH3" s="222" t="n">
        <v>0.07</v>
      </c>
      <c r="AI3" s="223"/>
      <c r="AP3" s="211"/>
      <c r="AQ3" s="211"/>
      <c r="AR3" s="211"/>
      <c r="AS3" s="206"/>
      <c r="AT3" s="206"/>
      <c r="AU3" s="206"/>
      <c r="AV3" s="206"/>
    </row>
    <row r="4" customFormat="false" ht="12" hidden="false" customHeight="false" outlineLevel="0" collapsed="false">
      <c r="A4" s="204" t="s">
        <v>52</v>
      </c>
      <c r="B4" s="204" t="s">
        <v>80</v>
      </c>
      <c r="C4" s="205" t="n">
        <v>0</v>
      </c>
      <c r="D4" s="204" t="s">
        <v>55</v>
      </c>
      <c r="E4" s="204" t="s">
        <v>553</v>
      </c>
      <c r="F4" s="224" t="s">
        <v>553</v>
      </c>
      <c r="G4" s="224" t="s">
        <v>553</v>
      </c>
      <c r="H4" s="204" t="s">
        <v>554</v>
      </c>
      <c r="I4" s="225"/>
      <c r="J4" s="204" t="n">
        <f aca="false">$V$4/12</f>
        <v>66250000</v>
      </c>
      <c r="K4" s="204" t="n">
        <f aca="false">$V$4/12</f>
        <v>66250000</v>
      </c>
      <c r="L4" s="204" t="n">
        <f aca="false">$V$4/12</f>
        <v>66250000</v>
      </c>
      <c r="M4" s="204" t="n">
        <f aca="false">$V$4/12</f>
        <v>66250000</v>
      </c>
      <c r="N4" s="204" t="n">
        <f aca="false">$V$4/12</f>
        <v>66250000</v>
      </c>
      <c r="O4" s="204" t="n">
        <f aca="false">$V$4/12</f>
        <v>66250000</v>
      </c>
      <c r="P4" s="204" t="n">
        <f aca="false">$V$4/12</f>
        <v>66250000</v>
      </c>
      <c r="Q4" s="204" t="n">
        <f aca="false">$V$4/12</f>
        <v>66250000</v>
      </c>
      <c r="R4" s="204" t="n">
        <f aca="false">$V$4/12</f>
        <v>66250000</v>
      </c>
      <c r="S4" s="204" t="n">
        <f aca="false">$V$4/12</f>
        <v>66250000</v>
      </c>
      <c r="T4" s="204" t="n">
        <f aca="false">$V$4/12</f>
        <v>66250000</v>
      </c>
      <c r="U4" s="204" t="n">
        <f aca="false">$V$4/12</f>
        <v>66250000</v>
      </c>
      <c r="V4" s="204" t="n">
        <f aca="false">Потребности!AV7</f>
        <v>795000000</v>
      </c>
      <c r="W4" s="204" t="n">
        <v>351730070.1</v>
      </c>
      <c r="X4" s="204" t="n">
        <v>136061649.14</v>
      </c>
      <c r="Y4" s="204" t="s">
        <v>80</v>
      </c>
      <c r="AS4" s="226" t="s">
        <v>555</v>
      </c>
      <c r="AT4" s="227" t="s">
        <v>556</v>
      </c>
      <c r="AU4" s="227" t="s">
        <v>557</v>
      </c>
      <c r="AV4" s="228" t="s">
        <v>558</v>
      </c>
    </row>
    <row r="5" customFormat="false" ht="12" hidden="false" customHeight="false" outlineLevel="0" collapsed="false">
      <c r="A5" s="204" t="s">
        <v>52</v>
      </c>
      <c r="B5" s="204" t="s">
        <v>78</v>
      </c>
      <c r="C5" s="205" t="s">
        <v>76</v>
      </c>
      <c r="D5" s="204" t="s">
        <v>55</v>
      </c>
      <c r="E5" s="204" t="s">
        <v>553</v>
      </c>
      <c r="F5" s="224" t="s">
        <v>553</v>
      </c>
      <c r="G5" s="224" t="s">
        <v>553</v>
      </c>
      <c r="H5" s="204" t="s">
        <v>559</v>
      </c>
      <c r="I5" s="225" t="s">
        <v>560</v>
      </c>
      <c r="J5" s="204" t="n">
        <v>11541342.08</v>
      </c>
      <c r="K5" s="204" t="n">
        <v>30732937.08</v>
      </c>
      <c r="L5" s="204" t="n">
        <v>40662803.66</v>
      </c>
      <c r="M5" s="204" t="n">
        <v>42632227.2</v>
      </c>
      <c r="N5" s="204" t="n">
        <v>43055901.51</v>
      </c>
      <c r="O5" s="204" t="n">
        <v>43123424.6</v>
      </c>
      <c r="P5" s="204" t="n">
        <v>43095620.98</v>
      </c>
      <c r="Q5" s="204" t="n">
        <v>48378310</v>
      </c>
      <c r="R5" s="204" t="n">
        <v>46868970.28</v>
      </c>
      <c r="S5" s="204" t="n">
        <v>67830918.64</v>
      </c>
      <c r="T5" s="204" t="n">
        <v>80074444.14</v>
      </c>
      <c r="U5" s="204" t="n">
        <v>97553099.83</v>
      </c>
      <c r="V5" s="204" t="n">
        <f aca="false">SUM(J5:U5)</f>
        <v>595550000</v>
      </c>
      <c r="W5" s="204" t="n">
        <v>533800000</v>
      </c>
      <c r="X5" s="204" t="n">
        <v>350780742.68</v>
      </c>
      <c r="Y5" s="204" t="s">
        <v>78</v>
      </c>
      <c r="AF5" s="229" t="s">
        <v>561</v>
      </c>
      <c r="AG5" s="229" t="s">
        <v>562</v>
      </c>
      <c r="AH5" s="229" t="s">
        <v>8</v>
      </c>
      <c r="AI5" s="229" t="n">
        <v>2026</v>
      </c>
      <c r="AJ5" s="229"/>
      <c r="AK5" s="229" t="n">
        <v>2027</v>
      </c>
      <c r="AL5" s="229"/>
      <c r="AM5" s="230" t="n">
        <v>2027</v>
      </c>
      <c r="AN5" s="230" t="n">
        <v>2027</v>
      </c>
      <c r="AO5" s="229" t="s">
        <v>563</v>
      </c>
      <c r="AS5" s="206" t="s">
        <v>564</v>
      </c>
      <c r="AT5" s="231" t="n">
        <v>1800000000</v>
      </c>
      <c r="AU5" s="223" t="n">
        <v>0.3</v>
      </c>
      <c r="AV5" s="232" t="n">
        <f aca="false">AT5*AU5</f>
        <v>540000000</v>
      </c>
    </row>
    <row r="6" customFormat="false" ht="12" hidden="false" customHeight="false" outlineLevel="0" collapsed="false">
      <c r="A6" s="204" t="s">
        <v>52</v>
      </c>
      <c r="B6" s="204" t="s">
        <v>78</v>
      </c>
      <c r="C6" s="205" t="s">
        <v>565</v>
      </c>
      <c r="D6" s="204" t="s">
        <v>55</v>
      </c>
      <c r="E6" s="204" t="s">
        <v>553</v>
      </c>
      <c r="F6" s="224" t="s">
        <v>553</v>
      </c>
      <c r="G6" s="224" t="s">
        <v>553</v>
      </c>
      <c r="H6" s="204" t="s">
        <v>566</v>
      </c>
      <c r="I6" s="225"/>
      <c r="J6" s="204" t="n">
        <f aca="false">J5*(K6/K5)</f>
        <v>7837957.8612308</v>
      </c>
      <c r="K6" s="204" t="n">
        <f aca="false">K5*(L6/L5)</f>
        <v>20871356.5645303</v>
      </c>
      <c r="L6" s="204" t="n">
        <f aca="false">L5*(M6/M5)</f>
        <v>27614928.9569087</v>
      </c>
      <c r="M6" s="204" t="n">
        <f aca="false">M5*(N6/N5)</f>
        <v>28952404.149173</v>
      </c>
      <c r="N6" s="204" t="n">
        <f aca="false">N5*(O6/O5)</f>
        <v>29240129.9063378</v>
      </c>
      <c r="O6" s="204" t="n">
        <f aca="false">O5*(P6/P5)</f>
        <v>29285986.1967425</v>
      </c>
      <c r="P6" s="204" t="n">
        <f aca="false">P5*(Q6/Q5)</f>
        <v>29267104.1984065</v>
      </c>
      <c r="Q6" s="204" t="n">
        <f aca="false">Q5*(R6/R5)</f>
        <v>32854684.7107716</v>
      </c>
      <c r="R6" s="204" t="n">
        <f aca="false">R5*(S6/S5)</f>
        <v>31829661.7072387</v>
      </c>
      <c r="S6" s="204" t="n">
        <f aca="false">S5*(T6/T5)</f>
        <v>46065343.0340828</v>
      </c>
      <c r="T6" s="204" t="n">
        <f aca="false">T5*(U6/U5)</f>
        <v>54380167.7985442</v>
      </c>
      <c r="U6" s="204" t="n">
        <f aca="false">U5*(V6/V5)</f>
        <v>66250274.9160331</v>
      </c>
      <c r="V6" s="204" t="n">
        <f aca="false">1000000000-V5</f>
        <v>404450000</v>
      </c>
      <c r="W6" s="204" t="n">
        <v>0</v>
      </c>
      <c r="X6" s="204" t="n">
        <v>0</v>
      </c>
      <c r="Y6" s="204" t="s">
        <v>78</v>
      </c>
      <c r="AF6" s="229"/>
      <c r="AG6" s="229"/>
      <c r="AH6" s="229"/>
      <c r="AI6" s="233" t="s">
        <v>567</v>
      </c>
      <c r="AJ6" s="233" t="s">
        <v>568</v>
      </c>
      <c r="AK6" s="233" t="s">
        <v>567</v>
      </c>
      <c r="AL6" s="233" t="s">
        <v>569</v>
      </c>
      <c r="AM6" s="230" t="s">
        <v>570</v>
      </c>
      <c r="AN6" s="230" t="s">
        <v>571</v>
      </c>
      <c r="AO6" s="229"/>
      <c r="AS6" s="206" t="s">
        <v>572</v>
      </c>
      <c r="AT6" s="231" t="n">
        <v>850000000</v>
      </c>
      <c r="AU6" s="223" t="n">
        <v>0.3</v>
      </c>
      <c r="AV6" s="232" t="n">
        <f aca="false">AT6*AU6</f>
        <v>255000000</v>
      </c>
    </row>
    <row r="7" customFormat="false" ht="12" hidden="false" customHeight="false" outlineLevel="0" collapsed="false">
      <c r="A7" s="204" t="s">
        <v>52</v>
      </c>
      <c r="B7" s="204" t="s">
        <v>99</v>
      </c>
      <c r="C7" s="205" t="s">
        <v>573</v>
      </c>
      <c r="D7" s="204" t="s">
        <v>55</v>
      </c>
      <c r="E7" s="204" t="s">
        <v>553</v>
      </c>
      <c r="F7" s="224" t="s">
        <v>553</v>
      </c>
      <c r="G7" s="224" t="s">
        <v>553</v>
      </c>
      <c r="H7" s="204" t="s">
        <v>574</v>
      </c>
      <c r="J7" s="204" t="n">
        <v>0</v>
      </c>
      <c r="K7" s="204" t="n">
        <v>1500000</v>
      </c>
      <c r="L7" s="204" t="n">
        <v>0</v>
      </c>
      <c r="M7" s="204" t="n">
        <v>0</v>
      </c>
      <c r="N7" s="204" t="n">
        <v>0</v>
      </c>
      <c r="O7" s="204" t="n">
        <v>150000</v>
      </c>
      <c r="P7" s="204" t="n">
        <v>0</v>
      </c>
      <c r="Q7" s="204" t="n">
        <v>0</v>
      </c>
      <c r="R7" s="204" t="n">
        <v>150000</v>
      </c>
      <c r="S7" s="204" t="n">
        <v>0</v>
      </c>
      <c r="T7" s="204" t="n">
        <v>0</v>
      </c>
      <c r="U7" s="204" t="n">
        <v>0</v>
      </c>
      <c r="V7" s="204" t="n">
        <f aca="false">SUM(J7:U7)</f>
        <v>1800000</v>
      </c>
      <c r="W7" s="204" t="n">
        <v>10000000</v>
      </c>
      <c r="X7" s="204" t="n">
        <v>0</v>
      </c>
      <c r="Y7" s="204" t="s">
        <v>99</v>
      </c>
      <c r="AF7" s="234" t="s">
        <v>575</v>
      </c>
      <c r="AG7" s="234" t="s">
        <v>576</v>
      </c>
      <c r="AH7" s="235" t="s">
        <v>59</v>
      </c>
      <c r="AI7" s="236" t="n">
        <v>13</v>
      </c>
      <c r="AJ7" s="236" t="n">
        <v>190237.19</v>
      </c>
      <c r="AK7" s="236" t="n">
        <v>10</v>
      </c>
      <c r="AL7" s="236" t="n">
        <f aca="false">AJ7/AI7*(1+AH$3)</f>
        <v>15657.9841</v>
      </c>
      <c r="AM7" s="236" t="n">
        <f aca="false">AK7*AL7</f>
        <v>156579.841</v>
      </c>
      <c r="AN7" s="236"/>
      <c r="AO7" s="237" t="n">
        <f aca="false">AN7-AM7</f>
        <v>-156579.841</v>
      </c>
      <c r="AS7" s="238" t="s">
        <v>577</v>
      </c>
      <c r="AT7" s="239" t="n">
        <f aca="false">SUM(AT5:AT6)</f>
        <v>2650000000</v>
      </c>
      <c r="AU7" s="238"/>
      <c r="AV7" s="240" t="n">
        <f aca="false">SUM(AV5:AV6)</f>
        <v>795000000</v>
      </c>
    </row>
    <row r="8" customFormat="false" ht="12" hidden="false" customHeight="false" outlineLevel="0" collapsed="false">
      <c r="A8" s="204" t="s">
        <v>52</v>
      </c>
      <c r="B8" s="204" t="s">
        <v>98</v>
      </c>
      <c r="C8" s="205" t="s">
        <v>578</v>
      </c>
      <c r="D8" s="204" t="s">
        <v>55</v>
      </c>
      <c r="E8" s="204" t="s">
        <v>553</v>
      </c>
      <c r="F8" s="224" t="s">
        <v>553</v>
      </c>
      <c r="G8" s="224" t="s">
        <v>553</v>
      </c>
      <c r="H8" s="204" t="s">
        <v>574</v>
      </c>
      <c r="J8" s="204" t="n">
        <v>0</v>
      </c>
      <c r="K8" s="204" t="n">
        <v>0</v>
      </c>
      <c r="L8" s="204" t="n">
        <v>0</v>
      </c>
      <c r="M8" s="204" t="n">
        <v>200000</v>
      </c>
      <c r="N8" s="204" t="n">
        <v>0</v>
      </c>
      <c r="O8" s="204" t="n">
        <v>0</v>
      </c>
      <c r="P8" s="204" t="n">
        <v>0</v>
      </c>
      <c r="Q8" s="204" t="n">
        <v>0</v>
      </c>
      <c r="R8" s="204" t="n">
        <v>0</v>
      </c>
      <c r="S8" s="204" t="n">
        <v>200000</v>
      </c>
      <c r="T8" s="204" t="n">
        <v>5000000</v>
      </c>
      <c r="U8" s="204" t="n">
        <v>0</v>
      </c>
      <c r="V8" s="204" t="n">
        <f aca="false">SUM(J8:U8)</f>
        <v>5400000</v>
      </c>
      <c r="W8" s="204" t="n">
        <v>15000000</v>
      </c>
      <c r="X8" s="204" t="n">
        <v>0</v>
      </c>
      <c r="Y8" s="204" t="s">
        <v>98</v>
      </c>
      <c r="AF8" s="234" t="s">
        <v>579</v>
      </c>
      <c r="AG8" s="234" t="s">
        <v>576</v>
      </c>
      <c r="AH8" s="235" t="s">
        <v>59</v>
      </c>
      <c r="AI8" s="236" t="n">
        <v>53</v>
      </c>
      <c r="AJ8" s="236" t="n">
        <v>628299.1</v>
      </c>
      <c r="AK8" s="236" t="n">
        <v>53</v>
      </c>
      <c r="AL8" s="236" t="n">
        <f aca="false">AJ8/AI8*(1+AH$3)</f>
        <v>12684.529</v>
      </c>
      <c r="AM8" s="236" t="n">
        <f aca="false">AK8*AL8</f>
        <v>672280.037</v>
      </c>
      <c r="AN8" s="236"/>
      <c r="AO8" s="237" t="n">
        <f aca="false">AN8-AM8</f>
        <v>-672280.037</v>
      </c>
    </row>
    <row r="9" customFormat="false" ht="12" hidden="false" customHeight="false" outlineLevel="0" collapsed="false">
      <c r="A9" s="204" t="s">
        <v>52</v>
      </c>
      <c r="B9" s="204" t="s">
        <v>98</v>
      </c>
      <c r="C9" s="205" t="s">
        <v>580</v>
      </c>
      <c r="D9" s="204" t="s">
        <v>55</v>
      </c>
      <c r="E9" s="204" t="s">
        <v>553</v>
      </c>
      <c r="F9" s="224" t="s">
        <v>553</v>
      </c>
      <c r="G9" s="224" t="s">
        <v>553</v>
      </c>
      <c r="H9" s="204" t="s">
        <v>574</v>
      </c>
      <c r="J9" s="204" t="n">
        <v>675000</v>
      </c>
      <c r="K9" s="204" t="n">
        <v>3525000</v>
      </c>
      <c r="L9" s="204" t="n">
        <v>4250000</v>
      </c>
      <c r="M9" s="204" t="n">
        <v>2475000</v>
      </c>
      <c r="N9" s="204" t="n">
        <v>875000</v>
      </c>
      <c r="O9" s="204" t="n">
        <v>1900000</v>
      </c>
      <c r="P9" s="204" t="n">
        <v>4675000</v>
      </c>
      <c r="Q9" s="204" t="n">
        <v>2025000</v>
      </c>
      <c r="R9" s="204" t="n">
        <v>3450000</v>
      </c>
      <c r="S9" s="204" t="n">
        <v>1775000</v>
      </c>
      <c r="T9" s="204" t="n">
        <v>875000</v>
      </c>
      <c r="U9" s="204" t="n">
        <v>1400000</v>
      </c>
      <c r="V9" s="204" t="n">
        <f aca="false">SUM(J9:U9)</f>
        <v>27900000</v>
      </c>
      <c r="W9" s="204" t="n">
        <v>10000000</v>
      </c>
      <c r="X9" s="204" t="n">
        <v>0</v>
      </c>
      <c r="Y9" s="204" t="s">
        <v>98</v>
      </c>
      <c r="AF9" s="234" t="s">
        <v>581</v>
      </c>
      <c r="AG9" s="234" t="s">
        <v>576</v>
      </c>
      <c r="AH9" s="235" t="s">
        <v>59</v>
      </c>
      <c r="AI9" s="236" t="n">
        <v>13</v>
      </c>
      <c r="AJ9" s="236" t="n">
        <v>572000</v>
      </c>
      <c r="AK9" s="236" t="n">
        <v>6</v>
      </c>
      <c r="AL9" s="236" t="n">
        <f aca="false">AJ9/AI9*(1+AH$3)</f>
        <v>47080</v>
      </c>
      <c r="AM9" s="236" t="n">
        <f aca="false">AK9*AL9</f>
        <v>282480</v>
      </c>
      <c r="AN9" s="236"/>
      <c r="AO9" s="237" t="n">
        <f aca="false">AN9-AM9</f>
        <v>-282480</v>
      </c>
    </row>
    <row r="10" customFormat="false" ht="12" hidden="false" customHeight="false" outlineLevel="0" collapsed="false">
      <c r="A10" s="204" t="s">
        <v>582</v>
      </c>
      <c r="B10" s="204" t="s">
        <v>78</v>
      </c>
      <c r="C10" s="205" t="n">
        <v>0</v>
      </c>
      <c r="D10" s="204" t="s">
        <v>55</v>
      </c>
      <c r="E10" s="204" t="s">
        <v>553</v>
      </c>
      <c r="F10" s="224" t="s">
        <v>553</v>
      </c>
      <c r="G10" s="224" t="s">
        <v>553</v>
      </c>
      <c r="H10" s="204" t="s">
        <v>583</v>
      </c>
      <c r="I10" s="225"/>
      <c r="J10" s="204" t="n">
        <f aca="false">'Content factory'!C24*1000000</f>
        <v>4240000</v>
      </c>
      <c r="K10" s="204" t="n">
        <f aca="false">'Content factory'!D24*1000000</f>
        <v>7420000</v>
      </c>
      <c r="L10" s="204" t="n">
        <f aca="false">'Content factory'!E24*1000000</f>
        <v>14310000</v>
      </c>
      <c r="M10" s="204" t="n">
        <f aca="false">'Content factory'!F24*1000000</f>
        <v>14787000</v>
      </c>
      <c r="N10" s="204" t="n">
        <f aca="false">'Content factory'!G24*1000000</f>
        <v>15105000</v>
      </c>
      <c r="O10" s="204" t="n">
        <f aca="false">'Content factory'!H24*1000000</f>
        <v>15900000</v>
      </c>
      <c r="P10" s="204" t="n">
        <f aca="false">'Content factory'!I24*1000000</f>
        <v>15900000</v>
      </c>
      <c r="Q10" s="204" t="n">
        <f aca="false">'Content factory'!J24*1000000</f>
        <v>17013000</v>
      </c>
      <c r="R10" s="204" t="n">
        <f aca="false">'Content factory'!K24*1000000</f>
        <v>17013000</v>
      </c>
      <c r="S10" s="204" t="n">
        <f aca="false">'Content factory'!L24*1000000</f>
        <v>17013000</v>
      </c>
      <c r="T10" s="204" t="n">
        <f aca="false">'Content factory'!M24*1000000</f>
        <v>18285000</v>
      </c>
      <c r="U10" s="204" t="n">
        <f aca="false">'Content factory'!N24*1000000</f>
        <v>19080000</v>
      </c>
      <c r="V10" s="204" t="n">
        <f aca="false">SUM(J10:U10)</f>
        <v>176066000</v>
      </c>
      <c r="W10" s="204" t="n">
        <v>15900000</v>
      </c>
      <c r="X10" s="204" t="n">
        <v>18324000</v>
      </c>
      <c r="Y10" s="204" t="s">
        <v>79</v>
      </c>
      <c r="AF10" s="234" t="s">
        <v>584</v>
      </c>
      <c r="AG10" s="234" t="s">
        <v>576</v>
      </c>
      <c r="AH10" s="235" t="s">
        <v>59</v>
      </c>
      <c r="AI10" s="236" t="n">
        <v>5</v>
      </c>
      <c r="AJ10" s="236" t="n">
        <v>13200</v>
      </c>
      <c r="AK10" s="236" t="n">
        <v>5</v>
      </c>
      <c r="AL10" s="236" t="n">
        <f aca="false">AJ10/AI10*(1+AH$3)</f>
        <v>2824.8</v>
      </c>
      <c r="AM10" s="236" t="n">
        <f aca="false">AK10*AL10</f>
        <v>14124</v>
      </c>
      <c r="AN10" s="236"/>
      <c r="AO10" s="237" t="n">
        <f aca="false">AN10-AM10</f>
        <v>-14124</v>
      </c>
    </row>
    <row r="11" customFormat="false" ht="12" hidden="false" customHeight="false" outlineLevel="0" collapsed="false">
      <c r="A11" s="204" t="s">
        <v>52</v>
      </c>
      <c r="B11" s="204" t="s">
        <v>101</v>
      </c>
      <c r="C11" s="205" t="n">
        <v>0</v>
      </c>
      <c r="D11" s="204" t="s">
        <v>55</v>
      </c>
      <c r="E11" s="204" t="s">
        <v>553</v>
      </c>
      <c r="F11" s="224" t="s">
        <v>553</v>
      </c>
      <c r="G11" s="224" t="s">
        <v>553</v>
      </c>
      <c r="I11" s="225"/>
      <c r="J11" s="204" t="n">
        <f aca="false">$V11/12</f>
        <v>4166666.66666667</v>
      </c>
      <c r="K11" s="204" t="n">
        <f aca="false">$V11/12</f>
        <v>4166666.66666667</v>
      </c>
      <c r="L11" s="204" t="n">
        <f aca="false">$V11/12</f>
        <v>4166666.66666667</v>
      </c>
      <c r="M11" s="204" t="n">
        <f aca="false">$V11/12</f>
        <v>4166666.66666667</v>
      </c>
      <c r="N11" s="204" t="n">
        <f aca="false">$V11/12</f>
        <v>4166666.66666667</v>
      </c>
      <c r="O11" s="204" t="n">
        <f aca="false">$V11/12</f>
        <v>4166666.66666667</v>
      </c>
      <c r="P11" s="204" t="n">
        <f aca="false">$V11/12</f>
        <v>4166666.66666667</v>
      </c>
      <c r="Q11" s="204" t="n">
        <f aca="false">$V11/12</f>
        <v>4166666.66666667</v>
      </c>
      <c r="R11" s="204" t="n">
        <f aca="false">$V11/12</f>
        <v>4166666.66666667</v>
      </c>
      <c r="S11" s="204" t="n">
        <f aca="false">$V11/12</f>
        <v>4166666.66666667</v>
      </c>
      <c r="T11" s="204" t="n">
        <f aca="false">$V11/12</f>
        <v>4166666.66666667</v>
      </c>
      <c r="U11" s="204" t="n">
        <f aca="false">$V11/12</f>
        <v>4166666.66666667</v>
      </c>
      <c r="V11" s="204" t="n">
        <v>50000000</v>
      </c>
      <c r="W11" s="204" t="n">
        <v>20200000</v>
      </c>
      <c r="X11" s="204" t="n">
        <v>20200288.54</v>
      </c>
      <c r="Y11" s="204" t="s">
        <v>101</v>
      </c>
      <c r="AF11" s="234" t="s">
        <v>585</v>
      </c>
      <c r="AG11" s="234" t="s">
        <v>586</v>
      </c>
      <c r="AH11" s="235" t="s">
        <v>59</v>
      </c>
      <c r="AI11" s="236" t="n">
        <v>0</v>
      </c>
      <c r="AJ11" s="236" t="n">
        <v>0</v>
      </c>
      <c r="AK11" s="236" t="n">
        <v>20</v>
      </c>
      <c r="AL11" s="236" t="n">
        <v>140000</v>
      </c>
      <c r="AM11" s="236" t="n">
        <f aca="false">AK11*AL11</f>
        <v>2800000</v>
      </c>
      <c r="AN11" s="236"/>
      <c r="AO11" s="237" t="n">
        <f aca="false">AN11-AM11</f>
        <v>-2800000</v>
      </c>
    </row>
    <row r="12" customFormat="false" ht="12" hidden="false" customHeight="false" outlineLevel="0" collapsed="false">
      <c r="A12" s="204" t="s">
        <v>54</v>
      </c>
      <c r="B12" s="204" t="s">
        <v>575</v>
      </c>
      <c r="C12" s="205" t="n">
        <v>0</v>
      </c>
      <c r="D12" s="204" t="s">
        <v>59</v>
      </c>
      <c r="E12" s="204" t="s">
        <v>587</v>
      </c>
      <c r="F12" s="224" t="n">
        <f aca="false">SUMIFS(Потребности!AK:AK,Потребности!AF:AF,Потребности!B12,Потребности!AH:AH,Потребности!D12)</f>
        <v>10</v>
      </c>
      <c r="G12" s="224" t="n">
        <f aca="false">SUMIFS(Потребности!AM:AM,Потребности!AF:AF,Потребности!B12,Потребности!AH:AH,Потребности!D12)</f>
        <v>156579.841</v>
      </c>
      <c r="H12" s="204" t="s">
        <v>588</v>
      </c>
      <c r="J12" s="204" t="n">
        <f aca="false">$V12/12</f>
        <v>13048.3200833333</v>
      </c>
      <c r="K12" s="204" t="n">
        <f aca="false">$V12/12</f>
        <v>13048.3200833333</v>
      </c>
      <c r="L12" s="204" t="n">
        <f aca="false">$V12/12</f>
        <v>13048.3200833333</v>
      </c>
      <c r="M12" s="204" t="n">
        <f aca="false">$V12/12</f>
        <v>13048.3200833333</v>
      </c>
      <c r="N12" s="204" t="n">
        <f aca="false">$V12/12</f>
        <v>13048.3200833333</v>
      </c>
      <c r="O12" s="204" t="n">
        <f aca="false">$V12/12</f>
        <v>13048.3200833333</v>
      </c>
      <c r="P12" s="204" t="n">
        <f aca="false">$V12/12</f>
        <v>13048.3200833333</v>
      </c>
      <c r="Q12" s="204" t="n">
        <f aca="false">$V12/12</f>
        <v>13048.3200833333</v>
      </c>
      <c r="R12" s="204" t="n">
        <f aca="false">$V12/12</f>
        <v>13048.3200833333</v>
      </c>
      <c r="S12" s="204" t="n">
        <f aca="false">$V12/12</f>
        <v>13048.3200833333</v>
      </c>
      <c r="T12" s="204" t="n">
        <f aca="false">$V12/12</f>
        <v>13048.3200833333</v>
      </c>
      <c r="U12" s="204" t="n">
        <f aca="false">$V12/12</f>
        <v>13048.3200833333</v>
      </c>
      <c r="V12" s="204" t="n">
        <f aca="false">SUMIFS(Потребности!AM:AM,Потребности!AF:AF,Потребности!B12,Потребности!AH:AH,Потребности!D12)</f>
        <v>156579.841</v>
      </c>
      <c r="W12" s="204" t="n">
        <v>190237.19</v>
      </c>
      <c r="X12" s="204" t="n">
        <v>0</v>
      </c>
      <c r="Y12" s="204" t="s">
        <v>500</v>
      </c>
      <c r="AF12" s="234" t="s">
        <v>589</v>
      </c>
      <c r="AG12" s="234" t="s">
        <v>586</v>
      </c>
      <c r="AH12" s="235" t="s">
        <v>59</v>
      </c>
      <c r="AI12" s="236" t="n">
        <v>0</v>
      </c>
      <c r="AJ12" s="236" t="n">
        <v>0</v>
      </c>
      <c r="AK12" s="236" t="n">
        <v>50</v>
      </c>
      <c r="AL12" s="236" t="n">
        <v>140000</v>
      </c>
      <c r="AM12" s="236" t="n">
        <f aca="false">AK12*AL12</f>
        <v>7000000</v>
      </c>
      <c r="AN12" s="236"/>
      <c r="AO12" s="237"/>
    </row>
    <row r="13" customFormat="false" ht="12" hidden="false" customHeight="false" outlineLevel="0" collapsed="false">
      <c r="A13" s="204" t="s">
        <v>54</v>
      </c>
      <c r="B13" s="204" t="s">
        <v>579</v>
      </c>
      <c r="C13" s="205" t="n">
        <v>0</v>
      </c>
      <c r="D13" s="204" t="s">
        <v>59</v>
      </c>
      <c r="E13" s="204" t="s">
        <v>587</v>
      </c>
      <c r="F13" s="224" t="n">
        <f aca="false">SUMIFS(Потребности!AK:AK,Потребности!AF:AF,Потребности!B13,Потребности!AH:AH,Потребности!D13)</f>
        <v>53</v>
      </c>
      <c r="G13" s="224" t="n">
        <f aca="false">SUMIFS(Потребности!AM:AM,Потребности!AF:AF,Потребности!B13,Потребности!AH:AH,Потребности!D13)</f>
        <v>672280.037</v>
      </c>
      <c r="H13" s="204" t="s">
        <v>588</v>
      </c>
      <c r="J13" s="204" t="n">
        <f aca="false">$V13/12</f>
        <v>56023.3364166667</v>
      </c>
      <c r="K13" s="204" t="n">
        <f aca="false">$V13/12</f>
        <v>56023.3364166667</v>
      </c>
      <c r="L13" s="204" t="n">
        <f aca="false">$V13/12</f>
        <v>56023.3364166667</v>
      </c>
      <c r="M13" s="204" t="n">
        <f aca="false">$V13/12</f>
        <v>56023.3364166667</v>
      </c>
      <c r="N13" s="204" t="n">
        <f aca="false">$V13/12</f>
        <v>56023.3364166667</v>
      </c>
      <c r="O13" s="204" t="n">
        <f aca="false">$V13/12</f>
        <v>56023.3364166667</v>
      </c>
      <c r="P13" s="204" t="n">
        <f aca="false">$V13/12</f>
        <v>56023.3364166667</v>
      </c>
      <c r="Q13" s="204" t="n">
        <f aca="false">$V13/12</f>
        <v>56023.3364166667</v>
      </c>
      <c r="R13" s="204" t="n">
        <f aca="false">$V13/12</f>
        <v>56023.3364166667</v>
      </c>
      <c r="S13" s="204" t="n">
        <f aca="false">$V13/12</f>
        <v>56023.3364166667</v>
      </c>
      <c r="T13" s="204" t="n">
        <f aca="false">$V13/12</f>
        <v>56023.3364166667</v>
      </c>
      <c r="U13" s="204" t="n">
        <f aca="false">$V13/12</f>
        <v>56023.3364166667</v>
      </c>
      <c r="V13" s="204" t="n">
        <f aca="false">SUMIFS(Потребности!AM:AM,Потребности!AF:AF,Потребности!B13,Потребности!AH:AH,Потребности!D13)</f>
        <v>672280.037</v>
      </c>
      <c r="W13" s="204" t="n">
        <v>628299.1</v>
      </c>
      <c r="X13" s="204" t="n">
        <v>0</v>
      </c>
      <c r="Y13" s="204" t="s">
        <v>500</v>
      </c>
      <c r="AF13" s="234" t="s">
        <v>585</v>
      </c>
      <c r="AG13" s="234" t="s">
        <v>590</v>
      </c>
      <c r="AH13" s="235" t="s">
        <v>59</v>
      </c>
      <c r="AI13" s="236" t="n">
        <v>0</v>
      </c>
      <c r="AJ13" s="236" t="n">
        <v>0</v>
      </c>
      <c r="AK13" s="236" t="n">
        <v>6</v>
      </c>
      <c r="AL13" s="236" t="n">
        <f aca="false">AL11</f>
        <v>140000</v>
      </c>
      <c r="AM13" s="236" t="n">
        <f aca="false">AK13*AL13</f>
        <v>840000</v>
      </c>
      <c r="AN13" s="236"/>
      <c r="AO13" s="237" t="n">
        <f aca="false">AN13-AM13</f>
        <v>-840000</v>
      </c>
    </row>
    <row r="14" customFormat="false" ht="12" hidden="false" customHeight="false" outlineLevel="0" collapsed="false">
      <c r="A14" s="204" t="s">
        <v>54</v>
      </c>
      <c r="B14" s="204" t="s">
        <v>581</v>
      </c>
      <c r="C14" s="205" t="n">
        <v>0</v>
      </c>
      <c r="D14" s="204" t="s">
        <v>59</v>
      </c>
      <c r="E14" s="204" t="s">
        <v>587</v>
      </c>
      <c r="F14" s="224" t="n">
        <f aca="false">SUMIFS(Потребности!AK:AK,Потребности!AF:AF,Потребности!B14,Потребности!AH:AH,Потребности!D14)</f>
        <v>6</v>
      </c>
      <c r="G14" s="224" t="n">
        <f aca="false">SUMIFS(Потребности!AM:AM,Потребности!AF:AF,Потребности!B14,Потребности!AH:AH,Потребности!D14)</f>
        <v>282480</v>
      </c>
      <c r="H14" s="204" t="s">
        <v>588</v>
      </c>
      <c r="J14" s="204" t="n">
        <f aca="false">$V14/12</f>
        <v>23540</v>
      </c>
      <c r="K14" s="204" t="n">
        <f aca="false">$V14/12</f>
        <v>23540</v>
      </c>
      <c r="L14" s="204" t="n">
        <f aca="false">$V14/12</f>
        <v>23540</v>
      </c>
      <c r="M14" s="204" t="n">
        <f aca="false">$V14/12</f>
        <v>23540</v>
      </c>
      <c r="N14" s="204" t="n">
        <f aca="false">$V14/12</f>
        <v>23540</v>
      </c>
      <c r="O14" s="204" t="n">
        <f aca="false">$V14/12</f>
        <v>23540</v>
      </c>
      <c r="P14" s="204" t="n">
        <f aca="false">$V14/12</f>
        <v>23540</v>
      </c>
      <c r="Q14" s="204" t="n">
        <f aca="false">$V14/12</f>
        <v>23540</v>
      </c>
      <c r="R14" s="204" t="n">
        <f aca="false">$V14/12</f>
        <v>23540</v>
      </c>
      <c r="S14" s="204" t="n">
        <f aca="false">$V14/12</f>
        <v>23540</v>
      </c>
      <c r="T14" s="204" t="n">
        <f aca="false">$V14/12</f>
        <v>23540</v>
      </c>
      <c r="U14" s="204" t="n">
        <f aca="false">$V14/12</f>
        <v>23540</v>
      </c>
      <c r="V14" s="204" t="n">
        <f aca="false">SUMIFS(Потребности!AM:AM,Потребности!AF:AF,Потребности!B14,Потребности!AH:AH,Потребности!D14)</f>
        <v>282480</v>
      </c>
      <c r="W14" s="204" t="n">
        <v>572000</v>
      </c>
      <c r="X14" s="204" t="n">
        <v>0</v>
      </c>
      <c r="Y14" s="204" t="s">
        <v>500</v>
      </c>
      <c r="AF14" s="234" t="s">
        <v>591</v>
      </c>
      <c r="AG14" s="234" t="s">
        <v>576</v>
      </c>
      <c r="AH14" s="235" t="s">
        <v>59</v>
      </c>
      <c r="AI14" s="236" t="n">
        <v>9</v>
      </c>
      <c r="AJ14" s="236" t="n">
        <v>84059.217</v>
      </c>
      <c r="AK14" s="236" t="n">
        <v>5</v>
      </c>
      <c r="AL14" s="236" t="n">
        <f aca="false">AJ14/AI14*(1+AH$3)</f>
        <v>9993.70691</v>
      </c>
      <c r="AM14" s="236" t="n">
        <f aca="false">AK14*AL14</f>
        <v>49968.53455</v>
      </c>
      <c r="AN14" s="236"/>
      <c r="AO14" s="237" t="n">
        <f aca="false">AN14-AM14</f>
        <v>-49968.53455</v>
      </c>
    </row>
    <row r="15" customFormat="false" ht="12" hidden="false" customHeight="false" outlineLevel="0" collapsed="false">
      <c r="A15" s="204" t="s">
        <v>54</v>
      </c>
      <c r="B15" s="204" t="s">
        <v>584</v>
      </c>
      <c r="C15" s="205" t="n">
        <v>0</v>
      </c>
      <c r="D15" s="204" t="s">
        <v>59</v>
      </c>
      <c r="E15" s="204" t="s">
        <v>587</v>
      </c>
      <c r="F15" s="224" t="n">
        <f aca="false">SUMIFS(Потребности!AK:AK,Потребности!AF:AF,Потребности!B15,Потребности!AH:AH,Потребности!D15)</f>
        <v>5</v>
      </c>
      <c r="G15" s="224" t="n">
        <f aca="false">SUMIFS(Потребности!AM:AM,Потребности!AF:AF,Потребности!B15,Потребности!AH:AH,Потребности!D15)</f>
        <v>14124</v>
      </c>
      <c r="H15" s="204" t="s">
        <v>588</v>
      </c>
      <c r="J15" s="204" t="n">
        <f aca="false">$V15/12</f>
        <v>1177</v>
      </c>
      <c r="K15" s="204" t="n">
        <f aca="false">$V15/12</f>
        <v>1177</v>
      </c>
      <c r="L15" s="204" t="n">
        <f aca="false">$V15/12</f>
        <v>1177</v>
      </c>
      <c r="M15" s="204" t="n">
        <f aca="false">$V15/12</f>
        <v>1177</v>
      </c>
      <c r="N15" s="204" t="n">
        <f aca="false">$V15/12</f>
        <v>1177</v>
      </c>
      <c r="O15" s="204" t="n">
        <f aca="false">$V15/12</f>
        <v>1177</v>
      </c>
      <c r="P15" s="204" t="n">
        <f aca="false">$V15/12</f>
        <v>1177</v>
      </c>
      <c r="Q15" s="204" t="n">
        <f aca="false">$V15/12</f>
        <v>1177</v>
      </c>
      <c r="R15" s="204" t="n">
        <f aca="false">$V15/12</f>
        <v>1177</v>
      </c>
      <c r="S15" s="204" t="n">
        <f aca="false">$V15/12</f>
        <v>1177</v>
      </c>
      <c r="T15" s="204" t="n">
        <f aca="false">$V15/12</f>
        <v>1177</v>
      </c>
      <c r="U15" s="204" t="n">
        <f aca="false">$V15/12</f>
        <v>1177</v>
      </c>
      <c r="V15" s="204" t="n">
        <f aca="false">SUMIFS(Потребности!AM:AM,Потребности!AF:AF,Потребности!B15,Потребности!AH:AH,Потребности!D15)</f>
        <v>14124</v>
      </c>
      <c r="W15" s="204" t="n">
        <v>13200</v>
      </c>
      <c r="X15" s="204" t="n">
        <v>0</v>
      </c>
      <c r="Y15" s="204" t="s">
        <v>500</v>
      </c>
      <c r="AF15" s="234" t="s">
        <v>592</v>
      </c>
      <c r="AG15" s="234" t="s">
        <v>593</v>
      </c>
      <c r="AH15" s="235" t="s">
        <v>59</v>
      </c>
      <c r="AI15" s="236" t="n">
        <v>1</v>
      </c>
      <c r="AJ15" s="236" t="n">
        <v>105600</v>
      </c>
      <c r="AK15" s="236" t="n">
        <v>0</v>
      </c>
      <c r="AL15" s="236" t="n">
        <f aca="false">AJ15/AI15*(1+AH$3)</f>
        <v>112992</v>
      </c>
      <c r="AM15" s="236" t="n">
        <f aca="false">AK15*AL15</f>
        <v>0</v>
      </c>
      <c r="AN15" s="236"/>
      <c r="AO15" s="237" t="n">
        <f aca="false">AN15-AM15</f>
        <v>0</v>
      </c>
    </row>
    <row r="16" customFormat="false" ht="12" hidden="false" customHeight="false" outlineLevel="0" collapsed="false">
      <c r="A16" s="204" t="s">
        <v>54</v>
      </c>
      <c r="B16" s="204" t="s">
        <v>594</v>
      </c>
      <c r="C16" s="205" t="n">
        <v>0</v>
      </c>
      <c r="D16" s="204" t="s">
        <v>59</v>
      </c>
      <c r="E16" s="204" t="s">
        <v>587</v>
      </c>
      <c r="F16" s="224" t="n">
        <f aca="false">SUMIFS(Потребности!AK:AK,Потребности!AF:AF,Потребности!B16,Потребности!AH:AH,Потребности!D16)</f>
        <v>0</v>
      </c>
      <c r="G16" s="224" t="n">
        <f aca="false">SUMIFS(Потребности!AM:AM,Потребности!AF:AF,Потребности!B16,Потребности!AH:AH,Потребности!D16)</f>
        <v>0</v>
      </c>
      <c r="H16" s="204" t="s">
        <v>588</v>
      </c>
      <c r="J16" s="204" t="n">
        <f aca="false">$V16/12</f>
        <v>0</v>
      </c>
      <c r="K16" s="204" t="n">
        <f aca="false">$V16/12</f>
        <v>0</v>
      </c>
      <c r="L16" s="204" t="n">
        <f aca="false">$V16/12</f>
        <v>0</v>
      </c>
      <c r="M16" s="204" t="n">
        <f aca="false">$V16/12</f>
        <v>0</v>
      </c>
      <c r="N16" s="204" t="n">
        <f aca="false">$V16/12</f>
        <v>0</v>
      </c>
      <c r="O16" s="204" t="n">
        <f aca="false">$V16/12</f>
        <v>0</v>
      </c>
      <c r="P16" s="204" t="n">
        <f aca="false">$V16/12</f>
        <v>0</v>
      </c>
      <c r="Q16" s="204" t="n">
        <f aca="false">$V16/12</f>
        <v>0</v>
      </c>
      <c r="R16" s="204" t="n">
        <f aca="false">$V16/12</f>
        <v>0</v>
      </c>
      <c r="S16" s="204" t="n">
        <f aca="false">$V16/12</f>
        <v>0</v>
      </c>
      <c r="T16" s="204" t="n">
        <f aca="false">$V16/12</f>
        <v>0</v>
      </c>
      <c r="U16" s="204" t="n">
        <f aca="false">$V16/12</f>
        <v>0</v>
      </c>
      <c r="V16" s="204" t="n">
        <f aca="false">SUMIFS(Потребности!AM:AM,Потребности!AF:AF,Потребности!B16,Потребности!AH:AH,Потребности!D16)</f>
        <v>0</v>
      </c>
      <c r="W16" s="204" t="n">
        <v>3432000</v>
      </c>
      <c r="X16" s="204" t="n">
        <v>0</v>
      </c>
      <c r="Y16" s="204" t="s">
        <v>500</v>
      </c>
      <c r="AF16" s="234" t="s">
        <v>595</v>
      </c>
      <c r="AG16" s="234" t="s">
        <v>590</v>
      </c>
      <c r="AH16" s="235" t="s">
        <v>59</v>
      </c>
      <c r="AI16" s="236" t="n">
        <v>5</v>
      </c>
      <c r="AJ16" s="236" t="n">
        <v>115000</v>
      </c>
      <c r="AK16" s="236" t="n">
        <v>7</v>
      </c>
      <c r="AL16" s="236" t="n">
        <f aca="false">AJ16/AI16*(1+AH$3)</f>
        <v>24610</v>
      </c>
      <c r="AM16" s="236" t="n">
        <f aca="false">AK16*AL16</f>
        <v>172270</v>
      </c>
      <c r="AN16" s="236"/>
      <c r="AO16" s="237" t="n">
        <f aca="false">AN16-AM16</f>
        <v>-172270</v>
      </c>
    </row>
    <row r="17" customFormat="false" ht="12" hidden="false" customHeight="false" outlineLevel="0" collapsed="false">
      <c r="A17" s="204" t="s">
        <v>54</v>
      </c>
      <c r="B17" s="204" t="s">
        <v>596</v>
      </c>
      <c r="C17" s="205" t="n">
        <v>0</v>
      </c>
      <c r="D17" s="204" t="s">
        <v>59</v>
      </c>
      <c r="E17" s="204" t="s">
        <v>587</v>
      </c>
      <c r="F17" s="224" t="n">
        <f aca="false">SUMIFS(Потребности!AK:AK,Потребности!AF:AF,Потребности!B17,Потребности!AH:AH,Потребности!D17)</f>
        <v>0</v>
      </c>
      <c r="G17" s="224" t="n">
        <f aca="false">SUMIFS(Потребности!AM:AM,Потребности!AF:AF,Потребности!B17,Потребности!AH:AH,Потребности!D17)</f>
        <v>0</v>
      </c>
      <c r="H17" s="204" t="s">
        <v>588</v>
      </c>
      <c r="I17" s="204" t="s">
        <v>597</v>
      </c>
      <c r="J17" s="204" t="n">
        <f aca="false">$V17/12</f>
        <v>0</v>
      </c>
      <c r="K17" s="204" t="n">
        <f aca="false">$V17/12</f>
        <v>0</v>
      </c>
      <c r="L17" s="204" t="n">
        <f aca="false">$V17/12</f>
        <v>0</v>
      </c>
      <c r="M17" s="204" t="n">
        <f aca="false">$V17/12</f>
        <v>0</v>
      </c>
      <c r="N17" s="204" t="n">
        <f aca="false">$V17/12</f>
        <v>0</v>
      </c>
      <c r="O17" s="204" t="n">
        <f aca="false">$V17/12</f>
        <v>0</v>
      </c>
      <c r="P17" s="204" t="n">
        <f aca="false">$V17/12</f>
        <v>0</v>
      </c>
      <c r="Q17" s="204" t="n">
        <f aca="false">$V17/12</f>
        <v>0</v>
      </c>
      <c r="R17" s="204" t="n">
        <f aca="false">$V17/12</f>
        <v>0</v>
      </c>
      <c r="S17" s="204" t="n">
        <f aca="false">$V17/12</f>
        <v>0</v>
      </c>
      <c r="T17" s="204" t="n">
        <f aca="false">$V17/12</f>
        <v>0</v>
      </c>
      <c r="U17" s="204" t="n">
        <f aca="false">$V17/12</f>
        <v>0</v>
      </c>
      <c r="V17" s="204" t="n">
        <f aca="false">SUMIFS(Потребности!AM:AM,Потребности!AF:AF,Потребности!B17,Потребности!AH:AH,Потребности!D17)</f>
        <v>0</v>
      </c>
      <c r="W17" s="204" t="n">
        <v>4290000</v>
      </c>
      <c r="X17" s="204" t="n">
        <v>0</v>
      </c>
      <c r="Y17" s="204" t="s">
        <v>500</v>
      </c>
      <c r="AF17" s="234" t="s">
        <v>598</v>
      </c>
      <c r="AG17" s="234" t="s">
        <v>599</v>
      </c>
      <c r="AH17" s="235" t="s">
        <v>59</v>
      </c>
      <c r="AI17" s="236" t="n">
        <v>1</v>
      </c>
      <c r="AJ17" s="236" t="n">
        <v>4860000</v>
      </c>
      <c r="AK17" s="236" t="n">
        <f aca="false">AI17</f>
        <v>1</v>
      </c>
      <c r="AL17" s="236" t="n">
        <f aca="false">AJ17/AI17*(1+AH$3)</f>
        <v>5200200</v>
      </c>
      <c r="AM17" s="236" t="n">
        <f aca="false">AK17*AL17</f>
        <v>5200200</v>
      </c>
      <c r="AN17" s="236"/>
      <c r="AO17" s="237"/>
    </row>
    <row r="18" customFormat="false" ht="12" hidden="false" customHeight="false" outlineLevel="0" collapsed="false">
      <c r="A18" s="204" t="s">
        <v>54</v>
      </c>
      <c r="B18" s="204" t="s">
        <v>591</v>
      </c>
      <c r="C18" s="205" t="n">
        <v>0</v>
      </c>
      <c r="D18" s="204" t="s">
        <v>59</v>
      </c>
      <c r="E18" s="204" t="s">
        <v>587</v>
      </c>
      <c r="F18" s="224" t="n">
        <f aca="false">SUMIFS(Потребности!AK:AK,Потребности!AF:AF,Потребности!B18,Потребности!AH:AH,Потребности!D18)</f>
        <v>5</v>
      </c>
      <c r="G18" s="224" t="n">
        <f aca="false">SUMIFS(Потребности!AM:AM,Потребности!AF:AF,Потребности!B18,Потребности!AH:AH,Потребности!D18)</f>
        <v>49968.53455</v>
      </c>
      <c r="H18" s="204" t="s">
        <v>588</v>
      </c>
      <c r="J18" s="204" t="n">
        <f aca="false">$V18/12</f>
        <v>4164.04454583333</v>
      </c>
      <c r="K18" s="204" t="n">
        <f aca="false">$V18/12</f>
        <v>4164.04454583333</v>
      </c>
      <c r="L18" s="204" t="n">
        <f aca="false">$V18/12</f>
        <v>4164.04454583333</v>
      </c>
      <c r="M18" s="204" t="n">
        <f aca="false">$V18/12</f>
        <v>4164.04454583333</v>
      </c>
      <c r="N18" s="204" t="n">
        <f aca="false">$V18/12</f>
        <v>4164.04454583333</v>
      </c>
      <c r="O18" s="204" t="n">
        <f aca="false">$V18/12</f>
        <v>4164.04454583333</v>
      </c>
      <c r="P18" s="204" t="n">
        <f aca="false">$V18/12</f>
        <v>4164.04454583333</v>
      </c>
      <c r="Q18" s="204" t="n">
        <f aca="false">$V18/12</f>
        <v>4164.04454583333</v>
      </c>
      <c r="R18" s="204" t="n">
        <f aca="false">$V18/12</f>
        <v>4164.04454583333</v>
      </c>
      <c r="S18" s="204" t="n">
        <f aca="false">$V18/12</f>
        <v>4164.04454583333</v>
      </c>
      <c r="T18" s="204" t="n">
        <f aca="false">$V18/12</f>
        <v>4164.04454583333</v>
      </c>
      <c r="U18" s="204" t="n">
        <f aca="false">$V18/12</f>
        <v>4164.04454583333</v>
      </c>
      <c r="V18" s="204" t="n">
        <f aca="false">SUMIFS(Потребности!AM:AM,Потребности!AF:AF,Потребности!B18,Потребности!AH:AH,Потребности!D18)</f>
        <v>49968.53455</v>
      </c>
      <c r="W18" s="204" t="n">
        <v>84059.217</v>
      </c>
      <c r="X18" s="204" t="n">
        <v>58524.6</v>
      </c>
      <c r="Y18" s="204" t="s">
        <v>500</v>
      </c>
      <c r="AF18" s="234" t="s">
        <v>600</v>
      </c>
      <c r="AG18" s="234" t="s">
        <v>601</v>
      </c>
      <c r="AH18" s="235" t="s">
        <v>59</v>
      </c>
      <c r="AI18" s="236" t="n">
        <v>1</v>
      </c>
      <c r="AJ18" s="236" t="n">
        <v>572400</v>
      </c>
      <c r="AK18" s="236" t="n">
        <v>0</v>
      </c>
      <c r="AL18" s="236" t="n">
        <f aca="false">AJ18/AI18*(1+AH$3)</f>
        <v>612468</v>
      </c>
      <c r="AM18" s="236" t="n">
        <f aca="false">AK18*AL18</f>
        <v>0</v>
      </c>
      <c r="AN18" s="236"/>
      <c r="AO18" s="237" t="n">
        <f aca="false">AN18-AM18</f>
        <v>0</v>
      </c>
    </row>
    <row r="19" customFormat="false" ht="12" hidden="false" customHeight="false" outlineLevel="0" collapsed="false">
      <c r="A19" s="204" t="s">
        <v>54</v>
      </c>
      <c r="B19" s="204" t="s">
        <v>592</v>
      </c>
      <c r="C19" s="205" t="n">
        <v>0</v>
      </c>
      <c r="D19" s="204" t="s">
        <v>59</v>
      </c>
      <c r="E19" s="204" t="s">
        <v>602</v>
      </c>
      <c r="F19" s="224" t="n">
        <f aca="false">SUMIFS(Потребности!AK:AK,Потребности!AF:AF,Потребности!B19,Потребности!AH:AH,Потребности!D19)</f>
        <v>0</v>
      </c>
      <c r="G19" s="224" t="n">
        <f aca="false">SUMIFS(Потребности!AM:AM,Потребности!AF:AF,Потребности!B19,Потребности!AH:AH,Потребности!D19)</f>
        <v>0</v>
      </c>
      <c r="H19" s="204" t="s">
        <v>593</v>
      </c>
      <c r="V19" s="204" t="n">
        <f aca="false">SUMIFS(Потребности!AM:AM,Потребности!AF:AF,Потребности!B19,Потребности!AH:AH,Потребности!D19)</f>
        <v>0</v>
      </c>
      <c r="W19" s="204" t="n">
        <v>105600</v>
      </c>
      <c r="X19" s="204" t="n">
        <v>0</v>
      </c>
      <c r="Y19" s="204" t="s">
        <v>500</v>
      </c>
      <c r="AF19" s="234" t="s">
        <v>603</v>
      </c>
      <c r="AG19" s="234" t="s">
        <v>604</v>
      </c>
      <c r="AH19" s="235" t="s">
        <v>59</v>
      </c>
      <c r="AI19" s="236" t="n">
        <v>1</v>
      </c>
      <c r="AJ19" s="236" t="n">
        <v>1000000</v>
      </c>
      <c r="AK19" s="236" t="n">
        <v>0</v>
      </c>
      <c r="AL19" s="236" t="n">
        <f aca="false">AJ19/AI19*(1+AH$3)</f>
        <v>1070000</v>
      </c>
      <c r="AM19" s="236" t="n">
        <f aca="false">AK19*AL19</f>
        <v>0</v>
      </c>
      <c r="AN19" s="236"/>
      <c r="AO19" s="237" t="n">
        <f aca="false">AN19-AM19</f>
        <v>0</v>
      </c>
    </row>
    <row r="20" customFormat="false" ht="12" hidden="false" customHeight="false" outlineLevel="0" collapsed="false">
      <c r="A20" s="204" t="s">
        <v>54</v>
      </c>
      <c r="B20" s="204" t="s">
        <v>595</v>
      </c>
      <c r="C20" s="205" t="n">
        <v>0</v>
      </c>
      <c r="D20" s="204" t="s">
        <v>59</v>
      </c>
      <c r="E20" s="204" t="s">
        <v>602</v>
      </c>
      <c r="F20" s="224" t="n">
        <f aca="false">SUMIFS(Потребности!AK:AK,Потребности!AF:AF,Потребности!B20,Потребности!AH:AH,Потребности!D20)</f>
        <v>7</v>
      </c>
      <c r="G20" s="224" t="n">
        <f aca="false">SUMIFS(Потребности!AM:AM,Потребности!AF:AF,Потребности!B20,Потребности!AH:AH,Потребности!D20)</f>
        <v>172270</v>
      </c>
      <c r="H20" s="204" t="s">
        <v>590</v>
      </c>
      <c r="J20" s="204" t="n">
        <f aca="false">$V20/12</f>
        <v>14355.8333333333</v>
      </c>
      <c r="K20" s="204" t="n">
        <f aca="false">$V20/12</f>
        <v>14355.8333333333</v>
      </c>
      <c r="L20" s="204" t="n">
        <f aca="false">$V20/12</f>
        <v>14355.8333333333</v>
      </c>
      <c r="M20" s="204" t="n">
        <f aca="false">$V20/12</f>
        <v>14355.8333333333</v>
      </c>
      <c r="N20" s="204" t="n">
        <f aca="false">$V20/12</f>
        <v>14355.8333333333</v>
      </c>
      <c r="O20" s="204" t="n">
        <f aca="false">$V20/12</f>
        <v>14355.8333333333</v>
      </c>
      <c r="P20" s="204" t="n">
        <f aca="false">$V20/12</f>
        <v>14355.8333333333</v>
      </c>
      <c r="Q20" s="204" t="n">
        <f aca="false">$V20/12</f>
        <v>14355.8333333333</v>
      </c>
      <c r="R20" s="204" t="n">
        <f aca="false">$V20/12</f>
        <v>14355.8333333333</v>
      </c>
      <c r="S20" s="204" t="n">
        <f aca="false">$V20/12</f>
        <v>14355.8333333333</v>
      </c>
      <c r="T20" s="204" t="n">
        <f aca="false">$V20/12</f>
        <v>14355.8333333333</v>
      </c>
      <c r="U20" s="204" t="n">
        <f aca="false">$V20/12</f>
        <v>14355.8333333333</v>
      </c>
      <c r="V20" s="204" t="n">
        <f aca="false">SUMIFS(Потребности!AM:AM,Потребности!AF:AF,Потребности!B20,Потребности!AH:AH,Потребности!D20)</f>
        <v>172270</v>
      </c>
      <c r="W20" s="204" t="n">
        <v>115000</v>
      </c>
      <c r="X20" s="204" t="n">
        <v>0</v>
      </c>
      <c r="Y20" s="204" t="s">
        <v>500</v>
      </c>
      <c r="AF20" s="234" t="s">
        <v>605</v>
      </c>
      <c r="AG20" s="234" t="s">
        <v>606</v>
      </c>
      <c r="AH20" s="235" t="s">
        <v>59</v>
      </c>
      <c r="AI20" s="236" t="n">
        <v>2</v>
      </c>
      <c r="AJ20" s="236" t="n">
        <v>53509.84</v>
      </c>
      <c r="AK20" s="236" t="n">
        <v>3</v>
      </c>
      <c r="AL20" s="236" t="n">
        <f aca="false">AJ20/AI20*(1+AH$3)</f>
        <v>28627.7644</v>
      </c>
      <c r="AM20" s="236" t="n">
        <f aca="false">AK20*AL20</f>
        <v>85883.2932</v>
      </c>
      <c r="AN20" s="236"/>
      <c r="AO20" s="237" t="n">
        <f aca="false">AN20-AM20</f>
        <v>-85883.2932</v>
      </c>
    </row>
    <row r="21" customFormat="false" ht="12" hidden="false" customHeight="false" outlineLevel="0" collapsed="false">
      <c r="A21" s="204" t="s">
        <v>54</v>
      </c>
      <c r="B21" s="204" t="s">
        <v>598</v>
      </c>
      <c r="C21" s="205" t="n">
        <v>0</v>
      </c>
      <c r="D21" s="204" t="s">
        <v>59</v>
      </c>
      <c r="E21" s="204" t="s">
        <v>602</v>
      </c>
      <c r="F21" s="224" t="n">
        <f aca="false">SUMIFS(Потребности!AK:AK,Потребности!AF:AF,Потребности!B21,Потребности!AH:AH,Потребности!D21)</f>
        <v>1</v>
      </c>
      <c r="G21" s="224" t="n">
        <f aca="false">SUMIFS(Потребности!AM:AM,Потребности!AF:AF,Потребности!B21,Потребности!AH:AH,Потребности!D21)</f>
        <v>5200200</v>
      </c>
      <c r="H21" s="204" t="s">
        <v>607</v>
      </c>
      <c r="J21" s="204" t="n">
        <f aca="false">$V21/12</f>
        <v>433350</v>
      </c>
      <c r="K21" s="204" t="n">
        <f aca="false">$V21/12</f>
        <v>433350</v>
      </c>
      <c r="L21" s="204" t="n">
        <f aca="false">$V21/12</f>
        <v>433350</v>
      </c>
      <c r="M21" s="204" t="n">
        <f aca="false">$V21/12</f>
        <v>433350</v>
      </c>
      <c r="N21" s="204" t="n">
        <f aca="false">$V21/12</f>
        <v>433350</v>
      </c>
      <c r="O21" s="204" t="n">
        <f aca="false">$V21/12</f>
        <v>433350</v>
      </c>
      <c r="P21" s="204" t="n">
        <f aca="false">$V21/12</f>
        <v>433350</v>
      </c>
      <c r="Q21" s="204" t="n">
        <f aca="false">$V21/12</f>
        <v>433350</v>
      </c>
      <c r="R21" s="204" t="n">
        <f aca="false">$V21/12</f>
        <v>433350</v>
      </c>
      <c r="S21" s="204" t="n">
        <f aca="false">$V21/12</f>
        <v>433350</v>
      </c>
      <c r="T21" s="204" t="n">
        <f aca="false">$V21/12</f>
        <v>433350</v>
      </c>
      <c r="U21" s="204" t="n">
        <f aca="false">$V21/12</f>
        <v>433350</v>
      </c>
      <c r="V21" s="204" t="n">
        <f aca="false">SUMIFS(Потребности!AM:AM,Потребности!AF:AF,Потребности!B21,Потребности!AH:AH,Потребности!D21)</f>
        <v>5200200</v>
      </c>
      <c r="W21" s="204" t="n">
        <v>4860000</v>
      </c>
      <c r="X21" s="204" t="n">
        <v>0</v>
      </c>
      <c r="Y21" s="204" t="s">
        <v>500</v>
      </c>
      <c r="AE21" s="241"/>
      <c r="AF21" s="242" t="s">
        <v>608</v>
      </c>
      <c r="AG21" s="242"/>
      <c r="AH21" s="230"/>
      <c r="AI21" s="243"/>
      <c r="AJ21" s="243" t="n">
        <f aca="false">SUM(AJ7:AJ20)</f>
        <v>8194305.347</v>
      </c>
      <c r="AK21" s="243"/>
      <c r="AL21" s="243"/>
      <c r="AM21" s="243" t="n">
        <f aca="false">SUM(AM7:AM20)</f>
        <v>17273785.70575</v>
      </c>
      <c r="AN21" s="243" t="n">
        <f aca="false">SUM(AN7:AN20)</f>
        <v>0</v>
      </c>
      <c r="AO21" s="244" t="n">
        <f aca="false">AN21-AM21</f>
        <v>-17273785.70575</v>
      </c>
    </row>
    <row r="22" customFormat="false" ht="12" hidden="false" customHeight="false" outlineLevel="0" collapsed="false">
      <c r="A22" s="204" t="s">
        <v>54</v>
      </c>
      <c r="B22" s="204" t="s">
        <v>598</v>
      </c>
      <c r="C22" s="205" t="n">
        <v>0</v>
      </c>
      <c r="D22" s="204" t="s">
        <v>55</v>
      </c>
      <c r="E22" s="204" t="s">
        <v>602</v>
      </c>
      <c r="F22" s="224" t="n">
        <f aca="false">SUMIFS(Потребности!AK:AK,Потребности!AF:AF,Потребности!B22,Потребности!AH:AH,Потребности!D22)</f>
        <v>6</v>
      </c>
      <c r="G22" s="224" t="n">
        <f aca="false">SUMIFS(Потребности!AM:AM,Потребности!AF:AF,Потребности!B22,Потребности!AH:AH,Потребности!D22)</f>
        <v>240000</v>
      </c>
      <c r="H22" s="204" t="s">
        <v>607</v>
      </c>
      <c r="J22" s="204" t="n">
        <f aca="false">$V22/12</f>
        <v>20000</v>
      </c>
      <c r="K22" s="204" t="n">
        <f aca="false">$V22/12</f>
        <v>20000</v>
      </c>
      <c r="L22" s="204" t="n">
        <f aca="false">$V22/12</f>
        <v>20000</v>
      </c>
      <c r="M22" s="204" t="n">
        <f aca="false">$V22/12</f>
        <v>20000</v>
      </c>
      <c r="N22" s="204" t="n">
        <f aca="false">$V22/12</f>
        <v>20000</v>
      </c>
      <c r="O22" s="204" t="n">
        <f aca="false">$V22/12</f>
        <v>20000</v>
      </c>
      <c r="P22" s="204" t="n">
        <f aca="false">$V22/12</f>
        <v>20000</v>
      </c>
      <c r="Q22" s="204" t="n">
        <f aca="false">$V22/12</f>
        <v>20000</v>
      </c>
      <c r="R22" s="204" t="n">
        <f aca="false">$V22/12</f>
        <v>20000</v>
      </c>
      <c r="S22" s="204" t="n">
        <f aca="false">$V22/12</f>
        <v>20000</v>
      </c>
      <c r="T22" s="204" t="n">
        <f aca="false">$V22/12</f>
        <v>20000</v>
      </c>
      <c r="U22" s="204" t="n">
        <f aca="false">$V22/12</f>
        <v>20000</v>
      </c>
      <c r="V22" s="204" t="n">
        <f aca="false">SUMIFS(Потребности!AM:AM,Потребности!AF:AF,Потребности!B22,Потребности!AH:AH,Потребности!D22)</f>
        <v>240000</v>
      </c>
      <c r="W22" s="204" t="n">
        <v>4860000</v>
      </c>
      <c r="X22" s="204" t="n">
        <v>0</v>
      </c>
      <c r="Y22" s="204" t="s">
        <v>54</v>
      </c>
      <c r="AF22" s="234" t="s">
        <v>609</v>
      </c>
      <c r="AG22" s="234" t="s">
        <v>576</v>
      </c>
      <c r="AH22" s="235" t="s">
        <v>55</v>
      </c>
      <c r="AI22" s="236" t="n">
        <v>14</v>
      </c>
      <c r="AJ22" s="236" t="n">
        <v>431668.006</v>
      </c>
      <c r="AK22" s="236" t="n">
        <v>14</v>
      </c>
      <c r="AL22" s="236" t="n">
        <f aca="false">AJ22/AI22*(1+AH$3)</f>
        <v>32991.76903</v>
      </c>
      <c r="AM22" s="236" t="n">
        <f aca="false">AK22*AL22</f>
        <v>461884.76642</v>
      </c>
      <c r="AN22" s="236"/>
      <c r="AO22" s="237" t="n">
        <f aca="false">AN22-AM22</f>
        <v>-461884.76642</v>
      </c>
    </row>
    <row r="23" customFormat="false" ht="12" hidden="false" customHeight="false" outlineLevel="0" collapsed="false">
      <c r="A23" s="204" t="s">
        <v>54</v>
      </c>
      <c r="B23" s="204" t="s">
        <v>610</v>
      </c>
      <c r="C23" s="205" t="n">
        <v>0</v>
      </c>
      <c r="D23" s="204" t="s">
        <v>59</v>
      </c>
      <c r="E23" s="204" t="s">
        <v>611</v>
      </c>
      <c r="F23" s="224" t="n">
        <f aca="false">30+(309*0.05)</f>
        <v>45.45</v>
      </c>
      <c r="G23" s="224" t="n">
        <v>300000</v>
      </c>
      <c r="H23" s="204" t="s">
        <v>612</v>
      </c>
      <c r="I23" s="204" t="s">
        <v>613</v>
      </c>
      <c r="J23" s="204" t="n">
        <f aca="false">$V23/12</f>
        <v>1136250</v>
      </c>
      <c r="K23" s="204" t="n">
        <f aca="false">$V23/12</f>
        <v>1136250</v>
      </c>
      <c r="L23" s="204" t="n">
        <f aca="false">$V23/12</f>
        <v>1136250</v>
      </c>
      <c r="M23" s="204" t="n">
        <f aca="false">$V23/12</f>
        <v>1136250</v>
      </c>
      <c r="N23" s="204" t="n">
        <f aca="false">$V23/12</f>
        <v>1136250</v>
      </c>
      <c r="O23" s="204" t="n">
        <f aca="false">$V23/12</f>
        <v>1136250</v>
      </c>
      <c r="P23" s="204" t="n">
        <f aca="false">$V23/12</f>
        <v>1136250</v>
      </c>
      <c r="Q23" s="204" t="n">
        <f aca="false">$V23/12</f>
        <v>1136250</v>
      </c>
      <c r="R23" s="204" t="n">
        <f aca="false">$V23/12</f>
        <v>1136250</v>
      </c>
      <c r="S23" s="204" t="n">
        <f aca="false">$V23/12</f>
        <v>1136250</v>
      </c>
      <c r="T23" s="204" t="n">
        <f aca="false">$V23/12</f>
        <v>1136250</v>
      </c>
      <c r="U23" s="204" t="n">
        <f aca="false">$V23/12</f>
        <v>1136250</v>
      </c>
      <c r="V23" s="204" t="n">
        <f aca="false">F23*G23</f>
        <v>13635000</v>
      </c>
      <c r="W23" s="204" t="n">
        <v>36141100</v>
      </c>
      <c r="X23" s="204" t="n">
        <v>2137044.16</v>
      </c>
      <c r="Y23" s="204" t="s">
        <v>500</v>
      </c>
      <c r="AF23" s="234" t="s">
        <v>614</v>
      </c>
      <c r="AG23" s="234" t="s">
        <v>576</v>
      </c>
      <c r="AH23" s="235" t="s">
        <v>55</v>
      </c>
      <c r="AI23" s="236" t="n">
        <v>5</v>
      </c>
      <c r="AJ23" s="236" t="n">
        <v>339502.845</v>
      </c>
      <c r="AK23" s="236" t="n">
        <v>5</v>
      </c>
      <c r="AL23" s="236" t="n">
        <f aca="false">AJ23/AI23*(1+AH$3)</f>
        <v>72653.60883</v>
      </c>
      <c r="AM23" s="236" t="n">
        <f aca="false">AK23*AL23</f>
        <v>363268.04415</v>
      </c>
      <c r="AN23" s="236"/>
      <c r="AO23" s="237" t="n">
        <f aca="false">AN23-AM23</f>
        <v>-363268.04415</v>
      </c>
    </row>
    <row r="24" customFormat="false" ht="12" hidden="false" customHeight="false" outlineLevel="0" collapsed="false">
      <c r="A24" s="204" t="s">
        <v>54</v>
      </c>
      <c r="B24" s="204" t="s">
        <v>600</v>
      </c>
      <c r="C24" s="205" t="n">
        <v>0</v>
      </c>
      <c r="D24" s="204" t="s">
        <v>59</v>
      </c>
      <c r="E24" s="204" t="s">
        <v>602</v>
      </c>
      <c r="F24" s="224" t="n">
        <f aca="false">SUMIFS(Потребности!AK:AK,Потребности!AF:AF,Потребности!B24,Потребности!AH:AH,Потребности!D24)</f>
        <v>0</v>
      </c>
      <c r="G24" s="224" t="n">
        <f aca="false">SUMIFS(Потребности!AM:AM,Потребности!AF:AF,Потребности!B24,Потребности!AH:AH,Потребности!D24)</f>
        <v>0</v>
      </c>
      <c r="H24" s="204" t="s">
        <v>615</v>
      </c>
      <c r="V24" s="204" t="n">
        <f aca="false">SUMIFS(Потребности!AM:AM,Потребности!AF:AF,Потребности!B24,Потребности!AH:AH,Потребности!D24)</f>
        <v>0</v>
      </c>
      <c r="W24" s="204" t="n">
        <v>0</v>
      </c>
      <c r="X24" s="204" t="n">
        <v>572400</v>
      </c>
      <c r="Y24" s="204" t="s">
        <v>500</v>
      </c>
      <c r="AF24" s="234" t="s">
        <v>598</v>
      </c>
      <c r="AG24" s="234" t="s">
        <v>599</v>
      </c>
      <c r="AH24" s="235" t="s">
        <v>55</v>
      </c>
      <c r="AI24" s="236" t="n">
        <v>0</v>
      </c>
      <c r="AJ24" s="236" t="n">
        <v>0</v>
      </c>
      <c r="AK24" s="236" t="n">
        <v>6</v>
      </c>
      <c r="AL24" s="236" t="n">
        <v>40000</v>
      </c>
      <c r="AM24" s="236" t="n">
        <f aca="false">AK24*AL24</f>
        <v>240000</v>
      </c>
      <c r="AN24" s="236"/>
      <c r="AO24" s="237"/>
    </row>
    <row r="25" customFormat="false" ht="12" hidden="false" customHeight="false" outlineLevel="0" collapsed="false">
      <c r="A25" s="204" t="s">
        <v>54</v>
      </c>
      <c r="B25" s="204" t="s">
        <v>603</v>
      </c>
      <c r="C25" s="205" t="n">
        <v>0</v>
      </c>
      <c r="D25" s="204" t="s">
        <v>59</v>
      </c>
      <c r="E25" s="204" t="s">
        <v>39</v>
      </c>
      <c r="F25" s="224" t="n">
        <f aca="false">SUMIFS(Потребности!AK:AK,Потребности!AF:AF,Потребности!B25,Потребности!AH:AH,Потребности!D25)</f>
        <v>0</v>
      </c>
      <c r="G25" s="224" t="n">
        <f aca="false">SUMIFS(Потребности!AM:AM,Потребности!AF:AF,Потребности!B25,Потребности!AH:AH,Потребности!D25)</f>
        <v>0</v>
      </c>
      <c r="H25" s="204" t="s">
        <v>616</v>
      </c>
      <c r="V25" s="204" t="n">
        <f aca="false">SUMIFS(Потребности!AM:AM,Потребности!AF:AF,Потребности!B25,Потребности!AH:AH,Потребности!D25)</f>
        <v>0</v>
      </c>
      <c r="W25" s="204" t="n">
        <v>0</v>
      </c>
      <c r="X25" s="204" t="n">
        <v>1000000</v>
      </c>
      <c r="Y25" s="204" t="s">
        <v>500</v>
      </c>
      <c r="AF25" s="234" t="s">
        <v>617</v>
      </c>
      <c r="AG25" s="234" t="s">
        <v>593</v>
      </c>
      <c r="AH25" s="235" t="s">
        <v>55</v>
      </c>
      <c r="AI25" s="236" t="n">
        <v>1</v>
      </c>
      <c r="AJ25" s="236" t="n">
        <v>12000</v>
      </c>
      <c r="AK25" s="236" t="n">
        <v>0</v>
      </c>
      <c r="AL25" s="236" t="n">
        <f aca="false">AJ25/AI25*(1+AH$3)</f>
        <v>12840</v>
      </c>
      <c r="AM25" s="236" t="n">
        <f aca="false">AK25*AL25</f>
        <v>0</v>
      </c>
      <c r="AN25" s="236"/>
      <c r="AO25" s="237" t="n">
        <f aca="false">AN25-AM25</f>
        <v>0</v>
      </c>
    </row>
    <row r="26" customFormat="false" ht="12" hidden="false" customHeight="false" outlineLevel="0" collapsed="false">
      <c r="A26" s="204" t="s">
        <v>501</v>
      </c>
      <c r="B26" s="204" t="s">
        <v>618</v>
      </c>
      <c r="C26" s="205" t="n">
        <v>0</v>
      </c>
      <c r="D26" s="204" t="s">
        <v>59</v>
      </c>
      <c r="E26" s="204" t="s">
        <v>39</v>
      </c>
      <c r="F26" s="224" t="s">
        <v>553</v>
      </c>
      <c r="G26" s="224" t="s">
        <v>553</v>
      </c>
      <c r="H26" s="204" t="s">
        <v>619</v>
      </c>
      <c r="J26" s="204" t="n">
        <v>0</v>
      </c>
      <c r="K26" s="204" t="n">
        <v>0</v>
      </c>
      <c r="L26" s="204" t="n">
        <v>0</v>
      </c>
      <c r="M26" s="204" t="n">
        <v>0</v>
      </c>
      <c r="N26" s="204" t="n">
        <v>0</v>
      </c>
      <c r="O26" s="204" t="n">
        <v>26000000</v>
      </c>
      <c r="P26" s="204" t="n">
        <v>7202000</v>
      </c>
      <c r="Q26" s="204" t="n">
        <v>14123500</v>
      </c>
      <c r="R26" s="204" t="n">
        <v>138470000</v>
      </c>
      <c r="S26" s="204" t="n">
        <v>152593500</v>
      </c>
      <c r="T26" s="204" t="n">
        <v>0</v>
      </c>
      <c r="U26" s="204" t="n">
        <v>100000000</v>
      </c>
      <c r="V26" s="204" t="n">
        <v>438389000</v>
      </c>
      <c r="W26" s="204" t="n">
        <v>433315500</v>
      </c>
      <c r="X26" s="204" t="n">
        <v>0</v>
      </c>
      <c r="Y26" s="204" t="s">
        <v>501</v>
      </c>
      <c r="AF26" s="234" t="s">
        <v>620</v>
      </c>
      <c r="AG26" s="234" t="s">
        <v>593</v>
      </c>
      <c r="AH26" s="235" t="s">
        <v>55</v>
      </c>
      <c r="AI26" s="236" t="n">
        <v>4</v>
      </c>
      <c r="AJ26" s="236" t="n">
        <v>288000</v>
      </c>
      <c r="AK26" s="236" t="n">
        <v>0</v>
      </c>
      <c r="AL26" s="236" t="n">
        <f aca="false">AJ26/AI26*(1+AH$3)</f>
        <v>77040</v>
      </c>
      <c r="AM26" s="236" t="n">
        <f aca="false">AK26*AL26</f>
        <v>0</v>
      </c>
      <c r="AN26" s="236"/>
      <c r="AO26" s="237" t="n">
        <f aca="false">AN26-AM26</f>
        <v>0</v>
      </c>
    </row>
    <row r="27" customFormat="false" ht="12" hidden="false" customHeight="false" outlineLevel="0" collapsed="false">
      <c r="A27" s="204" t="s">
        <v>501</v>
      </c>
      <c r="B27" s="204" t="s">
        <v>618</v>
      </c>
      <c r="C27" s="205" t="n">
        <v>0</v>
      </c>
      <c r="D27" s="204" t="s">
        <v>55</v>
      </c>
      <c r="E27" s="204" t="s">
        <v>39</v>
      </c>
      <c r="F27" s="224" t="s">
        <v>553</v>
      </c>
      <c r="G27" s="224" t="s">
        <v>553</v>
      </c>
      <c r="H27" s="204" t="s">
        <v>619</v>
      </c>
      <c r="J27" s="204" t="n">
        <v>0</v>
      </c>
      <c r="K27" s="204" t="n">
        <v>0</v>
      </c>
      <c r="L27" s="204" t="n">
        <v>0</v>
      </c>
      <c r="M27" s="204" t="n">
        <v>0</v>
      </c>
      <c r="N27" s="204" t="n">
        <v>0</v>
      </c>
      <c r="O27" s="204" t="n">
        <v>0</v>
      </c>
      <c r="P27" s="204" t="n">
        <v>0</v>
      </c>
      <c r="Q27" s="204" t="n">
        <v>94700.5346307703</v>
      </c>
      <c r="R27" s="204" t="n">
        <v>1022765.77433801</v>
      </c>
      <c r="S27" s="204" t="n">
        <v>2045531.54867601</v>
      </c>
      <c r="T27" s="204" t="n">
        <v>2045531.54867601</v>
      </c>
      <c r="U27" s="204" t="n">
        <v>2045531.54867601</v>
      </c>
      <c r="V27" s="204" t="n">
        <v>7254060.95499681</v>
      </c>
      <c r="W27" s="204" t="n">
        <v>433315500</v>
      </c>
      <c r="X27" s="204" t="n">
        <v>0</v>
      </c>
      <c r="Y27" s="204" t="s">
        <v>54</v>
      </c>
      <c r="AF27" s="234" t="s">
        <v>621</v>
      </c>
      <c r="AG27" s="234" t="s">
        <v>604</v>
      </c>
      <c r="AH27" s="235" t="s">
        <v>55</v>
      </c>
      <c r="AI27" s="236" t="n">
        <v>1</v>
      </c>
      <c r="AJ27" s="236" t="n">
        <v>180000</v>
      </c>
      <c r="AK27" s="236" t="n">
        <f aca="false">AI27</f>
        <v>1</v>
      </c>
      <c r="AL27" s="236" t="n">
        <f aca="false">AJ27/AI27*(1+AH$3)</f>
        <v>192600</v>
      </c>
      <c r="AM27" s="236" t="n">
        <f aca="false">AK27*AL27</f>
        <v>192600</v>
      </c>
      <c r="AN27" s="236"/>
      <c r="AO27" s="237" t="n">
        <f aca="false">AN27-AM27</f>
        <v>-192600</v>
      </c>
    </row>
    <row r="28" customFormat="false" ht="12" hidden="false" customHeight="false" outlineLevel="0" collapsed="false">
      <c r="A28" s="204" t="s">
        <v>501</v>
      </c>
      <c r="B28" s="204" t="s">
        <v>622</v>
      </c>
      <c r="C28" s="205" t="n">
        <v>0</v>
      </c>
      <c r="D28" s="204" t="s">
        <v>59</v>
      </c>
      <c r="E28" s="204" t="s">
        <v>39</v>
      </c>
      <c r="F28" s="224" t="s">
        <v>553</v>
      </c>
      <c r="G28" s="224" t="s">
        <v>553</v>
      </c>
      <c r="H28" s="204" t="s">
        <v>619</v>
      </c>
      <c r="J28" s="204" t="n">
        <v>0</v>
      </c>
      <c r="K28" s="204" t="n">
        <v>0</v>
      </c>
      <c r="L28" s="204" t="n">
        <v>0</v>
      </c>
      <c r="M28" s="204" t="n">
        <v>0</v>
      </c>
      <c r="N28" s="204" t="n">
        <v>18305560</v>
      </c>
      <c r="O28" s="204" t="n">
        <v>14357558.14</v>
      </c>
      <c r="P28" s="204" t="n">
        <v>21536337.21</v>
      </c>
      <c r="Q28" s="204" t="n">
        <v>25556453.4892</v>
      </c>
      <c r="R28" s="204" t="n">
        <v>0</v>
      </c>
      <c r="S28" s="204" t="n">
        <v>0</v>
      </c>
      <c r="T28" s="204" t="n">
        <v>0</v>
      </c>
      <c r="U28" s="204" t="n">
        <v>0</v>
      </c>
      <c r="V28" s="204" t="n">
        <v>79755908.8392</v>
      </c>
      <c r="W28" s="204" t="n">
        <v>211950000</v>
      </c>
      <c r="X28" s="204" t="n">
        <v>56565820</v>
      </c>
      <c r="Y28" s="204" t="s">
        <v>501</v>
      </c>
      <c r="AF28" s="234" t="s">
        <v>623</v>
      </c>
      <c r="AG28" s="234" t="s">
        <v>593</v>
      </c>
      <c r="AH28" s="235" t="s">
        <v>55</v>
      </c>
      <c r="AI28" s="236" t="n">
        <v>1</v>
      </c>
      <c r="AJ28" s="236" t="n">
        <v>30000</v>
      </c>
      <c r="AK28" s="236" t="n">
        <v>0</v>
      </c>
      <c r="AL28" s="236" t="n">
        <f aca="false">AJ28/AI28*(1+AH$3)</f>
        <v>32100</v>
      </c>
      <c r="AM28" s="236" t="n">
        <f aca="false">AK28*AL28</f>
        <v>0</v>
      </c>
      <c r="AN28" s="236"/>
      <c r="AO28" s="237" t="n">
        <f aca="false">AN28-AM28</f>
        <v>0</v>
      </c>
    </row>
    <row r="29" customFormat="false" ht="12" hidden="false" customHeight="false" outlineLevel="0" collapsed="false">
      <c r="A29" s="204" t="s">
        <v>501</v>
      </c>
      <c r="B29" s="204" t="s">
        <v>622</v>
      </c>
      <c r="C29" s="205" t="n">
        <v>0</v>
      </c>
      <c r="D29" s="204" t="s">
        <v>55</v>
      </c>
      <c r="E29" s="204" t="s">
        <v>39</v>
      </c>
      <c r="F29" s="224" t="s">
        <v>553</v>
      </c>
      <c r="G29" s="224" t="s">
        <v>553</v>
      </c>
      <c r="H29" s="204" t="s">
        <v>619</v>
      </c>
      <c r="J29" s="204" t="n">
        <v>0</v>
      </c>
      <c r="K29" s="204" t="n">
        <v>0</v>
      </c>
      <c r="L29" s="204" t="n">
        <v>0</v>
      </c>
      <c r="M29" s="204" t="n">
        <v>0</v>
      </c>
      <c r="N29" s="204" t="n">
        <v>0</v>
      </c>
      <c r="O29" s="204" t="n">
        <v>50506.9509345794</v>
      </c>
      <c r="P29" s="204" t="n">
        <v>126267.377336449</v>
      </c>
      <c r="Q29" s="204" t="n">
        <v>216169.75</v>
      </c>
      <c r="R29" s="204" t="n">
        <v>216169.75</v>
      </c>
      <c r="S29" s="204" t="n">
        <v>216169.75</v>
      </c>
      <c r="T29" s="204" t="n">
        <v>216169.75</v>
      </c>
      <c r="U29" s="204" t="n">
        <v>216169.75</v>
      </c>
      <c r="V29" s="204" t="n">
        <v>1257623.07827103</v>
      </c>
      <c r="Y29" s="204" t="s">
        <v>54</v>
      </c>
      <c r="AF29" s="234" t="s">
        <v>624</v>
      </c>
      <c r="AG29" s="234" t="s">
        <v>625</v>
      </c>
      <c r="AH29" s="235" t="s">
        <v>55</v>
      </c>
      <c r="AI29" s="236" t="n">
        <v>1</v>
      </c>
      <c r="AJ29" s="236" t="n">
        <v>50000</v>
      </c>
      <c r="AK29" s="236" t="n">
        <v>0</v>
      </c>
      <c r="AL29" s="236" t="n">
        <f aca="false">AJ29/AI29*(1+AH$3)</f>
        <v>53500</v>
      </c>
      <c r="AM29" s="236" t="n">
        <f aca="false">AK29*AL29</f>
        <v>0</v>
      </c>
      <c r="AN29" s="236"/>
      <c r="AO29" s="237" t="n">
        <f aca="false">AN29-AM29</f>
        <v>0</v>
      </c>
    </row>
    <row r="30" customFormat="false" ht="12" hidden="false" customHeight="false" outlineLevel="0" collapsed="false">
      <c r="A30" s="204" t="s">
        <v>501</v>
      </c>
      <c r="B30" s="204" t="s">
        <v>626</v>
      </c>
      <c r="C30" s="205" t="n">
        <v>0</v>
      </c>
      <c r="D30" s="204" t="s">
        <v>59</v>
      </c>
      <c r="E30" s="204" t="s">
        <v>39</v>
      </c>
      <c r="F30" s="224" t="s">
        <v>553</v>
      </c>
      <c r="G30" s="224" t="s">
        <v>553</v>
      </c>
      <c r="H30" s="204" t="s">
        <v>619</v>
      </c>
      <c r="I30" s="204" t="s">
        <v>627</v>
      </c>
      <c r="J30" s="204" t="n">
        <v>0</v>
      </c>
      <c r="K30" s="204" t="n">
        <v>0</v>
      </c>
      <c r="L30" s="204" t="n">
        <v>0</v>
      </c>
      <c r="M30" s="204" t="n">
        <v>0</v>
      </c>
      <c r="N30" s="204" t="n">
        <v>0</v>
      </c>
      <c r="O30" s="204" t="n">
        <v>0</v>
      </c>
      <c r="P30" s="204" t="n">
        <v>0</v>
      </c>
      <c r="Q30" s="204" t="n">
        <v>0</v>
      </c>
      <c r="R30" s="204" t="n">
        <v>0</v>
      </c>
      <c r="S30" s="204" t="n">
        <v>0</v>
      </c>
      <c r="T30" s="204" t="n">
        <v>0</v>
      </c>
      <c r="U30" s="204" t="n">
        <v>0</v>
      </c>
      <c r="V30" s="204" t="n">
        <v>0</v>
      </c>
      <c r="W30" s="204" t="n">
        <v>66600000</v>
      </c>
      <c r="X30" s="204" t="n">
        <v>0</v>
      </c>
      <c r="Y30" s="204" t="s">
        <v>501</v>
      </c>
      <c r="AF30" s="234" t="s">
        <v>628</v>
      </c>
      <c r="AG30" s="234" t="s">
        <v>629</v>
      </c>
      <c r="AH30" s="235" t="s">
        <v>55</v>
      </c>
      <c r="AI30" s="236"/>
      <c r="AJ30" s="236"/>
      <c r="AK30" s="236" t="n">
        <v>100</v>
      </c>
      <c r="AL30" s="236" t="n">
        <f aca="false">3200000/100*1.25</f>
        <v>40000</v>
      </c>
      <c r="AM30" s="236" t="n">
        <f aca="false">AK30*AL30</f>
        <v>4000000</v>
      </c>
      <c r="AN30" s="236"/>
      <c r="AO30" s="237" t="n">
        <f aca="false">AN30-AM30</f>
        <v>-4000000</v>
      </c>
    </row>
    <row r="31" customFormat="false" ht="12" hidden="false" customHeight="false" outlineLevel="0" collapsed="false">
      <c r="A31" s="204" t="s">
        <v>501</v>
      </c>
      <c r="B31" s="204" t="s">
        <v>630</v>
      </c>
      <c r="C31" s="205" t="n">
        <v>0</v>
      </c>
      <c r="D31" s="204" t="s">
        <v>59</v>
      </c>
      <c r="E31" s="204" t="s">
        <v>39</v>
      </c>
      <c r="F31" s="224" t="s">
        <v>553</v>
      </c>
      <c r="G31" s="224" t="s">
        <v>553</v>
      </c>
      <c r="H31" s="204" t="s">
        <v>619</v>
      </c>
      <c r="J31" s="204" t="n">
        <v>0</v>
      </c>
      <c r="K31" s="204" t="n">
        <v>0</v>
      </c>
      <c r="L31" s="204" t="n">
        <v>0</v>
      </c>
      <c r="M31" s="204" t="n">
        <v>9430560</v>
      </c>
      <c r="N31" s="204" t="n">
        <v>0</v>
      </c>
      <c r="O31" s="204" t="n">
        <v>0</v>
      </c>
      <c r="P31" s="204" t="n">
        <v>0</v>
      </c>
      <c r="Q31" s="204" t="n">
        <v>0</v>
      </c>
      <c r="R31" s="204" t="n">
        <v>0</v>
      </c>
      <c r="S31" s="204" t="n">
        <v>0</v>
      </c>
      <c r="T31" s="204" t="n">
        <v>0</v>
      </c>
      <c r="U31" s="204" t="n">
        <v>0</v>
      </c>
      <c r="V31" s="204" t="n">
        <v>9430560</v>
      </c>
      <c r="W31" s="204" t="n">
        <v>9430000</v>
      </c>
      <c r="X31" s="204" t="n">
        <v>25036976.74</v>
      </c>
      <c r="Y31" s="204" t="s">
        <v>501</v>
      </c>
      <c r="AF31" s="234" t="s">
        <v>631</v>
      </c>
      <c r="AG31" s="234" t="s">
        <v>632</v>
      </c>
      <c r="AH31" s="235" t="s">
        <v>55</v>
      </c>
      <c r="AI31" s="236" t="n">
        <v>1</v>
      </c>
      <c r="AJ31" s="236" t="n">
        <v>1851000.03</v>
      </c>
      <c r="AK31" s="236" t="n">
        <f aca="false">AI31</f>
        <v>1</v>
      </c>
      <c r="AL31" s="236" t="n">
        <v>1200000</v>
      </c>
      <c r="AM31" s="236" t="n">
        <f aca="false">AK31*AL31</f>
        <v>1200000</v>
      </c>
      <c r="AN31" s="236"/>
      <c r="AO31" s="237" t="n">
        <f aca="false">AN31-AM31</f>
        <v>-1200000</v>
      </c>
    </row>
    <row r="32" customFormat="false" ht="12" hidden="false" customHeight="false" outlineLevel="0" collapsed="false">
      <c r="A32" s="204" t="s">
        <v>501</v>
      </c>
      <c r="B32" s="204" t="s">
        <v>630</v>
      </c>
      <c r="C32" s="205" t="n">
        <v>0</v>
      </c>
      <c r="D32" s="204" t="s">
        <v>55</v>
      </c>
      <c r="E32" s="204" t="s">
        <v>39</v>
      </c>
      <c r="F32" s="224" t="s">
        <v>553</v>
      </c>
      <c r="G32" s="224" t="s">
        <v>553</v>
      </c>
      <c r="H32" s="204" t="s">
        <v>619</v>
      </c>
      <c r="J32" s="204" t="n">
        <v>1709712</v>
      </c>
      <c r="K32" s="204" t="n">
        <v>1709712</v>
      </c>
      <c r="L32" s="204" t="n">
        <v>1709712</v>
      </c>
      <c r="M32" s="204" t="n">
        <v>1709712</v>
      </c>
      <c r="N32" s="204" t="n">
        <v>1709712</v>
      </c>
      <c r="O32" s="204" t="n">
        <v>1709712</v>
      </c>
      <c r="P32" s="204" t="n">
        <v>1709712</v>
      </c>
      <c r="Q32" s="204" t="n">
        <v>1709712</v>
      </c>
      <c r="R32" s="204" t="n">
        <v>1709712</v>
      </c>
      <c r="S32" s="204" t="n">
        <v>1709712</v>
      </c>
      <c r="T32" s="204" t="n">
        <v>1709712</v>
      </c>
      <c r="U32" s="204" t="n">
        <v>1709712</v>
      </c>
      <c r="V32" s="204" t="n">
        <v>20516544</v>
      </c>
      <c r="W32" s="204" t="n">
        <v>9430000</v>
      </c>
      <c r="X32" s="204" t="n">
        <v>25036976.74</v>
      </c>
      <c r="Y32" s="204" t="s">
        <v>54</v>
      </c>
      <c r="AF32" s="234" t="s">
        <v>633</v>
      </c>
      <c r="AG32" s="234" t="s">
        <v>632</v>
      </c>
      <c r="AH32" s="235" t="s">
        <v>55</v>
      </c>
      <c r="AI32" s="236" t="n">
        <v>1</v>
      </c>
      <c r="AJ32" s="236" t="n">
        <v>7200000</v>
      </c>
      <c r="AK32" s="236" t="n">
        <f aca="false">AI32</f>
        <v>1</v>
      </c>
      <c r="AL32" s="236" t="n">
        <v>8000000</v>
      </c>
      <c r="AM32" s="236" t="n">
        <f aca="false">AK32*AL32</f>
        <v>8000000</v>
      </c>
      <c r="AN32" s="236"/>
      <c r="AO32" s="237" t="n">
        <f aca="false">AN32-AM32</f>
        <v>-8000000</v>
      </c>
    </row>
    <row r="33" customFormat="false" ht="12" hidden="false" customHeight="false" outlineLevel="0" collapsed="false">
      <c r="A33" s="204" t="s">
        <v>501</v>
      </c>
      <c r="B33" s="204" t="s">
        <v>634</v>
      </c>
      <c r="C33" s="205" t="n">
        <v>0</v>
      </c>
      <c r="D33" s="204" t="s">
        <v>59</v>
      </c>
      <c r="E33" s="204" t="s">
        <v>39</v>
      </c>
      <c r="F33" s="224" t="s">
        <v>553</v>
      </c>
      <c r="G33" s="224" t="s">
        <v>553</v>
      </c>
      <c r="H33" s="204" t="s">
        <v>619</v>
      </c>
      <c r="J33" s="204" t="n">
        <v>0</v>
      </c>
      <c r="K33" s="204" t="n">
        <v>0</v>
      </c>
      <c r="L33" s="204" t="n">
        <v>0</v>
      </c>
      <c r="M33" s="204" t="n">
        <v>800000</v>
      </c>
      <c r="N33" s="204" t="n">
        <v>55400</v>
      </c>
      <c r="O33" s="204" t="n">
        <v>12215000</v>
      </c>
      <c r="P33" s="204" t="n">
        <v>16940000</v>
      </c>
      <c r="Q33" s="204" t="n">
        <v>16940000</v>
      </c>
      <c r="R33" s="204" t="n">
        <v>16940000</v>
      </c>
      <c r="S33" s="204" t="n">
        <v>18140000</v>
      </c>
      <c r="T33" s="204" t="n">
        <v>0</v>
      </c>
      <c r="U33" s="204" t="n">
        <v>0</v>
      </c>
      <c r="V33" s="204" t="n">
        <v>82030400</v>
      </c>
      <c r="W33" s="204" t="n">
        <v>11250000</v>
      </c>
      <c r="X33" s="204" t="n">
        <v>2585</v>
      </c>
      <c r="Y33" s="204" t="s">
        <v>501</v>
      </c>
      <c r="AF33" s="234" t="s">
        <v>635</v>
      </c>
      <c r="AG33" s="234" t="s">
        <v>632</v>
      </c>
      <c r="AH33" s="235" t="s">
        <v>55</v>
      </c>
      <c r="AI33" s="236" t="n">
        <v>1</v>
      </c>
      <c r="AJ33" s="236" t="n">
        <v>11999997</v>
      </c>
      <c r="AK33" s="236" t="n">
        <v>1</v>
      </c>
      <c r="AL33" s="236" t="n">
        <v>12000000</v>
      </c>
      <c r="AM33" s="236" t="n">
        <f aca="false">AK33*AL33</f>
        <v>12000000</v>
      </c>
      <c r="AN33" s="236"/>
      <c r="AO33" s="237"/>
    </row>
    <row r="34" customFormat="false" ht="12" hidden="false" customHeight="false" outlineLevel="0" collapsed="false">
      <c r="A34" s="204" t="s">
        <v>501</v>
      </c>
      <c r="B34" s="204" t="s">
        <v>634</v>
      </c>
      <c r="C34" s="205" t="n">
        <v>0</v>
      </c>
      <c r="D34" s="204" t="s">
        <v>55</v>
      </c>
      <c r="E34" s="204" t="s">
        <v>39</v>
      </c>
      <c r="F34" s="224" t="s">
        <v>553</v>
      </c>
      <c r="G34" s="224" t="s">
        <v>553</v>
      </c>
      <c r="H34" s="204" t="s">
        <v>619</v>
      </c>
      <c r="J34" s="204" t="n">
        <v>0</v>
      </c>
      <c r="K34" s="204" t="n">
        <v>0</v>
      </c>
      <c r="L34" s="204" t="n">
        <v>0</v>
      </c>
      <c r="M34" s="204" t="n">
        <v>0</v>
      </c>
      <c r="N34" s="204" t="n">
        <v>0</v>
      </c>
      <c r="O34" s="204" t="n">
        <v>0</v>
      </c>
      <c r="P34" s="204" t="n">
        <v>166666.666666667</v>
      </c>
      <c r="Q34" s="204" t="n">
        <v>250000</v>
      </c>
      <c r="R34" s="204" t="n">
        <v>333333.333333333</v>
      </c>
      <c r="S34" s="204" t="n">
        <v>416666.666666667</v>
      </c>
      <c r="T34" s="204" t="n">
        <v>416666.666666667</v>
      </c>
      <c r="U34" s="204" t="n">
        <v>416666.666666667</v>
      </c>
      <c r="V34" s="204" t="n">
        <v>2000000</v>
      </c>
      <c r="W34" s="204" t="n">
        <v>11250000</v>
      </c>
      <c r="X34" s="204" t="n">
        <v>2585</v>
      </c>
      <c r="Y34" s="204" t="s">
        <v>54</v>
      </c>
      <c r="AF34" s="234" t="s">
        <v>636</v>
      </c>
      <c r="AG34" s="234" t="s">
        <v>632</v>
      </c>
      <c r="AH34" s="235" t="s">
        <v>55</v>
      </c>
      <c r="AI34" s="236" t="n">
        <v>1</v>
      </c>
      <c r="AJ34" s="236" t="n">
        <v>4608000</v>
      </c>
      <c r="AK34" s="236" t="n">
        <v>1</v>
      </c>
      <c r="AL34" s="236" t="n">
        <v>2400000</v>
      </c>
      <c r="AM34" s="236" t="n">
        <f aca="false">AK34*AL34</f>
        <v>2400000</v>
      </c>
      <c r="AN34" s="236"/>
      <c r="AO34" s="237"/>
    </row>
    <row r="35" customFormat="false" ht="12" hidden="false" customHeight="false" outlineLevel="0" collapsed="false">
      <c r="A35" s="204" t="s">
        <v>501</v>
      </c>
      <c r="B35" s="204" t="s">
        <v>637</v>
      </c>
      <c r="C35" s="205" t="n">
        <v>0</v>
      </c>
      <c r="D35" s="204" t="s">
        <v>55</v>
      </c>
      <c r="E35" s="204" t="s">
        <v>39</v>
      </c>
      <c r="F35" s="224" t="s">
        <v>553</v>
      </c>
      <c r="G35" s="224" t="s">
        <v>553</v>
      </c>
      <c r="I35" s="204" t="s">
        <v>638</v>
      </c>
      <c r="J35" s="204" t="n">
        <f aca="false">(655740+65574)/3*1.2</f>
        <v>288525.6</v>
      </c>
      <c r="K35" s="204" t="n">
        <f aca="false">(655740+65574)/3*1.2</f>
        <v>288525.6</v>
      </c>
      <c r="L35" s="204" t="n">
        <f aca="false">(655740+65574)/3*1.2</f>
        <v>288525.6</v>
      </c>
      <c r="M35" s="204" t="n">
        <f aca="false">(655740+65574)/3*1.2</f>
        <v>288525.6</v>
      </c>
      <c r="N35" s="204" t="n">
        <f aca="false">(655740+65574)/3*1.2</f>
        <v>288525.6</v>
      </c>
      <c r="O35" s="204" t="n">
        <f aca="false">(655740+65574)/3*1.2</f>
        <v>288525.6</v>
      </c>
      <c r="P35" s="204" t="n">
        <f aca="false">(655740+65574+721314+131148)/3*1.2</f>
        <v>629510.4</v>
      </c>
      <c r="Q35" s="204" t="n">
        <f aca="false">(655740+65574+721314+131148)/3*1.2</f>
        <v>629510.4</v>
      </c>
      <c r="R35" s="204" t="n">
        <f aca="false">(655740+65574+721314+131148)/3*1.2</f>
        <v>629510.4</v>
      </c>
      <c r="S35" s="204" t="n">
        <f aca="false">(655740+65574+721314+131148)/3*1.2</f>
        <v>629510.4</v>
      </c>
      <c r="T35" s="204" t="n">
        <f aca="false">(655740+65574+721314+131148)/3*1.2</f>
        <v>629510.4</v>
      </c>
      <c r="U35" s="204" t="n">
        <f aca="false">(655740+65574+721314+131148)/3*1.2</f>
        <v>629510.4</v>
      </c>
      <c r="V35" s="204" t="n">
        <f aca="false">SUM(J35:U35)</f>
        <v>5508216</v>
      </c>
      <c r="Y35" s="204" t="s">
        <v>100</v>
      </c>
      <c r="AF35" s="234" t="s">
        <v>639</v>
      </c>
      <c r="AG35" s="234" t="s">
        <v>640</v>
      </c>
      <c r="AH35" s="235" t="s">
        <v>55</v>
      </c>
      <c r="AI35" s="236" t="n">
        <v>1</v>
      </c>
      <c r="AJ35" s="236" t="n">
        <v>972032</v>
      </c>
      <c r="AK35" s="236" t="n">
        <f aca="false">AI35</f>
        <v>1</v>
      </c>
      <c r="AL35" s="236" t="n">
        <f aca="false">AJ35/AI35*(1+AH$3)</f>
        <v>1040074.24</v>
      </c>
      <c r="AM35" s="236" t="n">
        <f aca="false">AK35*AL35</f>
        <v>1040074.24</v>
      </c>
      <c r="AN35" s="236"/>
      <c r="AO35" s="237" t="n">
        <f aca="false">AN35-AM35</f>
        <v>-1040074.24</v>
      </c>
    </row>
    <row r="36" customFormat="false" ht="12" hidden="false" customHeight="false" outlineLevel="0" collapsed="false">
      <c r="A36" s="204" t="s">
        <v>54</v>
      </c>
      <c r="B36" s="204" t="s">
        <v>605</v>
      </c>
      <c r="C36" s="205" t="n">
        <v>0</v>
      </c>
      <c r="D36" s="204" t="s">
        <v>59</v>
      </c>
      <c r="E36" s="204" t="s">
        <v>602</v>
      </c>
      <c r="F36" s="224" t="n">
        <f aca="false">SUMIFS(Потребности!AK:AK,Потребности!AF:AF,Потребности!B36,Потребности!AH:AH,Потребности!D36)</f>
        <v>3</v>
      </c>
      <c r="G36" s="224" t="n">
        <f aca="false">SUMIFS(Потребности!AM:AM,Потребности!AF:AF,Потребности!B36,Потребности!AH:AH,Потребности!D36)</f>
        <v>85883.2932</v>
      </c>
      <c r="H36" s="204" t="s">
        <v>606</v>
      </c>
      <c r="J36" s="204" t="n">
        <f aca="false">$V36/12</f>
        <v>7156.9411</v>
      </c>
      <c r="K36" s="204" t="n">
        <f aca="false">$V36/12</f>
        <v>7156.9411</v>
      </c>
      <c r="L36" s="204" t="n">
        <f aca="false">$V36/12</f>
        <v>7156.9411</v>
      </c>
      <c r="M36" s="204" t="n">
        <f aca="false">$V36/12</f>
        <v>7156.9411</v>
      </c>
      <c r="N36" s="204" t="n">
        <f aca="false">$V36/12</f>
        <v>7156.9411</v>
      </c>
      <c r="O36" s="204" t="n">
        <f aca="false">$V36/12</f>
        <v>7156.9411</v>
      </c>
      <c r="P36" s="204" t="n">
        <f aca="false">$V36/12</f>
        <v>7156.9411</v>
      </c>
      <c r="Q36" s="204" t="n">
        <f aca="false">$V36/12</f>
        <v>7156.9411</v>
      </c>
      <c r="R36" s="204" t="n">
        <f aca="false">$V36/12</f>
        <v>7156.9411</v>
      </c>
      <c r="S36" s="204" t="n">
        <f aca="false">$V36/12</f>
        <v>7156.9411</v>
      </c>
      <c r="T36" s="204" t="n">
        <f aca="false">$V36/12</f>
        <v>7156.9411</v>
      </c>
      <c r="U36" s="204" t="n">
        <f aca="false">$V36/12</f>
        <v>7156.9411</v>
      </c>
      <c r="V36" s="204" t="n">
        <f aca="false">SUMIFS(Потребности!AM:AM,Потребности!AF:AF,Потребности!B36,Потребности!AH:AH,Потребности!D36)</f>
        <v>85883.2932</v>
      </c>
      <c r="W36" s="204" t="n">
        <v>0</v>
      </c>
      <c r="X36" s="204" t="n">
        <f aca="false">SUMIFS(Потребности!AJ:AJ,Потребности!AF:AF,Потребности!B36,Потребности!AH:AH,Потребности!D36)</f>
        <v>53509.84</v>
      </c>
      <c r="Y36" s="204" t="s">
        <v>500</v>
      </c>
      <c r="AE36" s="241"/>
      <c r="AF36" s="242" t="s">
        <v>641</v>
      </c>
      <c r="AG36" s="242"/>
      <c r="AH36" s="230"/>
      <c r="AI36" s="243"/>
      <c r="AJ36" s="243" t="n">
        <f aca="false">SUM(AJ22:AJ35)</f>
        <v>27962199.881</v>
      </c>
      <c r="AK36" s="243"/>
      <c r="AL36" s="243"/>
      <c r="AM36" s="243" t="n">
        <f aca="false">SUM(AM22:AM35)</f>
        <v>29897827.05057</v>
      </c>
      <c r="AN36" s="243" t="n">
        <f aca="false">SUM(AN22:AN35)</f>
        <v>0</v>
      </c>
      <c r="AO36" s="244" t="n">
        <f aca="false">AN36-AM36</f>
        <v>-29897827.05057</v>
      </c>
    </row>
    <row r="37" customFormat="false" ht="12" hidden="false" customHeight="false" outlineLevel="0" collapsed="false">
      <c r="A37" s="204" t="s">
        <v>54</v>
      </c>
      <c r="B37" s="204" t="s">
        <v>609</v>
      </c>
      <c r="C37" s="205" t="n">
        <v>0</v>
      </c>
      <c r="D37" s="204" t="s">
        <v>55</v>
      </c>
      <c r="E37" s="204" t="s">
        <v>587</v>
      </c>
      <c r="F37" s="224" t="n">
        <f aca="false">SUMIFS(Потребности!AK:AK,Потребности!AF:AF,Потребности!B37,Потребности!AH:AH,Потребности!D37)</f>
        <v>14</v>
      </c>
      <c r="G37" s="224" t="n">
        <f aca="false">SUMIFS(Потребности!AM:AM,Потребности!AF:AF,Потребности!B37,Потребности!AH:AH,Потребности!D37)</f>
        <v>461884.76642</v>
      </c>
      <c r="H37" s="204" t="s">
        <v>588</v>
      </c>
      <c r="J37" s="204" t="n">
        <f aca="false">$V37/12</f>
        <v>38490.3972016667</v>
      </c>
      <c r="K37" s="204" t="n">
        <f aca="false">$V37/12</f>
        <v>38490.3972016667</v>
      </c>
      <c r="L37" s="204" t="n">
        <f aca="false">$V37/12</f>
        <v>38490.3972016667</v>
      </c>
      <c r="M37" s="204" t="n">
        <f aca="false">$V37/12</f>
        <v>38490.3972016667</v>
      </c>
      <c r="N37" s="204" t="n">
        <f aca="false">$V37/12</f>
        <v>38490.3972016667</v>
      </c>
      <c r="O37" s="204" t="n">
        <f aca="false">$V37/12</f>
        <v>38490.3972016667</v>
      </c>
      <c r="P37" s="204" t="n">
        <f aca="false">$V37/12</f>
        <v>38490.3972016667</v>
      </c>
      <c r="Q37" s="204" t="n">
        <f aca="false">$V37/12</f>
        <v>38490.3972016667</v>
      </c>
      <c r="R37" s="204" t="n">
        <f aca="false">$V37/12</f>
        <v>38490.3972016667</v>
      </c>
      <c r="S37" s="204" t="n">
        <f aca="false">$V37/12</f>
        <v>38490.3972016667</v>
      </c>
      <c r="T37" s="204" t="n">
        <f aca="false">$V37/12</f>
        <v>38490.3972016667</v>
      </c>
      <c r="U37" s="204" t="n">
        <f aca="false">$V37/12</f>
        <v>38490.3972016667</v>
      </c>
      <c r="V37" s="204" t="n">
        <f aca="false">SUMIFS(Потребности!AM:AM,Потребности!AF:AF,Потребности!B37,Потребности!AH:AH,Потребности!D37)</f>
        <v>461884.76642</v>
      </c>
      <c r="W37" s="204" t="n">
        <v>431668.006</v>
      </c>
      <c r="X37" s="204" t="n">
        <v>0</v>
      </c>
      <c r="Y37" s="204" t="s">
        <v>54</v>
      </c>
      <c r="AE37" s="241"/>
      <c r="AF37" s="245" t="s">
        <v>642</v>
      </c>
      <c r="AG37" s="245"/>
      <c r="AH37" s="246"/>
      <c r="AI37" s="247"/>
      <c r="AJ37" s="247" t="n">
        <f aca="false">AJ21+AJ36</f>
        <v>36156505.228</v>
      </c>
      <c r="AK37" s="247"/>
      <c r="AL37" s="247"/>
      <c r="AM37" s="247" t="n">
        <f aca="false">AM21+AM36</f>
        <v>47171612.75632</v>
      </c>
      <c r="AN37" s="247" t="n">
        <f aca="false">AN21+AN36</f>
        <v>0</v>
      </c>
      <c r="AO37" s="248" t="n">
        <f aca="false">AO21+AO36</f>
        <v>-47171612.75632</v>
      </c>
    </row>
    <row r="38" customFormat="false" ht="12" hidden="false" customHeight="false" outlineLevel="0" collapsed="false">
      <c r="A38" s="204" t="s">
        <v>54</v>
      </c>
      <c r="B38" s="204" t="s">
        <v>614</v>
      </c>
      <c r="C38" s="205" t="n">
        <v>0</v>
      </c>
      <c r="D38" s="204" t="s">
        <v>55</v>
      </c>
      <c r="E38" s="204" t="s">
        <v>587</v>
      </c>
      <c r="F38" s="224" t="n">
        <f aca="false">SUMIFS(Потребности!AK:AK,Потребности!AF:AF,Потребности!B38,Потребности!AH:AH,Потребности!D38)</f>
        <v>5</v>
      </c>
      <c r="G38" s="224" t="n">
        <f aca="false">SUMIFS(Потребности!AM:AM,Потребности!AF:AF,Потребности!B38,Потребности!AH:AH,Потребности!D38)</f>
        <v>363268.04415</v>
      </c>
      <c r="H38" s="204" t="s">
        <v>588</v>
      </c>
      <c r="J38" s="204" t="n">
        <f aca="false">$V38/12</f>
        <v>30272.3370125</v>
      </c>
      <c r="K38" s="204" t="n">
        <f aca="false">$V38/12</f>
        <v>30272.3370125</v>
      </c>
      <c r="L38" s="204" t="n">
        <f aca="false">$V38/12</f>
        <v>30272.3370125</v>
      </c>
      <c r="M38" s="204" t="n">
        <f aca="false">$V38/12</f>
        <v>30272.3370125</v>
      </c>
      <c r="N38" s="204" t="n">
        <f aca="false">$V38/12</f>
        <v>30272.3370125</v>
      </c>
      <c r="O38" s="204" t="n">
        <f aca="false">$V38/12</f>
        <v>30272.3370125</v>
      </c>
      <c r="P38" s="204" t="n">
        <f aca="false">$V38/12</f>
        <v>30272.3370125</v>
      </c>
      <c r="Q38" s="204" t="n">
        <f aca="false">$V38/12</f>
        <v>30272.3370125</v>
      </c>
      <c r="R38" s="204" t="n">
        <f aca="false">$V38/12</f>
        <v>30272.3370125</v>
      </c>
      <c r="S38" s="204" t="n">
        <f aca="false">$V38/12</f>
        <v>30272.3370125</v>
      </c>
      <c r="T38" s="204" t="n">
        <f aca="false">$V38/12</f>
        <v>30272.3370125</v>
      </c>
      <c r="U38" s="204" t="n">
        <f aca="false">$V38/12</f>
        <v>30272.3370125</v>
      </c>
      <c r="V38" s="204" t="n">
        <f aca="false">SUMIFS(Потребности!AM:AM,Потребности!AF:AF,Потребности!B38,Потребности!AH:AH,Потребности!D38)</f>
        <v>363268.04415</v>
      </c>
      <c r="W38" s="204" t="n">
        <v>339502.845</v>
      </c>
      <c r="X38" s="204" t="n">
        <v>0</v>
      </c>
      <c r="Y38" s="204" t="s">
        <v>54</v>
      </c>
    </row>
    <row r="39" customFormat="false" ht="12" hidden="false" customHeight="false" outlineLevel="0" collapsed="false">
      <c r="A39" s="204" t="s">
        <v>54</v>
      </c>
      <c r="B39" s="204" t="s">
        <v>617</v>
      </c>
      <c r="C39" s="205" t="n">
        <v>0</v>
      </c>
      <c r="D39" s="204" t="s">
        <v>55</v>
      </c>
      <c r="E39" s="204" t="s">
        <v>602</v>
      </c>
      <c r="F39" s="224" t="n">
        <f aca="false">SUMIFS(Потребности!AK:AK,Потребности!AF:AF,Потребности!B39,Потребности!AH:AH,Потребности!D39)</f>
        <v>0</v>
      </c>
      <c r="G39" s="224" t="n">
        <f aca="false">SUMIFS(Потребности!AM:AM,Потребности!AF:AF,Потребности!B39,Потребности!AH:AH,Потребности!D39)</f>
        <v>0</v>
      </c>
      <c r="H39" s="204" t="s">
        <v>593</v>
      </c>
      <c r="V39" s="204" t="n">
        <f aca="false">SUMIFS(Потребности!AM:AM,Потребности!AF:AF,Потребности!B39,Потребности!AH:AH,Потребности!D39)</f>
        <v>0</v>
      </c>
      <c r="W39" s="204" t="n">
        <v>12000</v>
      </c>
      <c r="X39" s="204" t="n">
        <v>0</v>
      </c>
      <c r="Y39" s="204" t="s">
        <v>54</v>
      </c>
      <c r="AF39" s="234" t="s">
        <v>643</v>
      </c>
      <c r="AG39" s="234"/>
      <c r="AH39" s="235" t="s">
        <v>55</v>
      </c>
      <c r="AI39" s="236" t="n">
        <v>1</v>
      </c>
      <c r="AJ39" s="236" t="n">
        <v>25100000</v>
      </c>
      <c r="AK39" s="236" t="n">
        <v>1</v>
      </c>
      <c r="AL39" s="236" t="n">
        <v>27774501.7</v>
      </c>
      <c r="AM39" s="236" t="n">
        <f aca="false">AK39*AL39</f>
        <v>27774501.7</v>
      </c>
      <c r="AN39" s="236"/>
      <c r="AO39" s="237"/>
    </row>
    <row r="40" customFormat="false" ht="12" hidden="false" customHeight="false" outlineLevel="0" collapsed="false">
      <c r="A40" s="204" t="s">
        <v>54</v>
      </c>
      <c r="B40" s="204" t="s">
        <v>620</v>
      </c>
      <c r="C40" s="205" t="n">
        <v>0</v>
      </c>
      <c r="D40" s="204" t="s">
        <v>55</v>
      </c>
      <c r="E40" s="204" t="s">
        <v>602</v>
      </c>
      <c r="F40" s="224" t="n">
        <f aca="false">SUMIFS(Потребности!AK:AK,Потребности!AF:AF,Потребности!B40,Потребности!AH:AH,Потребности!D40)</f>
        <v>0</v>
      </c>
      <c r="G40" s="224" t="n">
        <f aca="false">SUMIFS(Потребности!AM:AM,Потребности!AF:AF,Потребности!B40,Потребности!AH:AH,Потребности!D40)</f>
        <v>0</v>
      </c>
      <c r="H40" s="204" t="s">
        <v>593</v>
      </c>
      <c r="V40" s="204" t="n">
        <f aca="false">SUMIFS(Потребности!AM:AM,Потребности!AF:AF,Потребности!B40,Потребности!AH:AH,Потребности!D40)</f>
        <v>0</v>
      </c>
      <c r="W40" s="204" t="n">
        <v>288000</v>
      </c>
      <c r="X40" s="204" t="n">
        <v>0</v>
      </c>
      <c r="Y40" s="204" t="s">
        <v>54</v>
      </c>
      <c r="AE40" s="241"/>
      <c r="AF40" s="245" t="s">
        <v>644</v>
      </c>
      <c r="AG40" s="245"/>
      <c r="AH40" s="246"/>
      <c r="AI40" s="247"/>
      <c r="AJ40" s="247" t="n">
        <f aca="false">AJ37+AJ39</f>
        <v>61256505.228</v>
      </c>
      <c r="AK40" s="247"/>
      <c r="AL40" s="247" t="n">
        <f aca="false">AL24+AL39</f>
        <v>27814501.7</v>
      </c>
      <c r="AM40" s="247" t="n">
        <f aca="false">AM37+AM39</f>
        <v>74946114.45632</v>
      </c>
      <c r="AN40" s="247" t="n">
        <f aca="false">AN24+AN39</f>
        <v>0</v>
      </c>
      <c r="AO40" s="248" t="n">
        <f aca="false">AO24+AO39</f>
        <v>0</v>
      </c>
    </row>
    <row r="41" customFormat="false" ht="12" hidden="false" customHeight="false" outlineLevel="0" collapsed="false">
      <c r="A41" s="204" t="s">
        <v>54</v>
      </c>
      <c r="B41" s="204" t="s">
        <v>621</v>
      </c>
      <c r="C41" s="205" t="n">
        <v>0</v>
      </c>
      <c r="D41" s="204" t="s">
        <v>55</v>
      </c>
      <c r="E41" s="204" t="s">
        <v>587</v>
      </c>
      <c r="F41" s="224" t="n">
        <f aca="false">SUMIFS(Потребности!AK:AK,Потребности!AF:AF,Потребности!B41,Потребности!AH:AH,Потребности!D41)</f>
        <v>1</v>
      </c>
      <c r="G41" s="224" t="n">
        <f aca="false">SUMIFS(Потребности!AM:AM,Потребности!AF:AF,Потребности!B41,Потребности!AH:AH,Потребности!D41)</f>
        <v>192600</v>
      </c>
      <c r="H41" s="204" t="s">
        <v>645</v>
      </c>
      <c r="J41" s="204" t="n">
        <f aca="false">$V41/12</f>
        <v>16050</v>
      </c>
      <c r="K41" s="204" t="n">
        <f aca="false">$V41/12</f>
        <v>16050</v>
      </c>
      <c r="L41" s="204" t="n">
        <f aca="false">$V41/12</f>
        <v>16050</v>
      </c>
      <c r="M41" s="204" t="n">
        <f aca="false">$V41/12</f>
        <v>16050</v>
      </c>
      <c r="N41" s="204" t="n">
        <f aca="false">$V41/12</f>
        <v>16050</v>
      </c>
      <c r="O41" s="204" t="n">
        <f aca="false">$V41/12</f>
        <v>16050</v>
      </c>
      <c r="P41" s="204" t="n">
        <f aca="false">$V41/12</f>
        <v>16050</v>
      </c>
      <c r="Q41" s="204" t="n">
        <f aca="false">$V41/12</f>
        <v>16050</v>
      </c>
      <c r="R41" s="204" t="n">
        <f aca="false">$V41/12</f>
        <v>16050</v>
      </c>
      <c r="S41" s="204" t="n">
        <f aca="false">$V41/12</f>
        <v>16050</v>
      </c>
      <c r="T41" s="204" t="n">
        <f aca="false">$V41/12</f>
        <v>16050</v>
      </c>
      <c r="U41" s="204" t="n">
        <f aca="false">$V41/12</f>
        <v>16050</v>
      </c>
      <c r="V41" s="204" t="n">
        <f aca="false">SUMIFS(Потребности!AM:AM,Потребности!AF:AF,Потребности!B41,Потребности!AH:AH,Потребности!D41)</f>
        <v>192600</v>
      </c>
      <c r="W41" s="204" t="n">
        <v>0</v>
      </c>
      <c r="X41" s="204" t="n">
        <v>78073.74</v>
      </c>
      <c r="Y41" s="204" t="s">
        <v>54</v>
      </c>
    </row>
    <row r="42" customFormat="false" ht="12" hidden="false" customHeight="false" outlineLevel="0" collapsed="false">
      <c r="A42" s="204" t="s">
        <v>54</v>
      </c>
      <c r="B42" s="204" t="s">
        <v>623</v>
      </c>
      <c r="C42" s="205" t="n">
        <v>0</v>
      </c>
      <c r="D42" s="204" t="s">
        <v>55</v>
      </c>
      <c r="E42" s="204" t="s">
        <v>602</v>
      </c>
      <c r="F42" s="224" t="n">
        <f aca="false">SUMIFS(Потребности!AK:AK,Потребности!AF:AF,Потребности!B42,Потребности!AH:AH,Потребности!D42)</f>
        <v>0</v>
      </c>
      <c r="G42" s="224" t="n">
        <f aca="false">SUMIFS(Потребности!AM:AM,Потребности!AF:AF,Потребности!B42,Потребности!AH:AH,Потребности!D42)</f>
        <v>0</v>
      </c>
      <c r="H42" s="204" t="s">
        <v>593</v>
      </c>
      <c r="V42" s="204" t="n">
        <f aca="false">SUMIFS(Потребности!AM:AM,Потребности!AF:AF,Потребности!B42,Потребности!AH:AH,Потребности!D42)</f>
        <v>0</v>
      </c>
      <c r="W42" s="204" t="n">
        <v>30000</v>
      </c>
      <c r="X42" s="204" t="n">
        <v>0</v>
      </c>
      <c r="Y42" s="204" t="s">
        <v>54</v>
      </c>
    </row>
    <row r="43" customFormat="false" ht="12" hidden="false" customHeight="false" outlineLevel="0" collapsed="false">
      <c r="A43" s="204" t="s">
        <v>54</v>
      </c>
      <c r="B43" s="204" t="s">
        <v>624</v>
      </c>
      <c r="C43" s="205" t="n">
        <v>0</v>
      </c>
      <c r="D43" s="204" t="s">
        <v>55</v>
      </c>
      <c r="E43" s="204" t="s">
        <v>602</v>
      </c>
      <c r="F43" s="224" t="n">
        <f aca="false">SUMIFS(Потребности!AK:AK,Потребности!AF:AF,Потребности!B43,Потребности!AH:AH,Потребности!D43)</f>
        <v>0</v>
      </c>
      <c r="G43" s="224" t="n">
        <f aca="false">SUMIFS(Потребности!AM:AM,Потребности!AF:AF,Потребности!B43,Потребности!AH:AH,Потребности!D43)</f>
        <v>0</v>
      </c>
      <c r="H43" s="204" t="s">
        <v>625</v>
      </c>
      <c r="V43" s="204" t="n">
        <f aca="false">SUMIFS(Потребности!AM:AM,Потребности!AF:AF,Потребности!B43,Потребности!AH:AH,Потребности!D43)</f>
        <v>0</v>
      </c>
      <c r="W43" s="204" t="n">
        <v>50000</v>
      </c>
      <c r="X43" s="204" t="n">
        <v>0</v>
      </c>
      <c r="Y43" s="204" t="s">
        <v>54</v>
      </c>
    </row>
    <row r="44" customFormat="false" ht="12" hidden="false" customHeight="false" outlineLevel="0" collapsed="false">
      <c r="A44" s="204" t="s">
        <v>54</v>
      </c>
      <c r="B44" s="204" t="s">
        <v>631</v>
      </c>
      <c r="C44" s="205" t="n">
        <v>0</v>
      </c>
      <c r="D44" s="204" t="s">
        <v>55</v>
      </c>
      <c r="E44" s="204" t="s">
        <v>602</v>
      </c>
      <c r="F44" s="224" t="n">
        <f aca="false">SUMIFS(Потребности!AK:AK,Потребности!AF:AF,Потребности!B44,Потребности!AH:AH,Потребности!D44)</f>
        <v>1</v>
      </c>
      <c r="G44" s="224" t="n">
        <f aca="false">SUMIFS(Потребности!AM:AM,Потребности!AF:AF,Потребности!B44,Потребности!AH:AH,Потребности!D44)</f>
        <v>1200000</v>
      </c>
      <c r="H44" s="204" t="s">
        <v>632</v>
      </c>
      <c r="J44" s="204" t="n">
        <f aca="false">$V$44/12</f>
        <v>100000</v>
      </c>
      <c r="K44" s="204" t="n">
        <f aca="false">$V$44/12</f>
        <v>100000</v>
      </c>
      <c r="L44" s="204" t="n">
        <f aca="false">$V$44/12</f>
        <v>100000</v>
      </c>
      <c r="M44" s="204" t="n">
        <f aca="false">$V$44/12</f>
        <v>100000</v>
      </c>
      <c r="N44" s="204" t="n">
        <f aca="false">$V$44/12</f>
        <v>100000</v>
      </c>
      <c r="O44" s="204" t="n">
        <f aca="false">$V$44/12</f>
        <v>100000</v>
      </c>
      <c r="P44" s="204" t="n">
        <f aca="false">$V$44/12</f>
        <v>100000</v>
      </c>
      <c r="Q44" s="204" t="n">
        <f aca="false">$V$44/12</f>
        <v>100000</v>
      </c>
      <c r="R44" s="204" t="n">
        <f aca="false">$V$44/12</f>
        <v>100000</v>
      </c>
      <c r="S44" s="204" t="n">
        <f aca="false">$V$44/12</f>
        <v>100000</v>
      </c>
      <c r="T44" s="204" t="n">
        <f aca="false">$V$44/12</f>
        <v>100000</v>
      </c>
      <c r="U44" s="204" t="n">
        <f aca="false">$V$44/12</f>
        <v>100000</v>
      </c>
      <c r="V44" s="204" t="n">
        <f aca="false">SUMIFS(Потребности!AM:AM,Потребности!AF:AF,Потребности!B44,Потребности!AH:AH,Потребности!D44)</f>
        <v>1200000</v>
      </c>
      <c r="W44" s="204" t="n">
        <v>1851000.03</v>
      </c>
      <c r="X44" s="204" t="n">
        <v>1273976.89</v>
      </c>
      <c r="Y44" s="204" t="s">
        <v>54</v>
      </c>
    </row>
    <row r="45" customFormat="false" ht="12" hidden="false" customHeight="false" outlineLevel="0" collapsed="false">
      <c r="A45" s="204" t="s">
        <v>54</v>
      </c>
      <c r="B45" s="204" t="s">
        <v>633</v>
      </c>
      <c r="C45" s="205" t="n">
        <v>0</v>
      </c>
      <c r="D45" s="204" t="s">
        <v>55</v>
      </c>
      <c r="E45" s="204" t="s">
        <v>602</v>
      </c>
      <c r="F45" s="224" t="n">
        <f aca="false">SUMIFS(Потребности!AK:AK,Потребности!AF:AF,Потребности!B45,Потребности!AH:AH,Потребности!D45)</f>
        <v>1</v>
      </c>
      <c r="G45" s="224" t="n">
        <f aca="false">SUMIFS(Потребности!AM:AM,Потребности!AF:AF,Потребности!B45,Потребности!AH:AH,Потребности!D45)</f>
        <v>8000000</v>
      </c>
      <c r="H45" s="204" t="s">
        <v>632</v>
      </c>
      <c r="J45" s="204" t="n">
        <v>600000</v>
      </c>
      <c r="K45" s="204" t="n">
        <v>600000</v>
      </c>
      <c r="L45" s="204" t="n">
        <v>1000000</v>
      </c>
      <c r="M45" s="204" t="n">
        <v>600000</v>
      </c>
      <c r="N45" s="204" t="n">
        <v>600000</v>
      </c>
      <c r="O45" s="204" t="n">
        <v>1000000</v>
      </c>
      <c r="P45" s="204" t="n">
        <v>600000</v>
      </c>
      <c r="Q45" s="204" t="n">
        <v>600000</v>
      </c>
      <c r="R45" s="204" t="n">
        <v>600000</v>
      </c>
      <c r="S45" s="204" t="n">
        <v>600000</v>
      </c>
      <c r="T45" s="204" t="n">
        <v>600000</v>
      </c>
      <c r="U45" s="204" t="n">
        <v>600000</v>
      </c>
      <c r="V45" s="204" t="n">
        <f aca="false">SUMIFS(Потребности!AM:AM,Потребности!AF:AF,Потребности!B45,Потребности!AH:AH,Потребности!D45)</f>
        <v>8000000</v>
      </c>
      <c r="W45" s="204" t="n">
        <v>7200000</v>
      </c>
      <c r="X45" s="204" t="n">
        <v>3142856.86</v>
      </c>
      <c r="Y45" s="204" t="s">
        <v>54</v>
      </c>
    </row>
    <row r="46" customFormat="false" ht="12" hidden="false" customHeight="false" outlineLevel="0" collapsed="false">
      <c r="A46" s="204" t="s">
        <v>54</v>
      </c>
      <c r="B46" s="204" t="s">
        <v>635</v>
      </c>
      <c r="C46" s="205" t="n">
        <v>0</v>
      </c>
      <c r="D46" s="204" t="s">
        <v>55</v>
      </c>
      <c r="E46" s="204" t="s">
        <v>602</v>
      </c>
      <c r="F46" s="224" t="n">
        <f aca="false">SUMIFS(Потребности!AK:AK,Потребности!AF:AF,Потребности!B46,Потребности!AH:AH,Потребности!D46)</f>
        <v>1</v>
      </c>
      <c r="G46" s="224" t="n">
        <f aca="false">SUMIFS(Потребности!AM:AM,Потребности!AF:AF,Потребности!B46,Потребности!AH:AH,Потребности!D46)</f>
        <v>12000000</v>
      </c>
      <c r="H46" s="204" t="s">
        <v>632</v>
      </c>
      <c r="J46" s="204" t="n">
        <v>1000000</v>
      </c>
      <c r="K46" s="204" t="n">
        <v>1000000</v>
      </c>
      <c r="L46" s="204" t="n">
        <v>1000000</v>
      </c>
      <c r="M46" s="204" t="n">
        <v>1000000</v>
      </c>
      <c r="N46" s="204" t="n">
        <v>1000000</v>
      </c>
      <c r="O46" s="204" t="n">
        <v>1000000</v>
      </c>
      <c r="P46" s="204" t="n">
        <v>1000000</v>
      </c>
      <c r="Q46" s="204" t="n">
        <v>1000000</v>
      </c>
      <c r="R46" s="204" t="n">
        <v>1000000</v>
      </c>
      <c r="S46" s="204" t="n">
        <v>1000000</v>
      </c>
      <c r="T46" s="204" t="n">
        <v>1000000</v>
      </c>
      <c r="U46" s="204" t="n">
        <v>1000000</v>
      </c>
      <c r="V46" s="204" t="n">
        <f aca="false">SUMIFS(Потребности!AM:AM,Потребности!AF:AF,Потребности!B46,Потребности!AH:AH,Потребности!D46)</f>
        <v>12000000</v>
      </c>
      <c r="W46" s="204" t="n">
        <v>11999997</v>
      </c>
      <c r="X46" s="204" t="n">
        <v>0</v>
      </c>
      <c r="Y46" s="204" t="s">
        <v>54</v>
      </c>
    </row>
    <row r="47" customFormat="false" ht="12" hidden="false" customHeight="false" outlineLevel="0" collapsed="false">
      <c r="A47" s="204" t="s">
        <v>54</v>
      </c>
      <c r="B47" s="204" t="s">
        <v>646</v>
      </c>
      <c r="C47" s="205" t="n">
        <v>0</v>
      </c>
      <c r="D47" s="204" t="s">
        <v>55</v>
      </c>
      <c r="E47" s="204" t="s">
        <v>602</v>
      </c>
      <c r="F47" s="224" t="n">
        <f aca="false">SUMIFS(Потребности!AK:AK,Потребности!AF:AF,Потребности!B47,Потребности!AH:AH,Потребности!D47)</f>
        <v>1</v>
      </c>
      <c r="G47" s="224" t="n">
        <f aca="false">SUMIFS(Потребности!AM:AM,Потребности!AF:AF,Потребности!B47,Потребности!AH:AH,Потребности!D47)</f>
        <v>2400000</v>
      </c>
      <c r="H47" s="204" t="s">
        <v>632</v>
      </c>
      <c r="J47" s="204" t="n">
        <v>0</v>
      </c>
      <c r="K47" s="204" t="n">
        <v>0</v>
      </c>
      <c r="L47" s="204" t="n">
        <v>0</v>
      </c>
      <c r="M47" s="204" t="n">
        <v>200000</v>
      </c>
      <c r="N47" s="204" t="n">
        <v>200000</v>
      </c>
      <c r="O47" s="204" t="n">
        <v>200000</v>
      </c>
      <c r="P47" s="204" t="n">
        <v>300000</v>
      </c>
      <c r="Q47" s="204" t="n">
        <v>300000</v>
      </c>
      <c r="R47" s="204" t="n">
        <v>300000</v>
      </c>
      <c r="S47" s="204" t="n">
        <v>300000</v>
      </c>
      <c r="T47" s="204" t="n">
        <v>300000</v>
      </c>
      <c r="U47" s="204" t="n">
        <v>300000</v>
      </c>
      <c r="V47" s="204" t="n">
        <f aca="false">SUMIFS(Потребности!AM:AM,Потребности!AF:AF,Потребности!B47,Потребности!AH:AH,Потребности!D47)</f>
        <v>2400000</v>
      </c>
      <c r="W47" s="204" t="n">
        <v>4608000</v>
      </c>
      <c r="X47" s="204" t="n">
        <v>0</v>
      </c>
      <c r="Y47" s="204" t="s">
        <v>54</v>
      </c>
    </row>
    <row r="48" customFormat="false" ht="12" hidden="false" customHeight="false" outlineLevel="0" collapsed="false">
      <c r="A48" s="204" t="s">
        <v>54</v>
      </c>
      <c r="B48" s="204" t="s">
        <v>639</v>
      </c>
      <c r="C48" s="205" t="n">
        <v>0</v>
      </c>
      <c r="D48" s="204" t="s">
        <v>55</v>
      </c>
      <c r="E48" s="204" t="s">
        <v>602</v>
      </c>
      <c r="F48" s="224" t="n">
        <f aca="false">SUMIFS(Потребности!AK:AK,Потребности!AF:AF,Потребности!B48,Потребности!AH:AH,Потребности!D48)</f>
        <v>1</v>
      </c>
      <c r="G48" s="224" t="n">
        <f aca="false">SUMIFS(Потребности!AM:AM,Потребности!AF:AF,Потребности!B48,Потребности!AH:AH,Потребности!D48)</f>
        <v>1040074.24</v>
      </c>
      <c r="H48" s="204" t="s">
        <v>647</v>
      </c>
      <c r="J48" s="204" t="n">
        <f aca="false">$V48/12</f>
        <v>86672.8533333334</v>
      </c>
      <c r="K48" s="204" t="n">
        <f aca="false">$V48/12</f>
        <v>86672.8533333334</v>
      </c>
      <c r="L48" s="204" t="n">
        <f aca="false">$V48/12</f>
        <v>86672.8533333334</v>
      </c>
      <c r="M48" s="204" t="n">
        <f aca="false">$V48/12</f>
        <v>86672.8533333334</v>
      </c>
      <c r="N48" s="204" t="n">
        <f aca="false">$V48/12</f>
        <v>86672.8533333334</v>
      </c>
      <c r="O48" s="204" t="n">
        <f aca="false">$V48/12</f>
        <v>86672.8533333334</v>
      </c>
      <c r="P48" s="204" t="n">
        <f aca="false">$V48/12</f>
        <v>86672.8533333334</v>
      </c>
      <c r="Q48" s="204" t="n">
        <f aca="false">$V48/12</f>
        <v>86672.8533333334</v>
      </c>
      <c r="R48" s="204" t="n">
        <f aca="false">$V48/12</f>
        <v>86672.8533333334</v>
      </c>
      <c r="S48" s="204" t="n">
        <f aca="false">$V48/12</f>
        <v>86672.8533333334</v>
      </c>
      <c r="T48" s="204" t="n">
        <f aca="false">$V48/12</f>
        <v>86672.8533333334</v>
      </c>
      <c r="U48" s="204" t="n">
        <f aca="false">$V48/12</f>
        <v>86672.8533333334</v>
      </c>
      <c r="V48" s="204" t="n">
        <f aca="false">SUMIFS(Потребности!AM:AM,Потребности!AF:AF,Потребности!B48,Потребности!AH:AH,Потребности!D48)</f>
        <v>1040074.24</v>
      </c>
      <c r="W48" s="204" t="n">
        <v>0</v>
      </c>
      <c r="X48" s="204" t="n">
        <v>110855.48</v>
      </c>
      <c r="Y48" s="204" t="s">
        <v>54</v>
      </c>
    </row>
    <row r="49" customFormat="false" ht="12" hidden="false" customHeight="false" outlineLevel="0" collapsed="false">
      <c r="A49" s="204" t="s">
        <v>54</v>
      </c>
      <c r="B49" s="204" t="s">
        <v>628</v>
      </c>
      <c r="C49" s="205" t="n">
        <v>0</v>
      </c>
      <c r="D49" s="204" t="s">
        <v>55</v>
      </c>
      <c r="E49" s="204" t="s">
        <v>602</v>
      </c>
      <c r="F49" s="224" t="n">
        <f aca="false">SUMIFS(Потребности!AK:AK,Потребности!AF:AF,Потребности!B49,Потребности!AH:AH,Потребности!D49)</f>
        <v>100</v>
      </c>
      <c r="G49" s="224" t="n">
        <f aca="false">SUMIFS(Потребности!AM:AM,Потребности!AF:AF,Потребности!B49,Потребности!AH:AH,Потребности!D49)</f>
        <v>4000000</v>
      </c>
      <c r="H49" s="204" t="s">
        <v>629</v>
      </c>
      <c r="I49" s="225" t="s">
        <v>648</v>
      </c>
      <c r="J49" s="204" t="n">
        <f aca="false">$V49/12</f>
        <v>333333.333333333</v>
      </c>
      <c r="K49" s="204" t="n">
        <f aca="false">$V49/12</f>
        <v>333333.333333333</v>
      </c>
      <c r="L49" s="204" t="n">
        <f aca="false">$V49/12</f>
        <v>333333.333333333</v>
      </c>
      <c r="M49" s="204" t="n">
        <f aca="false">$V49/12</f>
        <v>333333.333333333</v>
      </c>
      <c r="N49" s="204" t="n">
        <f aca="false">$V49/12</f>
        <v>333333.333333333</v>
      </c>
      <c r="O49" s="204" t="n">
        <f aca="false">$V49/12</f>
        <v>333333.333333333</v>
      </c>
      <c r="P49" s="204" t="n">
        <f aca="false">$V49/12</f>
        <v>333333.333333333</v>
      </c>
      <c r="Q49" s="204" t="n">
        <f aca="false">$V49/12</f>
        <v>333333.333333333</v>
      </c>
      <c r="R49" s="204" t="n">
        <f aca="false">$V49/12</f>
        <v>333333.333333333</v>
      </c>
      <c r="S49" s="204" t="n">
        <f aca="false">$V49/12</f>
        <v>333333.333333333</v>
      </c>
      <c r="T49" s="204" t="n">
        <f aca="false">$V49/12</f>
        <v>333333.333333333</v>
      </c>
      <c r="U49" s="204" t="n">
        <f aca="false">$V49/12</f>
        <v>333333.333333333</v>
      </c>
      <c r="V49" s="204" t="n">
        <f aca="false">SUMIFS(Потребности!AM:AM,Потребности!AF:AF,Потребности!B49,Потребности!AH:AH,Потребности!D49)</f>
        <v>4000000</v>
      </c>
      <c r="W49" s="204" t="n">
        <v>6679000</v>
      </c>
      <c r="X49" s="204" t="n">
        <v>2931886.17</v>
      </c>
      <c r="Y49" s="204" t="s">
        <v>54</v>
      </c>
    </row>
    <row r="50" customFormat="false" ht="12" hidden="false" customHeight="false" outlineLevel="0" collapsed="false">
      <c r="A50" s="204" t="s">
        <v>54</v>
      </c>
      <c r="B50" s="204" t="s">
        <v>643</v>
      </c>
      <c r="C50" s="205" t="n">
        <v>0</v>
      </c>
      <c r="D50" s="204" t="s">
        <v>55</v>
      </c>
      <c r="E50" s="204" t="s">
        <v>643</v>
      </c>
      <c r="F50" s="224" t="s">
        <v>553</v>
      </c>
      <c r="G50" s="224" t="s">
        <v>553</v>
      </c>
      <c r="H50" s="204" t="s">
        <v>649</v>
      </c>
      <c r="J50" s="204" t="n">
        <f aca="false">$V50/12</f>
        <v>2314541.80833333</v>
      </c>
      <c r="K50" s="204" t="n">
        <f aca="false">$V50/12</f>
        <v>2314541.80833333</v>
      </c>
      <c r="L50" s="204" t="n">
        <f aca="false">$V50/12</f>
        <v>2314541.80833333</v>
      </c>
      <c r="M50" s="204" t="n">
        <f aca="false">$V50/12</f>
        <v>2314541.80833333</v>
      </c>
      <c r="N50" s="204" t="n">
        <f aca="false">$V50/12</f>
        <v>2314541.80833333</v>
      </c>
      <c r="O50" s="204" t="n">
        <f aca="false">$V50/12</f>
        <v>2314541.80833333</v>
      </c>
      <c r="P50" s="204" t="n">
        <f aca="false">$V50/12</f>
        <v>2314541.80833333</v>
      </c>
      <c r="Q50" s="204" t="n">
        <f aca="false">$V50/12</f>
        <v>2314541.80833333</v>
      </c>
      <c r="R50" s="204" t="n">
        <f aca="false">$V50/12</f>
        <v>2314541.80833333</v>
      </c>
      <c r="S50" s="204" t="n">
        <f aca="false">$V50/12</f>
        <v>2314541.80833333</v>
      </c>
      <c r="T50" s="204" t="n">
        <f aca="false">$V50/12</f>
        <v>2314541.80833333</v>
      </c>
      <c r="U50" s="204" t="n">
        <f aca="false">$V50/12</f>
        <v>2314541.80833333</v>
      </c>
      <c r="V50" s="204" t="n">
        <f aca="false">SUMIFS(Потребности!AM:AM,Потребности!AF:AF,Потребности!B50,Потребности!AH:AH,Потребности!D50)</f>
        <v>27774501.7</v>
      </c>
      <c r="W50" s="204" t="n">
        <v>25100000</v>
      </c>
      <c r="X50" s="204" t="n">
        <v>0</v>
      </c>
      <c r="Y50" s="204" t="s">
        <v>54</v>
      </c>
    </row>
    <row r="51" customFormat="false" ht="12" hidden="false" customHeight="false" outlineLevel="0" collapsed="false">
      <c r="A51" s="204" t="s">
        <v>51</v>
      </c>
      <c r="B51" s="204" t="s">
        <v>89</v>
      </c>
      <c r="C51" s="205" t="s">
        <v>650</v>
      </c>
      <c r="D51" s="204" t="s">
        <v>55</v>
      </c>
      <c r="E51" s="204" t="s">
        <v>553</v>
      </c>
      <c r="F51" s="224" t="s">
        <v>553</v>
      </c>
      <c r="G51" s="224" t="s">
        <v>553</v>
      </c>
      <c r="H51" s="204" t="s">
        <v>651</v>
      </c>
      <c r="I51" s="225"/>
      <c r="L51" s="204" t="n">
        <v>135000</v>
      </c>
      <c r="P51" s="204" t="n">
        <v>135000</v>
      </c>
      <c r="V51" s="204" t="n">
        <f aca="false">SUM(J51:U51)</f>
        <v>270000</v>
      </c>
      <c r="W51" s="204" t="n">
        <v>595000</v>
      </c>
      <c r="X51" s="204" t="n">
        <v>270361.5</v>
      </c>
      <c r="Y51" s="204" t="s">
        <v>89</v>
      </c>
    </row>
    <row r="52" customFormat="false" ht="12" hidden="false" customHeight="false" outlineLevel="0" collapsed="false">
      <c r="A52" s="204" t="s">
        <v>51</v>
      </c>
      <c r="B52" s="204" t="s">
        <v>90</v>
      </c>
      <c r="C52" s="205" t="n">
        <v>0</v>
      </c>
      <c r="D52" s="204" t="s">
        <v>55</v>
      </c>
      <c r="E52" s="204" t="s">
        <v>553</v>
      </c>
      <c r="F52" s="224" t="s">
        <v>553</v>
      </c>
      <c r="G52" s="224" t="s">
        <v>553</v>
      </c>
      <c r="H52" s="204" t="s">
        <v>652</v>
      </c>
      <c r="I52" s="225"/>
      <c r="J52" s="204" t="n">
        <v>869198.133256529</v>
      </c>
      <c r="K52" s="204" t="n">
        <v>869198.133256529</v>
      </c>
      <c r="L52" s="204" t="n">
        <v>869198.133256529</v>
      </c>
      <c r="M52" s="204" t="n">
        <v>869198.133256529</v>
      </c>
      <c r="N52" s="204" t="n">
        <v>869198.133256529</v>
      </c>
      <c r="O52" s="204" t="n">
        <v>869198.133256529</v>
      </c>
      <c r="P52" s="204" t="n">
        <v>869198.133256529</v>
      </c>
      <c r="Q52" s="204" t="n">
        <v>869198.133256529</v>
      </c>
      <c r="R52" s="204" t="n">
        <v>869198.133256529</v>
      </c>
      <c r="S52" s="204" t="n">
        <v>869198.133256529</v>
      </c>
      <c r="T52" s="204" t="n">
        <v>882419.923960377</v>
      </c>
      <c r="U52" s="204" t="n">
        <v>972502.982022831</v>
      </c>
      <c r="V52" s="204" t="n">
        <v>10546904.2385485</v>
      </c>
      <c r="W52" s="204" t="n">
        <v>14457641</v>
      </c>
      <c r="X52" s="204" t="n">
        <v>1841964.9</v>
      </c>
      <c r="Y52" s="204" t="s">
        <v>90</v>
      </c>
    </row>
    <row r="53" customFormat="false" ht="12" hidden="false" customHeight="false" outlineLevel="0" collapsed="false">
      <c r="A53" s="204" t="s">
        <v>51</v>
      </c>
      <c r="B53" s="204" t="s">
        <v>88</v>
      </c>
      <c r="C53" s="205" t="n">
        <v>0</v>
      </c>
      <c r="D53" s="204" t="s">
        <v>55</v>
      </c>
      <c r="E53" s="204" t="s">
        <v>553</v>
      </c>
      <c r="F53" s="224" t="s">
        <v>553</v>
      </c>
      <c r="G53" s="224" t="s">
        <v>553</v>
      </c>
      <c r="H53" s="204" t="s">
        <v>652</v>
      </c>
      <c r="I53" s="225"/>
      <c r="J53" s="204" t="n">
        <v>5000</v>
      </c>
      <c r="L53" s="204" t="n">
        <v>5000</v>
      </c>
      <c r="M53" s="204" t="n">
        <v>5000</v>
      </c>
      <c r="N53" s="204" t="n">
        <v>5000</v>
      </c>
      <c r="P53" s="204" t="n">
        <v>5000</v>
      </c>
      <c r="R53" s="204" t="n">
        <v>5000</v>
      </c>
      <c r="T53" s="204" t="n">
        <v>5000</v>
      </c>
      <c r="U53" s="204" t="n">
        <v>5000</v>
      </c>
      <c r="V53" s="204" t="n">
        <v>40000</v>
      </c>
      <c r="W53" s="204" t="n">
        <v>1597000</v>
      </c>
      <c r="X53" s="204" t="n">
        <v>0</v>
      </c>
      <c r="Y53" s="204" t="s">
        <v>88</v>
      </c>
    </row>
    <row r="54" customFormat="false" ht="12" hidden="false" customHeight="false" outlineLevel="0" collapsed="false">
      <c r="A54" s="204" t="s">
        <v>51</v>
      </c>
      <c r="B54" s="204" t="s">
        <v>92</v>
      </c>
      <c r="C54" s="205" t="s">
        <v>653</v>
      </c>
      <c r="D54" s="204" t="s">
        <v>55</v>
      </c>
      <c r="E54" s="204" t="s">
        <v>553</v>
      </c>
      <c r="F54" s="224" t="s">
        <v>553</v>
      </c>
      <c r="G54" s="224" t="s">
        <v>553</v>
      </c>
      <c r="H54" s="204" t="s">
        <v>654</v>
      </c>
      <c r="I54" s="225"/>
      <c r="J54" s="204" t="n">
        <v>37333</v>
      </c>
      <c r="K54" s="204" t="n">
        <v>37333</v>
      </c>
      <c r="L54" s="204" t="n">
        <v>37333</v>
      </c>
      <c r="M54" s="204" t="n">
        <v>37333</v>
      </c>
      <c r="N54" s="204" t="n">
        <v>37333</v>
      </c>
      <c r="O54" s="204" t="n">
        <v>37333</v>
      </c>
      <c r="P54" s="204" t="n">
        <v>37333</v>
      </c>
      <c r="Q54" s="204" t="n">
        <v>37333</v>
      </c>
      <c r="R54" s="204" t="n">
        <v>37333</v>
      </c>
      <c r="S54" s="204" t="n">
        <v>37333</v>
      </c>
      <c r="T54" s="204" t="n">
        <v>37333</v>
      </c>
      <c r="U54" s="204" t="n">
        <v>37333</v>
      </c>
      <c r="V54" s="204" t="n">
        <f aca="false">SUM(J54:U54)</f>
        <v>447996</v>
      </c>
      <c r="Y54" s="204" t="s">
        <v>92</v>
      </c>
    </row>
    <row r="55" customFormat="false" ht="12" hidden="false" customHeight="false" outlineLevel="0" collapsed="false">
      <c r="A55" s="204" t="s">
        <v>51</v>
      </c>
      <c r="B55" s="204" t="s">
        <v>92</v>
      </c>
      <c r="C55" s="205" t="s">
        <v>655</v>
      </c>
      <c r="D55" s="204" t="s">
        <v>55</v>
      </c>
      <c r="E55" s="204" t="s">
        <v>553</v>
      </c>
      <c r="F55" s="224" t="s">
        <v>553</v>
      </c>
      <c r="G55" s="224" t="s">
        <v>553</v>
      </c>
      <c r="H55" s="204" t="s">
        <v>654</v>
      </c>
      <c r="I55" s="225"/>
      <c r="M55" s="204" t="n">
        <v>335000.67</v>
      </c>
      <c r="Q55" s="204" t="n">
        <v>339670</v>
      </c>
      <c r="V55" s="204" t="n">
        <f aca="false">SUM(J55:U55)</f>
        <v>674670.67</v>
      </c>
      <c r="Y55" s="204" t="s">
        <v>92</v>
      </c>
    </row>
    <row r="56" customFormat="false" ht="12" hidden="false" customHeight="false" outlineLevel="0" collapsed="false">
      <c r="A56" s="204" t="s">
        <v>54</v>
      </c>
      <c r="B56" s="204" t="s">
        <v>656</v>
      </c>
      <c r="C56" s="205" t="s">
        <v>657</v>
      </c>
      <c r="D56" s="204" t="s">
        <v>55</v>
      </c>
      <c r="E56" s="204" t="s">
        <v>602</v>
      </c>
      <c r="F56" s="224" t="s">
        <v>553</v>
      </c>
      <c r="G56" s="224" t="s">
        <v>553</v>
      </c>
      <c r="H56" s="204" t="s">
        <v>654</v>
      </c>
      <c r="I56" s="225"/>
      <c r="N56" s="204" t="n">
        <v>500000</v>
      </c>
      <c r="R56" s="204" t="n">
        <v>500000</v>
      </c>
      <c r="V56" s="249" t="n">
        <f aca="false">SUM(J56:U56)</f>
        <v>1000000</v>
      </c>
      <c r="Y56" s="204" t="s">
        <v>54</v>
      </c>
    </row>
    <row r="57" customFormat="false" ht="12" hidden="false" customHeight="false" outlineLevel="0" collapsed="false">
      <c r="A57" s="204" t="s">
        <v>54</v>
      </c>
      <c r="B57" s="204" t="s">
        <v>656</v>
      </c>
      <c r="C57" s="205" t="s">
        <v>658</v>
      </c>
      <c r="D57" s="204" t="s">
        <v>55</v>
      </c>
      <c r="E57" s="204" t="s">
        <v>602</v>
      </c>
      <c r="F57" s="224" t="s">
        <v>553</v>
      </c>
      <c r="G57" s="224" t="s">
        <v>553</v>
      </c>
      <c r="H57" s="204" t="s">
        <v>654</v>
      </c>
      <c r="I57" s="225"/>
      <c r="J57" s="204" t="n">
        <v>200000</v>
      </c>
      <c r="K57" s="204" t="n">
        <v>200000</v>
      </c>
      <c r="L57" s="204" t="n">
        <v>200000</v>
      </c>
      <c r="M57" s="204" t="n">
        <v>200000</v>
      </c>
      <c r="N57" s="204" t="n">
        <v>200000</v>
      </c>
      <c r="O57" s="204" t="n">
        <v>200000</v>
      </c>
      <c r="P57" s="204" t="n">
        <v>200000</v>
      </c>
      <c r="Q57" s="204" t="n">
        <v>200000</v>
      </c>
      <c r="R57" s="204" t="n">
        <v>200000</v>
      </c>
      <c r="S57" s="204" t="n">
        <v>200000</v>
      </c>
      <c r="T57" s="204" t="n">
        <v>200000</v>
      </c>
      <c r="U57" s="204" t="n">
        <v>200000</v>
      </c>
      <c r="V57" s="249" t="n">
        <f aca="false">SUM(J57:U57)</f>
        <v>2400000</v>
      </c>
      <c r="Y57" s="204" t="s">
        <v>54</v>
      </c>
    </row>
    <row r="58" customFormat="false" ht="12" hidden="false" customHeight="false" outlineLevel="0" collapsed="false">
      <c r="A58" s="204" t="s">
        <v>51</v>
      </c>
      <c r="B58" s="204" t="s">
        <v>93</v>
      </c>
      <c r="C58" s="205" t="s">
        <v>659</v>
      </c>
      <c r="D58" s="205" t="s">
        <v>55</v>
      </c>
      <c r="E58" s="204" t="s">
        <v>553</v>
      </c>
      <c r="F58" s="224" t="s">
        <v>553</v>
      </c>
      <c r="G58" s="224" t="s">
        <v>553</v>
      </c>
      <c r="H58" s="204" t="s">
        <v>651</v>
      </c>
      <c r="I58" s="225"/>
      <c r="L58" s="204" t="n">
        <v>156640</v>
      </c>
      <c r="M58" s="204" t="n">
        <v>156640</v>
      </c>
      <c r="N58" s="204" t="n">
        <v>156640</v>
      </c>
      <c r="O58" s="204" t="n">
        <v>156640</v>
      </c>
      <c r="P58" s="204" t="n">
        <v>156640</v>
      </c>
      <c r="Q58" s="204" t="n">
        <v>156640</v>
      </c>
      <c r="R58" s="204" t="n">
        <v>156640</v>
      </c>
      <c r="S58" s="204" t="n">
        <v>156640</v>
      </c>
      <c r="T58" s="204" t="n">
        <v>156640</v>
      </c>
      <c r="U58" s="204" t="n">
        <v>156640</v>
      </c>
      <c r="V58" s="249" t="n">
        <f aca="false">SUM(J58:U58)</f>
        <v>1566400</v>
      </c>
      <c r="W58" s="204" t="n">
        <v>1500000</v>
      </c>
      <c r="X58" s="204" t="n">
        <v>1220000</v>
      </c>
      <c r="Y58" s="204" t="s">
        <v>93</v>
      </c>
    </row>
    <row r="59" customFormat="false" ht="12" hidden="false" customHeight="false" outlineLevel="0" collapsed="false">
      <c r="A59" s="204" t="s">
        <v>51</v>
      </c>
      <c r="B59" s="204" t="s">
        <v>93</v>
      </c>
      <c r="C59" s="205" t="s">
        <v>660</v>
      </c>
      <c r="D59" s="205" t="s">
        <v>55</v>
      </c>
      <c r="E59" s="204" t="s">
        <v>553</v>
      </c>
      <c r="F59" s="224" t="s">
        <v>553</v>
      </c>
      <c r="G59" s="224" t="s">
        <v>553</v>
      </c>
      <c r="H59" s="204" t="s">
        <v>651</v>
      </c>
      <c r="I59" s="225"/>
      <c r="L59" s="204" t="n">
        <v>153450</v>
      </c>
      <c r="M59" s="204" t="n">
        <v>153450</v>
      </c>
      <c r="N59" s="204" t="n">
        <v>153450</v>
      </c>
      <c r="O59" s="204" t="n">
        <v>153450</v>
      </c>
      <c r="P59" s="204" t="n">
        <v>153450</v>
      </c>
      <c r="Q59" s="204" t="n">
        <v>153450</v>
      </c>
      <c r="R59" s="204" t="n">
        <v>153450</v>
      </c>
      <c r="S59" s="204" t="n">
        <v>153450</v>
      </c>
      <c r="T59" s="204" t="n">
        <v>153450</v>
      </c>
      <c r="U59" s="204" t="n">
        <v>153450</v>
      </c>
      <c r="V59" s="249" t="n">
        <f aca="false">SUM(J59:U59)</f>
        <v>1534500</v>
      </c>
      <c r="W59" s="204" t="n">
        <v>1500000</v>
      </c>
      <c r="X59" s="204" t="n">
        <v>1108763.28</v>
      </c>
      <c r="Y59" s="204" t="s">
        <v>93</v>
      </c>
    </row>
    <row r="60" customFormat="false" ht="12" hidden="false" customHeight="false" outlineLevel="0" collapsed="false">
      <c r="A60" s="204" t="s">
        <v>51</v>
      </c>
      <c r="B60" s="204" t="s">
        <v>93</v>
      </c>
      <c r="C60" s="205" t="s">
        <v>661</v>
      </c>
      <c r="D60" s="205" t="s">
        <v>55</v>
      </c>
      <c r="E60" s="204" t="s">
        <v>553</v>
      </c>
      <c r="F60" s="224" t="s">
        <v>553</v>
      </c>
      <c r="G60" s="224" t="s">
        <v>553</v>
      </c>
      <c r="H60" s="204" t="s">
        <v>651</v>
      </c>
      <c r="I60" s="225"/>
      <c r="L60" s="204" t="n">
        <v>55000</v>
      </c>
      <c r="M60" s="204" t="n">
        <v>55000</v>
      </c>
      <c r="N60" s="204" t="n">
        <v>55000</v>
      </c>
      <c r="O60" s="204" t="n">
        <v>55000</v>
      </c>
      <c r="P60" s="204" t="n">
        <v>55000</v>
      </c>
      <c r="Q60" s="204" t="n">
        <v>55000</v>
      </c>
      <c r="R60" s="204" t="n">
        <v>55000</v>
      </c>
      <c r="S60" s="204" t="n">
        <v>55000</v>
      </c>
      <c r="T60" s="204" t="n">
        <v>55000</v>
      </c>
      <c r="U60" s="204" t="n">
        <v>55000</v>
      </c>
      <c r="V60" s="249" t="n">
        <f aca="false">SUM(J60:U60)</f>
        <v>550000</v>
      </c>
      <c r="W60" s="204" t="n">
        <v>500000</v>
      </c>
      <c r="X60" s="204" t="n">
        <v>490000</v>
      </c>
      <c r="Y60" s="204" t="s">
        <v>93</v>
      </c>
    </row>
    <row r="61" customFormat="false" ht="32.8" hidden="false" customHeight="false" outlineLevel="0" collapsed="false">
      <c r="A61" s="204" t="s">
        <v>51</v>
      </c>
      <c r="B61" s="204" t="s">
        <v>93</v>
      </c>
      <c r="C61" s="250" t="s">
        <v>662</v>
      </c>
      <c r="D61" s="205" t="s">
        <v>55</v>
      </c>
      <c r="E61" s="204" t="s">
        <v>553</v>
      </c>
      <c r="F61" s="224" t="s">
        <v>553</v>
      </c>
      <c r="G61" s="224" t="s">
        <v>553</v>
      </c>
      <c r="H61" s="204" t="s">
        <v>651</v>
      </c>
      <c r="I61" s="225"/>
      <c r="L61" s="204" t="n">
        <v>147000</v>
      </c>
      <c r="M61" s="204" t="n">
        <v>147000</v>
      </c>
      <c r="N61" s="204" t="n">
        <v>147000</v>
      </c>
      <c r="O61" s="204" t="n">
        <v>147000</v>
      </c>
      <c r="P61" s="204" t="n">
        <v>147000</v>
      </c>
      <c r="Q61" s="204" t="n">
        <v>147000</v>
      </c>
      <c r="R61" s="204" t="n">
        <v>147000</v>
      </c>
      <c r="S61" s="204" t="n">
        <v>147000</v>
      </c>
      <c r="T61" s="204" t="n">
        <v>147000</v>
      </c>
      <c r="U61" s="204" t="n">
        <v>147000</v>
      </c>
      <c r="V61" s="249" t="n">
        <f aca="false">SUM(J61:U61)</f>
        <v>1470000</v>
      </c>
      <c r="Y61" s="204" t="s">
        <v>93</v>
      </c>
    </row>
    <row r="62" customFormat="false" ht="32.8" hidden="false" customHeight="false" outlineLevel="0" collapsed="false">
      <c r="A62" s="204" t="s">
        <v>51</v>
      </c>
      <c r="B62" s="204" t="s">
        <v>94</v>
      </c>
      <c r="C62" s="250" t="s">
        <v>663</v>
      </c>
      <c r="D62" s="205" t="s">
        <v>55</v>
      </c>
      <c r="E62" s="204" t="s">
        <v>553</v>
      </c>
      <c r="F62" s="224" t="s">
        <v>553</v>
      </c>
      <c r="G62" s="224" t="s">
        <v>553</v>
      </c>
      <c r="H62" s="204" t="s">
        <v>664</v>
      </c>
      <c r="K62" s="204" t="n">
        <v>4000000</v>
      </c>
      <c r="M62" s="204" t="n">
        <v>4250000</v>
      </c>
      <c r="V62" s="249" t="n">
        <f aca="false">SUM(J62:U62)</f>
        <v>8250000</v>
      </c>
      <c r="Y62" s="204" t="s">
        <v>94</v>
      </c>
    </row>
    <row r="63" customFormat="false" ht="12" hidden="false" customHeight="false" outlineLevel="0" collapsed="false">
      <c r="A63" s="204" t="s">
        <v>51</v>
      </c>
      <c r="B63" s="204" t="s">
        <v>94</v>
      </c>
      <c r="C63" s="205" t="s">
        <v>665</v>
      </c>
      <c r="D63" s="205" t="s">
        <v>55</v>
      </c>
      <c r="E63" s="204" t="s">
        <v>553</v>
      </c>
      <c r="F63" s="224" t="s">
        <v>553</v>
      </c>
      <c r="G63" s="224" t="s">
        <v>553</v>
      </c>
      <c r="H63" s="204" t="s">
        <v>664</v>
      </c>
      <c r="M63" s="204" t="n">
        <v>6000000</v>
      </c>
      <c r="P63" s="204" t="n">
        <v>6000000</v>
      </c>
      <c r="V63" s="249" t="n">
        <f aca="false">SUM(J63:U63)</f>
        <v>12000000</v>
      </c>
      <c r="Y63" s="204" t="s">
        <v>94</v>
      </c>
    </row>
    <row r="64" customFormat="false" ht="12" hidden="false" customHeight="false" outlineLevel="0" collapsed="false">
      <c r="A64" s="204" t="s">
        <v>51</v>
      </c>
      <c r="B64" s="206" t="s">
        <v>95</v>
      </c>
      <c r="D64" s="204" t="s">
        <v>55</v>
      </c>
      <c r="E64" s="204" t="s">
        <v>553</v>
      </c>
      <c r="F64" s="224" t="s">
        <v>553</v>
      </c>
      <c r="G64" s="224" t="s">
        <v>553</v>
      </c>
      <c r="H64" s="204" t="s">
        <v>652</v>
      </c>
      <c r="J64" s="204" t="n">
        <f aca="false">$V64/12</f>
        <v>27996.75</v>
      </c>
      <c r="K64" s="204" t="n">
        <f aca="false">$V64/12</f>
        <v>27996.75</v>
      </c>
      <c r="L64" s="204" t="n">
        <f aca="false">$V64/12</f>
        <v>27996.75</v>
      </c>
      <c r="M64" s="204" t="n">
        <f aca="false">$V64/12</f>
        <v>27996.75</v>
      </c>
      <c r="N64" s="204" t="n">
        <f aca="false">$V64/12</f>
        <v>27996.75</v>
      </c>
      <c r="O64" s="204" t="n">
        <f aca="false">$V64/12</f>
        <v>27996.75</v>
      </c>
      <c r="P64" s="204" t="n">
        <f aca="false">$V64/12</f>
        <v>27996.75</v>
      </c>
      <c r="Q64" s="204" t="n">
        <f aca="false">$V64/12</f>
        <v>27996.75</v>
      </c>
      <c r="R64" s="204" t="n">
        <f aca="false">$V64/12</f>
        <v>27996.75</v>
      </c>
      <c r="S64" s="204" t="n">
        <f aca="false">$V64/12</f>
        <v>27996.75</v>
      </c>
      <c r="T64" s="204" t="n">
        <f aca="false">$V64/12</f>
        <v>27996.75</v>
      </c>
      <c r="U64" s="204" t="n">
        <f aca="false">$V64/12</f>
        <v>27996.75</v>
      </c>
      <c r="V64" s="249" t="n">
        <v>335961</v>
      </c>
      <c r="Y64" s="204" t="s">
        <v>95</v>
      </c>
    </row>
    <row r="65" customFormat="false" ht="12" hidden="false" customHeight="false" outlineLevel="0" collapsed="false">
      <c r="A65" s="204" t="s">
        <v>51</v>
      </c>
      <c r="B65" s="206" t="s">
        <v>96</v>
      </c>
      <c r="C65" s="206" t="s">
        <v>666</v>
      </c>
      <c r="D65" s="204" t="s">
        <v>55</v>
      </c>
      <c r="E65" s="204" t="s">
        <v>553</v>
      </c>
      <c r="F65" s="224" t="s">
        <v>553</v>
      </c>
      <c r="G65" s="224" t="s">
        <v>553</v>
      </c>
      <c r="H65" s="204" t="s">
        <v>652</v>
      </c>
      <c r="J65" s="204" t="n">
        <f aca="false">$V65/12</f>
        <v>12500</v>
      </c>
      <c r="K65" s="204" t="n">
        <f aca="false">$V65/12</f>
        <v>12500</v>
      </c>
      <c r="L65" s="204" t="n">
        <f aca="false">$V65/12</f>
        <v>12500</v>
      </c>
      <c r="M65" s="204" t="n">
        <f aca="false">$V65/12</f>
        <v>12500</v>
      </c>
      <c r="N65" s="204" t="n">
        <f aca="false">$V65/12</f>
        <v>12500</v>
      </c>
      <c r="O65" s="204" t="n">
        <f aca="false">$V65/12</f>
        <v>12500</v>
      </c>
      <c r="P65" s="204" t="n">
        <f aca="false">$V65/12</f>
        <v>12500</v>
      </c>
      <c r="Q65" s="204" t="n">
        <f aca="false">$V65/12</f>
        <v>12500</v>
      </c>
      <c r="R65" s="204" t="n">
        <f aca="false">$V65/12</f>
        <v>12500</v>
      </c>
      <c r="S65" s="204" t="n">
        <f aca="false">$V65/12</f>
        <v>12500</v>
      </c>
      <c r="T65" s="204" t="n">
        <f aca="false">$V65/12</f>
        <v>12500</v>
      </c>
      <c r="U65" s="204" t="n">
        <f aca="false">$V65/12</f>
        <v>12500</v>
      </c>
      <c r="V65" s="249" t="n">
        <v>150000</v>
      </c>
      <c r="Y65" s="204" t="s">
        <v>96</v>
      </c>
    </row>
    <row r="66" customFormat="false" ht="12" hidden="false" customHeight="false" outlineLevel="0" collapsed="false">
      <c r="A66" s="204" t="s">
        <v>51</v>
      </c>
      <c r="B66" s="206" t="s">
        <v>96</v>
      </c>
      <c r="C66" s="206" t="s">
        <v>667</v>
      </c>
      <c r="D66" s="204" t="s">
        <v>55</v>
      </c>
      <c r="E66" s="204" t="s">
        <v>553</v>
      </c>
      <c r="F66" s="224" t="s">
        <v>553</v>
      </c>
      <c r="G66" s="224" t="s">
        <v>553</v>
      </c>
      <c r="H66" s="204" t="s">
        <v>652</v>
      </c>
      <c r="J66" s="204" t="n">
        <f aca="false">$V66/12</f>
        <v>29166.6666666667</v>
      </c>
      <c r="K66" s="204" t="n">
        <f aca="false">$V66/12</f>
        <v>29166.6666666667</v>
      </c>
      <c r="L66" s="204" t="n">
        <f aca="false">$V66/12</f>
        <v>29166.6666666667</v>
      </c>
      <c r="M66" s="204" t="n">
        <f aca="false">$V66/12</f>
        <v>29166.6666666667</v>
      </c>
      <c r="N66" s="204" t="n">
        <f aca="false">$V66/12</f>
        <v>29166.6666666667</v>
      </c>
      <c r="O66" s="204" t="n">
        <f aca="false">$V66/12</f>
        <v>29166.6666666667</v>
      </c>
      <c r="P66" s="204" t="n">
        <f aca="false">$V66/12</f>
        <v>29166.6666666667</v>
      </c>
      <c r="Q66" s="204" t="n">
        <f aca="false">$V66/12</f>
        <v>29166.6666666667</v>
      </c>
      <c r="R66" s="204" t="n">
        <f aca="false">$V66/12</f>
        <v>29166.6666666667</v>
      </c>
      <c r="S66" s="204" t="n">
        <f aca="false">$V66/12</f>
        <v>29166.6666666667</v>
      </c>
      <c r="T66" s="204" t="n">
        <f aca="false">$V66/12</f>
        <v>29166.6666666667</v>
      </c>
      <c r="U66" s="204" t="n">
        <f aca="false">$V66/12</f>
        <v>29166.6666666667</v>
      </c>
      <c r="V66" s="249" t="n">
        <v>350000</v>
      </c>
      <c r="Y66" s="204" t="s">
        <v>96</v>
      </c>
    </row>
    <row r="67" customFormat="false" ht="12" hidden="false" customHeight="false" outlineLevel="0" collapsed="false">
      <c r="A67" s="204" t="s">
        <v>668</v>
      </c>
      <c r="B67" s="204" t="s">
        <v>109</v>
      </c>
      <c r="C67" s="205" t="n">
        <v>0</v>
      </c>
      <c r="D67" s="204" t="s">
        <v>55</v>
      </c>
      <c r="E67" s="204" t="s">
        <v>553</v>
      </c>
      <c r="F67" s="224" t="s">
        <v>553</v>
      </c>
      <c r="G67" s="224" t="s">
        <v>553</v>
      </c>
      <c r="H67" s="204" t="s">
        <v>590</v>
      </c>
      <c r="I67" s="225"/>
      <c r="W67" s="204" t="n">
        <v>720000</v>
      </c>
      <c r="X67" s="204" t="n">
        <v>457265</v>
      </c>
      <c r="Y67" s="204" t="s">
        <v>109</v>
      </c>
    </row>
    <row r="68" customFormat="false" ht="12" hidden="false" customHeight="false" outlineLevel="0" collapsed="false">
      <c r="A68" s="204" t="s">
        <v>668</v>
      </c>
      <c r="B68" s="204" t="s">
        <v>106</v>
      </c>
      <c r="C68" s="205" t="n">
        <v>0</v>
      </c>
      <c r="D68" s="204" t="s">
        <v>55</v>
      </c>
      <c r="E68" s="204" t="s">
        <v>553</v>
      </c>
      <c r="F68" s="224" t="s">
        <v>553</v>
      </c>
      <c r="G68" s="224" t="s">
        <v>553</v>
      </c>
      <c r="H68" s="204" t="s">
        <v>590</v>
      </c>
      <c r="I68" s="225"/>
      <c r="W68" s="204" t="n">
        <v>2555200</v>
      </c>
      <c r="X68" s="204" t="n">
        <v>635873.52</v>
      </c>
      <c r="Y68" s="204" t="s">
        <v>106</v>
      </c>
    </row>
    <row r="69" customFormat="false" ht="12" hidden="false" customHeight="false" outlineLevel="0" collapsed="false">
      <c r="A69" s="204" t="s">
        <v>668</v>
      </c>
      <c r="B69" s="204" t="s">
        <v>107</v>
      </c>
      <c r="C69" s="205" t="n">
        <v>0</v>
      </c>
      <c r="D69" s="204" t="s">
        <v>55</v>
      </c>
      <c r="E69" s="204" t="s">
        <v>553</v>
      </c>
      <c r="F69" s="224" t="s">
        <v>553</v>
      </c>
      <c r="G69" s="224" t="s">
        <v>553</v>
      </c>
      <c r="H69" s="204" t="s">
        <v>590</v>
      </c>
      <c r="I69" s="225"/>
      <c r="W69" s="204" t="n">
        <v>1916400</v>
      </c>
      <c r="X69" s="204" t="n">
        <v>582203</v>
      </c>
      <c r="Y69" s="204" t="s">
        <v>107</v>
      </c>
    </row>
    <row r="70" customFormat="false" ht="12" hidden="false" customHeight="false" outlineLevel="0" collapsed="false">
      <c r="A70" s="204" t="s">
        <v>668</v>
      </c>
      <c r="B70" s="204" t="s">
        <v>108</v>
      </c>
      <c r="C70" s="205" t="n">
        <v>0</v>
      </c>
      <c r="D70" s="204" t="s">
        <v>55</v>
      </c>
      <c r="E70" s="204" t="s">
        <v>553</v>
      </c>
      <c r="F70" s="224" t="s">
        <v>553</v>
      </c>
      <c r="G70" s="224" t="s">
        <v>553</v>
      </c>
      <c r="H70" s="204" t="s">
        <v>590</v>
      </c>
      <c r="I70" s="225"/>
      <c r="W70" s="204" t="n">
        <v>191640</v>
      </c>
      <c r="X70" s="204" t="n">
        <v>177600</v>
      </c>
      <c r="Y70" s="204" t="s">
        <v>108</v>
      </c>
    </row>
    <row r="71" customFormat="false" ht="12" hidden="false" customHeight="false" outlineLevel="0" collapsed="false">
      <c r="A71" s="204" t="s">
        <v>668</v>
      </c>
      <c r="B71" s="204" t="s">
        <v>110</v>
      </c>
      <c r="C71" s="205" t="n">
        <v>0</v>
      </c>
      <c r="D71" s="204" t="s">
        <v>55</v>
      </c>
      <c r="E71" s="204" t="s">
        <v>553</v>
      </c>
      <c r="F71" s="224" t="s">
        <v>553</v>
      </c>
      <c r="G71" s="224" t="s">
        <v>553</v>
      </c>
      <c r="H71" s="204" t="s">
        <v>590</v>
      </c>
      <c r="I71" s="225"/>
      <c r="W71" s="204" t="n">
        <v>500000</v>
      </c>
      <c r="X71" s="204" t="n">
        <v>0</v>
      </c>
      <c r="Y71" s="204" t="s">
        <v>110</v>
      </c>
    </row>
    <row r="72" customFormat="false" ht="12" hidden="false" customHeight="false" outlineLevel="0" collapsed="false">
      <c r="A72" s="204" t="s">
        <v>54</v>
      </c>
      <c r="B72" s="204" t="s">
        <v>585</v>
      </c>
      <c r="D72" s="204" t="s">
        <v>59</v>
      </c>
      <c r="E72" s="204" t="s">
        <v>553</v>
      </c>
      <c r="F72" s="224" t="n">
        <f aca="false">SUMIFS(Потребности!AK:AK,Потребности!AF:AF,Потребности!B72,Потребности!AH:AH,Потребности!D72)</f>
        <v>26</v>
      </c>
      <c r="G72" s="224" t="n">
        <f aca="false">SUMIFS(Потребности!AM:AM,Потребности!AF:AF,Потребности!B72,Потребности!AH:AH,Потребности!D72)</f>
        <v>3640000</v>
      </c>
      <c r="H72" s="204" t="s">
        <v>649</v>
      </c>
      <c r="J72" s="204" t="n">
        <f aca="false">$V72/12</f>
        <v>303333.333333333</v>
      </c>
      <c r="K72" s="204" t="n">
        <f aca="false">$V72/12</f>
        <v>303333.333333333</v>
      </c>
      <c r="L72" s="204" t="n">
        <f aca="false">$V72/12</f>
        <v>303333.333333333</v>
      </c>
      <c r="M72" s="204" t="n">
        <f aca="false">$V72/12</f>
        <v>303333.333333333</v>
      </c>
      <c r="N72" s="204" t="n">
        <f aca="false">$V72/12</f>
        <v>303333.333333333</v>
      </c>
      <c r="O72" s="204" t="n">
        <f aca="false">$V72/12</f>
        <v>303333.333333333</v>
      </c>
      <c r="P72" s="204" t="n">
        <f aca="false">$V72/12</f>
        <v>303333.333333333</v>
      </c>
      <c r="Q72" s="204" t="n">
        <f aca="false">$V72/12</f>
        <v>303333.333333333</v>
      </c>
      <c r="R72" s="204" t="n">
        <f aca="false">$V72/12</f>
        <v>303333.333333333</v>
      </c>
      <c r="S72" s="204" t="n">
        <f aca="false">$V72/12</f>
        <v>303333.333333333</v>
      </c>
      <c r="T72" s="204" t="n">
        <f aca="false">$V72/12</f>
        <v>303333.333333333</v>
      </c>
      <c r="U72" s="204" t="n">
        <f aca="false">$V72/12</f>
        <v>303333.333333333</v>
      </c>
      <c r="V72" s="204" t="n">
        <f aca="false">SUMIFS(Потребности!AM:AM,Потребности!AF:AF,Потребности!B72,Потребности!AH:AH,Потребности!D72)</f>
        <v>3640000</v>
      </c>
      <c r="W72" s="204" t="n">
        <v>0</v>
      </c>
      <c r="X72" s="204" t="n">
        <v>0</v>
      </c>
      <c r="Y72" s="204" t="s">
        <v>500</v>
      </c>
    </row>
    <row r="73" customFormat="false" ht="12" hidden="false" customHeight="false" outlineLevel="0" collapsed="false">
      <c r="A73" s="204" t="s">
        <v>54</v>
      </c>
      <c r="B73" s="204" t="s">
        <v>589</v>
      </c>
      <c r="D73" s="204" t="s">
        <v>59</v>
      </c>
      <c r="E73" s="204" t="s">
        <v>553</v>
      </c>
      <c r="F73" s="224" t="n">
        <f aca="false">SUMIFS(Потребности!AK:AK,Потребности!AF:AF,Потребности!B73,Потребности!AH:AH,Потребности!D73)</f>
        <v>50</v>
      </c>
      <c r="G73" s="224" t="n">
        <f aca="false">SUMIFS(Потребности!AM:AM,Потребности!AF:AF,Потребности!B73,Потребности!AH:AH,Потребности!D73)</f>
        <v>7000000</v>
      </c>
      <c r="H73" s="204" t="s">
        <v>649</v>
      </c>
      <c r="J73" s="204" t="n">
        <f aca="false">$V73/12</f>
        <v>583333.333333333</v>
      </c>
      <c r="K73" s="204" t="n">
        <f aca="false">$V73/12</f>
        <v>583333.333333333</v>
      </c>
      <c r="L73" s="204" t="n">
        <f aca="false">$V73/12</f>
        <v>583333.333333333</v>
      </c>
      <c r="M73" s="204" t="n">
        <f aca="false">$V73/12</f>
        <v>583333.333333333</v>
      </c>
      <c r="N73" s="204" t="n">
        <f aca="false">$V73/12</f>
        <v>583333.333333333</v>
      </c>
      <c r="O73" s="204" t="n">
        <f aca="false">$V73/12</f>
        <v>583333.333333333</v>
      </c>
      <c r="P73" s="204" t="n">
        <f aca="false">$V73/12</f>
        <v>583333.333333333</v>
      </c>
      <c r="Q73" s="204" t="n">
        <f aca="false">$V73/12</f>
        <v>583333.333333333</v>
      </c>
      <c r="R73" s="204" t="n">
        <f aca="false">$V73/12</f>
        <v>583333.333333333</v>
      </c>
      <c r="S73" s="204" t="n">
        <f aca="false">$V73/12</f>
        <v>583333.333333333</v>
      </c>
      <c r="T73" s="204" t="n">
        <f aca="false">$V73/12</f>
        <v>583333.333333333</v>
      </c>
      <c r="U73" s="204" t="n">
        <f aca="false">$V73/12</f>
        <v>583333.333333333</v>
      </c>
      <c r="V73" s="204" t="n">
        <f aca="false">SUMIFS(Потребности!AM:AM,Потребности!AF:AF,Потребности!B73,Потребности!AH:AH,Потребности!D73)</f>
        <v>7000000</v>
      </c>
      <c r="W73" s="204" t="n">
        <v>0</v>
      </c>
      <c r="X73" s="204" t="n">
        <v>0</v>
      </c>
      <c r="Y73" s="204" t="s">
        <v>500</v>
      </c>
    </row>
    <row r="74" customFormat="false" ht="12" hidden="false" customHeight="false" outlineLevel="0" collapsed="false">
      <c r="A74" s="204" t="s">
        <v>51</v>
      </c>
      <c r="B74" s="204" t="s">
        <v>89</v>
      </c>
      <c r="D74" s="204" t="s">
        <v>55</v>
      </c>
      <c r="E74" s="204" t="s">
        <v>553</v>
      </c>
      <c r="F74" s="224" t="s">
        <v>553</v>
      </c>
      <c r="G74" s="224" t="s">
        <v>553</v>
      </c>
      <c r="H74" s="204" t="s">
        <v>669</v>
      </c>
      <c r="I74" s="225"/>
      <c r="J74" s="204" t="n">
        <f aca="false">$V$74/12</f>
        <v>375000</v>
      </c>
      <c r="K74" s="204" t="n">
        <f aca="false">$V$74/12</f>
        <v>375000</v>
      </c>
      <c r="L74" s="204" t="n">
        <f aca="false">$V$74/12</f>
        <v>375000</v>
      </c>
      <c r="M74" s="204" t="n">
        <f aca="false">$V$74/12</f>
        <v>375000</v>
      </c>
      <c r="N74" s="204" t="n">
        <f aca="false">$V$74/12</f>
        <v>375000</v>
      </c>
      <c r="O74" s="204" t="n">
        <f aca="false">$V$74/12</f>
        <v>375000</v>
      </c>
      <c r="P74" s="204" t="n">
        <f aca="false">$V$74/12</f>
        <v>375000</v>
      </c>
      <c r="Q74" s="204" t="n">
        <f aca="false">$V$74/12</f>
        <v>375000</v>
      </c>
      <c r="R74" s="204" t="n">
        <f aca="false">$V$74/12</f>
        <v>375000</v>
      </c>
      <c r="S74" s="204" t="n">
        <f aca="false">$V$74/12</f>
        <v>375000</v>
      </c>
      <c r="T74" s="204" t="n">
        <f aca="false">$V$74/12</f>
        <v>375000</v>
      </c>
      <c r="U74" s="204" t="n">
        <f aca="false">$V$74/12</f>
        <v>375000</v>
      </c>
      <c r="V74" s="204" t="n">
        <v>4500000</v>
      </c>
      <c r="Y74" s="204" t="s">
        <v>89</v>
      </c>
    </row>
    <row r="75" customFormat="false" ht="12" hidden="false" customHeight="false" outlineLevel="0" collapsed="false">
      <c r="A75" s="204" t="s">
        <v>52</v>
      </c>
      <c r="B75" s="204" t="s">
        <v>100</v>
      </c>
      <c r="C75" s="205" t="n">
        <v>0</v>
      </c>
      <c r="D75" s="204" t="s">
        <v>55</v>
      </c>
      <c r="E75" s="204" t="s">
        <v>553</v>
      </c>
      <c r="F75" s="224" t="s">
        <v>553</v>
      </c>
      <c r="G75" s="224" t="s">
        <v>553</v>
      </c>
      <c r="I75" s="225"/>
      <c r="J75" s="204" t="n">
        <v>837500</v>
      </c>
      <c r="K75" s="204" t="n">
        <v>837500</v>
      </c>
      <c r="L75" s="204" t="n">
        <v>837500</v>
      </c>
      <c r="M75" s="204" t="n">
        <v>837500</v>
      </c>
      <c r="N75" s="204" t="n">
        <v>837500</v>
      </c>
      <c r="O75" s="204" t="n">
        <v>837500</v>
      </c>
      <c r="P75" s="204" t="n">
        <v>837500</v>
      </c>
      <c r="Q75" s="204" t="n">
        <v>837500</v>
      </c>
      <c r="R75" s="204" t="n">
        <v>837500</v>
      </c>
      <c r="S75" s="204" t="n">
        <v>837500</v>
      </c>
      <c r="T75" s="204" t="n">
        <v>837500</v>
      </c>
      <c r="U75" s="204" t="n">
        <v>837500</v>
      </c>
      <c r="V75" s="204" t="n">
        <f aca="false">SUM(J75:U75)</f>
        <v>10050000</v>
      </c>
      <c r="W75" s="204" t="n">
        <v>8300000</v>
      </c>
      <c r="Y75" s="204" t="s">
        <v>100</v>
      </c>
    </row>
  </sheetData>
  <autoFilter ref="A3:Y74"/>
  <mergeCells count="8">
    <mergeCell ref="Z1:AD3"/>
    <mergeCell ref="AP1:AR3"/>
    <mergeCell ref="AF5:AF6"/>
    <mergeCell ref="AG5:AG6"/>
    <mergeCell ref="AH5:AH6"/>
    <mergeCell ref="AI5:AJ5"/>
    <mergeCell ref="AK5:AL5"/>
    <mergeCell ref="AO5:AO6"/>
  </mergeCells>
  <dataValidations count="5">
    <dataValidation allowBlank="true" errorStyle="stop" operator="between" showDropDown="false" showErrorMessage="true" showInputMessage="true" sqref="A13 A26:A35" type="list">
      <formula1>"Не выбрано,Marketing,IT,Instore Digital,MIP/CF,PEX,Other PEX,Other OPEX (HR)"</formula1>
      <formula2>0</formula2>
    </dataValidation>
    <dataValidation allowBlank="true" errorStyle="stop" operator="between" showDropDown="false" showErrorMessage="true" showInputMessage="true" sqref="A4:A12 A14:A25 A36:A1075" type="list">
      <formula1>"Не выбрано,Marketing,IT,MIP/CF,PEX,Other PEX,Other OPEX (HR)"</formula1>
      <formula2>0</formula2>
    </dataValidation>
    <dataValidation allowBlank="true" errorStyle="stop" operator="between" showDropDown="false" showErrorMessage="true" showInputMessage="true" sqref="D4:D53 D64:D75" type="list">
      <formula1>"Не выбрано,CAPEX,OPEX,PEX"</formula1>
      <formula2>0</formula2>
    </dataValidation>
    <dataValidation allowBlank="true" errorStyle="stop" operator="between" showDropDown="false" showErrorMessage="true" showInputMessage="true" sqref="B4:B55 B58:B61 B67:B75" type="list">
      <formula1>INDIRECT(SUBSTITUTE(SUBSTITUTE(A58,"/","_")," ","_"))</formula1>
      <formula2>0</formula2>
    </dataValidation>
    <dataValidation allowBlank="true" errorStyle="stop" operator="between" showDropDown="false" showErrorMessage="true" showInputMessage="true" sqref="E4:E75" type="list">
      <formula1>"Service soft,Soft,Laptops,Instore digital,Clouds,Other"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BT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078125" defaultRowHeight="15" zeroHeight="false" outlineLevelRow="0" outlineLevelCol="0"/>
  <cols>
    <col collapsed="false" customWidth="true" hidden="false" outlineLevel="0" max="1" min="1" style="1" width="53"/>
    <col collapsed="false" customWidth="true" hidden="false" outlineLevel="0" max="2" min="2" style="1" width="7.16"/>
    <col collapsed="false" customWidth="true" hidden="false" outlineLevel="0" max="14" min="3" style="1" width="11.67"/>
    <col collapsed="false" customWidth="true" hidden="false" outlineLevel="0" max="15" min="15" style="1" width="12.67"/>
    <col collapsed="false" customWidth="true" hidden="false" outlineLevel="0" max="16" min="16" style="1" width="8.16"/>
    <col collapsed="false" customWidth="true" hidden="false" outlineLevel="0" max="28" min="17" style="1" width="10.16"/>
    <col collapsed="false" customWidth="true" hidden="false" outlineLevel="0" max="29" min="29" style="1" width="5.33"/>
    <col collapsed="false" customWidth="true" hidden="false" outlineLevel="0" max="42" min="31" style="1" width="11.16"/>
    <col collapsed="false" customWidth="true" hidden="false" outlineLevel="0" max="43" min="43" style="1" width="12.67"/>
    <col collapsed="false" customWidth="true" hidden="false" outlineLevel="0" max="51" min="45" style="1" width="11.16"/>
    <col collapsed="false" customWidth="true" hidden="false" outlineLevel="0" max="52" min="52" style="1" width="10.16"/>
    <col collapsed="false" customWidth="true" hidden="false" outlineLevel="0" max="56" min="53" style="1" width="11.16"/>
    <col collapsed="false" customWidth="true" hidden="false" outlineLevel="0" max="57" min="57" style="1" width="12.67"/>
    <col collapsed="false" customWidth="true" hidden="false" outlineLevel="0" max="70" min="59" style="1" width="10.16"/>
    <col collapsed="false" customWidth="true" hidden="false" outlineLevel="0" max="71" min="71" style="1" width="11.16"/>
  </cols>
  <sheetData>
    <row r="1" customFormat="false" ht="15" hidden="false" customHeight="false" outlineLevel="0" collapsed="false">
      <c r="A1" s="16" t="s">
        <v>450</v>
      </c>
      <c r="C1" s="2" t="s">
        <v>670</v>
      </c>
      <c r="Q1" s="2" t="s">
        <v>671</v>
      </c>
      <c r="AE1" s="2" t="s">
        <v>672</v>
      </c>
      <c r="AS1" s="251" t="s">
        <v>55</v>
      </c>
      <c r="BG1" s="251" t="s">
        <v>59</v>
      </c>
      <c r="BT1" s="252" t="s">
        <v>673</v>
      </c>
    </row>
    <row r="2" customFormat="false" ht="15" hidden="false" customHeight="false" outlineLevel="0" collapsed="false">
      <c r="A2" s="253"/>
      <c r="B2" s="254"/>
      <c r="C2" s="255" t="n">
        <v>46388</v>
      </c>
      <c r="D2" s="255" t="n">
        <v>46419</v>
      </c>
      <c r="E2" s="255" t="n">
        <v>46447</v>
      </c>
      <c r="F2" s="255" t="n">
        <v>46478</v>
      </c>
      <c r="G2" s="255" t="n">
        <v>46508</v>
      </c>
      <c r="H2" s="255" t="n">
        <v>46539</v>
      </c>
      <c r="I2" s="255" t="n">
        <v>46569</v>
      </c>
      <c r="J2" s="255" t="n">
        <v>46600</v>
      </c>
      <c r="K2" s="255" t="n">
        <v>46631</v>
      </c>
      <c r="L2" s="255" t="n">
        <v>46661</v>
      </c>
      <c r="M2" s="255" t="n">
        <v>46692</v>
      </c>
      <c r="N2" s="255" t="n">
        <v>46722</v>
      </c>
      <c r="O2" s="255" t="s">
        <v>68</v>
      </c>
      <c r="P2" s="254"/>
      <c r="Q2" s="256" t="n">
        <v>46388</v>
      </c>
      <c r="R2" s="256" t="n">
        <v>46419</v>
      </c>
      <c r="S2" s="256" t="n">
        <v>46447</v>
      </c>
      <c r="T2" s="256" t="n">
        <v>46478</v>
      </c>
      <c r="U2" s="256" t="n">
        <v>46508</v>
      </c>
      <c r="V2" s="256" t="n">
        <v>46539</v>
      </c>
      <c r="W2" s="256" t="n">
        <v>46569</v>
      </c>
      <c r="X2" s="256" t="n">
        <v>46600</v>
      </c>
      <c r="Y2" s="256" t="n">
        <v>46631</v>
      </c>
      <c r="Z2" s="256" t="n">
        <v>46661</v>
      </c>
      <c r="AA2" s="256" t="n">
        <v>46692</v>
      </c>
      <c r="AB2" s="256" t="n">
        <v>46722</v>
      </c>
      <c r="AC2" s="256" t="s">
        <v>68</v>
      </c>
      <c r="AD2" s="257"/>
      <c r="AE2" s="258" t="n">
        <v>46388</v>
      </c>
      <c r="AF2" s="258" t="n">
        <v>46419</v>
      </c>
      <c r="AG2" s="258" t="n">
        <v>46447</v>
      </c>
      <c r="AH2" s="258" t="n">
        <v>46478</v>
      </c>
      <c r="AI2" s="258" t="n">
        <v>46508</v>
      </c>
      <c r="AJ2" s="258" t="n">
        <v>46539</v>
      </c>
      <c r="AK2" s="258" t="n">
        <v>46569</v>
      </c>
      <c r="AL2" s="258" t="n">
        <v>46600</v>
      </c>
      <c r="AM2" s="258" t="n">
        <v>46631</v>
      </c>
      <c r="AN2" s="258" t="n">
        <v>46661</v>
      </c>
      <c r="AO2" s="258" t="n">
        <v>46692</v>
      </c>
      <c r="AP2" s="258" t="n">
        <v>46722</v>
      </c>
      <c r="AQ2" s="258" t="s">
        <v>68</v>
      </c>
      <c r="AR2" s="257"/>
      <c r="AS2" s="259" t="n">
        <v>46388</v>
      </c>
      <c r="AT2" s="259" t="n">
        <v>46419</v>
      </c>
      <c r="AU2" s="259" t="n">
        <v>46447</v>
      </c>
      <c r="AV2" s="259" t="n">
        <v>46478</v>
      </c>
      <c r="AW2" s="259" t="n">
        <v>46508</v>
      </c>
      <c r="AX2" s="259" t="n">
        <v>46539</v>
      </c>
      <c r="AY2" s="259" t="n">
        <v>46569</v>
      </c>
      <c r="AZ2" s="259" t="n">
        <v>46600</v>
      </c>
      <c r="BA2" s="259" t="n">
        <v>46631</v>
      </c>
      <c r="BB2" s="259" t="n">
        <v>46661</v>
      </c>
      <c r="BC2" s="259" t="n">
        <v>46692</v>
      </c>
      <c r="BD2" s="259" t="n">
        <v>46722</v>
      </c>
      <c r="BE2" s="259" t="s">
        <v>68</v>
      </c>
      <c r="BF2" s="257"/>
      <c r="BG2" s="260" t="n">
        <v>46388</v>
      </c>
      <c r="BH2" s="260" t="n">
        <v>46419</v>
      </c>
      <c r="BI2" s="260" t="n">
        <v>46447</v>
      </c>
      <c r="BJ2" s="260" t="n">
        <v>46478</v>
      </c>
      <c r="BK2" s="260" t="n">
        <v>46508</v>
      </c>
      <c r="BL2" s="260" t="n">
        <v>46539</v>
      </c>
      <c r="BM2" s="260" t="n">
        <v>46569</v>
      </c>
      <c r="BN2" s="260" t="n">
        <v>46600</v>
      </c>
      <c r="BO2" s="260" t="n">
        <v>46631</v>
      </c>
      <c r="BP2" s="260" t="n">
        <v>46661</v>
      </c>
      <c r="BQ2" s="260" t="n">
        <v>46692</v>
      </c>
      <c r="BR2" s="260" t="n">
        <v>46722</v>
      </c>
      <c r="BS2" s="260" t="s">
        <v>68</v>
      </c>
    </row>
    <row r="3" customFormat="false" ht="15" hidden="false" customHeight="false" outlineLevel="0" collapsed="false">
      <c r="A3" s="261" t="s">
        <v>674</v>
      </c>
      <c r="B3" s="262"/>
      <c r="C3" s="263" t="n">
        <v>24.5</v>
      </c>
      <c r="D3" s="263" t="n">
        <v>24.5</v>
      </c>
      <c r="E3" s="263" t="n">
        <v>26.46</v>
      </c>
      <c r="F3" s="263" t="n">
        <v>26.46</v>
      </c>
      <c r="G3" s="263" t="n">
        <v>26.46</v>
      </c>
      <c r="H3" s="263" t="n">
        <v>26.46</v>
      </c>
      <c r="I3" s="263" t="n">
        <v>26.46</v>
      </c>
      <c r="J3" s="263" t="n">
        <v>26.46</v>
      </c>
      <c r="K3" s="263" t="n">
        <v>26.46</v>
      </c>
      <c r="L3" s="263" t="n">
        <v>26.46</v>
      </c>
      <c r="M3" s="263" t="n">
        <v>26.46</v>
      </c>
      <c r="N3" s="263" t="n">
        <v>26.46</v>
      </c>
      <c r="O3" s="263" t="n">
        <v>26.46</v>
      </c>
      <c r="P3" s="262"/>
      <c r="Q3" s="264" t="n">
        <v>25</v>
      </c>
      <c r="R3" s="264" t="n">
        <v>25</v>
      </c>
      <c r="S3" s="264" t="n">
        <v>27</v>
      </c>
      <c r="T3" s="264" t="n">
        <v>27</v>
      </c>
      <c r="U3" s="264" t="n">
        <v>27</v>
      </c>
      <c r="V3" s="264" t="n">
        <v>27</v>
      </c>
      <c r="W3" s="264" t="n">
        <v>27</v>
      </c>
      <c r="X3" s="264" t="n">
        <v>27</v>
      </c>
      <c r="Y3" s="264" t="n">
        <v>27</v>
      </c>
      <c r="Z3" s="264" t="n">
        <v>27</v>
      </c>
      <c r="AA3" s="264" t="n">
        <v>27</v>
      </c>
      <c r="AB3" s="264" t="n">
        <v>27</v>
      </c>
      <c r="AC3" s="264" t="n">
        <v>27</v>
      </c>
      <c r="AD3" s="262"/>
      <c r="AE3" s="265" t="n">
        <v>14145598.1984027</v>
      </c>
      <c r="AF3" s="265" t="n">
        <v>13701846.68</v>
      </c>
      <c r="AG3" s="265" t="n">
        <v>13994813.16</v>
      </c>
      <c r="AH3" s="265" t="n">
        <v>14437528.76</v>
      </c>
      <c r="AI3" s="265" t="n">
        <v>13906520.06</v>
      </c>
      <c r="AJ3" s="265" t="n">
        <v>13708400.62</v>
      </c>
      <c r="AK3" s="265" t="n">
        <v>14140196.35928</v>
      </c>
      <c r="AL3" s="265" t="n">
        <v>12398771.74824</v>
      </c>
      <c r="AM3" s="265" t="n">
        <v>14074777.31776</v>
      </c>
      <c r="AN3" s="265" t="n">
        <v>14556836.52096</v>
      </c>
      <c r="AO3" s="265" t="n">
        <v>14646535.49822</v>
      </c>
      <c r="AP3" s="265" t="n">
        <v>14966660.0576173</v>
      </c>
      <c r="AQ3" s="265" t="n">
        <v>168678484.98048</v>
      </c>
      <c r="AR3" s="262"/>
      <c r="AS3" s="265" t="n">
        <v>5847207.68606561</v>
      </c>
      <c r="AT3" s="265" t="n">
        <v>5403456.16766293</v>
      </c>
      <c r="AU3" s="265" t="n">
        <v>5229414.45917069</v>
      </c>
      <c r="AV3" s="265" t="n">
        <v>5695740.01805255</v>
      </c>
      <c r="AW3" s="265" t="n">
        <v>5196422.14919797</v>
      </c>
      <c r="AX3" s="265" t="n">
        <v>5054689.44609726</v>
      </c>
      <c r="AY3" s="265" t="n">
        <v>4875723.09062314</v>
      </c>
      <c r="AZ3" s="265" t="n">
        <v>3245768.94430576</v>
      </c>
      <c r="BA3" s="265" t="n">
        <v>5096087.93988905</v>
      </c>
      <c r="BB3" s="265" t="n">
        <v>5602631.19882319</v>
      </c>
      <c r="BC3" s="265" t="n">
        <v>5716528.07577857</v>
      </c>
      <c r="BD3" s="265" t="n">
        <v>6066090.36618398</v>
      </c>
      <c r="BE3" s="265" t="n">
        <v>63029759.5418507</v>
      </c>
      <c r="BF3" s="262"/>
      <c r="BG3" s="265" t="n">
        <v>8298390.51233707</v>
      </c>
      <c r="BH3" s="265" t="n">
        <v>8298390.51233707</v>
      </c>
      <c r="BI3" s="265" t="n">
        <v>8765398.70082931</v>
      </c>
      <c r="BJ3" s="265" t="n">
        <v>8741788.74194745</v>
      </c>
      <c r="BK3" s="265" t="n">
        <v>8710097.91080204</v>
      </c>
      <c r="BL3" s="265" t="n">
        <v>8653711.17390274</v>
      </c>
      <c r="BM3" s="265" t="n">
        <v>9264473.26865685</v>
      </c>
      <c r="BN3" s="265" t="n">
        <v>9153002.80393425</v>
      </c>
      <c r="BO3" s="265" t="n">
        <v>8978689.37787095</v>
      </c>
      <c r="BP3" s="265" t="n">
        <v>8954205.32213681</v>
      </c>
      <c r="BQ3" s="265" t="n">
        <v>8930007.42244143</v>
      </c>
      <c r="BR3" s="265" t="n">
        <v>8900569.69143335</v>
      </c>
      <c r="BS3" s="265" t="n">
        <v>105648725.438629</v>
      </c>
    </row>
    <row r="4" customFormat="false" ht="15" hidden="false" customHeight="false" outlineLevel="0" collapsed="false">
      <c r="A4" s="261" t="s">
        <v>675</v>
      </c>
      <c r="B4" s="262"/>
      <c r="C4" s="263" t="n">
        <v>17.64</v>
      </c>
      <c r="D4" s="263" t="n">
        <v>18.62</v>
      </c>
      <c r="E4" s="263" t="n">
        <v>20.58</v>
      </c>
      <c r="F4" s="263" t="n">
        <v>22.54</v>
      </c>
      <c r="G4" s="263" t="n">
        <v>22.54</v>
      </c>
      <c r="H4" s="263" t="n">
        <v>23.52</v>
      </c>
      <c r="I4" s="263" t="n">
        <v>24.5</v>
      </c>
      <c r="J4" s="263" t="n">
        <v>24.5</v>
      </c>
      <c r="K4" s="263" t="n">
        <v>24.5</v>
      </c>
      <c r="L4" s="263" t="n">
        <v>24.5</v>
      </c>
      <c r="M4" s="263" t="n">
        <v>24.5</v>
      </c>
      <c r="N4" s="263" t="n">
        <v>24.5</v>
      </c>
      <c r="O4" s="263" t="n">
        <v>24.5</v>
      </c>
      <c r="P4" s="262"/>
      <c r="Q4" s="264" t="n">
        <v>18</v>
      </c>
      <c r="R4" s="264" t="n">
        <v>19</v>
      </c>
      <c r="S4" s="264" t="n">
        <v>21</v>
      </c>
      <c r="T4" s="264" t="n">
        <v>23</v>
      </c>
      <c r="U4" s="264" t="n">
        <v>23</v>
      </c>
      <c r="V4" s="264" t="n">
        <v>24</v>
      </c>
      <c r="W4" s="264" t="n">
        <v>25</v>
      </c>
      <c r="X4" s="264" t="n">
        <v>25</v>
      </c>
      <c r="Y4" s="264" t="n">
        <v>25</v>
      </c>
      <c r="Z4" s="264" t="n">
        <v>25</v>
      </c>
      <c r="AA4" s="264" t="n">
        <v>25</v>
      </c>
      <c r="AB4" s="264" t="n">
        <v>25</v>
      </c>
      <c r="AC4" s="264" t="n">
        <v>25</v>
      </c>
      <c r="AD4" s="262"/>
      <c r="AE4" s="265" t="n">
        <v>6875719.22853564</v>
      </c>
      <c r="AF4" s="265" t="n">
        <v>7187165.3</v>
      </c>
      <c r="AG4" s="265" t="n">
        <v>7943346.81</v>
      </c>
      <c r="AH4" s="265" t="n">
        <v>8787046.975</v>
      </c>
      <c r="AI4" s="265" t="n">
        <v>8961516.03</v>
      </c>
      <c r="AJ4" s="265" t="n">
        <v>8855709.14273436</v>
      </c>
      <c r="AK4" s="265" t="n">
        <v>9447342.0104</v>
      </c>
      <c r="AL4" s="265" t="n">
        <v>8508378.7776</v>
      </c>
      <c r="AM4" s="265" t="n">
        <v>9386532.589</v>
      </c>
      <c r="AN4" s="265" t="n">
        <v>9776638.7093</v>
      </c>
      <c r="AO4" s="265" t="n">
        <v>9701654.1422</v>
      </c>
      <c r="AP4" s="265" t="n">
        <v>10137128.56143</v>
      </c>
      <c r="AQ4" s="265" t="n">
        <v>105568178.2762</v>
      </c>
      <c r="AR4" s="262"/>
      <c r="AS4" s="265" t="n">
        <v>6875719.22853564</v>
      </c>
      <c r="AT4" s="265" t="n">
        <v>7187165.3</v>
      </c>
      <c r="AU4" s="265" t="n">
        <v>7943346.81</v>
      </c>
      <c r="AV4" s="265" t="n">
        <v>8787046.975</v>
      </c>
      <c r="AW4" s="265" t="n">
        <v>8961516.03</v>
      </c>
      <c r="AX4" s="265" t="n">
        <v>8855709.14273436</v>
      </c>
      <c r="AY4" s="265" t="n">
        <v>9447342.0104</v>
      </c>
      <c r="AZ4" s="265" t="n">
        <v>8508378.7776</v>
      </c>
      <c r="BA4" s="265" t="n">
        <v>9386532.589</v>
      </c>
      <c r="BB4" s="265" t="n">
        <v>9776638.7093</v>
      </c>
      <c r="BC4" s="265" t="n">
        <v>9701654.1422</v>
      </c>
      <c r="BD4" s="265" t="n">
        <v>10137128.56143</v>
      </c>
      <c r="BE4" s="265" t="n">
        <v>105568178.2762</v>
      </c>
      <c r="BF4" s="262"/>
      <c r="BG4" s="265" t="n">
        <v>0</v>
      </c>
      <c r="BH4" s="265" t="n">
        <v>0</v>
      </c>
      <c r="BI4" s="265" t="n">
        <v>0</v>
      </c>
      <c r="BJ4" s="265" t="n">
        <v>0</v>
      </c>
      <c r="BK4" s="265" t="n">
        <v>0</v>
      </c>
      <c r="BL4" s="265" t="n">
        <v>0</v>
      </c>
      <c r="BM4" s="265" t="n">
        <v>0</v>
      </c>
      <c r="BN4" s="265" t="n">
        <v>0</v>
      </c>
      <c r="BO4" s="265" t="n">
        <v>0</v>
      </c>
      <c r="BP4" s="265" t="n">
        <v>0</v>
      </c>
      <c r="BQ4" s="265" t="n">
        <v>0</v>
      </c>
      <c r="BR4" s="265" t="n">
        <v>0</v>
      </c>
      <c r="BS4" s="265" t="n">
        <v>0</v>
      </c>
    </row>
    <row r="5" customFormat="false" ht="15" hidden="false" customHeight="false" outlineLevel="0" collapsed="false">
      <c r="A5" s="261" t="s">
        <v>676</v>
      </c>
      <c r="B5" s="262"/>
      <c r="C5" s="263" t="n">
        <v>8.82</v>
      </c>
      <c r="D5" s="263" t="n">
        <v>8.82</v>
      </c>
      <c r="E5" s="263" t="n">
        <v>8.82</v>
      </c>
      <c r="F5" s="263" t="n">
        <v>8.82</v>
      </c>
      <c r="G5" s="263" t="n">
        <v>8.82</v>
      </c>
      <c r="H5" s="263" t="n">
        <v>8.82</v>
      </c>
      <c r="I5" s="263" t="n">
        <v>8.82</v>
      </c>
      <c r="J5" s="263" t="n">
        <v>8.82</v>
      </c>
      <c r="K5" s="263" t="n">
        <v>8.82</v>
      </c>
      <c r="L5" s="263" t="n">
        <v>8.82</v>
      </c>
      <c r="M5" s="263" t="n">
        <v>8.82</v>
      </c>
      <c r="N5" s="263" t="n">
        <v>8.82</v>
      </c>
      <c r="O5" s="263" t="n">
        <v>8.82</v>
      </c>
      <c r="P5" s="262"/>
      <c r="Q5" s="264" t="n">
        <v>9</v>
      </c>
      <c r="R5" s="264" t="n">
        <v>9</v>
      </c>
      <c r="S5" s="264" t="n">
        <v>9</v>
      </c>
      <c r="T5" s="264" t="n">
        <v>9</v>
      </c>
      <c r="U5" s="264" t="n">
        <v>9</v>
      </c>
      <c r="V5" s="264" t="n">
        <v>9</v>
      </c>
      <c r="W5" s="264" t="n">
        <v>9</v>
      </c>
      <c r="X5" s="264" t="n">
        <v>9</v>
      </c>
      <c r="Y5" s="264" t="n">
        <v>9</v>
      </c>
      <c r="Z5" s="264" t="n">
        <v>9</v>
      </c>
      <c r="AA5" s="264" t="n">
        <v>9</v>
      </c>
      <c r="AB5" s="264" t="n">
        <v>9</v>
      </c>
      <c r="AC5" s="264" t="n">
        <v>9</v>
      </c>
      <c r="AD5" s="262"/>
      <c r="AE5" s="265" t="n">
        <v>2035431.84183396</v>
      </c>
      <c r="AF5" s="265" t="n">
        <v>1996246.4482</v>
      </c>
      <c r="AG5" s="265" t="n">
        <v>1939591.7076</v>
      </c>
      <c r="AH5" s="265" t="n">
        <v>1941258.0235</v>
      </c>
      <c r="AI5" s="265" t="n">
        <v>1986248.5528</v>
      </c>
      <c r="AJ5" s="265" t="n">
        <v>1903644.06493895</v>
      </c>
      <c r="AK5" s="265" t="n">
        <v>1998760.674874</v>
      </c>
      <c r="AL5" s="265" t="n">
        <v>1749272.254354</v>
      </c>
      <c r="AM5" s="265" t="n">
        <v>1967226.374074</v>
      </c>
      <c r="AN5" s="265" t="n">
        <v>2094366.277244</v>
      </c>
      <c r="AO5" s="265" t="n">
        <v>2112529.120554</v>
      </c>
      <c r="AP5" s="265" t="n">
        <v>2172778.0053711</v>
      </c>
      <c r="AQ5" s="265" t="n">
        <v>23897353.345344</v>
      </c>
      <c r="AR5" s="262"/>
      <c r="AS5" s="265" t="n">
        <v>833127.576470262</v>
      </c>
      <c r="AT5" s="265" t="n">
        <v>793942.182836305</v>
      </c>
      <c r="AU5" s="265" t="n">
        <v>737287.442236305</v>
      </c>
      <c r="AV5" s="265" t="n">
        <v>738953.758136305</v>
      </c>
      <c r="AW5" s="265" t="n">
        <v>783944.287436305</v>
      </c>
      <c r="AX5" s="265" t="n">
        <v>701339.79957525</v>
      </c>
      <c r="AY5" s="265" t="n">
        <v>689993.145849448</v>
      </c>
      <c r="AZ5" s="265" t="n">
        <v>460255.665631668</v>
      </c>
      <c r="BA5" s="265" t="n">
        <v>678209.785351668</v>
      </c>
      <c r="BB5" s="265" t="n">
        <v>805349.688521668</v>
      </c>
      <c r="BC5" s="265" t="n">
        <v>823512.531831668</v>
      </c>
      <c r="BD5" s="265" t="n">
        <v>883761.416648766</v>
      </c>
      <c r="BE5" s="265" t="n">
        <v>8929677.28052562</v>
      </c>
      <c r="BF5" s="262"/>
      <c r="BG5" s="265" t="n">
        <v>1202304.26536369</v>
      </c>
      <c r="BH5" s="265" t="n">
        <v>1202304.26536369</v>
      </c>
      <c r="BI5" s="265" t="n">
        <v>1202304.26536369</v>
      </c>
      <c r="BJ5" s="265" t="n">
        <v>1202304.26536369</v>
      </c>
      <c r="BK5" s="265" t="n">
        <v>1202304.2653637</v>
      </c>
      <c r="BL5" s="265" t="n">
        <v>1202304.26536369</v>
      </c>
      <c r="BM5" s="265" t="n">
        <v>1308767.52902455</v>
      </c>
      <c r="BN5" s="265" t="n">
        <v>1289016.58872233</v>
      </c>
      <c r="BO5" s="265" t="n">
        <v>1289016.58872233</v>
      </c>
      <c r="BP5" s="265" t="n">
        <v>1289016.58872233</v>
      </c>
      <c r="BQ5" s="265" t="n">
        <v>1289016.58872233</v>
      </c>
      <c r="BR5" s="265" t="n">
        <v>1289016.58872233</v>
      </c>
      <c r="BS5" s="265" t="n">
        <v>14967676.0648184</v>
      </c>
    </row>
    <row r="6" customFormat="false" ht="15" hidden="false" customHeight="false" outlineLevel="0" collapsed="false">
      <c r="A6" s="261" t="s">
        <v>677</v>
      </c>
      <c r="B6" s="262"/>
      <c r="C6" s="263" t="n">
        <v>41.16</v>
      </c>
      <c r="D6" s="263" t="n">
        <v>43.12</v>
      </c>
      <c r="E6" s="263" t="n">
        <v>46.06</v>
      </c>
      <c r="F6" s="263" t="n">
        <v>49</v>
      </c>
      <c r="G6" s="263" t="n">
        <v>49</v>
      </c>
      <c r="H6" s="263" t="n">
        <v>49</v>
      </c>
      <c r="I6" s="263" t="n">
        <v>51.94</v>
      </c>
      <c r="J6" s="263" t="n">
        <v>51.94</v>
      </c>
      <c r="K6" s="263" t="n">
        <v>51.94</v>
      </c>
      <c r="L6" s="263" t="n">
        <v>51.94</v>
      </c>
      <c r="M6" s="263" t="n">
        <v>51.94</v>
      </c>
      <c r="N6" s="263" t="n">
        <v>51.94</v>
      </c>
      <c r="O6" s="263" t="n">
        <v>51.94</v>
      </c>
      <c r="P6" s="262"/>
      <c r="Q6" s="264" t="n">
        <v>42</v>
      </c>
      <c r="R6" s="264" t="n">
        <v>44</v>
      </c>
      <c r="S6" s="264" t="n">
        <v>47</v>
      </c>
      <c r="T6" s="264" t="n">
        <v>50</v>
      </c>
      <c r="U6" s="264" t="n">
        <v>50</v>
      </c>
      <c r="V6" s="264" t="n">
        <v>50</v>
      </c>
      <c r="W6" s="264" t="n">
        <v>53</v>
      </c>
      <c r="X6" s="264" t="n">
        <v>53</v>
      </c>
      <c r="Y6" s="264" t="n">
        <v>53</v>
      </c>
      <c r="Z6" s="264" t="n">
        <v>53</v>
      </c>
      <c r="AA6" s="264" t="n">
        <v>53</v>
      </c>
      <c r="AB6" s="264" t="n">
        <v>53</v>
      </c>
      <c r="AC6" s="264" t="n">
        <v>53</v>
      </c>
      <c r="AD6" s="262"/>
      <c r="AE6" s="265" t="n">
        <v>20747578.0391354</v>
      </c>
      <c r="AF6" s="265" t="n">
        <v>20979208.7428</v>
      </c>
      <c r="AG6" s="265" t="n">
        <v>21913481.9268</v>
      </c>
      <c r="AH6" s="265" t="n">
        <v>23252101.2285761</v>
      </c>
      <c r="AI6" s="265" t="n">
        <v>23795051.8568</v>
      </c>
      <c r="AJ6" s="265" t="n">
        <v>22899389.1868</v>
      </c>
      <c r="AK6" s="265" t="n">
        <v>24722747.516464</v>
      </c>
      <c r="AL6" s="265" t="n">
        <v>22245496.958944</v>
      </c>
      <c r="AM6" s="265" t="n">
        <v>24380852.811196</v>
      </c>
      <c r="AN6" s="265" t="n">
        <v>25269590.84258</v>
      </c>
      <c r="AO6" s="265" t="n">
        <v>24711739.152618</v>
      </c>
      <c r="AP6" s="265" t="n">
        <v>25286561.1758185</v>
      </c>
      <c r="AQ6" s="265" t="n">
        <v>280203799.438532</v>
      </c>
      <c r="AR6" s="262"/>
      <c r="AS6" s="265" t="n">
        <v>20747578.0391354</v>
      </c>
      <c r="AT6" s="265" t="n">
        <v>20979208.7428</v>
      </c>
      <c r="AU6" s="265" t="n">
        <v>21913481.9268</v>
      </c>
      <c r="AV6" s="265" t="n">
        <v>23252101.2285761</v>
      </c>
      <c r="AW6" s="265" t="n">
        <v>23795051.8568</v>
      </c>
      <c r="AX6" s="265" t="n">
        <v>22899389.1868</v>
      </c>
      <c r="AY6" s="265" t="n">
        <v>24722747.516464</v>
      </c>
      <c r="AZ6" s="265" t="n">
        <v>22245496.958944</v>
      </c>
      <c r="BA6" s="265" t="n">
        <v>24380852.811196</v>
      </c>
      <c r="BB6" s="265" t="n">
        <v>25269590.84258</v>
      </c>
      <c r="BC6" s="265" t="n">
        <v>24711739.152618</v>
      </c>
      <c r="BD6" s="265" t="n">
        <v>25286561.1758185</v>
      </c>
      <c r="BE6" s="265" t="n">
        <v>280203799.438532</v>
      </c>
      <c r="BF6" s="262"/>
      <c r="BG6" s="265" t="n">
        <v>0</v>
      </c>
      <c r="BH6" s="265" t="n">
        <v>0</v>
      </c>
      <c r="BI6" s="265" t="n">
        <v>0</v>
      </c>
      <c r="BJ6" s="265" t="n">
        <v>0</v>
      </c>
      <c r="BK6" s="265" t="n">
        <v>0</v>
      </c>
      <c r="BL6" s="265" t="n">
        <v>0</v>
      </c>
      <c r="BM6" s="265" t="n">
        <v>0</v>
      </c>
      <c r="BN6" s="265" t="n">
        <v>0</v>
      </c>
      <c r="BO6" s="265" t="n">
        <v>0</v>
      </c>
      <c r="BP6" s="265" t="n">
        <v>0</v>
      </c>
      <c r="BQ6" s="265" t="n">
        <v>0</v>
      </c>
      <c r="BR6" s="265" t="n">
        <v>0</v>
      </c>
      <c r="BS6" s="265" t="n">
        <v>0</v>
      </c>
    </row>
    <row r="7" customFormat="false" ht="15" hidden="false" customHeight="false" outlineLevel="0" collapsed="false">
      <c r="A7" s="261" t="s">
        <v>678</v>
      </c>
      <c r="B7" s="262"/>
      <c r="C7" s="263" t="n">
        <v>13.965</v>
      </c>
      <c r="D7" s="263" t="n">
        <v>15.925</v>
      </c>
      <c r="E7" s="263" t="n">
        <v>16.905</v>
      </c>
      <c r="F7" s="263" t="n">
        <v>16.905</v>
      </c>
      <c r="G7" s="263" t="n">
        <v>18.865</v>
      </c>
      <c r="H7" s="263" t="n">
        <v>18.865</v>
      </c>
      <c r="I7" s="263" t="n">
        <v>18.865</v>
      </c>
      <c r="J7" s="263" t="n">
        <v>18.865</v>
      </c>
      <c r="K7" s="263" t="n">
        <v>18.865</v>
      </c>
      <c r="L7" s="263" t="n">
        <v>18.865</v>
      </c>
      <c r="M7" s="263" t="n">
        <v>18.865</v>
      </c>
      <c r="N7" s="263" t="n">
        <v>18.865</v>
      </c>
      <c r="O7" s="263" t="n">
        <v>18.865</v>
      </c>
      <c r="P7" s="262"/>
      <c r="Q7" s="264" t="n">
        <v>14.25</v>
      </c>
      <c r="R7" s="264" t="n">
        <v>16.25</v>
      </c>
      <c r="S7" s="264" t="n">
        <v>17.25</v>
      </c>
      <c r="T7" s="264" t="n">
        <v>17.25</v>
      </c>
      <c r="U7" s="264" t="n">
        <v>19.25</v>
      </c>
      <c r="V7" s="264" t="n">
        <v>19.25</v>
      </c>
      <c r="W7" s="264" t="n">
        <v>19.25</v>
      </c>
      <c r="X7" s="264" t="n">
        <v>19.25</v>
      </c>
      <c r="Y7" s="264" t="n">
        <v>19.25</v>
      </c>
      <c r="Z7" s="264" t="n">
        <v>19.25</v>
      </c>
      <c r="AA7" s="264" t="n">
        <v>19.25</v>
      </c>
      <c r="AB7" s="264" t="n">
        <v>19.25</v>
      </c>
      <c r="AC7" s="264" t="n">
        <v>19.25</v>
      </c>
      <c r="AD7" s="262"/>
      <c r="AE7" s="265" t="n">
        <v>8009951.06302639</v>
      </c>
      <c r="AF7" s="265" t="n">
        <v>8805329.71844</v>
      </c>
      <c r="AG7" s="265" t="n">
        <v>8883818.48384</v>
      </c>
      <c r="AH7" s="265" t="n">
        <v>8815289.88564</v>
      </c>
      <c r="AI7" s="265" t="n">
        <v>9784153.40036</v>
      </c>
      <c r="AJ7" s="265" t="n">
        <v>9303933.25042</v>
      </c>
      <c r="AK7" s="265" t="n">
        <v>9357342.2383538</v>
      </c>
      <c r="AL7" s="265" t="n">
        <v>8242995.8654978</v>
      </c>
      <c r="AM7" s="265" t="n">
        <v>9176336.6659538</v>
      </c>
      <c r="AN7" s="265" t="n">
        <v>9615093.9222198</v>
      </c>
      <c r="AO7" s="265" t="n">
        <v>9586966.2072578</v>
      </c>
      <c r="AP7" s="265" t="n">
        <v>9902690.21517341</v>
      </c>
      <c r="AQ7" s="265" t="n">
        <v>109483900.916183</v>
      </c>
      <c r="AR7" s="262"/>
      <c r="AS7" s="265" t="n">
        <v>8009951.06302639</v>
      </c>
      <c r="AT7" s="265" t="n">
        <v>8805329.71844</v>
      </c>
      <c r="AU7" s="265" t="n">
        <v>8883818.48384</v>
      </c>
      <c r="AV7" s="265" t="n">
        <v>8815289.88564</v>
      </c>
      <c r="AW7" s="265" t="n">
        <v>9784153.40036</v>
      </c>
      <c r="AX7" s="265" t="n">
        <v>9303933.25042</v>
      </c>
      <c r="AY7" s="265" t="n">
        <v>9357342.2383538</v>
      </c>
      <c r="AZ7" s="265" t="n">
        <v>8242995.8654978</v>
      </c>
      <c r="BA7" s="265" t="n">
        <v>9176336.6659538</v>
      </c>
      <c r="BB7" s="265" t="n">
        <v>9615093.9222198</v>
      </c>
      <c r="BC7" s="265" t="n">
        <v>9586966.2072578</v>
      </c>
      <c r="BD7" s="265" t="n">
        <v>9902690.21517341</v>
      </c>
      <c r="BE7" s="265" t="n">
        <v>109483900.916183</v>
      </c>
      <c r="BF7" s="262"/>
      <c r="BG7" s="265" t="n">
        <v>0</v>
      </c>
      <c r="BH7" s="265" t="n">
        <v>0</v>
      </c>
      <c r="BI7" s="265" t="n">
        <v>0</v>
      </c>
      <c r="BJ7" s="265" t="n">
        <v>0</v>
      </c>
      <c r="BK7" s="265" t="n">
        <v>0</v>
      </c>
      <c r="BL7" s="265" t="n">
        <v>0</v>
      </c>
      <c r="BM7" s="265" t="n">
        <v>0</v>
      </c>
      <c r="BN7" s="265" t="n">
        <v>0</v>
      </c>
      <c r="BO7" s="265" t="n">
        <v>0</v>
      </c>
      <c r="BP7" s="265" t="n">
        <v>0</v>
      </c>
      <c r="BQ7" s="265" t="n">
        <v>0</v>
      </c>
      <c r="BR7" s="265" t="n">
        <v>0</v>
      </c>
      <c r="BS7" s="265" t="n">
        <v>0</v>
      </c>
    </row>
    <row r="8" customFormat="false" ht="15" hidden="false" customHeight="false" outlineLevel="0" collapsed="false">
      <c r="A8" s="261" t="s">
        <v>669</v>
      </c>
      <c r="B8" s="262"/>
      <c r="C8" s="263" t="n">
        <v>2.94</v>
      </c>
      <c r="D8" s="263" t="n">
        <v>2.94</v>
      </c>
      <c r="E8" s="263" t="n">
        <v>2.94</v>
      </c>
      <c r="F8" s="263" t="n">
        <v>2.94</v>
      </c>
      <c r="G8" s="263" t="n">
        <v>2.94</v>
      </c>
      <c r="H8" s="263" t="n">
        <v>2.94</v>
      </c>
      <c r="I8" s="263" t="n">
        <v>2.94</v>
      </c>
      <c r="J8" s="263" t="n">
        <v>2.94</v>
      </c>
      <c r="K8" s="263" t="n">
        <v>2.94</v>
      </c>
      <c r="L8" s="263" t="n">
        <v>2.94</v>
      </c>
      <c r="M8" s="263" t="n">
        <v>2.94</v>
      </c>
      <c r="N8" s="263" t="n">
        <v>2.94</v>
      </c>
      <c r="O8" s="263" t="n">
        <v>2.94</v>
      </c>
      <c r="P8" s="262"/>
      <c r="Q8" s="264" t="n">
        <v>3</v>
      </c>
      <c r="R8" s="264" t="n">
        <v>3</v>
      </c>
      <c r="S8" s="264" t="n">
        <v>3</v>
      </c>
      <c r="T8" s="264" t="n">
        <v>3</v>
      </c>
      <c r="U8" s="264" t="n">
        <v>3</v>
      </c>
      <c r="V8" s="264" t="n">
        <v>3</v>
      </c>
      <c r="W8" s="264" t="n">
        <v>3</v>
      </c>
      <c r="X8" s="264" t="n">
        <v>3</v>
      </c>
      <c r="Y8" s="264" t="n">
        <v>3</v>
      </c>
      <c r="Z8" s="264" t="n">
        <v>3</v>
      </c>
      <c r="AA8" s="264" t="n">
        <v>3</v>
      </c>
      <c r="AB8" s="264" t="n">
        <v>3</v>
      </c>
      <c r="AC8" s="264" t="n">
        <v>3</v>
      </c>
      <c r="AD8" s="262"/>
      <c r="AE8" s="265" t="n">
        <v>1414040.0092096</v>
      </c>
      <c r="AF8" s="265" t="n">
        <v>1373895.0456</v>
      </c>
      <c r="AG8" s="265" t="n">
        <v>1332944.3736</v>
      </c>
      <c r="AH8" s="265" t="n">
        <v>1363657.3776</v>
      </c>
      <c r="AI8" s="265" t="n">
        <v>1384132.7136</v>
      </c>
      <c r="AJ8" s="265" t="n">
        <v>1267359.0336</v>
      </c>
      <c r="AK8" s="265" t="n">
        <v>1303480.471524</v>
      </c>
      <c r="AL8" s="265" t="n">
        <v>1136094.599724</v>
      </c>
      <c r="AM8" s="265" t="n">
        <v>1315755.435456</v>
      </c>
      <c r="AN8" s="265" t="n">
        <v>1371501.038364</v>
      </c>
      <c r="AO8" s="265" t="n">
        <v>1344363.476484</v>
      </c>
      <c r="AP8" s="265" t="n">
        <v>1373640.1395824</v>
      </c>
      <c r="AQ8" s="265" t="n">
        <v>15980863.714344</v>
      </c>
      <c r="AR8" s="262"/>
      <c r="AS8" s="265" t="n">
        <v>1414040.0092096</v>
      </c>
      <c r="AT8" s="265" t="n">
        <v>1373895.0456</v>
      </c>
      <c r="AU8" s="265" t="n">
        <v>1332944.3736</v>
      </c>
      <c r="AV8" s="265" t="n">
        <v>1363657.3776</v>
      </c>
      <c r="AW8" s="265" t="n">
        <v>1384132.7136</v>
      </c>
      <c r="AX8" s="265" t="n">
        <v>1267359.0336</v>
      </c>
      <c r="AY8" s="265" t="n">
        <v>1303480.471524</v>
      </c>
      <c r="AZ8" s="265" t="n">
        <v>1136094.599724</v>
      </c>
      <c r="BA8" s="265" t="n">
        <v>1315755.435456</v>
      </c>
      <c r="BB8" s="265" t="n">
        <v>1371501.038364</v>
      </c>
      <c r="BC8" s="265" t="n">
        <v>1344363.476484</v>
      </c>
      <c r="BD8" s="265" t="n">
        <v>1373640.1395824</v>
      </c>
      <c r="BE8" s="265" t="n">
        <v>15980863.714344</v>
      </c>
      <c r="BF8" s="262"/>
      <c r="BG8" s="265" t="n">
        <v>0</v>
      </c>
      <c r="BH8" s="265" t="n">
        <v>0</v>
      </c>
      <c r="BI8" s="265" t="n">
        <v>0</v>
      </c>
      <c r="BJ8" s="265" t="n">
        <v>0</v>
      </c>
      <c r="BK8" s="265" t="n">
        <v>0</v>
      </c>
      <c r="BL8" s="265" t="n">
        <v>0</v>
      </c>
      <c r="BM8" s="265" t="n">
        <v>0</v>
      </c>
      <c r="BN8" s="265" t="n">
        <v>0</v>
      </c>
      <c r="BO8" s="265" t="n">
        <v>0</v>
      </c>
      <c r="BP8" s="265" t="n">
        <v>0</v>
      </c>
      <c r="BQ8" s="265" t="n">
        <v>0</v>
      </c>
      <c r="BR8" s="265" t="n">
        <v>0</v>
      </c>
      <c r="BS8" s="265" t="n">
        <v>0</v>
      </c>
    </row>
    <row r="9" customFormat="false" ht="15" hidden="false" customHeight="false" outlineLevel="0" collapsed="false">
      <c r="A9" s="261" t="s">
        <v>54</v>
      </c>
      <c r="B9" s="262"/>
      <c r="C9" s="263" t="n">
        <v>65.6599999999999</v>
      </c>
      <c r="D9" s="263" t="n">
        <v>65.6599999999999</v>
      </c>
      <c r="E9" s="263" t="n">
        <v>65.6599999999999</v>
      </c>
      <c r="F9" s="263" t="n">
        <v>65.6599999999999</v>
      </c>
      <c r="G9" s="263" t="n">
        <v>65.6599999999999</v>
      </c>
      <c r="H9" s="263" t="n">
        <v>65.6599999999999</v>
      </c>
      <c r="I9" s="263" t="n">
        <v>65.6599999999999</v>
      </c>
      <c r="J9" s="263" t="n">
        <v>65.6599999999999</v>
      </c>
      <c r="K9" s="263" t="n">
        <v>65.6599999999999</v>
      </c>
      <c r="L9" s="263" t="n">
        <v>65.6599999999999</v>
      </c>
      <c r="M9" s="263" t="n">
        <v>65.6599999999999</v>
      </c>
      <c r="N9" s="263" t="n">
        <v>65.6599999999999</v>
      </c>
      <c r="O9" s="263" t="n">
        <v>65.6599999999999</v>
      </c>
      <c r="P9" s="262"/>
      <c r="Q9" s="264" t="n">
        <v>67</v>
      </c>
      <c r="R9" s="264" t="n">
        <v>67</v>
      </c>
      <c r="S9" s="264" t="n">
        <v>67</v>
      </c>
      <c r="T9" s="264" t="n">
        <v>67</v>
      </c>
      <c r="U9" s="264" t="n">
        <v>67</v>
      </c>
      <c r="V9" s="264" t="n">
        <v>67</v>
      </c>
      <c r="W9" s="264" t="n">
        <v>67</v>
      </c>
      <c r="X9" s="264" t="n">
        <v>67</v>
      </c>
      <c r="Y9" s="264" t="n">
        <v>67</v>
      </c>
      <c r="Z9" s="264" t="n">
        <v>67</v>
      </c>
      <c r="AA9" s="264" t="n">
        <v>67</v>
      </c>
      <c r="AB9" s="264" t="n">
        <v>67</v>
      </c>
      <c r="AC9" s="264" t="n">
        <v>67</v>
      </c>
      <c r="AD9" s="262"/>
      <c r="AE9" s="265" t="n">
        <v>39610561.56288</v>
      </c>
      <c r="AF9" s="265" t="n">
        <v>39233174.65968</v>
      </c>
      <c r="AG9" s="265" t="n">
        <v>38186345.06688</v>
      </c>
      <c r="AH9" s="265" t="n">
        <v>37758602.28848</v>
      </c>
      <c r="AI9" s="265" t="n">
        <v>35376086.1284745</v>
      </c>
      <c r="AJ9" s="265" t="n">
        <v>36189797.86708</v>
      </c>
      <c r="AK9" s="265" t="n">
        <v>37173265.756912</v>
      </c>
      <c r="AL9" s="265" t="n">
        <v>32472795.42308</v>
      </c>
      <c r="AM9" s="265" t="n">
        <v>36218321.4085812</v>
      </c>
      <c r="AN9" s="265" t="n">
        <v>38709196.3808592</v>
      </c>
      <c r="AO9" s="265" t="n">
        <v>38934789.2766688</v>
      </c>
      <c r="AP9" s="265" t="n">
        <v>39780150.9867251</v>
      </c>
      <c r="AQ9" s="265" t="n">
        <v>449643086.806301</v>
      </c>
      <c r="AR9" s="262"/>
      <c r="AS9" s="265" t="n">
        <v>16412198.4948846</v>
      </c>
      <c r="AT9" s="265" t="n">
        <v>16069806.3895376</v>
      </c>
      <c r="AU9" s="265" t="n">
        <v>15074515.585001</v>
      </c>
      <c r="AV9" s="265" t="n">
        <v>14713307.0982659</v>
      </c>
      <c r="AW9" s="265" t="n">
        <v>12522119.7369994</v>
      </c>
      <c r="AX9" s="265" t="n">
        <v>13522970.9805267</v>
      </c>
      <c r="AY9" s="265" t="n">
        <v>12792969.5004411</v>
      </c>
      <c r="AZ9" s="265" t="n">
        <v>8402573.1383979</v>
      </c>
      <c r="BA9" s="265" t="n">
        <v>12315413.1933975</v>
      </c>
      <c r="BB9" s="265" t="n">
        <v>14903386.4962552</v>
      </c>
      <c r="BC9" s="265" t="n">
        <v>15207181.7529216</v>
      </c>
      <c r="BD9" s="265" t="n">
        <v>16080810.3632401</v>
      </c>
      <c r="BE9" s="265" t="n">
        <v>168017252.729869</v>
      </c>
      <c r="BF9" s="262"/>
      <c r="BG9" s="265" t="n">
        <v>23198363.0679954</v>
      </c>
      <c r="BH9" s="265" t="n">
        <v>23163368.2701424</v>
      </c>
      <c r="BI9" s="265" t="n">
        <v>23111829.481879</v>
      </c>
      <c r="BJ9" s="265" t="n">
        <v>23045295.1902141</v>
      </c>
      <c r="BK9" s="265" t="n">
        <v>22853966.3914751</v>
      </c>
      <c r="BL9" s="265" t="n">
        <v>22666826.8865533</v>
      </c>
      <c r="BM9" s="265" t="n">
        <v>24380296.2564709</v>
      </c>
      <c r="BN9" s="265" t="n">
        <v>24070222.2846821</v>
      </c>
      <c r="BO9" s="265" t="n">
        <v>23902908.2151837</v>
      </c>
      <c r="BP9" s="265" t="n">
        <v>23805809.884604</v>
      </c>
      <c r="BQ9" s="265" t="n">
        <v>23727607.5237472</v>
      </c>
      <c r="BR9" s="265" t="n">
        <v>23699340.623485</v>
      </c>
      <c r="BS9" s="265" t="n">
        <v>281625834.076432</v>
      </c>
    </row>
    <row r="10" customFormat="false" ht="15" hidden="false" customHeight="false" outlineLevel="0" collapsed="false">
      <c r="A10" s="261" t="s">
        <v>679</v>
      </c>
      <c r="B10" s="262"/>
      <c r="C10" s="263" t="n">
        <v>8.82</v>
      </c>
      <c r="D10" s="263" t="n">
        <v>9.8</v>
      </c>
      <c r="E10" s="263" t="n">
        <v>10.78</v>
      </c>
      <c r="F10" s="263" t="n">
        <v>10.78</v>
      </c>
      <c r="G10" s="263" t="n">
        <v>10.78</v>
      </c>
      <c r="H10" s="263" t="n">
        <v>10.78</v>
      </c>
      <c r="I10" s="263" t="n">
        <v>10.78</v>
      </c>
      <c r="J10" s="263" t="n">
        <v>10.78</v>
      </c>
      <c r="K10" s="263" t="n">
        <v>10.78</v>
      </c>
      <c r="L10" s="263" t="n">
        <v>10.78</v>
      </c>
      <c r="M10" s="263" t="n">
        <v>10.78</v>
      </c>
      <c r="N10" s="263" t="n">
        <v>10.78</v>
      </c>
      <c r="O10" s="263" t="n">
        <v>10.78</v>
      </c>
      <c r="P10" s="262"/>
      <c r="Q10" s="264" t="n">
        <v>9</v>
      </c>
      <c r="R10" s="264" t="n">
        <v>10</v>
      </c>
      <c r="S10" s="264" t="n">
        <v>11</v>
      </c>
      <c r="T10" s="264" t="n">
        <v>11</v>
      </c>
      <c r="U10" s="264" t="n">
        <v>11</v>
      </c>
      <c r="V10" s="264" t="n">
        <v>11</v>
      </c>
      <c r="W10" s="264" t="n">
        <v>11</v>
      </c>
      <c r="X10" s="264" t="n">
        <v>11</v>
      </c>
      <c r="Y10" s="264" t="n">
        <v>11</v>
      </c>
      <c r="Z10" s="264" t="n">
        <v>11</v>
      </c>
      <c r="AA10" s="264" t="n">
        <v>11</v>
      </c>
      <c r="AB10" s="264" t="n">
        <v>11</v>
      </c>
      <c r="AC10" s="264" t="n">
        <v>11</v>
      </c>
      <c r="AD10" s="262"/>
      <c r="AE10" s="265" t="n">
        <v>3543763.01949427</v>
      </c>
      <c r="AF10" s="265" t="n">
        <v>3774951.0624</v>
      </c>
      <c r="AG10" s="265" t="n">
        <v>3964323.2832</v>
      </c>
      <c r="AH10" s="265" t="n">
        <v>3967340.272</v>
      </c>
      <c r="AI10" s="265" t="n">
        <v>4017692.9696</v>
      </c>
      <c r="AJ10" s="265" t="n">
        <v>3747782.22964899</v>
      </c>
      <c r="AK10" s="265" t="n">
        <v>3847408.422368</v>
      </c>
      <c r="AL10" s="265" t="n">
        <v>3459803.479328</v>
      </c>
      <c r="AM10" s="265" t="n">
        <v>3798460.177808</v>
      </c>
      <c r="AN10" s="265" t="n">
        <v>4014863.280288</v>
      </c>
      <c r="AO10" s="265" t="n">
        <v>4047163.692208</v>
      </c>
      <c r="AP10" s="265" t="n">
        <v>4175726.29316074</v>
      </c>
      <c r="AQ10" s="265" t="n">
        <v>46359278.181504</v>
      </c>
      <c r="AR10" s="262"/>
      <c r="AS10" s="265" t="n">
        <v>3543763.01949427</v>
      </c>
      <c r="AT10" s="265" t="n">
        <v>3774951.0624</v>
      </c>
      <c r="AU10" s="265" t="n">
        <v>3964323.2832</v>
      </c>
      <c r="AV10" s="265" t="n">
        <v>3967340.272</v>
      </c>
      <c r="AW10" s="265" t="n">
        <v>4017692.9696</v>
      </c>
      <c r="AX10" s="265" t="n">
        <v>3747782.22964899</v>
      </c>
      <c r="AY10" s="265" t="n">
        <v>3847408.422368</v>
      </c>
      <c r="AZ10" s="265" t="n">
        <v>3459803.479328</v>
      </c>
      <c r="BA10" s="265" t="n">
        <v>3798460.177808</v>
      </c>
      <c r="BB10" s="265" t="n">
        <v>4014863.280288</v>
      </c>
      <c r="BC10" s="265" t="n">
        <v>4047163.692208</v>
      </c>
      <c r="BD10" s="265" t="n">
        <v>4175726.29316074</v>
      </c>
      <c r="BE10" s="265" t="n">
        <v>46359278.181504</v>
      </c>
      <c r="BF10" s="262"/>
      <c r="BG10" s="265" t="n">
        <v>0</v>
      </c>
      <c r="BH10" s="265" t="n">
        <v>0</v>
      </c>
      <c r="BI10" s="265" t="n">
        <v>0</v>
      </c>
      <c r="BJ10" s="265" t="n">
        <v>0</v>
      </c>
      <c r="BK10" s="265" t="n">
        <v>0</v>
      </c>
      <c r="BL10" s="265" t="n">
        <v>0</v>
      </c>
      <c r="BM10" s="265" t="n">
        <v>0</v>
      </c>
      <c r="BN10" s="265" t="n">
        <v>0</v>
      </c>
      <c r="BO10" s="265" t="n">
        <v>0</v>
      </c>
      <c r="BP10" s="265" t="n">
        <v>0</v>
      </c>
      <c r="BQ10" s="265" t="n">
        <v>0</v>
      </c>
      <c r="BR10" s="265" t="n">
        <v>0</v>
      </c>
      <c r="BS10" s="265" t="n">
        <v>0</v>
      </c>
    </row>
    <row r="11" customFormat="false" ht="15" hidden="false" customHeight="false" outlineLevel="0" collapsed="false">
      <c r="A11" s="261" t="s">
        <v>680</v>
      </c>
      <c r="B11" s="262"/>
      <c r="C11" s="263" t="n">
        <v>3.92</v>
      </c>
      <c r="D11" s="263" t="n">
        <v>3.92</v>
      </c>
      <c r="E11" s="263" t="n">
        <v>3.92</v>
      </c>
      <c r="F11" s="263" t="n">
        <v>3.92</v>
      </c>
      <c r="G11" s="263" t="n">
        <v>3.92</v>
      </c>
      <c r="H11" s="263" t="n">
        <v>3.92</v>
      </c>
      <c r="I11" s="263" t="n">
        <v>3.92</v>
      </c>
      <c r="J11" s="263" t="n">
        <v>3.92</v>
      </c>
      <c r="K11" s="263" t="n">
        <v>3.92</v>
      </c>
      <c r="L11" s="263" t="n">
        <v>3.92</v>
      </c>
      <c r="M11" s="263" t="n">
        <v>3.92</v>
      </c>
      <c r="N11" s="263" t="n">
        <v>3.92</v>
      </c>
      <c r="O11" s="263" t="n">
        <v>3.92</v>
      </c>
      <c r="P11" s="262"/>
      <c r="Q11" s="264" t="n">
        <v>4</v>
      </c>
      <c r="R11" s="264" t="n">
        <v>4</v>
      </c>
      <c r="S11" s="264" t="n">
        <v>4</v>
      </c>
      <c r="T11" s="264" t="n">
        <v>4</v>
      </c>
      <c r="U11" s="264" t="n">
        <v>4</v>
      </c>
      <c r="V11" s="264" t="n">
        <v>4</v>
      </c>
      <c r="W11" s="264" t="n">
        <v>4</v>
      </c>
      <c r="X11" s="264" t="n">
        <v>4</v>
      </c>
      <c r="Y11" s="264" t="n">
        <v>4</v>
      </c>
      <c r="Z11" s="264" t="n">
        <v>4</v>
      </c>
      <c r="AA11" s="264" t="n">
        <v>4</v>
      </c>
      <c r="AB11" s="264" t="n">
        <v>4</v>
      </c>
      <c r="AC11" s="264" t="n">
        <v>4</v>
      </c>
      <c r="AD11" s="262"/>
      <c r="AE11" s="265" t="n">
        <v>10325414.5951511</v>
      </c>
      <c r="AF11" s="265" t="n">
        <v>9853284.16151558</v>
      </c>
      <c r="AG11" s="265" t="n">
        <v>9410673.816</v>
      </c>
      <c r="AH11" s="265" t="n">
        <v>9228833.264</v>
      </c>
      <c r="AI11" s="265" t="n">
        <v>9307946.704</v>
      </c>
      <c r="AJ11" s="265" t="n">
        <v>8991492.944</v>
      </c>
      <c r="AK11" s="265" t="n">
        <v>9369559.06096</v>
      </c>
      <c r="AL11" s="265" t="n">
        <v>8334755.26576</v>
      </c>
      <c r="AM11" s="265" t="n">
        <v>9179845.03184</v>
      </c>
      <c r="AN11" s="265" t="n">
        <v>9973194.60816</v>
      </c>
      <c r="AO11" s="265" t="n">
        <v>10059428.25776</v>
      </c>
      <c r="AP11" s="265" t="n">
        <v>10288826.8086133</v>
      </c>
      <c r="AQ11" s="265" t="n">
        <v>114323254.51776</v>
      </c>
      <c r="AR11" s="262"/>
      <c r="AS11" s="265" t="n">
        <v>10325414.5951511</v>
      </c>
      <c r="AT11" s="265" t="n">
        <v>9853284.16151558</v>
      </c>
      <c r="AU11" s="265" t="n">
        <v>9410673.816</v>
      </c>
      <c r="AV11" s="265" t="n">
        <v>9228833.264</v>
      </c>
      <c r="AW11" s="265" t="n">
        <v>9307946.704</v>
      </c>
      <c r="AX11" s="265" t="n">
        <v>8991492.944</v>
      </c>
      <c r="AY11" s="265" t="n">
        <v>9369559.06096</v>
      </c>
      <c r="AZ11" s="265" t="n">
        <v>8334755.26576</v>
      </c>
      <c r="BA11" s="265" t="n">
        <v>9179845.03184</v>
      </c>
      <c r="BB11" s="265" t="n">
        <v>9973194.60816</v>
      </c>
      <c r="BC11" s="265" t="n">
        <v>10059428.25776</v>
      </c>
      <c r="BD11" s="265" t="n">
        <v>10288826.8086133</v>
      </c>
      <c r="BE11" s="265" t="n">
        <v>114323254.51776</v>
      </c>
      <c r="BF11" s="262"/>
      <c r="BG11" s="265" t="n">
        <v>0</v>
      </c>
      <c r="BH11" s="265" t="n">
        <v>0</v>
      </c>
      <c r="BI11" s="265" t="n">
        <v>0</v>
      </c>
      <c r="BJ11" s="265" t="n">
        <v>0</v>
      </c>
      <c r="BK11" s="265" t="n">
        <v>0</v>
      </c>
      <c r="BL11" s="265" t="n">
        <v>0</v>
      </c>
      <c r="BM11" s="265" t="n">
        <v>0</v>
      </c>
      <c r="BN11" s="265" t="n">
        <v>0</v>
      </c>
      <c r="BO11" s="265" t="n">
        <v>0</v>
      </c>
      <c r="BP11" s="265" t="n">
        <v>0</v>
      </c>
      <c r="BQ11" s="265" t="n">
        <v>0</v>
      </c>
      <c r="BR11" s="265" t="n">
        <v>0</v>
      </c>
      <c r="BS11" s="265" t="n">
        <v>0</v>
      </c>
    </row>
    <row r="12" customFormat="false" ht="15" hidden="false" customHeight="false" outlineLevel="0" collapsed="false">
      <c r="A12" s="261" t="s">
        <v>681</v>
      </c>
      <c r="B12" s="262"/>
      <c r="C12" s="263" t="n">
        <v>20.58</v>
      </c>
      <c r="D12" s="263" t="n">
        <v>21.56</v>
      </c>
      <c r="E12" s="263" t="n">
        <v>21.56</v>
      </c>
      <c r="F12" s="263" t="n">
        <v>21.56</v>
      </c>
      <c r="G12" s="263" t="n">
        <v>21.56</v>
      </c>
      <c r="H12" s="263" t="n">
        <v>21.56</v>
      </c>
      <c r="I12" s="263" t="n">
        <v>21.56</v>
      </c>
      <c r="J12" s="263" t="n">
        <v>21.56</v>
      </c>
      <c r="K12" s="263" t="n">
        <v>21.56</v>
      </c>
      <c r="L12" s="263" t="n">
        <v>21.56</v>
      </c>
      <c r="M12" s="263" t="n">
        <v>21.56</v>
      </c>
      <c r="N12" s="263" t="n">
        <v>21.56</v>
      </c>
      <c r="O12" s="263" t="n">
        <v>21.56</v>
      </c>
      <c r="P12" s="262"/>
      <c r="Q12" s="264" t="n">
        <v>21</v>
      </c>
      <c r="R12" s="264" t="n">
        <v>22</v>
      </c>
      <c r="S12" s="264" t="n">
        <v>22</v>
      </c>
      <c r="T12" s="264" t="n">
        <v>22</v>
      </c>
      <c r="U12" s="264" t="n">
        <v>22</v>
      </c>
      <c r="V12" s="264" t="n">
        <v>22</v>
      </c>
      <c r="W12" s="264" t="n">
        <v>22</v>
      </c>
      <c r="X12" s="264" t="n">
        <v>22</v>
      </c>
      <c r="Y12" s="264" t="n">
        <v>22</v>
      </c>
      <c r="Z12" s="264" t="n">
        <v>22</v>
      </c>
      <c r="AA12" s="264" t="n">
        <v>22</v>
      </c>
      <c r="AB12" s="264" t="n">
        <v>22</v>
      </c>
      <c r="AC12" s="264" t="n">
        <v>22</v>
      </c>
      <c r="AD12" s="262"/>
      <c r="AE12" s="265" t="n">
        <v>8312585.94276193</v>
      </c>
      <c r="AF12" s="265" t="n">
        <v>8435628.146</v>
      </c>
      <c r="AG12" s="265" t="n">
        <v>8184193.626</v>
      </c>
      <c r="AH12" s="265" t="n">
        <v>8084353.55620877</v>
      </c>
      <c r="AI12" s="265" t="n">
        <v>8312153.634</v>
      </c>
      <c r="AJ12" s="265" t="n">
        <v>8028189.5464</v>
      </c>
      <c r="AK12" s="265" t="n">
        <v>8325829.420446</v>
      </c>
      <c r="AL12" s="265" t="n">
        <v>7441105.077846</v>
      </c>
      <c r="AM12" s="265" t="n">
        <v>8227077.783846</v>
      </c>
      <c r="AN12" s="265" t="n">
        <v>8400979.873646</v>
      </c>
      <c r="AO12" s="265" t="n">
        <v>8384225.920396</v>
      </c>
      <c r="AP12" s="265" t="n">
        <v>8535297.96622531</v>
      </c>
      <c r="AQ12" s="265" t="n">
        <v>98671620.493776</v>
      </c>
      <c r="AR12" s="266"/>
      <c r="AS12" s="265" t="n">
        <v>8312585.94276193</v>
      </c>
      <c r="AT12" s="265" t="n">
        <v>8435628.146</v>
      </c>
      <c r="AU12" s="265" t="n">
        <v>8184193.626</v>
      </c>
      <c r="AV12" s="265" t="n">
        <v>8084353.55620877</v>
      </c>
      <c r="AW12" s="265" t="n">
        <v>8312153.634</v>
      </c>
      <c r="AX12" s="265" t="n">
        <v>8028189.5464</v>
      </c>
      <c r="AY12" s="265" t="n">
        <v>8325829.420446</v>
      </c>
      <c r="AZ12" s="265" t="n">
        <v>7441105.077846</v>
      </c>
      <c r="BA12" s="265" t="n">
        <v>8227077.783846</v>
      </c>
      <c r="BB12" s="265" t="n">
        <v>8400979.873646</v>
      </c>
      <c r="BC12" s="265" t="n">
        <v>8384225.920396</v>
      </c>
      <c r="BD12" s="265" t="n">
        <v>8535297.96622531</v>
      </c>
      <c r="BE12" s="265" t="n">
        <v>98671620.493776</v>
      </c>
      <c r="BF12" s="262"/>
      <c r="BG12" s="265" t="n">
        <v>0</v>
      </c>
      <c r="BH12" s="265" t="n">
        <v>0</v>
      </c>
      <c r="BI12" s="265" t="n">
        <v>0</v>
      </c>
      <c r="BJ12" s="265" t="n">
        <v>0</v>
      </c>
      <c r="BK12" s="265" t="n">
        <v>0</v>
      </c>
      <c r="BL12" s="265" t="n">
        <v>0</v>
      </c>
      <c r="BM12" s="265" t="n">
        <v>0</v>
      </c>
      <c r="BN12" s="265" t="n">
        <v>0</v>
      </c>
      <c r="BO12" s="265" t="n">
        <v>0</v>
      </c>
      <c r="BP12" s="265" t="n">
        <v>0</v>
      </c>
      <c r="BQ12" s="265" t="n">
        <v>0</v>
      </c>
      <c r="BR12" s="265" t="n">
        <v>0</v>
      </c>
      <c r="BS12" s="265" t="n">
        <v>0</v>
      </c>
    </row>
    <row r="13" customFormat="false" ht="15" hidden="false" customHeight="false" outlineLevel="0" collapsed="false">
      <c r="A13" s="261" t="s">
        <v>682</v>
      </c>
      <c r="B13" s="262"/>
      <c r="C13" s="263" t="n">
        <v>81.34</v>
      </c>
      <c r="D13" s="263" t="n">
        <v>81.34</v>
      </c>
      <c r="E13" s="263" t="n">
        <v>81.34</v>
      </c>
      <c r="F13" s="263" t="n">
        <v>81.34</v>
      </c>
      <c r="G13" s="263" t="n">
        <v>81.34</v>
      </c>
      <c r="H13" s="263" t="n">
        <v>81.34</v>
      </c>
      <c r="I13" s="263" t="n">
        <v>83.3</v>
      </c>
      <c r="J13" s="263" t="n">
        <v>83.3</v>
      </c>
      <c r="K13" s="263" t="n">
        <v>83.3</v>
      </c>
      <c r="L13" s="263" t="n">
        <v>83.3</v>
      </c>
      <c r="M13" s="263" t="n">
        <v>83.3</v>
      </c>
      <c r="N13" s="263" t="n">
        <v>83.3</v>
      </c>
      <c r="O13" s="263" t="n">
        <v>83.3</v>
      </c>
      <c r="P13" s="262"/>
      <c r="Q13" s="264" t="n">
        <v>83</v>
      </c>
      <c r="R13" s="264" t="n">
        <v>83</v>
      </c>
      <c r="S13" s="264" t="n">
        <v>83</v>
      </c>
      <c r="T13" s="264" t="n">
        <v>83</v>
      </c>
      <c r="U13" s="264" t="n">
        <v>83</v>
      </c>
      <c r="V13" s="264" t="n">
        <v>83</v>
      </c>
      <c r="W13" s="264" t="n">
        <v>85</v>
      </c>
      <c r="X13" s="264" t="n">
        <v>85</v>
      </c>
      <c r="Y13" s="264" t="n">
        <v>85</v>
      </c>
      <c r="Z13" s="264" t="n">
        <v>85</v>
      </c>
      <c r="AA13" s="264" t="n">
        <v>85</v>
      </c>
      <c r="AB13" s="264" t="n">
        <v>85</v>
      </c>
      <c r="AC13" s="264" t="n">
        <v>85</v>
      </c>
      <c r="AD13" s="262"/>
      <c r="AE13" s="265" t="n">
        <v>20316729.7551696</v>
      </c>
      <c r="AF13" s="265" t="n">
        <v>20264215.420685</v>
      </c>
      <c r="AG13" s="265" t="n">
        <v>19473048.402624</v>
      </c>
      <c r="AH13" s="265" t="n">
        <v>18592395.797524</v>
      </c>
      <c r="AI13" s="265" t="n">
        <v>19771224.157684</v>
      </c>
      <c r="AJ13" s="265" t="n">
        <v>19067672.097604</v>
      </c>
      <c r="AK13" s="265" t="n">
        <v>20453120.2906012</v>
      </c>
      <c r="AL13" s="265" t="n">
        <v>18246950.9740678</v>
      </c>
      <c r="AM13" s="265" t="n">
        <v>20667088.4620528</v>
      </c>
      <c r="AN13" s="265" t="n">
        <v>21138070.8592552</v>
      </c>
      <c r="AO13" s="265" t="n">
        <v>21175826.8322896</v>
      </c>
      <c r="AP13" s="265" t="n">
        <v>21455059.3541</v>
      </c>
      <c r="AQ13" s="265" t="n">
        <v>240621402.403657</v>
      </c>
      <c r="AR13" s="262"/>
      <c r="AS13" s="265" t="n">
        <v>20316729.7551696</v>
      </c>
      <c r="AT13" s="265" t="n">
        <v>20264215.420685</v>
      </c>
      <c r="AU13" s="265" t="n">
        <v>19473048.402624</v>
      </c>
      <c r="AV13" s="265" t="n">
        <v>18592395.797524</v>
      </c>
      <c r="AW13" s="265" t="n">
        <v>19771224.157684</v>
      </c>
      <c r="AX13" s="265" t="n">
        <v>19067672.097604</v>
      </c>
      <c r="AY13" s="265" t="n">
        <v>20453120.2906012</v>
      </c>
      <c r="AZ13" s="265" t="n">
        <v>18246950.9740678</v>
      </c>
      <c r="BA13" s="265" t="n">
        <v>20667088.4620528</v>
      </c>
      <c r="BB13" s="265" t="n">
        <v>21138070.8592552</v>
      </c>
      <c r="BC13" s="265" t="n">
        <v>21175826.8322896</v>
      </c>
      <c r="BD13" s="265" t="n">
        <v>21455059.3541</v>
      </c>
      <c r="BE13" s="265" t="n">
        <v>240621402.403657</v>
      </c>
      <c r="BF13" s="262"/>
      <c r="BG13" s="265" t="n">
        <v>0</v>
      </c>
      <c r="BH13" s="265" t="n">
        <v>0</v>
      </c>
      <c r="BI13" s="265" t="n">
        <v>0</v>
      </c>
      <c r="BJ13" s="265" t="n">
        <v>0</v>
      </c>
      <c r="BK13" s="265" t="n">
        <v>0</v>
      </c>
      <c r="BL13" s="265" t="n">
        <v>0</v>
      </c>
      <c r="BM13" s="265" t="n">
        <v>0</v>
      </c>
      <c r="BN13" s="265" t="n">
        <v>0</v>
      </c>
      <c r="BO13" s="265" t="n">
        <v>0</v>
      </c>
      <c r="BP13" s="265" t="n">
        <v>0</v>
      </c>
      <c r="BQ13" s="265" t="n">
        <v>0</v>
      </c>
      <c r="BR13" s="265" t="n">
        <v>0</v>
      </c>
      <c r="BS13" s="265" t="n">
        <v>0</v>
      </c>
    </row>
    <row r="14" customFormat="false" ht="15" hidden="false" customHeight="false" outlineLevel="0" collapsed="false">
      <c r="A14" s="261" t="s">
        <v>683</v>
      </c>
      <c r="B14" s="262"/>
      <c r="C14" s="263" t="n">
        <v>15.778</v>
      </c>
      <c r="D14" s="263" t="n">
        <v>16.758</v>
      </c>
      <c r="E14" s="263" t="n">
        <v>18.718</v>
      </c>
      <c r="F14" s="263" t="n">
        <v>18.718</v>
      </c>
      <c r="G14" s="263" t="n">
        <v>19.698</v>
      </c>
      <c r="H14" s="263" t="n">
        <v>19.698</v>
      </c>
      <c r="I14" s="263" t="n">
        <v>19.698</v>
      </c>
      <c r="J14" s="263" t="n">
        <v>19.698</v>
      </c>
      <c r="K14" s="263" t="n">
        <v>19.698</v>
      </c>
      <c r="L14" s="263" t="n">
        <v>19.698</v>
      </c>
      <c r="M14" s="263" t="n">
        <v>19.698</v>
      </c>
      <c r="N14" s="263" t="n">
        <v>19.698</v>
      </c>
      <c r="O14" s="263" t="n">
        <v>19.698</v>
      </c>
      <c r="P14" s="262"/>
      <c r="Q14" s="264" t="n">
        <v>16.1</v>
      </c>
      <c r="R14" s="264" t="n">
        <v>17.1</v>
      </c>
      <c r="S14" s="264" t="n">
        <v>19.1</v>
      </c>
      <c r="T14" s="264" t="n">
        <v>19.1</v>
      </c>
      <c r="U14" s="264" t="n">
        <v>20.1</v>
      </c>
      <c r="V14" s="264" t="n">
        <v>20.1</v>
      </c>
      <c r="W14" s="264" t="n">
        <v>20.1</v>
      </c>
      <c r="X14" s="264" t="n">
        <v>20.1</v>
      </c>
      <c r="Y14" s="264" t="n">
        <v>20.1</v>
      </c>
      <c r="Z14" s="264" t="n">
        <v>20.1</v>
      </c>
      <c r="AA14" s="264" t="n">
        <v>20.1</v>
      </c>
      <c r="AB14" s="264" t="n">
        <v>20.1</v>
      </c>
      <c r="AC14" s="264" t="n">
        <v>20.1</v>
      </c>
      <c r="AD14" s="262"/>
      <c r="AE14" s="265" t="n">
        <v>12145375.5793611</v>
      </c>
      <c r="AF14" s="265" t="n">
        <v>12874174.6275896</v>
      </c>
      <c r="AG14" s="265" t="n">
        <v>14501615.7316</v>
      </c>
      <c r="AH14" s="265" t="n">
        <v>14428240.2916</v>
      </c>
      <c r="AI14" s="265" t="n">
        <v>15187242.8296</v>
      </c>
      <c r="AJ14" s="265" t="n">
        <v>14504018.5096</v>
      </c>
      <c r="AK14" s="265" t="n">
        <v>14239210.906472</v>
      </c>
      <c r="AL14" s="265" t="n">
        <v>12862647.681924</v>
      </c>
      <c r="AM14" s="265" t="n">
        <v>14467317.92798</v>
      </c>
      <c r="AN14" s="265" t="n">
        <v>15393674.401776</v>
      </c>
      <c r="AO14" s="265" t="n">
        <v>15501778.592896</v>
      </c>
      <c r="AP14" s="265" t="n">
        <v>16140188.2646653</v>
      </c>
      <c r="AQ14" s="265" t="n">
        <v>172245485.345064</v>
      </c>
      <c r="AR14" s="267"/>
      <c r="AS14" s="265" t="n">
        <v>4961243.41014087</v>
      </c>
      <c r="AT14" s="265" t="n">
        <v>5068389.70311282</v>
      </c>
      <c r="AU14" s="265" t="n">
        <v>5650979.47879734</v>
      </c>
      <c r="AV14" s="265" t="n">
        <v>5623561.42165737</v>
      </c>
      <c r="AW14" s="265" t="n">
        <v>6000531.71831028</v>
      </c>
      <c r="AX14" s="265" t="n">
        <v>5419688.22613288</v>
      </c>
      <c r="AY14" s="265" t="n">
        <v>4659634.73750398</v>
      </c>
      <c r="AZ14" s="265" t="n">
        <v>3327576.59134883</v>
      </c>
      <c r="BA14" s="265" t="n">
        <v>4971037.97741502</v>
      </c>
      <c r="BB14" s="265" t="n">
        <v>5926098.76883396</v>
      </c>
      <c r="BC14" s="265" t="n">
        <v>6053481.13330862</v>
      </c>
      <c r="BD14" s="265" t="n">
        <v>6700410.42434982</v>
      </c>
      <c r="BE14" s="265" t="n">
        <v>64362633.5909118</v>
      </c>
      <c r="BF14" s="262"/>
      <c r="BG14" s="265" t="n">
        <v>7184132.1692202</v>
      </c>
      <c r="BH14" s="265" t="n">
        <v>7805784.92447679</v>
      </c>
      <c r="BI14" s="265" t="n">
        <v>8850636.25280266</v>
      </c>
      <c r="BJ14" s="265" t="n">
        <v>8804678.86994263</v>
      </c>
      <c r="BK14" s="265" t="n">
        <v>9186711.11128972</v>
      </c>
      <c r="BL14" s="265" t="n">
        <v>9084330.28346712</v>
      </c>
      <c r="BM14" s="265" t="n">
        <v>9579576.16896802</v>
      </c>
      <c r="BN14" s="265" t="n">
        <v>9535071.09057517</v>
      </c>
      <c r="BO14" s="265" t="n">
        <v>9496279.95056498</v>
      </c>
      <c r="BP14" s="265" t="n">
        <v>9467575.63294204</v>
      </c>
      <c r="BQ14" s="265" t="n">
        <v>9448297.45958738</v>
      </c>
      <c r="BR14" s="265" t="n">
        <v>9439777.8403155</v>
      </c>
      <c r="BS14" s="265" t="n">
        <v>107882851.754152</v>
      </c>
    </row>
    <row r="15" customFormat="false" ht="15" hidden="false" customHeight="false" outlineLevel="0" collapsed="false">
      <c r="A15" s="261" t="s">
        <v>684</v>
      </c>
      <c r="B15" s="262"/>
      <c r="C15" s="263" t="n">
        <v>8.82</v>
      </c>
      <c r="D15" s="263" t="n">
        <v>8.82</v>
      </c>
      <c r="E15" s="263" t="n">
        <v>8.82</v>
      </c>
      <c r="F15" s="263" t="n">
        <v>8.82</v>
      </c>
      <c r="G15" s="263" t="n">
        <v>8.82</v>
      </c>
      <c r="H15" s="263" t="n">
        <v>8.82</v>
      </c>
      <c r="I15" s="263" t="n">
        <v>8.82</v>
      </c>
      <c r="J15" s="263" t="n">
        <v>8.82</v>
      </c>
      <c r="K15" s="263" t="n">
        <v>8.82</v>
      </c>
      <c r="L15" s="263" t="n">
        <v>8.82</v>
      </c>
      <c r="M15" s="263" t="n">
        <v>8.82</v>
      </c>
      <c r="N15" s="263" t="n">
        <v>8.82</v>
      </c>
      <c r="O15" s="263" t="n">
        <v>8.82</v>
      </c>
      <c r="P15" s="262"/>
      <c r="Q15" s="264" t="n">
        <v>9</v>
      </c>
      <c r="R15" s="264" t="n">
        <v>9</v>
      </c>
      <c r="S15" s="264" t="n">
        <v>9</v>
      </c>
      <c r="T15" s="264" t="n">
        <v>9</v>
      </c>
      <c r="U15" s="264" t="n">
        <v>9</v>
      </c>
      <c r="V15" s="264" t="n">
        <v>9</v>
      </c>
      <c r="W15" s="264" t="n">
        <v>9</v>
      </c>
      <c r="X15" s="264" t="n">
        <v>9</v>
      </c>
      <c r="Y15" s="264" t="n">
        <v>9</v>
      </c>
      <c r="Z15" s="264" t="n">
        <v>9</v>
      </c>
      <c r="AA15" s="264" t="n">
        <v>9</v>
      </c>
      <c r="AB15" s="264" t="n">
        <v>9</v>
      </c>
      <c r="AC15" s="264" t="n">
        <v>9</v>
      </c>
      <c r="AD15" s="262"/>
      <c r="AE15" s="265" t="n">
        <v>4791908.03237574</v>
      </c>
      <c r="AF15" s="265" t="n">
        <v>4709745.3872</v>
      </c>
      <c r="AG15" s="265" t="n">
        <v>4590953.5896</v>
      </c>
      <c r="AH15" s="265" t="n">
        <v>4471487.3204</v>
      </c>
      <c r="AI15" s="265" t="n">
        <v>4545584.8424</v>
      </c>
      <c r="AJ15" s="265" t="n">
        <v>4360513.86782515</v>
      </c>
      <c r="AK15" s="265" t="n">
        <v>4528063.139376</v>
      </c>
      <c r="AL15" s="265" t="n">
        <v>4071064.106256</v>
      </c>
      <c r="AM15" s="265" t="n">
        <v>4414552.528476</v>
      </c>
      <c r="AN15" s="265" t="n">
        <v>4575734.791196</v>
      </c>
      <c r="AO15" s="265" t="n">
        <v>4608444.014356</v>
      </c>
      <c r="AP15" s="265" t="n">
        <v>4734771.89539511</v>
      </c>
      <c r="AQ15" s="265" t="n">
        <v>54402823.514856</v>
      </c>
      <c r="AR15" s="262"/>
      <c r="AS15" s="265" t="n">
        <v>4791908.03237574</v>
      </c>
      <c r="AT15" s="265" t="n">
        <v>4709745.3872</v>
      </c>
      <c r="AU15" s="265" t="n">
        <v>4590953.5896</v>
      </c>
      <c r="AV15" s="265" t="n">
        <v>4471487.3204</v>
      </c>
      <c r="AW15" s="265" t="n">
        <v>4545584.8424</v>
      </c>
      <c r="AX15" s="265" t="n">
        <v>4360513.86782515</v>
      </c>
      <c r="AY15" s="265" t="n">
        <v>4528063.139376</v>
      </c>
      <c r="AZ15" s="265" t="n">
        <v>4071064.106256</v>
      </c>
      <c r="BA15" s="265" t="n">
        <v>4414552.528476</v>
      </c>
      <c r="BB15" s="265" t="n">
        <v>4575734.791196</v>
      </c>
      <c r="BC15" s="265" t="n">
        <v>4608444.014356</v>
      </c>
      <c r="BD15" s="265" t="n">
        <v>4734771.89539511</v>
      </c>
      <c r="BE15" s="265" t="n">
        <v>54402823.514856</v>
      </c>
      <c r="BF15" s="262"/>
      <c r="BG15" s="265" t="n">
        <v>0</v>
      </c>
      <c r="BH15" s="265" t="n">
        <v>0</v>
      </c>
      <c r="BI15" s="265" t="n">
        <v>0</v>
      </c>
      <c r="BJ15" s="265" t="n">
        <v>0</v>
      </c>
      <c r="BK15" s="265" t="n">
        <v>0</v>
      </c>
      <c r="BL15" s="265" t="n">
        <v>0</v>
      </c>
      <c r="BM15" s="265" t="n">
        <v>0</v>
      </c>
      <c r="BN15" s="265" t="n">
        <v>0</v>
      </c>
      <c r="BO15" s="265" t="n">
        <v>0</v>
      </c>
      <c r="BP15" s="265" t="n">
        <v>0</v>
      </c>
      <c r="BQ15" s="265" t="n">
        <v>0</v>
      </c>
      <c r="BR15" s="265" t="n">
        <v>0</v>
      </c>
      <c r="BS15" s="265" t="n">
        <v>0</v>
      </c>
    </row>
    <row r="16" customFormat="false" ht="15" hidden="false" customHeight="false" outlineLevel="0" collapsed="false">
      <c r="A16" s="268" t="s">
        <v>68</v>
      </c>
      <c r="B16" s="269"/>
      <c r="C16" s="270" t="n">
        <v>313.943</v>
      </c>
      <c r="D16" s="270" t="n">
        <v>321.783</v>
      </c>
      <c r="E16" s="270" t="n">
        <v>332.563</v>
      </c>
      <c r="F16" s="270" t="n">
        <v>337.463</v>
      </c>
      <c r="G16" s="270" t="n">
        <v>340.403</v>
      </c>
      <c r="H16" s="270" t="n">
        <v>341.383</v>
      </c>
      <c r="I16" s="270" t="n">
        <v>347.263</v>
      </c>
      <c r="J16" s="270" t="n">
        <v>347.263</v>
      </c>
      <c r="K16" s="270" t="n">
        <v>347.263</v>
      </c>
      <c r="L16" s="270" t="n">
        <v>347.263</v>
      </c>
      <c r="M16" s="270" t="n">
        <v>347.263</v>
      </c>
      <c r="N16" s="270" t="n">
        <v>347.263</v>
      </c>
      <c r="O16" s="270" t="n">
        <v>347.263</v>
      </c>
      <c r="P16" s="269"/>
      <c r="Q16" s="270" t="n">
        <v>320.35</v>
      </c>
      <c r="R16" s="270" t="n">
        <v>328.35</v>
      </c>
      <c r="S16" s="270" t="n">
        <v>339.35</v>
      </c>
      <c r="T16" s="270" t="n">
        <v>344.35</v>
      </c>
      <c r="U16" s="270" t="n">
        <v>347.35</v>
      </c>
      <c r="V16" s="270" t="n">
        <v>348.35</v>
      </c>
      <c r="W16" s="270" t="n">
        <v>354.35</v>
      </c>
      <c r="X16" s="270" t="n">
        <v>354.35</v>
      </c>
      <c r="Y16" s="270" t="n">
        <v>354.35</v>
      </c>
      <c r="Z16" s="270" t="n">
        <v>354.35</v>
      </c>
      <c r="AA16" s="270" t="n">
        <v>354.35</v>
      </c>
      <c r="AB16" s="270" t="n">
        <v>354.35</v>
      </c>
      <c r="AC16" s="270" t="n">
        <v>354.35</v>
      </c>
      <c r="AD16" s="269"/>
      <c r="AE16" s="270" t="n">
        <v>152274656.867337</v>
      </c>
      <c r="AF16" s="270" t="n">
        <v>153188865.40011</v>
      </c>
      <c r="AG16" s="270" t="n">
        <v>154319149.977744</v>
      </c>
      <c r="AH16" s="270" t="n">
        <v>155128135.040529</v>
      </c>
      <c r="AI16" s="270" t="n">
        <v>156335553.879318</v>
      </c>
      <c r="AJ16" s="270" t="n">
        <v>152827902.360651</v>
      </c>
      <c r="AK16" s="270" t="n">
        <v>158906326.268031</v>
      </c>
      <c r="AL16" s="270" t="n">
        <v>141170132.212622</v>
      </c>
      <c r="AM16" s="270" t="n">
        <v>157274144.514024</v>
      </c>
      <c r="AN16" s="270" t="n">
        <v>164889741.505848</v>
      </c>
      <c r="AO16" s="270" t="n">
        <v>164815444.183908</v>
      </c>
      <c r="AP16" s="270" t="n">
        <v>168949479.723878</v>
      </c>
      <c r="AQ16" s="270" t="n">
        <v>1880079531.934</v>
      </c>
      <c r="AR16" s="269"/>
      <c r="AS16" s="270" t="n">
        <v>112391466.852421</v>
      </c>
      <c r="AT16" s="270" t="n">
        <v>112719017.42779</v>
      </c>
      <c r="AU16" s="270" t="n">
        <v>112388981.276869</v>
      </c>
      <c r="AV16" s="270" t="n">
        <v>113334067.973061</v>
      </c>
      <c r="AW16" s="270" t="n">
        <v>114382474.200388</v>
      </c>
      <c r="AX16" s="270" t="n">
        <v>111220729.751365</v>
      </c>
      <c r="AY16" s="270" t="n">
        <v>114373213.044911</v>
      </c>
      <c r="AZ16" s="270" t="n">
        <v>97122819.4447077</v>
      </c>
      <c r="BA16" s="270" t="n">
        <v>113607250.381682</v>
      </c>
      <c r="BB16" s="270" t="n">
        <v>121373134.077443</v>
      </c>
      <c r="BC16" s="270" t="n">
        <v>121420515.18941</v>
      </c>
      <c r="BD16" s="270" t="n">
        <v>125620774.979921</v>
      </c>
      <c r="BE16" s="270" t="n">
        <v>1369954444.59997</v>
      </c>
      <c r="BF16" s="269"/>
      <c r="BG16" s="270" t="n">
        <v>39883190.0149164</v>
      </c>
      <c r="BH16" s="270" t="n">
        <v>40469847.9723199</v>
      </c>
      <c r="BI16" s="270" t="n">
        <v>41930168.7008747</v>
      </c>
      <c r="BJ16" s="270" t="n">
        <v>41794067.0674679</v>
      </c>
      <c r="BK16" s="270" t="n">
        <v>41953079.6789306</v>
      </c>
      <c r="BL16" s="270" t="n">
        <v>41607172.6092869</v>
      </c>
      <c r="BM16" s="270" t="n">
        <v>44533113.2231204</v>
      </c>
      <c r="BN16" s="270" t="n">
        <v>44047312.7679139</v>
      </c>
      <c r="BO16" s="270" t="n">
        <v>43666894.1323419</v>
      </c>
      <c r="BP16" s="270" t="n">
        <v>43516607.4284052</v>
      </c>
      <c r="BQ16" s="270" t="n">
        <v>43394928.9944983</v>
      </c>
      <c r="BR16" s="270" t="n">
        <v>43328704.7439562</v>
      </c>
      <c r="BS16" s="270" t="n">
        <v>510125087.334032</v>
      </c>
    </row>
    <row r="18" customFormat="false" ht="15" hidden="false" customHeight="false" outlineLevel="0" collapsed="false">
      <c r="Q18" s="114" t="s">
        <v>685</v>
      </c>
    </row>
    <row r="19" customFormat="false" ht="23.85" hidden="false" customHeight="false" outlineLevel="0" collapsed="false">
      <c r="A19" s="92" t="s">
        <v>686</v>
      </c>
      <c r="B19" s="92"/>
      <c r="C19" s="92" t="s">
        <v>9</v>
      </c>
      <c r="D19" s="92" t="s">
        <v>10</v>
      </c>
      <c r="E19" s="92" t="s">
        <v>11</v>
      </c>
      <c r="F19" s="92" t="s">
        <v>12</v>
      </c>
      <c r="G19" s="92" t="s">
        <v>13</v>
      </c>
      <c r="H19" s="92" t="s">
        <v>14</v>
      </c>
      <c r="I19" s="92" t="s">
        <v>15</v>
      </c>
      <c r="J19" s="92" t="s">
        <v>16</v>
      </c>
      <c r="K19" s="92" t="s">
        <v>17</v>
      </c>
      <c r="L19" s="92" t="s">
        <v>18</v>
      </c>
      <c r="M19" s="92" t="s">
        <v>19</v>
      </c>
      <c r="N19" s="92" t="s">
        <v>20</v>
      </c>
      <c r="O19" s="92" t="n">
        <v>2027</v>
      </c>
      <c r="P19" s="92"/>
    </row>
    <row r="20" customFormat="false" ht="15" hidden="false" customHeight="false" outlineLevel="0" collapsed="false">
      <c r="A20" s="102" t="s">
        <v>455</v>
      </c>
      <c r="B20" s="97"/>
      <c r="C20" s="271" t="n">
        <f aca="false">'Content factory'!C35</f>
        <v>-1.57258</v>
      </c>
      <c r="D20" s="271" t="n">
        <f aca="false">'Content factory'!D35</f>
        <v>-3.387147</v>
      </c>
      <c r="E20" s="271" t="n">
        <f aca="false">'Content factory'!E35</f>
        <v>-4.321588</v>
      </c>
      <c r="F20" s="271" t="n">
        <f aca="false">'Content factory'!F35</f>
        <v>-5.328775</v>
      </c>
      <c r="G20" s="271" t="n">
        <f aca="false">'Content factory'!G35</f>
        <v>-6.495575</v>
      </c>
      <c r="H20" s="271" t="n">
        <f aca="false">'Content factory'!H35</f>
        <v>-6.617872</v>
      </c>
      <c r="I20" s="271" t="n">
        <f aca="false">'Content factory'!I35</f>
        <v>-6.410866</v>
      </c>
      <c r="J20" s="271" t="n">
        <f aca="false">'Content factory'!J35</f>
        <v>-5.7608</v>
      </c>
      <c r="K20" s="271" t="n">
        <f aca="false">'Content factory'!K35</f>
        <v>-6.237729</v>
      </c>
      <c r="L20" s="271" t="n">
        <f aca="false">'Content factory'!L35</f>
        <v>-6.595838</v>
      </c>
      <c r="M20" s="271" t="n">
        <f aca="false">'Content factory'!M35</f>
        <v>-6.597352</v>
      </c>
      <c r="N20" s="271" t="n">
        <f aca="false">'Content factory'!N35</f>
        <v>-7.08237</v>
      </c>
      <c r="O20" s="167" t="n">
        <f aca="false">SUM(C20:N20)</f>
        <v>-66.408492</v>
      </c>
      <c r="P20" s="167"/>
    </row>
    <row r="22" customFormat="false" ht="15" hidden="false" customHeight="false" outlineLevel="0" collapsed="false">
      <c r="A22" s="16" t="s">
        <v>454</v>
      </c>
      <c r="Q22" s="114" t="s">
        <v>687</v>
      </c>
    </row>
    <row r="23" customFormat="false" ht="15" hidden="false" customHeight="false" outlineLevel="0" collapsed="false">
      <c r="A23" s="92" t="s">
        <v>688</v>
      </c>
      <c r="B23" s="92" t="s">
        <v>689</v>
      </c>
      <c r="C23" s="92" t="s">
        <v>9</v>
      </c>
      <c r="D23" s="92" t="s">
        <v>10</v>
      </c>
      <c r="E23" s="92" t="s">
        <v>11</v>
      </c>
      <c r="F23" s="92" t="s">
        <v>12</v>
      </c>
      <c r="G23" s="92" t="s">
        <v>13</v>
      </c>
      <c r="H23" s="92" t="s">
        <v>14</v>
      </c>
      <c r="I23" s="92" t="s">
        <v>15</v>
      </c>
      <c r="J23" s="92" t="s">
        <v>16</v>
      </c>
      <c r="K23" s="92" t="s">
        <v>17</v>
      </c>
      <c r="L23" s="92" t="s">
        <v>18</v>
      </c>
      <c r="M23" s="92" t="s">
        <v>19</v>
      </c>
      <c r="N23" s="92" t="s">
        <v>20</v>
      </c>
      <c r="O23" s="92" t="s">
        <v>72</v>
      </c>
      <c r="P23" s="92" t="s">
        <v>73</v>
      </c>
    </row>
    <row r="24" customFormat="false" ht="15" hidden="false" customHeight="false" outlineLevel="0" collapsed="false">
      <c r="A24" s="36" t="s">
        <v>81</v>
      </c>
      <c r="B24" s="104" t="n">
        <v>0.1799</v>
      </c>
      <c r="C24" s="129" t="n">
        <f aca="false">(-AS$16/1000000+C$20)*$B24</f>
        <v>-20.5021320287505</v>
      </c>
      <c r="D24" s="129" t="n">
        <f aca="false">(-AT$16/1000000+D$20)*$B24</f>
        <v>-20.8874989805594</v>
      </c>
      <c r="E24" s="129" t="n">
        <f aca="false">(-AU$16/1000000+E$20)*$B24</f>
        <v>-20.9962314129087</v>
      </c>
      <c r="F24" s="129" t="n">
        <f aca="false">(-AV$16/1000000+F$20)*$B24</f>
        <v>-21.3474454508537</v>
      </c>
      <c r="G24" s="129" t="n">
        <f aca="false">(-AW$16/1000000+G$20)*$B24</f>
        <v>-21.7459610511498</v>
      </c>
      <c r="H24" s="129" t="n">
        <f aca="false">(-AX$16/1000000+H$20)*$B24</f>
        <v>-21.1991644550706</v>
      </c>
      <c r="I24" s="129" t="n">
        <f aca="false">(-AY$16/1000000+I$20)*$B24</f>
        <v>-21.7290558201795</v>
      </c>
      <c r="J24" s="129" t="n">
        <f aca="false">(-AZ$16/1000000+J$20)*$B24</f>
        <v>-18.5087631381029</v>
      </c>
      <c r="K24" s="129" t="n">
        <f aca="false">(-BA$16/1000000+K$20)*$B24</f>
        <v>-21.5601117907646</v>
      </c>
      <c r="L24" s="129" t="n">
        <f aca="false">(-BB$16/1000000+L$20)*$B24</f>
        <v>-23.021618076732</v>
      </c>
      <c r="M24" s="129" t="n">
        <f aca="false">(-BC$16/1000000+M$20)*$B24</f>
        <v>-23.0304143073749</v>
      </c>
      <c r="N24" s="129" t="n">
        <f aca="false">(-BD$16/1000000+N$20)*$B24</f>
        <v>-23.8732957818878</v>
      </c>
      <c r="O24" s="129" t="n">
        <f aca="false">SUM(C24:N24)</f>
        <v>-258.401692294334</v>
      </c>
      <c r="P24" s="128" t="n">
        <v>-201.500852056</v>
      </c>
    </row>
    <row r="25" customFormat="false" ht="15" hidden="false" customHeight="false" outlineLevel="0" collapsed="false">
      <c r="A25" s="36" t="s">
        <v>82</v>
      </c>
      <c r="B25" s="104" t="n">
        <v>0</v>
      </c>
      <c r="C25" s="129" t="n">
        <f aca="false">(-AS$16/1000000+C$20)*$B25</f>
        <v>-0</v>
      </c>
      <c r="D25" s="129" t="n">
        <f aca="false">(-AT$16/1000000+D$20)*$B25</f>
        <v>-0</v>
      </c>
      <c r="E25" s="129" t="n">
        <f aca="false">(-AU$16/1000000+E$20)*$B25</f>
        <v>-0</v>
      </c>
      <c r="F25" s="129" t="n">
        <f aca="false">(-AV$16/1000000+F$20)*$B25</f>
        <v>-0</v>
      </c>
      <c r="G25" s="129" t="n">
        <f aca="false">(-AW$16/1000000+G$20)*$B25</f>
        <v>-0</v>
      </c>
      <c r="H25" s="129" t="n">
        <f aca="false">(-AX$16/1000000+H$20)*$B25</f>
        <v>-0</v>
      </c>
      <c r="I25" s="129" t="n">
        <f aca="false">(-AY$16/1000000+I$20)*$B25</f>
        <v>-0</v>
      </c>
      <c r="J25" s="129" t="n">
        <f aca="false">(-AZ$16/1000000+J$20)*$B25</f>
        <v>-0</v>
      </c>
      <c r="K25" s="129" t="n">
        <f aca="false">(-BA$16/1000000+K$20)*$B25</f>
        <v>-0</v>
      </c>
      <c r="L25" s="129" t="n">
        <f aca="false">(-BB$16/1000000+L$20)*$B25</f>
        <v>-0</v>
      </c>
      <c r="M25" s="129" t="n">
        <f aca="false">(-BC$16/1000000+M$20)*$B25</f>
        <v>-0</v>
      </c>
      <c r="N25" s="129" t="n">
        <f aca="false">(-BD$16/1000000+N$20)*$B25</f>
        <v>-0</v>
      </c>
      <c r="O25" s="129" t="n">
        <f aca="false">SUM(C25:N25)</f>
        <v>0</v>
      </c>
      <c r="P25" s="128" t="n">
        <v>0</v>
      </c>
    </row>
    <row r="26" customFormat="false" ht="15" hidden="false" customHeight="false" outlineLevel="0" collapsed="false">
      <c r="A26" s="36" t="s">
        <v>83</v>
      </c>
      <c r="B26" s="104" t="n">
        <v>0.6252</v>
      </c>
      <c r="C26" s="129" t="n">
        <f aca="false">(-AS$16/1000000+C$20)*$B26</f>
        <v>-71.2503220921336</v>
      </c>
      <c r="D26" s="129" t="n">
        <f aca="false">(-AT$16/1000000+D$20)*$B26</f>
        <v>-72.5895740002543</v>
      </c>
      <c r="E26" s="129" t="n">
        <f aca="false">(-AU$16/1000000+E$20)*$B26</f>
        <v>-72.9674479118985</v>
      </c>
      <c r="F26" s="129" t="n">
        <f aca="false">(-AV$16/1000000+F$20)*$B26</f>
        <v>-74.1880094267577</v>
      </c>
      <c r="G26" s="129" t="n">
        <f aca="false">(-AW$16/1000000+G$20)*$B26</f>
        <v>-75.5729563600826</v>
      </c>
      <c r="H26" s="129" t="n">
        <f aca="false">(-AX$16/1000000+H$20)*$B26</f>
        <v>-73.6726938149534</v>
      </c>
      <c r="I26" s="129" t="n">
        <f aca="false">(-AY$16/1000000+I$20)*$B26</f>
        <v>-75.5142062188784</v>
      </c>
      <c r="J26" s="129" t="n">
        <f aca="false">(-AZ$16/1000000+J$20)*$B26</f>
        <v>-64.3228388768313</v>
      </c>
      <c r="K26" s="129" t="n">
        <f aca="false">(-BA$16/1000000+K$20)*$B26</f>
        <v>-74.9270811094276</v>
      </c>
      <c r="L26" s="129" t="n">
        <f aca="false">(-BB$16/1000000+L$20)*$B26</f>
        <v>-80.0062013428174</v>
      </c>
      <c r="M26" s="129" t="n">
        <f aca="false">(-BC$16/1000000+M$20)*$B26</f>
        <v>-80.0367705668191</v>
      </c>
      <c r="N26" s="129" t="n">
        <f aca="false">(-BD$16/1000000+N$20)*$B26</f>
        <v>-82.9660062414466</v>
      </c>
      <c r="O26" s="129" t="n">
        <f aca="false">SUM(C26:N26)</f>
        <v>-898.0141079623</v>
      </c>
      <c r="P26" s="128" t="n">
        <v>-700.268664288</v>
      </c>
    </row>
    <row r="27" customFormat="false" ht="15" hidden="false" customHeight="false" outlineLevel="0" collapsed="false">
      <c r="A27" s="36" t="s">
        <v>84</v>
      </c>
      <c r="B27" s="104" t="n">
        <v>0.0236</v>
      </c>
      <c r="C27" s="129" t="n">
        <f aca="false">(-AS$16/1000000+C$20)*$B27</f>
        <v>-2.68955150571714</v>
      </c>
      <c r="D27" s="129" t="n">
        <f aca="false">(-AT$16/1000000+D$20)*$B27</f>
        <v>-2.74010548049584</v>
      </c>
      <c r="E27" s="129" t="n">
        <f aca="false">(-AU$16/1000000+E$20)*$B27</f>
        <v>-2.75436943493411</v>
      </c>
      <c r="F27" s="129" t="n">
        <f aca="false">(-AV$16/1000000+F$20)*$B27</f>
        <v>-2.80044309416424</v>
      </c>
      <c r="G27" s="129" t="n">
        <f aca="false">(-AW$16/1000000+G$20)*$B27</f>
        <v>-2.85272196112916</v>
      </c>
      <c r="H27" s="129" t="n">
        <f aca="false">(-AX$16/1000000+H$20)*$B27</f>
        <v>-2.78099100133221</v>
      </c>
      <c r="I27" s="129" t="n">
        <f aca="false">(-AY$16/1000000+I$20)*$B27</f>
        <v>-2.8505042654599</v>
      </c>
      <c r="J27" s="129" t="n">
        <f aca="false">(-AZ$16/1000000+J$20)*$B27</f>
        <v>-2.4280534188951</v>
      </c>
      <c r="K27" s="129" t="n">
        <f aca="false">(-BA$16/1000000+K$20)*$B27</f>
        <v>-2.8283415134077</v>
      </c>
      <c r="L27" s="129" t="n">
        <f aca="false">(-BB$16/1000000+L$20)*$B27</f>
        <v>-3.02006774102766</v>
      </c>
      <c r="M27" s="129" t="n">
        <f aca="false">(-BC$16/1000000+M$20)*$B27</f>
        <v>-3.02122166567008</v>
      </c>
      <c r="N27" s="129" t="n">
        <f aca="false">(-BD$16/1000000+N$20)*$B27</f>
        <v>-3.13179422152614</v>
      </c>
      <c r="O27" s="129" t="n">
        <f aca="false">SUM(C27:N27)</f>
        <v>-33.8981653037593</v>
      </c>
      <c r="P27" s="128" t="n">
        <v>-26.433685984</v>
      </c>
    </row>
    <row r="28" customFormat="false" ht="15" hidden="false" customHeight="false" outlineLevel="0" collapsed="false">
      <c r="A28" s="36" t="s">
        <v>85</v>
      </c>
      <c r="B28" s="104" t="n">
        <v>0.0405</v>
      </c>
      <c r="C28" s="129" t="n">
        <f aca="false">(-AS$16/1000000+C$20)*$B28</f>
        <v>-4.61554389752305</v>
      </c>
      <c r="D28" s="129" t="n">
        <f aca="false">(-AT$16/1000000+D$20)*$B28</f>
        <v>-4.7022996593255</v>
      </c>
      <c r="E28" s="129" t="n">
        <f aca="false">(-AU$16/1000000+E$20)*$B28</f>
        <v>-4.7267780557132</v>
      </c>
      <c r="F28" s="129" t="n">
        <f aca="false">(-AV$16/1000000+F$20)*$B28</f>
        <v>-4.80584514040897</v>
      </c>
      <c r="G28" s="129" t="n">
        <f aca="false">(-AW$16/1000000+G$20)*$B28</f>
        <v>-4.89556099261572</v>
      </c>
      <c r="H28" s="129" t="n">
        <f aca="false">(-AX$16/1000000+H$20)*$B28</f>
        <v>-4.77246337093028</v>
      </c>
      <c r="I28" s="129" t="n">
        <f aca="false">(-AY$16/1000000+I$20)*$B28</f>
        <v>-4.8917552013189</v>
      </c>
      <c r="J28" s="129" t="n">
        <f aca="false">(-AZ$16/1000000+J$20)*$B28</f>
        <v>-4.16678658751066</v>
      </c>
      <c r="K28" s="129" t="n">
        <f aca="false">(-BA$16/1000000+K$20)*$B28</f>
        <v>-4.85372166495812</v>
      </c>
      <c r="L28" s="129" t="n">
        <f aca="false">(-BB$16/1000000+L$20)*$B28</f>
        <v>-5.18274336913644</v>
      </c>
      <c r="M28" s="129" t="n">
        <f aca="false">(-BC$16/1000000+M$20)*$B28</f>
        <v>-5.18472362117111</v>
      </c>
      <c r="N28" s="129" t="n">
        <f aca="false">(-BD$16/1000000+N$20)*$B28</f>
        <v>-5.3744773716868</v>
      </c>
      <c r="O28" s="129" t="n">
        <f aca="false">SUM(C28:N28)</f>
        <v>-58.1726989322987</v>
      </c>
      <c r="P28" s="128" t="n">
        <v>-45.36289332</v>
      </c>
    </row>
    <row r="29" customFormat="false" ht="15" hidden="false" customHeight="false" outlineLevel="0" collapsed="false">
      <c r="A29" s="36" t="s">
        <v>86</v>
      </c>
      <c r="B29" s="104" t="n">
        <v>0.1014</v>
      </c>
      <c r="C29" s="129" t="n">
        <f aca="false">(-AS$16/1000000+C$20)*$B29</f>
        <v>-11.5559543508355</v>
      </c>
      <c r="D29" s="129" t="n">
        <f aca="false">(-AT$16/1000000+D$20)*$B29</f>
        <v>-11.7731650729779</v>
      </c>
      <c r="E29" s="129" t="n">
        <f aca="false">(-AU$16/1000000+E$20)*$B29</f>
        <v>-11.8344517246745</v>
      </c>
      <c r="F29" s="129" t="n">
        <f aca="false">(-AV$16/1000000+F$20)*$B29</f>
        <v>-12.0324122774684</v>
      </c>
      <c r="G29" s="129" t="n">
        <f aca="false">(-AW$16/1000000+G$20)*$B29</f>
        <v>-12.2570341889193</v>
      </c>
      <c r="H29" s="129" t="n">
        <f aca="false">(-AX$16/1000000+H$20)*$B29</f>
        <v>-11.9488342175884</v>
      </c>
      <c r="I29" s="129" t="n">
        <f aca="false">(-AY$16/1000000+I$20)*$B29</f>
        <v>-12.247505615154</v>
      </c>
      <c r="J29" s="129" t="n">
        <f aca="false">(-AZ$16/1000000+J$20)*$B29</f>
        <v>-10.4323990116934</v>
      </c>
      <c r="K29" s="129" t="n">
        <f aca="false">(-BA$16/1000000+K$20)*$B29</f>
        <v>-12.1522809093026</v>
      </c>
      <c r="L29" s="129" t="n">
        <f aca="false">(-BB$16/1000000+L$20)*$B29</f>
        <v>-12.9760537686527</v>
      </c>
      <c r="M29" s="129" t="n">
        <f aca="false">(-BC$16/1000000+M$20)*$B29</f>
        <v>-12.9810117330062</v>
      </c>
      <c r="N29" s="129" t="n">
        <f aca="false">(-BD$16/1000000+N$20)*$B29</f>
        <v>-13.456098900964</v>
      </c>
      <c r="O29" s="129" t="n">
        <f aca="false">SUM(C29:N29)</f>
        <v>-145.647201771237</v>
      </c>
      <c r="P29" s="128" t="n">
        <v>-113.575244016</v>
      </c>
    </row>
    <row r="30" customFormat="false" ht="15" hidden="false" customHeight="false" outlineLevel="0" collapsed="false">
      <c r="A30" s="36" t="s">
        <v>87</v>
      </c>
      <c r="B30" s="104" t="n">
        <v>0.0294</v>
      </c>
      <c r="C30" s="129" t="n">
        <f aca="false">(-AS$16/1000000+C$20)*$B30</f>
        <v>-3.35054297746118</v>
      </c>
      <c r="D30" s="129" t="n">
        <f aca="false">(-AT$16/1000000+D$20)*$B30</f>
        <v>-3.41352123417703</v>
      </c>
      <c r="E30" s="129" t="n">
        <f aca="false">(-AU$16/1000000+E$20)*$B30</f>
        <v>-3.43129073673995</v>
      </c>
      <c r="F30" s="129" t="n">
        <f aca="false">(-AV$16/1000000+F$20)*$B30</f>
        <v>-3.48868758340799</v>
      </c>
      <c r="G30" s="129" t="n">
        <f aca="false">(-AW$16/1000000+G$20)*$B30</f>
        <v>-3.55381464649141</v>
      </c>
      <c r="H30" s="129" t="n">
        <f aca="false">(-AX$16/1000000+H$20)*$B30</f>
        <v>-3.46445489149013</v>
      </c>
      <c r="I30" s="129" t="n">
        <f aca="false">(-AY$16/1000000+I$20)*$B30</f>
        <v>-3.55105192392038</v>
      </c>
      <c r="J30" s="129" t="n">
        <f aca="false">(-AZ$16/1000000+J$20)*$B30</f>
        <v>-3.02477841167441</v>
      </c>
      <c r="K30" s="129" t="n">
        <f aca="false">(-BA$16/1000000+K$20)*$B30</f>
        <v>-3.52344239382145</v>
      </c>
      <c r="L30" s="129" t="n">
        <f aca="false">(-BB$16/1000000+L$20)*$B30</f>
        <v>-3.76228777907682</v>
      </c>
      <c r="M30" s="129" t="n">
        <f aca="false">(-BC$16/1000000+M$20)*$B30</f>
        <v>-3.76372529536865</v>
      </c>
      <c r="N30" s="129" t="n">
        <f aca="false">(-BD$16/1000000+N$20)*$B30</f>
        <v>-3.90147246240968</v>
      </c>
      <c r="O30" s="129" t="n">
        <f aca="false">SUM(C30:N30)</f>
        <v>-42.2290703360391</v>
      </c>
      <c r="P30" s="128" t="n">
        <v>-32.930100336</v>
      </c>
    </row>
    <row r="31" customFormat="false" ht="15" hidden="false" customHeight="false" outlineLevel="0" collapsed="false">
      <c r="A31" s="102" t="s">
        <v>690</v>
      </c>
      <c r="B31" s="97" t="n">
        <f aca="false">SUM(B24:B30)</f>
        <v>1</v>
      </c>
      <c r="C31" s="167" t="n">
        <f aca="false">SUM(C24:C30)</f>
        <v>-113.964046852421</v>
      </c>
      <c r="D31" s="167" t="n">
        <f aca="false">SUM(D24:D30)</f>
        <v>-116.10616442779</v>
      </c>
      <c r="E31" s="167" t="n">
        <f aca="false">SUM(E24:E30)</f>
        <v>-116.710569276869</v>
      </c>
      <c r="F31" s="167" t="n">
        <f aca="false">SUM(F24:F30)</f>
        <v>-118.662842973061</v>
      </c>
      <c r="G31" s="167" t="n">
        <f aca="false">SUM(G24:G30)</f>
        <v>-120.878049200388</v>
      </c>
      <c r="H31" s="167" t="n">
        <f aca="false">SUM(H24:H30)</f>
        <v>-117.838601751365</v>
      </c>
      <c r="I31" s="167" t="n">
        <f aca="false">SUM(I24:I30)</f>
        <v>-120.784079044911</v>
      </c>
      <c r="J31" s="167" t="n">
        <f aca="false">SUM(J24:J30)</f>
        <v>-102.883619444708</v>
      </c>
      <c r="K31" s="167" t="n">
        <f aca="false">SUM(K24:K30)</f>
        <v>-119.844979381682</v>
      </c>
      <c r="L31" s="167" t="n">
        <f aca="false">SUM(L24:L30)</f>
        <v>-127.968972077443</v>
      </c>
      <c r="M31" s="167" t="n">
        <f aca="false">SUM(M24:M30)</f>
        <v>-128.01786718941</v>
      </c>
      <c r="N31" s="167" t="n">
        <f aca="false">SUM(N24:N30)</f>
        <v>-132.703144979921</v>
      </c>
      <c r="O31" s="167" t="n">
        <f aca="false">SUM(C31:N31)</f>
        <v>-1436.36293659997</v>
      </c>
      <c r="P31" s="167" t="n">
        <v>-1120.07144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04A7B"/>
    <pageSetUpPr fitToPage="false"/>
  </sheetPr>
  <dimension ref="A1:AK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2.75" zeroHeight="false" outlineLevelRow="0" outlineLevelCol="1"/>
  <cols>
    <col collapsed="false" customWidth="false" hidden="false" outlineLevel="0" max="1" min="1" style="49" width="8.83"/>
    <col collapsed="false" customWidth="true" hidden="false" outlineLevel="0" max="2" min="2" style="49" width="15.16"/>
    <col collapsed="false" customWidth="true" hidden="false" outlineLevel="0" max="4" min="3" style="49" width="23.83"/>
    <col collapsed="false" customWidth="true" hidden="false" outlineLevel="0" max="5" min="5" style="49" width="19.52"/>
    <col collapsed="false" customWidth="false" hidden="false" outlineLevel="1" max="6" min="6" style="49" width="8.83"/>
    <col collapsed="false" customWidth="true" hidden="false" outlineLevel="1" max="7" min="7" style="49" width="9.33"/>
    <col collapsed="false" customWidth="false" hidden="false" outlineLevel="1" max="17" min="8" style="49" width="8.83"/>
    <col collapsed="false" customWidth="false" hidden="false" outlineLevel="0" max="19" min="18" style="49" width="8.83"/>
    <col collapsed="false" customWidth="true" hidden="false" outlineLevel="0" max="20" min="20" style="49" width="2.5"/>
    <col collapsed="false" customWidth="false" hidden="false" outlineLevel="0" max="21" min="21" style="49" width="8.83"/>
    <col collapsed="false" customWidth="true" hidden="false" outlineLevel="0" max="22" min="22" style="49" width="2.5"/>
    <col collapsed="false" customWidth="true" hidden="false" outlineLevel="0" max="23" min="23" style="49" width="17.5"/>
    <col collapsed="false" customWidth="false" hidden="false" outlineLevel="0" max="16384" min="24" style="49" width="8.83"/>
  </cols>
  <sheetData>
    <row r="1" customFormat="false" ht="12.75" hidden="false" customHeight="false" outlineLevel="0" collapsed="false">
      <c r="B1" s="51" t="s">
        <v>691</v>
      </c>
      <c r="C1" s="51"/>
      <c r="D1" s="51"/>
      <c r="E1" s="51"/>
    </row>
    <row r="2" customFormat="false" ht="12.75" hidden="false" customHeight="false" outlineLevel="0" collapsed="false">
      <c r="A2" s="272"/>
      <c r="B2" s="273" t="s">
        <v>692</v>
      </c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  <c r="N2" s="272"/>
      <c r="O2" s="272"/>
      <c r="P2" s="272"/>
      <c r="Q2" s="272"/>
      <c r="R2" s="272"/>
      <c r="S2" s="272"/>
      <c r="T2" s="272"/>
      <c r="U2" s="272"/>
      <c r="V2" s="272"/>
      <c r="W2" s="273" t="s">
        <v>693</v>
      </c>
      <c r="X2" s="272"/>
      <c r="Y2" s="272"/>
      <c r="Z2" s="272"/>
      <c r="AA2" s="272"/>
      <c r="AB2" s="272"/>
      <c r="AC2" s="272"/>
      <c r="AD2" s="272"/>
      <c r="AE2" s="272"/>
      <c r="AF2" s="272"/>
      <c r="AG2" s="272"/>
      <c r="AH2" s="272"/>
      <c r="AI2" s="272"/>
      <c r="AJ2" s="272"/>
      <c r="AK2" s="272"/>
    </row>
    <row r="3" customFormat="false" ht="12.75" hidden="false" customHeight="false" outlineLevel="0" collapsed="false">
      <c r="A3" s="36"/>
      <c r="B3" s="274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274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</row>
    <row r="4" customFormat="false" ht="12.75" hidden="false" customHeight="false" outlineLevel="0" collapsed="false">
      <c r="B4" s="5" t="s">
        <v>8</v>
      </c>
      <c r="C4" s="5"/>
      <c r="D4" s="6"/>
      <c r="E4" s="6"/>
      <c r="F4" s="6" t="s">
        <v>9</v>
      </c>
      <c r="G4" s="6" t="s">
        <v>10</v>
      </c>
      <c r="H4" s="6" t="s">
        <v>11</v>
      </c>
      <c r="I4" s="6" t="s">
        <v>12</v>
      </c>
      <c r="J4" s="6" t="s">
        <v>13</v>
      </c>
      <c r="K4" s="6" t="s">
        <v>14</v>
      </c>
      <c r="L4" s="6" t="s">
        <v>15</v>
      </c>
      <c r="M4" s="6" t="s">
        <v>16</v>
      </c>
      <c r="N4" s="6" t="s">
        <v>17</v>
      </c>
      <c r="O4" s="6" t="s">
        <v>18</v>
      </c>
      <c r="P4" s="6" t="s">
        <v>19</v>
      </c>
      <c r="Q4" s="6" t="s">
        <v>20</v>
      </c>
      <c r="R4" s="6" t="s">
        <v>72</v>
      </c>
      <c r="S4" s="6" t="s">
        <v>73</v>
      </c>
      <c r="U4" s="275" t="s">
        <v>694</v>
      </c>
      <c r="W4" s="6" t="s">
        <v>695</v>
      </c>
      <c r="X4" s="6" t="s">
        <v>9</v>
      </c>
      <c r="Y4" s="6" t="s">
        <v>10</v>
      </c>
      <c r="Z4" s="6" t="s">
        <v>11</v>
      </c>
      <c r="AA4" s="6" t="s">
        <v>12</v>
      </c>
      <c r="AB4" s="6" t="s">
        <v>13</v>
      </c>
      <c r="AC4" s="6" t="s">
        <v>14</v>
      </c>
      <c r="AD4" s="6" t="s">
        <v>15</v>
      </c>
      <c r="AE4" s="6" t="s">
        <v>16</v>
      </c>
      <c r="AF4" s="6" t="s">
        <v>17</v>
      </c>
      <c r="AG4" s="6" t="s">
        <v>18</v>
      </c>
      <c r="AH4" s="6" t="s">
        <v>19</v>
      </c>
      <c r="AI4" s="6" t="s">
        <v>20</v>
      </c>
      <c r="AJ4" s="6" t="s">
        <v>72</v>
      </c>
      <c r="AK4" s="6" t="s">
        <v>73</v>
      </c>
    </row>
    <row r="5" customFormat="false" ht="12.75" hidden="false" customHeight="false" outlineLevel="0" collapsed="false">
      <c r="B5" s="74" t="s">
        <v>28</v>
      </c>
      <c r="C5" s="74"/>
      <c r="D5" s="74"/>
      <c r="E5" s="74"/>
      <c r="F5" s="57" t="n">
        <f aca="false">'APP Медиа'!C54+'APP Перформанс'!C24</f>
        <v>153.924683950421</v>
      </c>
      <c r="G5" s="57" t="n">
        <f aca="false">'APP Медиа'!D54+'APP Перформанс'!D24</f>
        <v>384.811709876052</v>
      </c>
      <c r="H5" s="57" t="n">
        <f aca="false">'APP Медиа'!E54+'APP Перформанс'!E24</f>
        <v>538.736393826474</v>
      </c>
      <c r="I5" s="57" t="n">
        <f aca="false">'APP Медиа'!F54+'APP Перформанс'!F24</f>
        <v>538.736393826472</v>
      </c>
      <c r="J5" s="57" t="n">
        <f aca="false">'APP Медиа'!G54+'APP Перформанс'!G24</f>
        <v>538.736393826475</v>
      </c>
      <c r="K5" s="57" t="n">
        <f aca="false">'APP Медиа'!H54+'APP Перформанс'!H24</f>
        <v>538.736393826474</v>
      </c>
      <c r="L5" s="57" t="n">
        <f aca="false">'APP Медиа'!I54+'APP Перформанс'!I24</f>
        <v>538.736393826474</v>
      </c>
      <c r="M5" s="57" t="n">
        <f aca="false">'APP Медиа'!J54+'APP Перформанс'!J24</f>
        <v>615.698735801682</v>
      </c>
      <c r="N5" s="57" t="n">
        <f aca="false">'APP Медиа'!K54+'APP Перформанс'!K24</f>
        <v>615.698735801684</v>
      </c>
      <c r="O5" s="57" t="n">
        <f aca="false">'APP Медиа'!L54+'APP Перформанс'!L24</f>
        <v>846.585761727311</v>
      </c>
      <c r="P5" s="57" t="n">
        <f aca="false">'APP Медиа'!M54+'APP Перформанс'!M24</f>
        <v>1077.47278765294</v>
      </c>
      <c r="Q5" s="57" t="n">
        <f aca="false">'APP Медиа'!N54+'APP Перформанс'!N24</f>
        <v>1308.35981357858</v>
      </c>
      <c r="R5" s="13" t="n">
        <f aca="false">SUM(F5:Q5)</f>
        <v>7696.23419752104</v>
      </c>
      <c r="S5" s="58" t="n">
        <f aca="false">'APP Медиа'!P54+'APP Перформанс'!P24</f>
        <v>6195.4</v>
      </c>
      <c r="W5" s="276" t="s">
        <v>30</v>
      </c>
      <c r="X5" s="277" t="n">
        <f aca="false">F5</f>
        <v>153.924683950421</v>
      </c>
      <c r="Y5" s="277" t="n">
        <f aca="false">G5</f>
        <v>384.811709876052</v>
      </c>
      <c r="Z5" s="277" t="n">
        <f aca="false">H5</f>
        <v>538.736393826474</v>
      </c>
      <c r="AA5" s="277" t="n">
        <f aca="false">I5</f>
        <v>538.736393826472</v>
      </c>
      <c r="AB5" s="277" t="n">
        <f aca="false">J5</f>
        <v>538.736393826475</v>
      </c>
      <c r="AC5" s="277" t="n">
        <f aca="false">K5</f>
        <v>538.736393826474</v>
      </c>
      <c r="AD5" s="277" t="n">
        <f aca="false">L5</f>
        <v>538.736393826474</v>
      </c>
      <c r="AE5" s="277" t="n">
        <f aca="false">M5</f>
        <v>615.698735801682</v>
      </c>
      <c r="AF5" s="277" t="n">
        <f aca="false">N5</f>
        <v>615.698735801684</v>
      </c>
      <c r="AG5" s="277" t="n">
        <f aca="false">O5</f>
        <v>846.585761727311</v>
      </c>
      <c r="AH5" s="277" t="n">
        <f aca="false">P5</f>
        <v>1077.47278765294</v>
      </c>
      <c r="AI5" s="277" t="n">
        <f aca="false">Q5</f>
        <v>1308.35981357858</v>
      </c>
      <c r="AJ5" s="277" t="n">
        <f aca="false">SUM(X5:AI5)</f>
        <v>7696.23419752104</v>
      </c>
      <c r="AK5" s="277" t="n">
        <f aca="false">S5</f>
        <v>6195.4</v>
      </c>
    </row>
    <row r="6" customFormat="false" ht="12.75" hidden="false" customHeight="false" outlineLevel="0" collapsed="false">
      <c r="B6" s="74" t="s">
        <v>74</v>
      </c>
      <c r="C6" s="74"/>
      <c r="D6" s="74"/>
      <c r="E6" s="74"/>
      <c r="F6" s="13" t="n">
        <f aca="false">'Content factory'!C31</f>
        <v>4.266</v>
      </c>
      <c r="G6" s="13" t="n">
        <f aca="false">'Content factory'!D31</f>
        <v>10.665</v>
      </c>
      <c r="H6" s="13" t="n">
        <f aca="false">'Content factory'!E31</f>
        <v>14.931</v>
      </c>
      <c r="I6" s="13" t="n">
        <f aca="false">'Content factory'!F31</f>
        <v>14.931</v>
      </c>
      <c r="J6" s="13" t="n">
        <f aca="false">'Content factory'!G31</f>
        <v>14.931</v>
      </c>
      <c r="K6" s="13" t="n">
        <f aca="false">'Content factory'!H31</f>
        <v>14.931</v>
      </c>
      <c r="L6" s="13" t="n">
        <f aca="false">'Content factory'!I31</f>
        <v>14.931</v>
      </c>
      <c r="M6" s="13" t="n">
        <f aca="false">'Content factory'!J31</f>
        <v>17.064</v>
      </c>
      <c r="N6" s="13" t="n">
        <f aca="false">'Content factory'!K31</f>
        <v>17.064</v>
      </c>
      <c r="O6" s="13" t="n">
        <f aca="false">'Content factory'!L31</f>
        <v>23.4630000000001</v>
      </c>
      <c r="P6" s="13" t="n">
        <f aca="false">'Content factory'!M31</f>
        <v>29.862</v>
      </c>
      <c r="Q6" s="13" t="n">
        <f aca="false">'Content factory'!N31</f>
        <v>36.2609999999999</v>
      </c>
      <c r="R6" s="13" t="n">
        <f aca="false">SUM(F6:Q6)</f>
        <v>213.3</v>
      </c>
      <c r="S6" s="58" t="n">
        <f aca="false">'Content factory'!P31</f>
        <v>0</v>
      </c>
      <c r="W6" s="276" t="s">
        <v>34</v>
      </c>
      <c r="X6" s="278" t="n">
        <f aca="false">F22+F30</f>
        <v>61.1195373501862</v>
      </c>
      <c r="Y6" s="278" t="n">
        <f aca="false">G22+G30</f>
        <v>152.801891650311</v>
      </c>
      <c r="Z6" s="278" t="n">
        <f aca="false">H22+H30</f>
        <v>213.918380725652</v>
      </c>
      <c r="AA6" s="278" t="n">
        <f aca="false">I22+I30</f>
        <v>213.909235901115</v>
      </c>
      <c r="AB6" s="278" t="n">
        <f aca="false">J22+J30</f>
        <v>213.918380725652</v>
      </c>
      <c r="AC6" s="278" t="n">
        <f aca="false">K22+K30</f>
        <v>213.918380725652</v>
      </c>
      <c r="AD6" s="278" t="n">
        <f aca="false">L22+L30</f>
        <v>213.918380725652</v>
      </c>
      <c r="AE6" s="278" t="n">
        <f aca="false">M22+M30</f>
        <v>244.462908026516</v>
      </c>
      <c r="AF6" s="278" t="n">
        <f aca="false">N22+N30</f>
        <v>244.462908026516</v>
      </c>
      <c r="AG6" s="278" t="n">
        <f aca="false">O22+O30</f>
        <v>336.157455426025</v>
      </c>
      <c r="AH6" s="278" t="n">
        <f aca="false">P22+P30</f>
        <v>427.836761451304</v>
      </c>
      <c r="AI6" s="278" t="n">
        <f aca="false">Q22+Q30</f>
        <v>519.516067476583</v>
      </c>
      <c r="AJ6" s="13" t="n">
        <f aca="false">SUM(X6:AI6)</f>
        <v>3055.94028821117</v>
      </c>
      <c r="AK6" s="278" t="n">
        <f aca="false">S22+S30</f>
        <v>1862.31305640496</v>
      </c>
    </row>
    <row r="7" customFormat="false" ht="12.75" hidden="false" customHeight="false" outlineLevel="0" collapsed="false">
      <c r="B7" s="74" t="s">
        <v>75</v>
      </c>
      <c r="C7" s="74"/>
      <c r="D7" s="74"/>
      <c r="E7" s="74"/>
      <c r="F7" s="13" t="n">
        <f aca="false">DMP!C20</f>
        <v>3.74</v>
      </c>
      <c r="G7" s="13" t="n">
        <f aca="false">DMP!D20</f>
        <v>9.35</v>
      </c>
      <c r="H7" s="13" t="n">
        <f aca="false">DMP!E20</f>
        <v>13.09</v>
      </c>
      <c r="I7" s="13" t="n">
        <f aca="false">DMP!F20</f>
        <v>13.09</v>
      </c>
      <c r="J7" s="13" t="n">
        <f aca="false">DMP!G20</f>
        <v>13.09</v>
      </c>
      <c r="K7" s="13" t="n">
        <f aca="false">DMP!H20</f>
        <v>13.09</v>
      </c>
      <c r="L7" s="13" t="n">
        <f aca="false">DMP!I20</f>
        <v>13.09</v>
      </c>
      <c r="M7" s="13" t="n">
        <f aca="false">DMP!J20</f>
        <v>14.96</v>
      </c>
      <c r="N7" s="13" t="n">
        <f aca="false">DMP!K20</f>
        <v>14.96</v>
      </c>
      <c r="O7" s="13" t="n">
        <f aca="false">DMP!L20</f>
        <v>20.57</v>
      </c>
      <c r="P7" s="13" t="n">
        <f aca="false">DMP!M20</f>
        <v>26.18</v>
      </c>
      <c r="Q7" s="13" t="n">
        <f aca="false">DMP!N20</f>
        <v>31.7900000000001</v>
      </c>
      <c r="R7" s="13" t="n">
        <f aca="false">SUM(F7:Q7)</f>
        <v>187</v>
      </c>
      <c r="S7" s="13" t="n">
        <f aca="false">DMP!P20</f>
        <v>102.4</v>
      </c>
      <c r="W7" s="276" t="s">
        <v>33</v>
      </c>
      <c r="X7" s="278" t="n">
        <f aca="false">F21+F33</f>
        <v>32.7959633111367</v>
      </c>
      <c r="Y7" s="278" t="n">
        <f aca="false">G21+G33</f>
        <v>81.9903454802508</v>
      </c>
      <c r="Z7" s="278" t="n">
        <f aca="false">H21+H33</f>
        <v>114.785871588979</v>
      </c>
      <c r="AA7" s="278" t="n">
        <f aca="false">I21+I33</f>
        <v>114.784559981751</v>
      </c>
      <c r="AB7" s="278" t="n">
        <f aca="false">J21+J33</f>
        <v>114.785871588979</v>
      </c>
      <c r="AC7" s="278" t="n">
        <f aca="false">K21+K33</f>
        <v>114.785871588979</v>
      </c>
      <c r="AD7" s="278" t="n">
        <f aca="false">L21+L33</f>
        <v>114.785871588979</v>
      </c>
      <c r="AE7" s="278" t="n">
        <f aca="false">M21+M33</f>
        <v>131.181667232502</v>
      </c>
      <c r="AF7" s="278" t="n">
        <f aca="false">N21+N33</f>
        <v>131.181667232502</v>
      </c>
      <c r="AG7" s="278" t="n">
        <f aca="false">O21+O33</f>
        <v>180.377798211252</v>
      </c>
      <c r="AH7" s="278" t="n">
        <f aca="false">P21+P33</f>
        <v>229.571743177957</v>
      </c>
      <c r="AI7" s="278" t="n">
        <f aca="false">Q21+Q33</f>
        <v>278.765688144662</v>
      </c>
      <c r="AJ7" s="13" t="n">
        <f aca="false">SUM(X7:AI7)</f>
        <v>1639.79291912793</v>
      </c>
      <c r="AK7" s="278" t="n">
        <f aca="false">S21+S33</f>
        <v>1008.27425599997</v>
      </c>
    </row>
    <row r="8" customFormat="false" ht="12.75" hidden="false" customHeight="false" outlineLevel="0" collapsed="false">
      <c r="B8" s="74" t="s">
        <v>76</v>
      </c>
      <c r="C8" s="74"/>
      <c r="D8" s="74"/>
      <c r="E8" s="74"/>
      <c r="F8" s="13" t="n">
        <f aca="false">DMP!C9</f>
        <v>32</v>
      </c>
      <c r="G8" s="13" t="n">
        <f aca="false">DMP!D9</f>
        <v>80</v>
      </c>
      <c r="H8" s="13" t="n">
        <f aca="false">DMP!E9</f>
        <v>112</v>
      </c>
      <c r="I8" s="13" t="n">
        <f aca="false">DMP!F9</f>
        <v>112</v>
      </c>
      <c r="J8" s="13" t="n">
        <f aca="false">DMP!G9</f>
        <v>112</v>
      </c>
      <c r="K8" s="13" t="n">
        <f aca="false">DMP!H9</f>
        <v>112</v>
      </c>
      <c r="L8" s="13" t="n">
        <f aca="false">DMP!I9</f>
        <v>112</v>
      </c>
      <c r="M8" s="13" t="n">
        <f aca="false">DMP!J9</f>
        <v>128</v>
      </c>
      <c r="N8" s="13" t="n">
        <f aca="false">DMP!K9</f>
        <v>128</v>
      </c>
      <c r="O8" s="13" t="n">
        <f aca="false">DMP!L9</f>
        <v>176</v>
      </c>
      <c r="P8" s="13" t="n">
        <f aca="false">DMP!M9</f>
        <v>224</v>
      </c>
      <c r="Q8" s="13" t="n">
        <f aca="false">DMP!N9</f>
        <v>272</v>
      </c>
      <c r="R8" s="13" t="n">
        <f aca="false">SUM(F8:Q8)</f>
        <v>1600</v>
      </c>
      <c r="S8" s="13" t="n">
        <f aca="false">DMP!P9</f>
        <v>987</v>
      </c>
      <c r="W8" s="276" t="s">
        <v>35</v>
      </c>
      <c r="X8" s="278" t="n">
        <f aca="false">F23+F31</f>
        <v>11.1574430084641</v>
      </c>
      <c r="Y8" s="278" t="n">
        <f aca="false">G23+G31</f>
        <v>27.8941932603489</v>
      </c>
      <c r="Z8" s="278" t="n">
        <f aca="false">H23+H31</f>
        <v>39.0510505296243</v>
      </c>
      <c r="AA8" s="278" t="n">
        <f aca="false">I23+I31</f>
        <v>39.0492933120581</v>
      </c>
      <c r="AB8" s="278" t="n">
        <f aca="false">J23+J31</f>
        <v>39.0510505296243</v>
      </c>
      <c r="AC8" s="278" t="n">
        <f aca="false">K23+K31</f>
        <v>39.0510505296243</v>
      </c>
      <c r="AD8" s="278" t="n">
        <f aca="false">L23+L31</f>
        <v>39.0510505296243</v>
      </c>
      <c r="AE8" s="278" t="n">
        <f aca="false">M23+M31</f>
        <v>44.6268433379126</v>
      </c>
      <c r="AF8" s="278" t="n">
        <f aca="false">N23+N31</f>
        <v>44.6268433379126</v>
      </c>
      <c r="AG8" s="278" t="n">
        <f aca="false">O23+O31</f>
        <v>61.3659365465524</v>
      </c>
      <c r="AH8" s="278" t="n">
        <f aca="false">P23+P31</f>
        <v>78.1021010592485</v>
      </c>
      <c r="AI8" s="278" t="n">
        <f aca="false">Q23+Q31</f>
        <v>94.8382655719446</v>
      </c>
      <c r="AJ8" s="13" t="n">
        <f aca="false">SUM(X8:AI8)</f>
        <v>557.865121552939</v>
      </c>
      <c r="AK8" s="278" t="n">
        <f aca="false">S23+S31</f>
        <v>339.748064288638</v>
      </c>
    </row>
    <row r="9" customFormat="false" ht="12.75" hidden="false" customHeight="false" outlineLevel="0" collapsed="false">
      <c r="B9" s="74" t="s">
        <v>39</v>
      </c>
      <c r="C9" s="74"/>
      <c r="D9" s="74"/>
      <c r="E9" s="74"/>
      <c r="F9" s="13" t="n">
        <f aca="false">'In-store'!C28</f>
        <v>80.3909071359999</v>
      </c>
      <c r="G9" s="13" t="n">
        <f aca="false">'In-store'!D28</f>
        <v>200.981734001507</v>
      </c>
      <c r="H9" s="13" t="n">
        <f aca="false">'In-store'!E28</f>
        <v>281.368174976</v>
      </c>
      <c r="I9" s="13" t="n">
        <f aca="false">'In-store'!F28</f>
        <v>281.354776491477</v>
      </c>
      <c r="J9" s="13" t="n">
        <f aca="false">'In-store'!G28</f>
        <v>281.368174976</v>
      </c>
      <c r="K9" s="13" t="n">
        <f aca="false">'In-store'!H28</f>
        <v>281.368174976</v>
      </c>
      <c r="L9" s="13" t="n">
        <f aca="false">'In-store'!I28</f>
        <v>281.368174976</v>
      </c>
      <c r="M9" s="13" t="n">
        <f aca="false">'In-store'!J28</f>
        <v>321.541297736462</v>
      </c>
      <c r="N9" s="13" t="n">
        <f aca="false">'In-store'!K28</f>
        <v>321.541297736462</v>
      </c>
      <c r="O9" s="13" t="n">
        <f aca="false">'In-store'!L28</f>
        <v>442.149989248</v>
      </c>
      <c r="P9" s="13" t="n">
        <f aca="false">'In-store'!M28</f>
        <v>562.736349952</v>
      </c>
      <c r="Q9" s="13" t="n">
        <f aca="false">'In-store'!N28</f>
        <v>683.322710656</v>
      </c>
      <c r="R9" s="13" t="n">
        <f aca="false">SUM(F9:Q9)</f>
        <v>4019.49176286191</v>
      </c>
      <c r="S9" s="13" t="n">
        <f aca="false">'In-store'!P28</f>
        <v>2446.0892363</v>
      </c>
      <c r="W9" s="276" t="s">
        <v>36</v>
      </c>
      <c r="X9" s="278" t="n">
        <f aca="false">F24+F32</f>
        <v>4.98063790034317</v>
      </c>
      <c r="Y9" s="278" t="n">
        <f aca="false">G24+G32</f>
        <v>12.4518598445016</v>
      </c>
      <c r="Z9" s="278" t="n">
        <f aca="false">H24+H32</f>
        <v>17.4322326512011</v>
      </c>
      <c r="AA9" s="278" t="n">
        <f aca="false">I24+I32</f>
        <v>17.4314373702702</v>
      </c>
      <c r="AB9" s="278" t="n">
        <f aca="false">J24+J32</f>
        <v>17.4322326512011</v>
      </c>
      <c r="AC9" s="278" t="n">
        <f aca="false">K24+K32</f>
        <v>17.4322326512011</v>
      </c>
      <c r="AD9" s="278" t="n">
        <f aca="false">L24+L32</f>
        <v>17.4322326512011</v>
      </c>
      <c r="AE9" s="278" t="n">
        <f aca="false">M24+M32</f>
        <v>19.9212261331545</v>
      </c>
      <c r="AF9" s="278" t="n">
        <f aca="false">N24+N32</f>
        <v>19.9212261331545</v>
      </c>
      <c r="AG9" s="278" t="n">
        <f aca="false">O24+O32</f>
        <v>27.3935084518875</v>
      </c>
      <c r="AH9" s="278" t="n">
        <f aca="false">P24+P32</f>
        <v>34.8644653024022</v>
      </c>
      <c r="AI9" s="278" t="n">
        <f aca="false">Q24+Q32</f>
        <v>42.335422152917</v>
      </c>
      <c r="AJ9" s="13" t="n">
        <f aca="false">SUM(X9:AI9)</f>
        <v>249.028713893435</v>
      </c>
      <c r="AK9" s="278" t="n">
        <f aca="false">S24+S32</f>
        <v>151.635033957028</v>
      </c>
    </row>
    <row r="10" customFormat="false" ht="12.75" hidden="false" customHeight="false" outlineLevel="0" collapsed="false">
      <c r="B10" s="74" t="s">
        <v>77</v>
      </c>
      <c r="C10" s="74"/>
      <c r="D10" s="74"/>
      <c r="F10" s="279" t="n">
        <f aca="false">RMN!B$18</f>
        <v>17.0041828989972</v>
      </c>
      <c r="G10" s="279" t="n">
        <f aca="false">RMN!C$18</f>
        <v>42.510457247493</v>
      </c>
      <c r="H10" s="279" t="n">
        <f aca="false">RMN!D$18</f>
        <v>59.5146401464902</v>
      </c>
      <c r="I10" s="279" t="n">
        <f aca="false">RMN!E$18</f>
        <v>59.5146401464902</v>
      </c>
      <c r="J10" s="279" t="n">
        <f aca="false">RMN!F$18</f>
        <v>59.5146401464902</v>
      </c>
      <c r="K10" s="279" t="n">
        <f aca="false">RMN!G$18</f>
        <v>59.5146401464902</v>
      </c>
      <c r="L10" s="279" t="n">
        <f aca="false">RMN!H$18</f>
        <v>59.5146401464902</v>
      </c>
      <c r="M10" s="279" t="n">
        <f aca="false">RMN!I$18</f>
        <v>68.0167315959888</v>
      </c>
      <c r="N10" s="279" t="n">
        <f aca="false">RMN!J$18</f>
        <v>68.0167315959888</v>
      </c>
      <c r="O10" s="279" t="n">
        <f aca="false">RMN!K$18</f>
        <v>93.5230059444846</v>
      </c>
      <c r="P10" s="279" t="n">
        <f aca="false">RMN!L$18</f>
        <v>119.02928029298</v>
      </c>
      <c r="Q10" s="279" t="n">
        <f aca="false">RMN!M$18</f>
        <v>144.535554641476</v>
      </c>
      <c r="R10" s="13" t="n">
        <f aca="false">SUM(F10:Q10)</f>
        <v>850.209144949859</v>
      </c>
      <c r="S10" s="58" t="n">
        <v>592.56</v>
      </c>
      <c r="W10" s="276" t="s">
        <v>40</v>
      </c>
      <c r="X10" s="278" t="n">
        <f aca="false">F34</f>
        <v>2.33732556586968</v>
      </c>
      <c r="Y10" s="278" t="n">
        <f aca="false">G34</f>
        <v>5.84344376609452</v>
      </c>
      <c r="Z10" s="278" t="n">
        <f aca="false">H34</f>
        <v>8.18063948054387</v>
      </c>
      <c r="AA10" s="278" t="n">
        <f aca="false">I34</f>
        <v>8.1802499262829</v>
      </c>
      <c r="AB10" s="278" t="n">
        <f aca="false">J34</f>
        <v>8.18063948054387</v>
      </c>
      <c r="AC10" s="278" t="n">
        <f aca="false">K34</f>
        <v>8.18063948054388</v>
      </c>
      <c r="AD10" s="278" t="n">
        <f aca="false">L34</f>
        <v>8.18063948054388</v>
      </c>
      <c r="AE10" s="278" t="n">
        <f aca="false">M34</f>
        <v>9.34865300637709</v>
      </c>
      <c r="AF10" s="278" t="n">
        <f aca="false">N34</f>
        <v>9.34865300637709</v>
      </c>
      <c r="AG10" s="278" t="n">
        <f aca="false">O34</f>
        <v>12.8552906122832</v>
      </c>
      <c r="AH10" s="278" t="n">
        <f aca="false">P34</f>
        <v>16.3612789610878</v>
      </c>
      <c r="AI10" s="278" t="n">
        <f aca="false">Q34</f>
        <v>19.8672673098923</v>
      </c>
      <c r="AJ10" s="13" t="n">
        <f aca="false">SUM(X10:AI10)</f>
        <v>116.86472007644</v>
      </c>
      <c r="AK10" s="278" t="n">
        <f aca="false">S34</f>
        <v>71.1188256494042</v>
      </c>
    </row>
    <row r="11" customFormat="false" ht="12.75" hidden="false" customHeight="false" outlineLevel="0" collapsed="false">
      <c r="B11" s="25" t="s">
        <v>44</v>
      </c>
      <c r="C11" s="25"/>
      <c r="D11" s="25"/>
      <c r="E11" s="25"/>
      <c r="F11" s="26" t="n">
        <f aca="false">SUM(F5:F10)</f>
        <v>291.325773985418</v>
      </c>
      <c r="G11" s="26" t="n">
        <f aca="false">SUM(G5:G10)</f>
        <v>728.318901125052</v>
      </c>
      <c r="H11" s="26" t="n">
        <f aca="false">SUM(H5:H10)</f>
        <v>1019.64020894896</v>
      </c>
      <c r="I11" s="26" t="n">
        <f aca="false">SUM(I5:I10)</f>
        <v>1019.62681046444</v>
      </c>
      <c r="J11" s="26" t="n">
        <f aca="false">SUM(J5:J10)</f>
        <v>1019.64020894897</v>
      </c>
      <c r="K11" s="26" t="n">
        <f aca="false">SUM(K5:K10)</f>
        <v>1019.64020894896</v>
      </c>
      <c r="L11" s="26" t="n">
        <f aca="false">SUM(L5:L10)</f>
        <v>1019.64020894896</v>
      </c>
      <c r="M11" s="26" t="n">
        <f aca="false">SUM(M5:M10)</f>
        <v>1165.28076513413</v>
      </c>
      <c r="N11" s="26" t="n">
        <f aca="false">SUM(N5:N10)</f>
        <v>1165.28076513414</v>
      </c>
      <c r="O11" s="26" t="n">
        <f aca="false">SUM(O5:O10)</f>
        <v>1602.2917569198</v>
      </c>
      <c r="P11" s="26" t="n">
        <f aca="false">SUM(P5:P10)</f>
        <v>2039.28041789792</v>
      </c>
      <c r="Q11" s="26" t="n">
        <f aca="false">SUM(Q5:Q10)</f>
        <v>2476.26907887605</v>
      </c>
      <c r="R11" s="26" t="n">
        <f aca="false">SUM(R5:R10)</f>
        <v>14566.2351053328</v>
      </c>
      <c r="S11" s="66" t="n">
        <f aca="false">SUM(S5:S10)</f>
        <v>10323.4492363</v>
      </c>
      <c r="W11" s="276" t="s">
        <v>38</v>
      </c>
      <c r="X11" s="277" t="n">
        <f aca="false">SUM(F6,F7,F10)</f>
        <v>25.0101828989972</v>
      </c>
      <c r="Y11" s="277" t="n">
        <f aca="false">SUM(G6,G7,G10)</f>
        <v>62.525457247493</v>
      </c>
      <c r="Z11" s="277" t="n">
        <f aca="false">SUM(H6,H7,H10)</f>
        <v>87.5356401464902</v>
      </c>
      <c r="AA11" s="277" t="n">
        <f aca="false">SUM(I6,I7,I10)</f>
        <v>87.5356401464902</v>
      </c>
      <c r="AB11" s="277" t="n">
        <f aca="false">SUM(J6,J7,J10)</f>
        <v>87.5356401464902</v>
      </c>
      <c r="AC11" s="277" t="n">
        <f aca="false">SUM(K6,K7,K10)</f>
        <v>87.5356401464902</v>
      </c>
      <c r="AD11" s="277" t="n">
        <f aca="false">SUM(L6,L7,L10)</f>
        <v>87.5356401464902</v>
      </c>
      <c r="AE11" s="277" t="n">
        <f aca="false">SUM(M6,M7,M10)</f>
        <v>100.040731595989</v>
      </c>
      <c r="AF11" s="277" t="n">
        <f aca="false">SUM(N6,N7,N10)</f>
        <v>100.040731595989</v>
      </c>
      <c r="AG11" s="277" t="n">
        <f aca="false">SUM(O6,O7,O10)</f>
        <v>137.556005944485</v>
      </c>
      <c r="AH11" s="277" t="n">
        <f aca="false">SUM(P6,P7,P10)</f>
        <v>175.07128029298</v>
      </c>
      <c r="AI11" s="277" t="n">
        <f aca="false">SUM(Q6,Q7,Q10)</f>
        <v>212.586554641476</v>
      </c>
      <c r="AJ11" s="13" t="n">
        <f aca="false">SUM(X11:AI11)</f>
        <v>1250.50914494986</v>
      </c>
      <c r="AK11" s="277" t="n">
        <f aca="false">SUM(S6,S7,S10)</f>
        <v>694.96</v>
      </c>
    </row>
    <row r="12" customFormat="false" ht="12.75" hidden="false" customHeight="false" outlineLevel="0" collapsed="false">
      <c r="B12" s="50"/>
      <c r="C12" s="50"/>
      <c r="D12" s="50"/>
      <c r="E12" s="5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1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</row>
    <row r="13" customFormat="false" ht="12.75" hidden="false" customHeight="false" outlineLevel="0" collapsed="false">
      <c r="W13" s="280" t="s">
        <v>696</v>
      </c>
      <c r="X13" s="281" t="n">
        <f aca="false">SUM(X5:X11)-F11</f>
        <v>0</v>
      </c>
      <c r="Y13" s="281" t="n">
        <f aca="false">SUM(Y5:Y11)-G11</f>
        <v>0</v>
      </c>
      <c r="Z13" s="281" t="n">
        <f aca="false">SUM(Z5:Z11)-H11</f>
        <v>0</v>
      </c>
      <c r="AA13" s="281" t="n">
        <f aca="false">SUM(AA5:AA11)-I11</f>
        <v>0</v>
      </c>
      <c r="AB13" s="281" t="n">
        <f aca="false">SUM(AB5:AB11)-J11</f>
        <v>0</v>
      </c>
      <c r="AC13" s="281" t="n">
        <f aca="false">SUM(AC5:AC11)-K11</f>
        <v>0</v>
      </c>
      <c r="AD13" s="281" t="n">
        <f aca="false">SUM(AD5:AD11)-L11</f>
        <v>0</v>
      </c>
      <c r="AE13" s="281" t="n">
        <f aca="false">SUM(AE5:AE11)-M11</f>
        <v>0</v>
      </c>
      <c r="AF13" s="281" t="n">
        <f aca="false">SUM(AF5:AF11)-N11</f>
        <v>0</v>
      </c>
      <c r="AG13" s="281" t="n">
        <f aca="false">SUM(AG5:AG11)-O11</f>
        <v>0</v>
      </c>
      <c r="AH13" s="281" t="n">
        <f aca="false">SUM(AH5:AH11)-P11</f>
        <v>0</v>
      </c>
      <c r="AI13" s="281" t="n">
        <f aca="false">SUM(AI5:AI11)-Q11</f>
        <v>0</v>
      </c>
      <c r="AJ13" s="281" t="n">
        <f aca="false">SUM(AJ5:AJ11)-R11</f>
        <v>0</v>
      </c>
      <c r="AK13" s="281" t="n">
        <f aca="false">SUM(AK5:AK11)-S11</f>
        <v>0</v>
      </c>
    </row>
    <row r="14" customFormat="false" ht="12.75" hidden="false" customHeight="false" outlineLevel="0" collapsed="false">
      <c r="A14" s="272"/>
      <c r="B14" s="273" t="s">
        <v>697</v>
      </c>
      <c r="C14" s="272"/>
      <c r="D14" s="272"/>
      <c r="E14" s="272"/>
      <c r="F14" s="272"/>
      <c r="G14" s="272"/>
      <c r="H14" s="272"/>
      <c r="I14" s="272"/>
      <c r="J14" s="272"/>
      <c r="K14" s="272"/>
      <c r="L14" s="272"/>
      <c r="M14" s="272"/>
      <c r="N14" s="272"/>
      <c r="O14" s="272"/>
      <c r="P14" s="272"/>
      <c r="Q14" s="272"/>
      <c r="R14" s="272"/>
      <c r="S14" s="272"/>
      <c r="T14" s="272"/>
      <c r="U14" s="272"/>
      <c r="V14" s="272"/>
    </row>
    <row r="15" customFormat="false" ht="12.75" hidden="false" customHeight="false" outlineLevel="0" collapsed="false">
      <c r="A15" s="50"/>
      <c r="B15" s="282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273"/>
      <c r="X15" s="272"/>
      <c r="Y15" s="272"/>
      <c r="Z15" s="272"/>
      <c r="AA15" s="272"/>
      <c r="AB15" s="272"/>
      <c r="AC15" s="272"/>
      <c r="AD15" s="272"/>
      <c r="AE15" s="272"/>
      <c r="AF15" s="272"/>
      <c r="AG15" s="272"/>
      <c r="AH15" s="272"/>
      <c r="AI15" s="272"/>
      <c r="AJ15" s="272"/>
      <c r="AK15" s="272"/>
    </row>
    <row r="16" customFormat="false" ht="12.75" hidden="false" customHeight="false" outlineLevel="0" collapsed="false">
      <c r="B16" s="283" t="s">
        <v>28</v>
      </c>
      <c r="C16" s="284"/>
      <c r="D16" s="284"/>
      <c r="E16" s="284" t="s">
        <v>698</v>
      </c>
      <c r="F16" s="284"/>
      <c r="G16" s="284"/>
      <c r="H16" s="284"/>
      <c r="I16" s="284"/>
      <c r="J16" s="284"/>
      <c r="K16" s="284"/>
      <c r="L16" s="284"/>
      <c r="M16" s="284"/>
      <c r="N16" s="284"/>
      <c r="O16" s="284"/>
      <c r="P16" s="284"/>
      <c r="Q16" s="284"/>
      <c r="R16" s="284"/>
      <c r="S16" s="284"/>
      <c r="W16" s="282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</row>
    <row r="17" customFormat="false" ht="12.75" hidden="false" customHeight="false" outlineLevel="0" collapsed="false">
      <c r="B17" s="285" t="s">
        <v>74</v>
      </c>
      <c r="C17" s="286"/>
      <c r="D17" s="286"/>
      <c r="E17" s="286" t="s">
        <v>699</v>
      </c>
      <c r="F17" s="286"/>
      <c r="G17" s="286"/>
      <c r="H17" s="286"/>
      <c r="I17" s="286"/>
      <c r="J17" s="286"/>
      <c r="K17" s="286"/>
      <c r="L17" s="286"/>
      <c r="M17" s="286"/>
      <c r="N17" s="286"/>
      <c r="O17" s="286"/>
      <c r="P17" s="286"/>
      <c r="Q17" s="286"/>
      <c r="R17" s="286"/>
      <c r="S17" s="286"/>
    </row>
    <row r="18" customFormat="false" ht="12.75" hidden="false" customHeight="false" outlineLevel="0" collapsed="false">
      <c r="B18" s="287" t="s">
        <v>700</v>
      </c>
      <c r="C18" s="284"/>
      <c r="D18" s="284"/>
      <c r="E18" s="284" t="s">
        <v>699</v>
      </c>
      <c r="F18" s="284"/>
      <c r="G18" s="284"/>
      <c r="H18" s="284"/>
      <c r="I18" s="284"/>
      <c r="J18" s="284"/>
      <c r="K18" s="284"/>
      <c r="L18" s="284"/>
      <c r="M18" s="284"/>
      <c r="N18" s="284"/>
      <c r="O18" s="284"/>
      <c r="P18" s="284"/>
      <c r="Q18" s="284"/>
      <c r="R18" s="284"/>
      <c r="S18" s="284"/>
    </row>
    <row r="19" customFormat="false" ht="12.75" hidden="false" customHeight="false" outlineLevel="0" collapsed="false">
      <c r="B19" s="288" t="s">
        <v>75</v>
      </c>
      <c r="C19" s="289"/>
      <c r="D19" s="289"/>
      <c r="E19" s="289" t="s">
        <v>701</v>
      </c>
      <c r="F19" s="289"/>
      <c r="G19" s="289"/>
      <c r="H19" s="289"/>
      <c r="I19" s="289"/>
      <c r="J19" s="289"/>
      <c r="K19" s="289"/>
      <c r="L19" s="289"/>
      <c r="M19" s="289"/>
      <c r="N19" s="289"/>
      <c r="O19" s="289"/>
      <c r="P19" s="289"/>
      <c r="Q19" s="289"/>
      <c r="R19" s="289"/>
      <c r="S19" s="289"/>
    </row>
    <row r="20" customFormat="false" ht="38.25" hidden="false" customHeight="true" outlineLevel="0" collapsed="false">
      <c r="B20" s="290" t="s">
        <v>76</v>
      </c>
      <c r="C20" s="291" t="s">
        <v>702</v>
      </c>
      <c r="D20" s="292" t="s">
        <v>703</v>
      </c>
      <c r="E20" s="291"/>
      <c r="F20" s="286"/>
      <c r="G20" s="292"/>
      <c r="H20" s="286"/>
      <c r="I20" s="286"/>
      <c r="J20" s="286"/>
      <c r="K20" s="286"/>
      <c r="L20" s="286"/>
      <c r="M20" s="286"/>
      <c r="N20" s="286"/>
      <c r="O20" s="286"/>
      <c r="P20" s="286"/>
      <c r="Q20" s="286"/>
      <c r="R20" s="286"/>
      <c r="S20" s="286"/>
    </row>
    <row r="21" customFormat="false" ht="12.75" hidden="false" customHeight="false" outlineLevel="0" collapsed="false">
      <c r="B21" s="74" t="s">
        <v>33</v>
      </c>
      <c r="C21" s="293" t="n">
        <v>0.777526076105618</v>
      </c>
      <c r="D21" s="293" t="n">
        <f aca="false">C21+(SUM($C$25:$C$28)/4)</f>
        <v>0.778947498388243</v>
      </c>
      <c r="E21" s="293"/>
      <c r="F21" s="69" t="n">
        <f aca="false">F$8*$D21</f>
        <v>24.9263199484238</v>
      </c>
      <c r="G21" s="69" t="n">
        <f aca="false">G$8*$D21</f>
        <v>62.3157998710594</v>
      </c>
      <c r="H21" s="69" t="n">
        <f aca="false">H$8*$D21</f>
        <v>87.2421198194832</v>
      </c>
      <c r="I21" s="69" t="n">
        <f aca="false">I$8*$D21</f>
        <v>87.2421198194832</v>
      </c>
      <c r="J21" s="69" t="n">
        <f aca="false">J$8*$D21</f>
        <v>87.2421198194833</v>
      </c>
      <c r="K21" s="69" t="n">
        <f aca="false">K$8*$D21</f>
        <v>87.2421198194832</v>
      </c>
      <c r="L21" s="69" t="n">
        <f aca="false">L$8*$D21</f>
        <v>87.2421198194832</v>
      </c>
      <c r="M21" s="69" t="n">
        <f aca="false">M$8*$D21</f>
        <v>99.7052797936951</v>
      </c>
      <c r="N21" s="69" t="n">
        <f aca="false">N$8*$D21</f>
        <v>99.7052797936951</v>
      </c>
      <c r="O21" s="69" t="n">
        <f aca="false">O$8*$D21</f>
        <v>137.094759716331</v>
      </c>
      <c r="P21" s="69" t="n">
        <f aca="false">P$8*$D21</f>
        <v>174.484239638966</v>
      </c>
      <c r="Q21" s="69" t="n">
        <f aca="false">Q$8*$D21</f>
        <v>211.873719561602</v>
      </c>
      <c r="R21" s="69" t="n">
        <f aca="false">R$8*$D21</f>
        <v>1246.31599742119</v>
      </c>
      <c r="S21" s="69" t="n">
        <f aca="false">S$8*$D21</f>
        <v>768.821180909196</v>
      </c>
    </row>
    <row r="22" customFormat="false" ht="12.75" hidden="false" customHeight="false" outlineLevel="0" collapsed="false">
      <c r="B22" s="74" t="s">
        <v>34</v>
      </c>
      <c r="C22" s="293" t="n">
        <v>0.193909519143407</v>
      </c>
      <c r="D22" s="293" t="n">
        <f aca="false">C22+(SUM($C$25:$C$28)/4)</f>
        <v>0.195330941426032</v>
      </c>
      <c r="E22" s="293"/>
      <c r="F22" s="69" t="n">
        <f aca="false">F$8*$D22</f>
        <v>6.25059012563303</v>
      </c>
      <c r="G22" s="69" t="n">
        <f aca="false">G$8*$D22</f>
        <v>15.6264753140826</v>
      </c>
      <c r="H22" s="69" t="n">
        <f aca="false">H$8*$D22</f>
        <v>21.8770654397156</v>
      </c>
      <c r="I22" s="69" t="n">
        <f aca="false">I$8*$D22</f>
        <v>21.8770654397156</v>
      </c>
      <c r="J22" s="69" t="n">
        <f aca="false">J$8*$D22</f>
        <v>21.8770654397156</v>
      </c>
      <c r="K22" s="69" t="n">
        <f aca="false">K$8*$D22</f>
        <v>21.8770654397156</v>
      </c>
      <c r="L22" s="69" t="n">
        <f aca="false">L$8*$D22</f>
        <v>21.8770654397156</v>
      </c>
      <c r="M22" s="69" t="n">
        <f aca="false">M$8*$D22</f>
        <v>25.0023605025321</v>
      </c>
      <c r="N22" s="69" t="n">
        <f aca="false">N$8*$D22</f>
        <v>25.0023605025321</v>
      </c>
      <c r="O22" s="69" t="n">
        <f aca="false">O$8*$D22</f>
        <v>34.3782456909816</v>
      </c>
      <c r="P22" s="69" t="n">
        <f aca="false">P$8*$D22</f>
        <v>43.7541308794311</v>
      </c>
      <c r="Q22" s="69" t="n">
        <f aca="false">Q$8*$D22</f>
        <v>53.1300160678806</v>
      </c>
      <c r="R22" s="69" t="n">
        <f aca="false">R$8*$D22</f>
        <v>312.529506281651</v>
      </c>
      <c r="S22" s="69" t="n">
        <f aca="false">S$8*$D22</f>
        <v>192.791639187494</v>
      </c>
    </row>
    <row r="23" customFormat="false" ht="12.75" hidden="false" customHeight="false" outlineLevel="0" collapsed="false">
      <c r="B23" s="74" t="s">
        <v>35</v>
      </c>
      <c r="C23" s="293" t="n">
        <v>0.0177703780664308</v>
      </c>
      <c r="D23" s="293" t="n">
        <f aca="false">C23+(SUM($C$25:$C$28)/4)</f>
        <v>0.0191918003490557</v>
      </c>
      <c r="E23" s="293"/>
      <c r="F23" s="69" t="n">
        <f aca="false">F$8*$D23</f>
        <v>0.614137611169783</v>
      </c>
      <c r="G23" s="69" t="n">
        <f aca="false">G$8*$D23</f>
        <v>1.53534402792446</v>
      </c>
      <c r="H23" s="69" t="n">
        <f aca="false">H$8*$D23</f>
        <v>2.14948163909424</v>
      </c>
      <c r="I23" s="69" t="n">
        <f aca="false">I$8*$D23</f>
        <v>2.14948163909424</v>
      </c>
      <c r="J23" s="69" t="n">
        <f aca="false">J$8*$D23</f>
        <v>2.14948163909424</v>
      </c>
      <c r="K23" s="69" t="n">
        <f aca="false">K$8*$D23</f>
        <v>2.14948163909424</v>
      </c>
      <c r="L23" s="69" t="n">
        <f aca="false">L$8*$D23</f>
        <v>2.14948163909424</v>
      </c>
      <c r="M23" s="69" t="n">
        <f aca="false">M$8*$D23</f>
        <v>2.45655044467913</v>
      </c>
      <c r="N23" s="69" t="n">
        <f aca="false">N$8*$D23</f>
        <v>2.45655044467913</v>
      </c>
      <c r="O23" s="69" t="n">
        <f aca="false">O$8*$D23</f>
        <v>3.3777568614338</v>
      </c>
      <c r="P23" s="69" t="n">
        <f aca="false">P$8*$D23</f>
        <v>4.29896327818847</v>
      </c>
      <c r="Q23" s="69" t="n">
        <f aca="false">Q$8*$D23</f>
        <v>5.22016969494314</v>
      </c>
      <c r="R23" s="69" t="n">
        <f aca="false">R$8*$D23</f>
        <v>30.7068805584891</v>
      </c>
      <c r="S23" s="69" t="n">
        <f aca="false">S$8*$D23</f>
        <v>18.942306944518</v>
      </c>
    </row>
    <row r="24" customFormat="false" ht="12.75" hidden="false" customHeight="false" outlineLevel="0" collapsed="false">
      <c r="B24" s="74" t="s">
        <v>36</v>
      </c>
      <c r="C24" s="293" t="n">
        <v>0.00510833755404432</v>
      </c>
      <c r="D24" s="293" t="n">
        <f aca="false">C24+(SUM($C$25:$C$28)/4)</f>
        <v>0.00652975983666922</v>
      </c>
      <c r="E24" s="293"/>
      <c r="F24" s="69" t="n">
        <f aca="false">F$8*$D24</f>
        <v>0.208952314773415</v>
      </c>
      <c r="G24" s="69" t="n">
        <f aca="false">G$8*$D24</f>
        <v>0.522380786933538</v>
      </c>
      <c r="H24" s="69" t="n">
        <f aca="false">H$8*$D24</f>
        <v>0.731333101706953</v>
      </c>
      <c r="I24" s="69" t="n">
        <f aca="false">I$8*$D24</f>
        <v>0.731333101706953</v>
      </c>
      <c r="J24" s="69" t="n">
        <f aca="false">J$8*$D24</f>
        <v>0.731333101706954</v>
      </c>
      <c r="K24" s="69" t="n">
        <f aca="false">K$8*$D24</f>
        <v>0.731333101706953</v>
      </c>
      <c r="L24" s="69" t="n">
        <f aca="false">L$8*$D24</f>
        <v>0.731333101706953</v>
      </c>
      <c r="M24" s="69" t="n">
        <f aca="false">M$8*$D24</f>
        <v>0.835809259093661</v>
      </c>
      <c r="N24" s="69" t="n">
        <f aca="false">N$8*$D24</f>
        <v>0.835809259093661</v>
      </c>
      <c r="O24" s="69" t="n">
        <f aca="false">O$8*$D24</f>
        <v>1.14923773125378</v>
      </c>
      <c r="P24" s="69" t="n">
        <f aca="false">P$8*$D24</f>
        <v>1.4626662034139</v>
      </c>
      <c r="Q24" s="69" t="n">
        <f aca="false">Q$8*$D24</f>
        <v>1.77609467557403</v>
      </c>
      <c r="R24" s="69" t="n">
        <f aca="false">R$8*$D24</f>
        <v>10.4476157386708</v>
      </c>
      <c r="S24" s="69" t="n">
        <f aca="false">S$8*$D24</f>
        <v>6.44487295879252</v>
      </c>
    </row>
    <row r="25" customFormat="false" ht="12.75" hidden="false" customHeight="false" outlineLevel="0" collapsed="false">
      <c r="B25" s="74" t="s">
        <v>704</v>
      </c>
      <c r="C25" s="293" t="n">
        <v>0.00288918120687676</v>
      </c>
      <c r="D25" s="294" t="s">
        <v>705</v>
      </c>
      <c r="E25" s="293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</row>
    <row r="26" customFormat="false" ht="12.75" hidden="false" customHeight="false" outlineLevel="0" collapsed="false">
      <c r="B26" s="74" t="s">
        <v>40</v>
      </c>
      <c r="C26" s="293" t="n">
        <v>0.00182991110724581</v>
      </c>
      <c r="D26" s="294" t="s">
        <v>705</v>
      </c>
      <c r="E26" s="293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</row>
    <row r="27" customFormat="false" ht="12.75" hidden="false" customHeight="false" outlineLevel="0" collapsed="false">
      <c r="B27" s="49" t="s">
        <v>706</v>
      </c>
      <c r="C27" s="293" t="n">
        <v>0.00085822037589866</v>
      </c>
      <c r="D27" s="294" t="s">
        <v>705</v>
      </c>
      <c r="E27" s="293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</row>
    <row r="28" customFormat="false" ht="12.75" hidden="false" customHeight="false" outlineLevel="0" collapsed="false">
      <c r="B28" s="284" t="s">
        <v>707</v>
      </c>
      <c r="C28" s="295" t="n">
        <v>0.000108376440478382</v>
      </c>
      <c r="D28" s="296" t="s">
        <v>705</v>
      </c>
      <c r="E28" s="295"/>
      <c r="F28" s="297"/>
      <c r="G28" s="297"/>
      <c r="H28" s="297"/>
      <c r="I28" s="297"/>
      <c r="J28" s="297"/>
      <c r="K28" s="297"/>
      <c r="L28" s="297"/>
      <c r="M28" s="297"/>
      <c r="N28" s="297"/>
      <c r="O28" s="297"/>
      <c r="P28" s="297"/>
      <c r="Q28" s="297"/>
      <c r="R28" s="297"/>
      <c r="S28" s="284"/>
    </row>
    <row r="29" customFormat="false" ht="38.25" hidden="false" customHeight="true" outlineLevel="0" collapsed="false">
      <c r="A29" s="292"/>
      <c r="B29" s="298" t="s">
        <v>39</v>
      </c>
      <c r="C29" s="291" t="s">
        <v>702</v>
      </c>
      <c r="D29" s="292" t="s">
        <v>703</v>
      </c>
      <c r="E29" s="292"/>
      <c r="F29" s="292"/>
      <c r="G29" s="292"/>
      <c r="H29" s="292"/>
      <c r="I29" s="292"/>
      <c r="J29" s="292"/>
      <c r="K29" s="292"/>
      <c r="L29" s="292"/>
      <c r="M29" s="292"/>
      <c r="N29" s="292"/>
      <c r="O29" s="292"/>
      <c r="P29" s="292"/>
      <c r="Q29" s="292"/>
      <c r="R29" s="292"/>
      <c r="S29" s="292"/>
      <c r="T29" s="292"/>
      <c r="U29" s="292"/>
      <c r="V29" s="292"/>
    </row>
    <row r="30" customFormat="false" ht="12.75" hidden="false" customHeight="false" outlineLevel="0" collapsed="false">
      <c r="B30" s="299" t="s">
        <v>34</v>
      </c>
      <c r="C30" s="300" t="n">
        <v>0.732132712294201</v>
      </c>
      <c r="D30" s="300" t="n">
        <f aca="false">C30+(SUM($C$35:$C$38)/5)-5%</f>
        <v>0.682526782932424</v>
      </c>
      <c r="E30" s="300"/>
      <c r="F30" s="69" t="n">
        <f aca="false">F$9*$D30</f>
        <v>54.8689472245532</v>
      </c>
      <c r="G30" s="69" t="n">
        <f aca="false">G$9*$D30</f>
        <v>137.175416336229</v>
      </c>
      <c r="H30" s="69" t="n">
        <f aca="false">H$9*$D30</f>
        <v>192.041315285936</v>
      </c>
      <c r="I30" s="69" t="n">
        <f aca="false">I$9*$D30</f>
        <v>192.032170461399</v>
      </c>
      <c r="J30" s="69" t="n">
        <f aca="false">J$9*$D30</f>
        <v>192.041315285936</v>
      </c>
      <c r="K30" s="69" t="n">
        <f aca="false">K$9*$D30</f>
        <v>192.041315285937</v>
      </c>
      <c r="L30" s="69" t="n">
        <f aca="false">L$9*$D30</f>
        <v>192.041315285937</v>
      </c>
      <c r="M30" s="69" t="n">
        <f aca="false">M$9*$D30</f>
        <v>219.460547523984</v>
      </c>
      <c r="N30" s="69" t="n">
        <f aca="false">N$9*$D30</f>
        <v>219.460547523984</v>
      </c>
      <c r="O30" s="69" t="n">
        <f aca="false">O$9*$D30</f>
        <v>301.779209735043</v>
      </c>
      <c r="P30" s="69" t="n">
        <f aca="false">P$9*$D30</f>
        <v>384.082630571873</v>
      </c>
      <c r="Q30" s="69" t="n">
        <f aca="false">Q$9*$D30</f>
        <v>466.386051408703</v>
      </c>
      <c r="R30" s="69" t="n">
        <f aca="false">R$9*$D30</f>
        <v>2743.41078192951</v>
      </c>
      <c r="S30" s="69" t="n">
        <f aca="false">S$9*$D30</f>
        <v>1669.52141721747</v>
      </c>
      <c r="W30" s="292"/>
      <c r="X30" s="292"/>
      <c r="Y30" s="292"/>
      <c r="Z30" s="292"/>
      <c r="AA30" s="292"/>
      <c r="AB30" s="292"/>
      <c r="AC30" s="292"/>
      <c r="AD30" s="292"/>
      <c r="AE30" s="292"/>
      <c r="AF30" s="292"/>
      <c r="AG30" s="292"/>
      <c r="AH30" s="292"/>
      <c r="AI30" s="292"/>
      <c r="AJ30" s="292"/>
      <c r="AK30" s="292"/>
    </row>
    <row r="31" customFormat="false" ht="12.75" hidden="false" customHeight="false" outlineLevel="0" collapsed="false">
      <c r="B31" s="299" t="s">
        <v>35</v>
      </c>
      <c r="C31" s="293" t="n">
        <v>0.130756401136624</v>
      </c>
      <c r="D31" s="293" t="n">
        <f aca="false">C31+(SUM($C$35:$C$38)/5)</f>
        <v>0.131150471774847</v>
      </c>
      <c r="E31" s="293"/>
      <c r="F31" s="69" t="n">
        <f aca="false">F$9*$D31</f>
        <v>10.5433053972943</v>
      </c>
      <c r="G31" s="69" t="n">
        <f aca="false">G$9*$D31</f>
        <v>26.3588492324244</v>
      </c>
      <c r="H31" s="69" t="n">
        <f aca="false">H$9*$D31</f>
        <v>36.90156889053</v>
      </c>
      <c r="I31" s="69" t="n">
        <f aca="false">I$9*$D31</f>
        <v>36.8998116729638</v>
      </c>
      <c r="J31" s="69" t="n">
        <f aca="false">J$9*$D31</f>
        <v>36.90156889053</v>
      </c>
      <c r="K31" s="69" t="n">
        <f aca="false">K$9*$D31</f>
        <v>36.90156889053</v>
      </c>
      <c r="L31" s="69" t="n">
        <f aca="false">L$9*$D31</f>
        <v>36.90156889053</v>
      </c>
      <c r="M31" s="69" t="n">
        <f aca="false">M$9*$D31</f>
        <v>42.1702928932335</v>
      </c>
      <c r="N31" s="69" t="n">
        <f aca="false">N$9*$D31</f>
        <v>42.1702928932335</v>
      </c>
      <c r="O31" s="69" t="n">
        <f aca="false">O$9*$D31</f>
        <v>57.9881796851186</v>
      </c>
      <c r="P31" s="69" t="n">
        <f aca="false">P$9*$D31</f>
        <v>73.80313778106</v>
      </c>
      <c r="Q31" s="69" t="n">
        <f aca="false">Q$9*$D31</f>
        <v>89.6180958770015</v>
      </c>
      <c r="R31" s="69" t="n">
        <f aca="false">R$9*$D31</f>
        <v>527.15824099445</v>
      </c>
      <c r="S31" s="69" t="n">
        <f aca="false">S$9*$D31</f>
        <v>320.80575734412</v>
      </c>
    </row>
    <row r="32" customFormat="false" ht="12.75" hidden="false" customHeight="false" outlineLevel="0" collapsed="false">
      <c r="B32" s="299" t="s">
        <v>36</v>
      </c>
      <c r="C32" s="293" t="n">
        <v>0.058961965455478</v>
      </c>
      <c r="D32" s="293" t="n">
        <f aca="false">C32+(SUM($C$35:$C$38)/5)</f>
        <v>0.0593560360937008</v>
      </c>
      <c r="E32" s="293"/>
      <c r="F32" s="69" t="n">
        <f aca="false">F$9*$D32</f>
        <v>4.77168558556976</v>
      </c>
      <c r="G32" s="69" t="n">
        <f aca="false">G$9*$D32</f>
        <v>11.929479057568</v>
      </c>
      <c r="H32" s="69" t="n">
        <f aca="false">H$9*$D32</f>
        <v>16.7008995494942</v>
      </c>
      <c r="I32" s="69" t="n">
        <f aca="false">I$9*$D32</f>
        <v>16.7001042685632</v>
      </c>
      <c r="J32" s="69" t="n">
        <f aca="false">J$9*$D32</f>
        <v>16.7008995494942</v>
      </c>
      <c r="K32" s="69" t="n">
        <f aca="false">K$9*$D32</f>
        <v>16.7008995494942</v>
      </c>
      <c r="L32" s="69" t="n">
        <f aca="false">L$9*$D32</f>
        <v>16.7008995494942</v>
      </c>
      <c r="M32" s="69" t="n">
        <f aca="false">M$9*$D32</f>
        <v>19.0854168740608</v>
      </c>
      <c r="N32" s="69" t="n">
        <f aca="false">N$9*$D32</f>
        <v>19.0854168740608</v>
      </c>
      <c r="O32" s="69" t="n">
        <f aca="false">O$9*$D32</f>
        <v>26.2442707206337</v>
      </c>
      <c r="P32" s="69" t="n">
        <f aca="false">P$9*$D32</f>
        <v>33.4017990989883</v>
      </c>
      <c r="Q32" s="69" t="n">
        <f aca="false">Q$9*$D32</f>
        <v>40.559327477343</v>
      </c>
      <c r="R32" s="69" t="n">
        <f aca="false">R$9*$D32</f>
        <v>238.581098154764</v>
      </c>
      <c r="S32" s="69" t="n">
        <f aca="false">S$9*$D32</f>
        <v>145.190160998236</v>
      </c>
    </row>
    <row r="33" customFormat="false" ht="51.75" hidden="false" customHeight="true" outlineLevel="0" collapsed="false">
      <c r="B33" s="299" t="s">
        <v>33</v>
      </c>
      <c r="C33" s="300" t="n">
        <v>0.0474981368647927</v>
      </c>
      <c r="D33" s="300" t="n">
        <f aca="false">C33+(SUM($C$35:$C$38)/5)+5%</f>
        <v>0.0978922075030155</v>
      </c>
      <c r="E33" s="301" t="s">
        <v>708</v>
      </c>
      <c r="F33" s="69" t="n">
        <f aca="false">F$9*$D33</f>
        <v>7.86964336271295</v>
      </c>
      <c r="G33" s="69" t="n">
        <f aca="false">G$9*$D33</f>
        <v>19.6745456091914</v>
      </c>
      <c r="H33" s="69" t="n">
        <f aca="false">H$9*$D33</f>
        <v>27.5437517694953</v>
      </c>
      <c r="I33" s="69" t="n">
        <f aca="false">I$9*$D33</f>
        <v>27.5424401622682</v>
      </c>
      <c r="J33" s="69" t="n">
        <f aca="false">J$9*$D33</f>
        <v>27.5437517694953</v>
      </c>
      <c r="K33" s="69" t="n">
        <f aca="false">K$9*$D33</f>
        <v>27.5437517694954</v>
      </c>
      <c r="L33" s="69" t="n">
        <f aca="false">L$9*$D33</f>
        <v>27.5437517694954</v>
      </c>
      <c r="M33" s="69" t="n">
        <f aca="false">M$9*$D33</f>
        <v>31.4763874388066</v>
      </c>
      <c r="N33" s="69" t="n">
        <f aca="false">N$9*$D33</f>
        <v>31.4763874388066</v>
      </c>
      <c r="O33" s="69" t="n">
        <f aca="false">O$9*$D33</f>
        <v>43.2830384949213</v>
      </c>
      <c r="P33" s="69" t="n">
        <f aca="false">P$9*$D33</f>
        <v>55.0875035389907</v>
      </c>
      <c r="Q33" s="69" t="n">
        <f aca="false">Q$9*$D33</f>
        <v>66.8919685830601</v>
      </c>
      <c r="R33" s="69" t="n">
        <f aca="false">R$9*$D33</f>
        <v>393.476921706739</v>
      </c>
      <c r="S33" s="69" t="n">
        <f aca="false">S$9*$D33</f>
        <v>239.453075090772</v>
      </c>
    </row>
    <row r="34" customFormat="false" ht="12.75" hidden="false" customHeight="false" outlineLevel="0" collapsed="false">
      <c r="B34" s="299" t="s">
        <v>40</v>
      </c>
      <c r="C34" s="293" t="n">
        <v>0.0286804310577905</v>
      </c>
      <c r="D34" s="293" t="n">
        <f aca="false">C34+(SUM($C$35:$C$38)/5)</f>
        <v>0.0290745016960133</v>
      </c>
      <c r="E34" s="293"/>
      <c r="F34" s="69" t="n">
        <f aca="false">F$9*$D34</f>
        <v>2.33732556586968</v>
      </c>
      <c r="G34" s="69" t="n">
        <f aca="false">G$9*$D34</f>
        <v>5.84344376609452</v>
      </c>
      <c r="H34" s="69" t="n">
        <f aca="false">H$9*$D34</f>
        <v>8.18063948054387</v>
      </c>
      <c r="I34" s="69" t="n">
        <f aca="false">I$9*$D34</f>
        <v>8.1802499262829</v>
      </c>
      <c r="J34" s="69" t="n">
        <f aca="false">J$9*$D34</f>
        <v>8.18063948054387</v>
      </c>
      <c r="K34" s="69" t="n">
        <f aca="false">K$9*$D34</f>
        <v>8.18063948054388</v>
      </c>
      <c r="L34" s="69" t="n">
        <f aca="false">L$9*$D34</f>
        <v>8.18063948054388</v>
      </c>
      <c r="M34" s="69" t="n">
        <f aca="false">M$9*$D34</f>
        <v>9.34865300637709</v>
      </c>
      <c r="N34" s="69" t="n">
        <f aca="false">N$9*$D34</f>
        <v>9.34865300637709</v>
      </c>
      <c r="O34" s="69" t="n">
        <f aca="false">O$9*$D34</f>
        <v>12.8552906122832</v>
      </c>
      <c r="P34" s="69" t="n">
        <f aca="false">P$9*$D34</f>
        <v>16.3612789610878</v>
      </c>
      <c r="Q34" s="69" t="n">
        <f aca="false">Q$9*$D34</f>
        <v>19.8672673098923</v>
      </c>
      <c r="R34" s="69" t="n">
        <f aca="false">R$9*$D34</f>
        <v>116.86472007644</v>
      </c>
      <c r="S34" s="69" t="n">
        <f aca="false">S$9*$D34</f>
        <v>71.1188256494042</v>
      </c>
    </row>
    <row r="35" customFormat="false" ht="12.75" hidden="false" customHeight="false" outlineLevel="0" collapsed="false">
      <c r="B35" s="299" t="s">
        <v>706</v>
      </c>
      <c r="C35" s="293" t="n">
        <v>0.0014748350007999</v>
      </c>
      <c r="D35" s="294" t="s">
        <v>705</v>
      </c>
      <c r="E35" s="293"/>
      <c r="G35" s="302"/>
    </row>
    <row r="36" customFormat="false" ht="12.75" hidden="false" customHeight="false" outlineLevel="0" collapsed="false">
      <c r="B36" s="299" t="s">
        <v>704</v>
      </c>
      <c r="C36" s="293" t="n">
        <v>0.000308982953161902</v>
      </c>
      <c r="D36" s="294" t="s">
        <v>705</v>
      </c>
      <c r="E36" s="293"/>
      <c r="G36" s="302"/>
    </row>
    <row r="37" customFormat="false" ht="12.75" hidden="false" customHeight="false" outlineLevel="0" collapsed="false">
      <c r="B37" s="299" t="s">
        <v>707</v>
      </c>
      <c r="C37" s="293" t="n">
        <v>0.00013190573131839</v>
      </c>
      <c r="D37" s="294" t="s">
        <v>705</v>
      </c>
      <c r="E37" s="293"/>
      <c r="G37" s="302"/>
    </row>
    <row r="38" customFormat="false" ht="12.75" hidden="false" customHeight="false" outlineLevel="0" collapsed="false">
      <c r="B38" s="287" t="s">
        <v>709</v>
      </c>
      <c r="C38" s="295" t="n">
        <v>5.4629505833809E-005</v>
      </c>
      <c r="D38" s="296" t="s">
        <v>705</v>
      </c>
      <c r="E38" s="295"/>
      <c r="F38" s="284"/>
      <c r="G38" s="303"/>
      <c r="H38" s="284"/>
      <c r="I38" s="284"/>
      <c r="J38" s="284"/>
      <c r="K38" s="284"/>
      <c r="L38" s="284"/>
      <c r="M38" s="284"/>
      <c r="N38" s="284"/>
      <c r="O38" s="284"/>
      <c r="P38" s="284"/>
      <c r="Q38" s="284"/>
      <c r="R38" s="284"/>
      <c r="S38" s="284"/>
    </row>
    <row r="39" customFormat="false" ht="12.75" hidden="false" customHeight="false" outlineLevel="0" collapsed="false">
      <c r="B39" s="288" t="s">
        <v>77</v>
      </c>
      <c r="C39" s="289"/>
      <c r="D39" s="289"/>
      <c r="E39" s="289" t="s">
        <v>699</v>
      </c>
      <c r="F39" s="289"/>
      <c r="G39" s="289"/>
      <c r="H39" s="289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2026-09-08T17:39:14Z</dcterms:created>
  <dc:creator/>
  <dc:description/>
  <dc:language>en-US</dc:language>
  <cp:lastModifiedBy/>
  <dcterms:modified xsi:type="dcterms:W3CDTF">2026-10-21T15:48:13Z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