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Вознаграждения РА" sheetId="1" state="visible" r:id="rId3"/>
    <sheet name="2. DMP — ответ бизнеса" sheetId="2" state="visible" r:id="rId4"/>
    <sheet name="Справка DMP (внутр.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<sst xmlns="http://schemas.openxmlformats.org/spreadsheetml/2006/main" count="336" uniqueCount="267">
  <si>
    <t xml:space="preserve">1. Вознаграждения рекламным агентствам (суперкомиссия, СК): 2026 vs 2027, млн руб. без НДС</t>
  </si>
  <si>
    <t xml:space="preserve">2027 — модель cons 16.10 (лист «Потребности», блок «Вознаграждения рекламным агентствам 2027»). 2026 — BU 2026, FC в модели и 8+4 (мастер август).</t>
  </si>
  <si>
    <t xml:space="preserve">1.1 Расчёт 2027: база × средняя СК</t>
  </si>
  <si>
    <t xml:space="preserve">Группа бюджета</t>
  </si>
  <si>
    <t xml:space="preserve">База (выручка)</t>
  </si>
  <si>
    <t xml:space="preserve">Средняя СК</t>
  </si>
  <si>
    <t xml:space="preserve">Выплаты РА</t>
  </si>
  <si>
    <t xml:space="preserve">Комментарий</t>
  </si>
  <si>
    <t xml:space="preserve">Не поставщики</t>
  </si>
  <si>
    <t xml:space="preserve">В модели: 1,8 млрд × 30%</t>
  </si>
  <si>
    <t xml:space="preserve">Бренд-бюджеты (RMN, «Поставщики ММ»)</t>
  </si>
  <si>
    <t xml:space="preserve">В модели: 0,85 млрд × 30%</t>
  </si>
  <si>
    <t xml:space="preserve">Итого 2027</t>
  </si>
  <si>
    <t xml:space="preserve">795 млн — 66,25 млн/мес. в реестре потребностей</t>
  </si>
  <si>
    <t xml:space="preserve">1.2 Сверка текстовки бизнеса с моделью (2027)</t>
  </si>
  <si>
    <t xml:space="preserve">Показатель</t>
  </si>
  <si>
    <t xml:space="preserve">Текстовка</t>
  </si>
  <si>
    <t xml:space="preserve">Модель</t>
  </si>
  <si>
    <t xml:space="preserve">Разница</t>
  </si>
  <si>
    <t xml:space="preserve">База: не поставщики</t>
  </si>
  <si>
    <t xml:space="preserve">В модели 1,8 млрд</t>
  </si>
  <si>
    <t xml:space="preserve">База: бренд-бюджеты</t>
  </si>
  <si>
    <t xml:space="preserve">База итого</t>
  </si>
  <si>
    <t xml:space="preserve">В модели 30%</t>
  </si>
  <si>
    <t xml:space="preserve">Выплаты РА (база × СК)</t>
  </si>
  <si>
    <t xml:space="preserve">По текстовке получается 784, в бюджете 795</t>
  </si>
  <si>
    <t xml:space="preserve">Справочно: СК, при которой база 2,45 млрд даёт 795</t>
  </si>
  <si>
    <t xml:space="preserve">32,4% — округляется до 32%</t>
  </si>
  <si>
    <t xml:space="preserve">Итог 795 сходится в обоих вариантах, но база и ставка в текстовке (2,45 млрд × 32%) отличаются от модели (2,65 млрд × 30%). Нужно выбрать один вариант: либо поправить текстовку под модель, либо обновить модель.</t>
  </si>
  <si>
    <t xml:space="preserve">1.3 Расчёт 2026: база × средняя СК</t>
  </si>
  <si>
    <t xml:space="preserve">BU 2026</t>
  </si>
  <si>
    <t xml:space="preserve">FC в модели бюджета</t>
  </si>
  <si>
    <t xml:space="preserve">FC 8+4 (мастер август)</t>
  </si>
  <si>
    <t xml:space="preserve">База: внешние рекламодатели (не поставщики)</t>
  </si>
  <si>
    <t xml:space="preserve">BU — 1,0 млрд; в 8+4 прогноз выручки от не поставщиков — 1,25 млрд</t>
  </si>
  <si>
    <t xml:space="preserve">Текстовка: 1 млрд × 36% = 360</t>
  </si>
  <si>
    <t xml:space="preserve">Текстовка опирается на BU 2026: база 1,0 млрд и СК ~35% (351,7 / 1 000). По 8+4 выручка от не поставщиков выше (1,25 млрд), а выплаты ниже (332), поэтому средняя СК — 26,7%.</t>
  </si>
  <si>
    <t xml:space="preserve">1.4 Изменение средней СК 2027 к 2026, п.п.</t>
  </si>
  <si>
    <t xml:space="preserve">Вариант</t>
  </si>
  <si>
    <t xml:space="preserve">СК 2026</t>
  </si>
  <si>
    <t xml:space="preserve">СК 2027</t>
  </si>
  <si>
    <t xml:space="preserve">Изменение, п.п.</t>
  </si>
  <si>
    <t xml:space="preserve">Текстовка (36% → 32%)</t>
  </si>
  <si>
    <t xml:space="preserve">Как в тексте бизнеса</t>
  </si>
  <si>
    <t xml:space="preserve">Модель: BU 2026 → BU 2027</t>
  </si>
  <si>
    <t xml:space="preserve">35,2% → 30%</t>
  </si>
  <si>
    <t xml:space="preserve">BU 2026 → текстовка 2027 (795 / 2,45 млрд)</t>
  </si>
  <si>
    <t xml:space="preserve">35,2% → 32,4%</t>
  </si>
  <si>
    <t xml:space="preserve">Чтобы цифры и текст совпали, варианты формулировки: (а) по модели — «база 2,65 млрд × СК 30% = 795; в 2026 — 1,0 млрд × ~35% = 352; снижение средней СК ~5 п.п.»; (б) по текстовке — обновить в модели базу не поставщиков до 1,6 млрд и СК до 32,4%; снижение к BU 2026 — ~3 п.п.</t>
  </si>
  <si>
    <t xml:space="preserve">1.5 Помесячно: 2026 (8+4) и 2027</t>
  </si>
  <si>
    <t xml:space="preserve">Статья 2026 (8+4)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</si>
  <si>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</si>
  <si>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</si>
  <si>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</si>
  <si>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</si>
  <si>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</si>
  <si>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</si>
  <si>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</si>
  <si>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</si>
  <si>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</si>
  <si>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</si>
  <si>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</si>
  <si>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</si>
  <si>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Год</t>
  </si>
  <si>
    <t xml:space="preserve">Прочее (сторно/выплаты прошлых периодов, авто-загрузка)</t>
  </si>
  <si>
    <t xml:space="preserve">Премии РА: AdTech (APP / e-com и прочее)</t>
  </si>
  <si>
    <t xml:space="preserve">Премии РА: DMP / Online</t>
  </si>
  <si>
    <t xml:space="preserve">Премии РА: Instore</t>
  </si>
  <si>
    <t xml:space="preserve">Прогноз сен–дек (мастер август)</t>
  </si>
  <si>
    <t xml:space="preserve">Итого 2026 FC 8+4</t>
  </si>
  <si>
    <t xml:space="preserve">Вознаграждения рекламным агентствам 2027</t>
  </si>
  <si>
    <t xml:space="preserve">2026: янв–авг — факт начислений (премии РА признаются по итогам периодов, помесячная динамика неравномерна); сен–дек — прогноз мастера августа. 2027 — 795 / 12.</t>
  </si>
  <si>
    <t xml:space="preserve">2. DMP + Online: разбивка по направлениям 2026 vs 2027 (данные бизнеса), млн руб. без НДС</t>
  </si>
  <si>
    <t xml:space="preserve">Источник: ответ бизнеса (команда DMP). Итоги сверены с бюджетной моделью cons 16.10.</t>
  </si>
  <si>
    <t xml:space="preserve">2.1 Выручка, маржинальность и затраты на трафик по направлениям</t>
  </si>
  <si>
    <t xml:space="preserve">Направление</t>
  </si>
  <si>
    <t xml:space="preserve">Выручка 2026</t>
  </si>
  <si>
    <t xml:space="preserve">Маржа 2026</t>
  </si>
  <si>
    <t xml:space="preserve">Трафик 2026</t>
  </si>
  <si>
    <t xml:space="preserve">Выручка 2027</t>
  </si>
  <si>
    <t xml:space="preserve">Маржа 2027</t>
  </si>
  <si>
    <t xml:space="preserve">Трафик 2027</t>
  </si>
  <si>
    <t xml:space="preserve">Δ выручки</t>
  </si>
  <si>
    <t xml:space="preserve">Δ маржи, п.п.</t>
  </si>
  <si>
    <t xml:space="preserve">Комментарий бизнеса</t>
  </si>
  <si>
    <t xml:space="preserve">Пакеты и Онлайн+ТВ</t>
  </si>
  <si>
    <t xml:space="preserve">Маржинальность без изменений</t>
  </si>
  <si>
    <t xml:space="preserve">Баннеры и OLV</t>
  </si>
  <si>
    <t xml:space="preserve">Рост маржинальности за счёт улучшения условий закупки (рост объёмов)</t>
  </si>
  <si>
    <t xml:space="preserve">Новые площадки (SmartTV, Авито, МР)</t>
  </si>
  <si>
    <t xml:space="preserve">Снижение маржинальности за счёт ухода ТГ</t>
  </si>
  <si>
    <t xml:space="preserve">Онлайн на широких сегментах (новое)</t>
  </si>
  <si>
    <t xml:space="preserve">Новые пакеты 2027 по запросу маркетинга и крупных поставщиков (Pepsi, P&amp;G, Mondelez)</t>
  </si>
  <si>
    <t xml:space="preserve">Итого по направлениям</t>
  </si>
  <si>
    <t xml:space="preserve">Итого по модели (P&amp;L)</t>
  </si>
  <si>
    <t xml:space="preserve">Маржинальность 48% → 37,5%: −10,7 п.п.</t>
  </si>
  <si>
    <t xml:space="preserve">Расхождение: направления − модель</t>
  </si>
  <si>
    <t xml:space="preserve">Выручка по направлениям не сходится с итогом: 2026 — на 24 млн меньше, 2027 — на 11 млн больше</t>
  </si>
  <si>
    <t xml:space="preserve">Формулировка «маржинальность снижается на 11%» — это 11 п.п. (48% → 37,5%), а не 11%. Предлагаем писать «на ~11 п.п.».</t>
  </si>
  <si>
    <t xml:space="preserve">2.2 Мост маржинальности 2026 → 2027</t>
  </si>
  <si>
    <t xml:space="preserve">Шаг</t>
  </si>
  <si>
    <t xml:space="preserve">Маржинальность</t>
  </si>
  <si>
    <t xml:space="preserve">Маржинальность 2026 (модель)</t>
  </si>
  <si>
    <t xml:space="preserve">987 / 511</t>
  </si>
  <si>
    <t xml:space="preserve">2027 без «онлайна на широких сегментах»</t>
  </si>
  <si>
    <t xml:space="preserve">Действующие направления: баннеры +1 п.п., новые площадки −6,5 п.п. (уход ТГ), изменение структуры</t>
  </si>
  <si>
    <t xml:space="preserve">2027 с «онлайном на широких сегментах»</t>
  </si>
  <si>
    <t xml:space="preserve">Новые пакеты 440 млн с маржой 17,5%</t>
  </si>
  <si>
    <t xml:space="preserve">Итог 2027 по модели (с учётом расхождения разбивки)</t>
  </si>
  <si>
    <t xml:space="preserve">Сумма направлений бизнеса больше итога модели на 11 млн</t>
  </si>
  <si>
    <t xml:space="preserve">Итого изменение</t>
  </si>
  <si>
    <t xml:space="preserve">~70% снижения маржинальности (−7,7 из −10,8 п.п.) дают новые пакеты на широких сегментах; действующие направления дают −2,6 п.п., в основном новые площадки (уход ТГ).</t>
  </si>
  <si>
    <t xml:space="preserve">2.3 Прирост выручки и денег, остающихся Магниту (к вопросу «20 копеек с рубля»)</t>
  </si>
  <si>
    <t xml:space="preserve">Блок</t>
  </si>
  <si>
    <t xml:space="preserve">Прирост выручки</t>
  </si>
  <si>
    <t xml:space="preserve">Прирост маржи (выручка − трафик)</t>
  </si>
  <si>
    <t xml:space="preserve">Маржа на 1 руб. прироста</t>
  </si>
  <si>
    <t xml:space="preserve">Действующие направления</t>
  </si>
  <si>
    <t xml:space="preserve">По направлениям бизнеса (без расхождения с итогом модели)</t>
  </si>
  <si>
    <t xml:space="preserve">Онлайн на широких сегментах</t>
  </si>
  <si>
    <t xml:space="preserve">Итого DMP+Online (модель)</t>
  </si>
  <si>
    <t xml:space="preserve">613 → +124: так считают согласующие</t>
  </si>
  <si>
    <t xml:space="preserve">2.4 Сверка с бюджетной моделью: в модели другая разбивка по направлениям</t>
  </si>
  <si>
    <t xml:space="preserve">Направление в модели (лист DMP)</t>
  </si>
  <si>
    <t xml:space="preserve">В модели «широкие сегменты» не выделены: часть, видимо, внутри пакетов (маржа 25%)</t>
  </si>
  <si>
    <t xml:space="preserve">Итого модель</t>
  </si>
  <si>
    <t xml:space="preserve">Итоги модели и бизнеса совпадают (1 600 / 1 000 / 37,5%), разбивка — нет</t>
  </si>
  <si>
    <t xml:space="preserve">Закупка трафика в реестре: DMP+Online (ЦМ)</t>
  </si>
  <si>
    <t xml:space="preserve">Отдельная строка реестра (ответственный — Ардаширов Д.). Похоже на «широкие сегменты по запросу маркетинга» (расход 363) — нужно подтвердить</t>
  </si>
  <si>
    <t xml:space="preserve">2.5 К тезису «все источники — поставщики, не РА; СК не выплачивается»</t>
  </si>
  <si>
    <t xml:space="preserve">Показатель, факт 8М 2026</t>
  </si>
  <si>
    <t xml:space="preserve">Значение</t>
  </si>
  <si>
    <t xml:space="preserve">Выручка DMP+Online, всего</t>
  </si>
  <si>
    <t xml:space="preserve">«Расшифровка» мастера</t>
  </si>
  <si>
    <t xml:space="preserve">в т.ч. от поставщиков</t>
  </si>
  <si>
    <t xml:space="preserve">100% — подтверждает тезис бизнеса</t>
  </si>
  <si>
    <t xml:space="preserve">в т.ч. проведено через РА (реальное направление «(РА)»)</t>
  </si>
  <si>
    <t xml:space="preserve">~29% выручки DMP+Online 8М шло через агентства</t>
  </si>
  <si>
    <t xml:space="preserve">Премии РА: data/online, начислено</t>
  </si>
  <si>
    <t xml:space="preserve">Небольшие премии РА по DMP в 2026 начислялись</t>
  </si>
  <si>
    <t xml:space="preserve">2027: DMP в базе СК</t>
  </si>
  <si>
    <t xml:space="preserve">В расчёте СК 2027 база — не поставщики и бренд-бюджеты; DMP не входит</t>
  </si>
  <si>
    <t xml:space="preserve">Для 2026 тезис «не через РА, СК не выплачивается» фактом не подтверждается полностью. Безопаснее формулировка: «в бюджете 2027 СК по DMP не закладывается; бюджеты — поставщиков».</t>
  </si>
  <si>
    <t xml:space="preserve">2. DMP + Online: выручка, закупка трафика и маржинальность, млн руб. без НДС</t>
  </si>
  <si>
    <t xml:space="preserve">2027 — модель cons 16.10. 2026 = 8+4: факт янв–авг (журнал факта, «Расшифровка», реестр кампаний DMP) + прогноз сен–дек (мастер август)</t>
  </si>
  <si>
    <t xml:space="preserve">2.1 BU 2027 по направлениям (план команды DMP)</t>
  </si>
  <si>
    <t xml:space="preserve">Выручка</t>
  </si>
  <si>
    <t xml:space="preserve">Закупка трафика</t>
  </si>
  <si>
    <t xml:space="preserve">Остаётся Магниту</t>
  </si>
  <si>
    <t xml:space="preserve">Доля выручки</t>
  </si>
  <si>
    <t xml:space="preserve">Развитие новых площадок (SmartTV, Авито, МР)</t>
  </si>
  <si>
    <t xml:space="preserve">Итого DMP + Online 2027</t>
  </si>
  <si>
    <t xml:space="preserve">Маржинальность по направлениям — допущения плана команды DMP; закупка трафика = выручка × (1 − маржинальность).</t>
  </si>
  <si>
    <t xml:space="preserve">2.2 Закупка трафика 2027 по центрам ответственности (реестр потребностей)</t>
  </si>
  <si>
    <t xml:space="preserve">Строка реестра</t>
  </si>
  <si>
    <t xml:space="preserve">Сумма 2027</t>
  </si>
  <si>
    <t xml:space="preserve">Комментарий в реестре</t>
  </si>
  <si>
    <t xml:space="preserve">DMP+Online (Тарасов М., Кирилова А.)</t>
  </si>
  <si>
    <t xml:space="preserve">«Суммы взяты из бюджета 2027 … рассчитаны от прогнозируемой выручки»</t>
  </si>
  <si>
    <t xml:space="preserve">DMP+Online (ЦМ) (Ардаширов Д.)</t>
  </si>
  <si>
    <t xml:space="preserve">Комментария нет; в BU 2026 и факте 7М 2026 такой строки нет</t>
  </si>
  <si>
    <t xml:space="preserve">Итого</t>
  </si>
  <si>
    <t xml:space="preserve">2.3 Маржинальность 2026: модель, P&amp;L 8+4 и реестр кампаний DMP</t>
  </si>
  <si>
    <t xml:space="preserve">Источник</t>
  </si>
  <si>
    <t xml:space="preserve">Закупка трафика / маркетинг в интернете</t>
  </si>
  <si>
    <t xml:space="preserve">Модель cons 16.10: FC 2026 (база в презентации)</t>
  </si>
  <si>
    <t xml:space="preserve">Закупка 2026 — «План команды DMP на 2026» (лист DMP, блок 3)</t>
  </si>
  <si>
    <t xml:space="preserve">Факт 8М 2026 (P&amp;L)</t>
  </si>
  <si>
    <t xml:space="preserve">После корректировки в авг.: 120,7 млн перенесены с DMP+Online на «Other»</t>
  </si>
  <si>
    <t xml:space="preserve">Факт 8М 2026 без корректировки авг.</t>
  </si>
  <si>
    <t xml:space="preserve">Если корректировку 120,7 вернуть на DMP+Online</t>
  </si>
  <si>
    <t xml:space="preserve">Прогноз сен–дек 2026 (мастер август)</t>
  </si>
  <si>
    <t xml:space="preserve">FC 8+4 2026</t>
  </si>
  <si>
    <t xml:space="preserve">Год, с учётом корректировки авг.</t>
  </si>
  <si>
    <t xml:space="preserve">FC 8+4 2026 без корректировки авг.</t>
  </si>
  <si>
    <t xml:space="preserve">Справочно: реестр кампаний команды DMP, янв–авг</t>
  </si>
  <si>
    <t xml:space="preserve">Только стоимость размещений за вычетом рибейта; см. 2.5а</t>
  </si>
  <si>
    <t xml:space="preserve">«Маржа ~48% в 2026» — план команды DMP в модели. По P&amp;L 8+4 — 50% (36%, если вернуть корректировку авг.); по реестру кампаний — 66%. В P&amp;L, кроме закупки размещений, отражены ТВ, блогеры, наружная реклама и акции (см. 2.5).</t>
  </si>
  <si>
    <t xml:space="preserve">2.4 2026 по месяцам (8+4)</t>
  </si>
  <si>
    <t xml:space="preserve">Выручка DMP+Online</t>
  </si>
  <si>
    <t xml:space="preserve">Маркетинг в интернете DMP+Online</t>
  </si>
  <si>
    <t xml:space="preserve">Маржа</t>
  </si>
  <si>
    <t xml:space="preserve">Маржинальность, %</t>
  </si>
  <si>
    <t xml:space="preserve">Сен–дек — прогноз. Помесячная маржа волатильна из-за момента признания выручки и закрывающих документов площадок.</t>
  </si>
  <si>
    <t xml:space="preserve">2.5 Состав расходов DMP+Online, факт 8М 2026 (журнал факта)</t>
  </si>
  <si>
    <t xml:space="preserve">Вид расхода</t>
  </si>
  <si>
    <t xml:space="preserve">Сумма 8М</t>
  </si>
  <si>
    <t xml:space="preserve">Закупка трафика на внешних площадках</t>
  </si>
  <si>
    <t xml:space="preserve">Размещение рекламы на ТВ</t>
  </si>
  <si>
    <t xml:space="preserve">Размещение у блогеров (Getblogger)</t>
  </si>
  <si>
    <t xml:space="preserve">Рекламные акции (лояльность)</t>
  </si>
  <si>
    <t xml:space="preserve">Наружная реклама (растяжки, щиты, пиллары)</t>
  </si>
  <si>
    <t xml:space="preserve">Размещение рекламы в интернете</t>
  </si>
  <si>
    <t xml:space="preserve">Агентские вознаграждения</t>
  </si>
  <si>
    <t xml:space="preserve">Прочее (ЗНР, ОРД, без описания)</t>
  </si>
  <si>
    <t xml:space="preserve">Корректировка авг. (перенос на «Other»)</t>
  </si>
  <si>
    <t xml:space="preserve">Итого 8М</t>
  </si>
  <si>
    <t xml:space="preserve">2.5а Фактическая маржа 2026 по типам размещения — реестр кампаний команды DMP (янв–авг)</t>
  </si>
  <si>
    <t xml:space="preserve">Тип размещения</t>
  </si>
  <si>
    <t xml:space="preserve">Стоимость размещения</t>
  </si>
  <si>
    <t xml:space="preserve">Рибейт</t>
  </si>
  <si>
    <t xml:space="preserve">Стоимость за вычетом рибейта</t>
  </si>
  <si>
    <t xml:space="preserve">Кампаний</t>
  </si>
  <si>
    <t xml:space="preserve">OLV</t>
  </si>
  <si>
    <t xml:space="preserve">Баннеры</t>
  </si>
  <si>
    <t xml:space="preserve">Пакеты ТВ + онлайн (онлайн-часть)</t>
  </si>
  <si>
    <t xml:space="preserve">Telegram (пост + картинка)</t>
  </si>
  <si>
    <t xml:space="preserve">Площадка</t>
  </si>
  <si>
    <t xml:space="preserve">Яндекс</t>
  </si>
  <si>
    <t xml:space="preserve">ВК видео</t>
  </si>
  <si>
    <t xml:space="preserve">Пакеты ТВ + онлайн</t>
  </si>
  <si>
    <t xml:space="preserve">МТ</t>
  </si>
  <si>
    <t xml:space="preserve">Пакет</t>
  </si>
  <si>
    <t xml:space="preserve">ТГ</t>
  </si>
  <si>
    <t xml:space="preserve">Авито</t>
  </si>
  <si>
    <t xml:space="preserve">Яндекс БОНУС</t>
  </si>
  <si>
    <t xml:space="preserve">Озон</t>
  </si>
  <si>
    <t xml:space="preserve">Яндекс Бонус частично</t>
  </si>
  <si>
    <t xml:space="preserve">Источник — листы «DMP 2026» и «DMP 2026 ТВ+онлайн» мастера августа (кампании по месяцу запуска). Выручка реестра не равна выручке P&amp;L за 8М: разный момент признания.</t>
  </si>
  <si>
    <t xml:space="preserve">2.6 Выручка по форматам (модель)</t>
  </si>
  <si>
    <t xml:space="preserve">Формат</t>
  </si>
  <si>
    <t xml:space="preserve">FC 2026</t>
  </si>
  <si>
    <t xml:space="preserve">Доля</t>
  </si>
  <si>
    <t xml:space="preserve">BU 2027</t>
  </si>
  <si>
    <t xml:space="preserve">Прирост</t>
  </si>
  <si>
    <t xml:space="preserve">МК</t>
  </si>
  <si>
    <t xml:space="preserve">ММ</t>
  </si>
  <si>
    <t xml:space="preserve">МЭ</t>
  </si>
  <si>
    <t xml:space="preserve">МС</t>
  </si>
  <si>
    <t xml:space="preserve">Итого DMP + Online</t>
  </si>
  <si>
    <t xml:space="preserve">В модели выручка DMP+Online разнесена на форматы по факту 8М 2026 (с корректировкой) — структура одинакова в обоих годах. Маржинальность по форматам в модели не считается (она задаётся по продуктам, п. 2.1).</t>
  </si>
  <si>
    <t xml:space="preserve">В «Расшифровке» мастера формат проставлен только для ~8% выручки DMP+Online 8М — фактическую разбивку по форматам из мастера получить нельзя.</t>
  </si>
  <si>
    <t xml:space="preserve">2.7 Выручка DMP+Online 8М 2026 по типу рекламодателя и источнику бюджета («Расшифровка»)</t>
  </si>
  <si>
    <t xml:space="preserve">Тип рекламодателя</t>
  </si>
  <si>
    <t xml:space="preserve">Выручка 8М</t>
  </si>
  <si>
    <t xml:space="preserve">Поставщики</t>
  </si>
  <si>
    <t xml:space="preserve">Источник бюджета (реальное направление по КУ)</t>
  </si>
  <si>
    <t xml:space="preserve">в т.ч. через РА</t>
  </si>
  <si>
    <t xml:space="preserve">AdTech_Реклама и продвижение</t>
  </si>
  <si>
    <t xml:space="preserve">Прочие маркетинговые активности</t>
  </si>
  <si>
    <t xml:space="preserve">ДМП</t>
  </si>
  <si>
    <t xml:space="preserve">Пакеты лояльности и кросс-форматные акции</t>
  </si>
  <si>
    <t xml:space="preserve">ТВ интеграция поставщиков</t>
  </si>
  <si>
    <t xml:space="preserve">E-Commerce_Adtech</t>
  </si>
  <si>
    <t xml:space="preserve">Журнал Мой Магнит</t>
  </si>
  <si>
    <t xml:space="preserve">Доп маржа Q1</t>
  </si>
  <si>
    <t xml:space="preserve">Регулярный оборотный бонус</t>
  </si>
  <si>
    <t xml:space="preserve">Доп маржа Q2</t>
  </si>
  <si>
    <t xml:space="preserve">Календаризация КУ, Q2</t>
  </si>
  <si>
    <t xml:space="preserve">Информационные услуги</t>
  </si>
  <si>
    <t xml:space="preserve">E-Commerce_Реклама и продвижение (условное)</t>
  </si>
  <si>
    <t xml:space="preserve">Развитие ассортимента</t>
  </si>
  <si>
    <t xml:space="preserve">Все строки выручки DMP+Online в 2026 привязаны к КУ поставщиков (заполнен номер КУ). Часть дохода учтена в БиП по другим реальным направлениям («Не РН AdTech»).</t>
  </si>
  <si>
    <t xml:space="preserve">Разбивки 2027 по типу рекламодателя и источнику бюджета в модели нет — план команды DMP задан по продуктам. Нужна от бизнеса.</t>
  </si>
  <si>
    <t xml:space="preserve">2.8 Топ-10 рекламодателей DMP+Online, 8М 2026</t>
  </si>
  <si>
    <t xml:space="preserve">Контрагент</t>
  </si>
  <si>
    <t xml:space="preserve">Тип</t>
  </si>
  <si>
    <t xml:space="preserve">ЛАБ Индастриз ООО</t>
  </si>
  <si>
    <t xml:space="preserve">Рекитт Бенкизер ООО</t>
  </si>
  <si>
    <t xml:space="preserve">Мондэлис Русь ООО (новый)</t>
  </si>
  <si>
    <t xml:space="preserve">Арнест ЮниРусь ООО</t>
  </si>
  <si>
    <t xml:space="preserve">Проктер энд Гэмбл Дистрибьюторская Компания ООО</t>
  </si>
  <si>
    <t xml:space="preserve">Трейд-Сервис ООО</t>
  </si>
  <si>
    <t xml:space="preserve">ИнфоЛинк АО</t>
  </si>
  <si>
    <t xml:space="preserve">МОРОЗКО ООО</t>
  </si>
  <si>
    <t xml:space="preserve">Нестле Россия ООО</t>
  </si>
  <si>
    <t xml:space="preserve">Вимм-Билль-Данн АО (Московский филиал)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</si>
</sst>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[RED]\-#,##0.0"/>
    <numFmt numFmtId="166" formatCode="0.0%"/>
    <numFmt numFmtId="167" formatCode="0.0"/>
    <numFmt numFmtId="168" formatCode="#,##0;[RED]\-#,##0"/>
    <numFmt numFmtId="169" formatCode="0.00"/>
    <numFmt numFmtId="170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4" min="2" style="0" width="14"/>
    <col collapsed="false" customWidth="true" hidden="false" outlineLevel="0" max="15" min="15" style="0" width="40"/>
  </cols>
  <sheetData>
    <row r="1" customFormat="false" ht="41.75" hidden="false" customHeight="false" outlineLevel="0" collapsed="false">
      <c r="A1" s="1" t="s">
        <v>0</v>
      </c>
    </row>
    <row r="2" customFormat="false" ht="55.2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8.35" hidden="false" customHeight="fals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customFormat="false" ht="15" hidden="false" customHeight="false" outlineLevel="0" collapsed="false">
      <c r="A6" s="3" t="s">
        <v>8</v>
      </c>
      <c r="B6" s="7" t="n">
        <v>1800</v>
      </c>
      <c r="C6" s="8" t="n">
        <v>0.3</v>
      </c>
      <c r="D6" s="7" t="n">
        <f aca="false">B6*C6</f>
        <v>540</v>
      </c>
      <c r="E6" s="9" t="s">
        <v>9</v>
      </c>
    </row>
    <row r="7" customFormat="false" ht="15" hidden="false" customHeight="false" outlineLevel="0" collapsed="false">
      <c r="A7" s="3" t="s">
        <v>10</v>
      </c>
      <c r="B7" s="7" t="n">
        <v>850</v>
      </c>
      <c r="C7" s="8" t="n">
        <v>0.3</v>
      </c>
      <c r="D7" s="7" t="n">
        <f aca="false">B7*C7</f>
        <v>255</v>
      </c>
      <c r="E7" s="9" t="s">
        <v>11</v>
      </c>
    </row>
    <row r="8" customFormat="false" ht="15" hidden="false" customHeight="false" outlineLevel="0" collapsed="false">
      <c r="A8" s="4" t="s">
        <v>12</v>
      </c>
      <c r="B8" s="10" t="n">
        <f aca="false">B6+B7</f>
        <v>2650</v>
      </c>
      <c r="C8" s="11" t="n">
        <f aca="false">D8/B8</f>
        <v>0.3</v>
      </c>
      <c r="D8" s="10" t="n">
        <f aca="false">D6+D7</f>
        <v>795</v>
      </c>
      <c r="E8" s="12" t="s">
        <v>13</v>
      </c>
    </row>
    <row r="9" customFormat="false" ht="15" hidden="false" customHeight="false" outlineLevel="0" collapsed="false">
      <c r="A9" s="3"/>
    </row>
    <row r="10" customFormat="false" ht="28.35" hidden="false" customHeight="false" outlineLevel="0" collapsed="false">
      <c r="A10" s="4" t="s">
        <v>14</v>
      </c>
    </row>
    <row r="11" customFormat="false" ht="28.35" hidden="false" customHeight="false" outlineLevel="0" collapsed="false">
      <c r="A11" s="5" t="s">
        <v>15</v>
      </c>
      <c r="B11" s="6" t="s">
        <v>16</v>
      </c>
      <c r="C11" s="6" t="s">
        <v>17</v>
      </c>
      <c r="D11" s="6" t="s">
        <v>18</v>
      </c>
      <c r="E11" s="6" t="s">
        <v>7</v>
      </c>
    </row>
    <row r="12" customFormat="false" ht="15" hidden="false" customHeight="false" outlineLevel="0" collapsed="false">
      <c r="A12" s="3" t="s">
        <v>19</v>
      </c>
      <c r="B12" s="7" t="n">
        <v>1600</v>
      </c>
      <c r="C12" s="7" t="n">
        <f aca="false">B6</f>
        <v>1800</v>
      </c>
      <c r="D12" s="7" t="n">
        <f aca="false">B12-C12</f>
        <v>-200</v>
      </c>
      <c r="E12" s="9" t="s">
        <v>20</v>
      </c>
    </row>
    <row r="13" customFormat="false" ht="15" hidden="false" customHeight="false" outlineLevel="0" collapsed="false">
      <c r="A13" s="3" t="s">
        <v>21</v>
      </c>
      <c r="B13" s="7" t="n">
        <v>850</v>
      </c>
      <c r="C13" s="7" t="n">
        <f aca="false">B7</f>
        <v>850</v>
      </c>
      <c r="D13" s="7" t="n">
        <f aca="false">B13-C13</f>
        <v>0</v>
      </c>
    </row>
    <row r="14" customFormat="false" ht="15" hidden="false" customHeight="false" outlineLevel="0" collapsed="false">
      <c r="A14" s="4" t="s">
        <v>22</v>
      </c>
      <c r="B14" s="10" t="n">
        <f aca="false">B12+B13</f>
        <v>2450</v>
      </c>
      <c r="C14" s="10" t="n">
        <f aca="false">C12+C13</f>
        <v>2650</v>
      </c>
      <c r="D14" s="10" t="n">
        <f aca="false">B14-C14</f>
        <v>-200</v>
      </c>
      <c r="E14" s="12"/>
    </row>
    <row r="15" customFormat="false" ht="15" hidden="false" customHeight="false" outlineLevel="0" collapsed="false">
      <c r="A15" s="3" t="s">
        <v>5</v>
      </c>
      <c r="B15" s="8" t="n">
        <v>0.32</v>
      </c>
      <c r="C15" s="8" t="n">
        <f aca="false">C8</f>
        <v>0.3</v>
      </c>
      <c r="D15" s="8" t="n">
        <f aca="false">B15-C15</f>
        <v>0.02</v>
      </c>
      <c r="E15" s="9" t="s">
        <v>23</v>
      </c>
    </row>
    <row r="16" customFormat="false" ht="15" hidden="false" customHeight="false" outlineLevel="0" collapsed="false">
      <c r="A16" s="4" t="s">
        <v>24</v>
      </c>
      <c r="B16" s="10" t="n">
        <f aca="false">B14*B15</f>
        <v>784</v>
      </c>
      <c r="C16" s="10" t="n">
        <f aca="false">D8</f>
        <v>795</v>
      </c>
      <c r="D16" s="10" t="n">
        <f aca="false">B16-C16</f>
        <v>-11</v>
      </c>
      <c r="E16" s="12" t="s">
        <v>25</v>
      </c>
    </row>
    <row r="17" customFormat="false" ht="15" hidden="false" customHeight="false" outlineLevel="0" collapsed="false">
      <c r="A17" s="13" t="s">
        <v>26</v>
      </c>
      <c r="B17" s="14" t="n">
        <f aca="false">795/B14</f>
        <v>0.324489795918367</v>
      </c>
      <c r="C17" s="15"/>
      <c r="D17" s="15"/>
      <c r="E17" s="15" t="s">
        <v>27</v>
      </c>
    </row>
    <row r="18" customFormat="false" ht="68.65" hidden="false" customHeight="false" outlineLevel="0" collapsed="false">
      <c r="A18" s="2" t="s">
        <v>28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29</v>
      </c>
    </row>
    <row r="21" customFormat="false" ht="41.75" hidden="false" customHeight="false" outlineLevel="0" collapsed="false">
      <c r="A21" s="5" t="s">
        <v>15</v>
      </c>
      <c r="B21" s="6" t="s">
        <v>30</v>
      </c>
      <c r="C21" s="6" t="s">
        <v>31</v>
      </c>
      <c r="D21" s="6" t="s">
        <v>32</v>
      </c>
      <c r="E21" s="6" t="s">
        <v>16</v>
      </c>
      <c r="F21" s="6" t="s">
        <v>7</v>
      </c>
    </row>
    <row r="22" customFormat="false" ht="15" hidden="false" customHeight="false" outlineLevel="0" collapsed="false">
      <c r="A22" s="3" t="s">
        <v>33</v>
      </c>
      <c r="B22" s="7" t="n">
        <v>1000</v>
      </c>
      <c r="C22" s="7" t="n">
        <v>1000</v>
      </c>
      <c r="D22" s="7" t="n">
        <v>1246.86</v>
      </c>
      <c r="E22" s="7" t="n">
        <v>1000</v>
      </c>
      <c r="F22" s="9" t="s">
        <v>34</v>
      </c>
    </row>
    <row r="23" customFormat="false" ht="15" hidden="false" customHeight="false" outlineLevel="0" collapsed="false">
      <c r="A23" s="4" t="s">
        <v>6</v>
      </c>
      <c r="B23" s="10" t="n">
        <v>351.73</v>
      </c>
      <c r="C23" s="10" t="n">
        <v>354.4</v>
      </c>
      <c r="D23" s="10" t="n">
        <v>332.41</v>
      </c>
      <c r="E23" s="10" t="n">
        <f aca="false">E22*E24</f>
        <v>360</v>
      </c>
      <c r="F23" s="12" t="s">
        <v>35</v>
      </c>
    </row>
    <row r="24" customFormat="false" ht="15" hidden="false" customHeight="false" outlineLevel="0" collapsed="false">
      <c r="A24" s="3" t="s">
        <v>5</v>
      </c>
      <c r="B24" s="8" t="n">
        <f aca="false">B23/B22</f>
        <v>0.35173</v>
      </c>
      <c r="C24" s="8" t="n">
        <f aca="false">C23/C22</f>
        <v>0.3544</v>
      </c>
      <c r="D24" s="8" t="n">
        <f aca="false">D23/D22</f>
        <v>0.266597693405836</v>
      </c>
      <c r="E24" s="8" t="n">
        <v>0.36</v>
      </c>
    </row>
    <row r="25" customFormat="false" ht="55.2" hidden="false" customHeight="false" outlineLevel="0" collapsed="false">
      <c r="A25" s="2" t="s">
        <v>36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37</v>
      </c>
    </row>
    <row r="28" customFormat="false" ht="28.35" hidden="false" customHeight="false" outlineLevel="0" collapsed="false">
      <c r="A28" s="5" t="s">
        <v>38</v>
      </c>
      <c r="B28" s="6" t="s">
        <v>39</v>
      </c>
      <c r="C28" s="6" t="s">
        <v>40</v>
      </c>
      <c r="D28" s="6" t="s">
        <v>41</v>
      </c>
      <c r="E28" s="6" t="s">
        <v>7</v>
      </c>
    </row>
    <row r="29" customFormat="false" ht="15" hidden="false" customHeight="false" outlineLevel="0" collapsed="false">
      <c r="A29" s="3" t="s">
        <v>42</v>
      </c>
      <c r="B29" s="8" t="n">
        <v>0.36</v>
      </c>
      <c r="C29" s="8" t="n">
        <v>0.32</v>
      </c>
      <c r="D29" s="16" t="n">
        <f aca="false">(C29-B29)*100</f>
        <v>-4</v>
      </c>
      <c r="E29" s="9" t="s">
        <v>43</v>
      </c>
    </row>
    <row r="30" customFormat="false" ht="15" hidden="false" customHeight="false" outlineLevel="0" collapsed="false">
      <c r="A30" s="3" t="s">
        <v>44</v>
      </c>
      <c r="B30" s="8" t="n">
        <f aca="false">B24</f>
        <v>0.35173</v>
      </c>
      <c r="C30" s="8" t="n">
        <f aca="false">C8</f>
        <v>0.3</v>
      </c>
      <c r="D30" s="16" t="n">
        <f aca="false">(C30-B30)*100</f>
        <v>-5.17300000000001</v>
      </c>
      <c r="E30" s="9" t="s">
        <v>45</v>
      </c>
    </row>
    <row r="31" customFormat="false" ht="15" hidden="false" customHeight="false" outlineLevel="0" collapsed="false">
      <c r="A31" s="3" t="s">
        <v>46</v>
      </c>
      <c r="B31" s="8" t="n">
        <f aca="false">B24</f>
        <v>0.35173</v>
      </c>
      <c r="C31" s="8" t="n">
        <f aca="false">B17</f>
        <v>0.324489795918367</v>
      </c>
      <c r="D31" s="16" t="n">
        <f aca="false">(C31-B31)*100</f>
        <v>-2.72402040816327</v>
      </c>
      <c r="E31" s="9" t="s">
        <v>47</v>
      </c>
    </row>
    <row r="32" customFormat="false" ht="82.05" hidden="false" customHeight="false" outlineLevel="0" collapsed="false">
      <c r="A32" s="2" t="s">
        <v>48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4" t="s">
        <v>49</v>
      </c>
    </row>
    <row r="35" customFormat="false" ht="15" hidden="false" customHeight="false" outlineLevel="0" collapsed="false">
      <c r="A35" s="5" t="s">
        <v>50</v>
      </c>
      <c r="B35" s="6" t="s">
        <v>51</v>
      </c>
      <c r="C35" s="6" t="s">
        <v>52</v>
      </c>
      <c r="D35" s="6" t="s">
        <v>53</v>
      </c>
      <c r="E35" s="6" t="s">
        <v>54</v>
      </c>
      <c r="F35" s="6" t="s">
        <v>55</v>
      </c>
      <c r="G35" s="6" t="s">
        <v>56</v>
      </c>
      <c r="H35" s="6" t="s">
        <v>57</v>
      </c>
      <c r="I35" s="6" t="s">
        <v>58</v>
      </c>
      <c r="J35" s="6" t="s">
        <v>59</v>
      </c>
      <c r="K35" s="6" t="s">
        <v>60</v>
      </c>
      <c r="L35" s="6" t="s">
        <v>61</v>
      </c>
      <c r="M35" s="6" t="s">
        <v>62</v>
      </c>
      <c r="N35" s="6" t="s">
        <v>63</v>
      </c>
    </row>
    <row r="36" customFormat="false" ht="28.35" hidden="false" customHeight="false" outlineLevel="0" collapsed="false">
      <c r="A36" s="3" t="s">
        <v>64</v>
      </c>
      <c r="B36" s="7" t="n">
        <v>-19.58417776</v>
      </c>
      <c r="C36" s="7" t="n">
        <v>-12.2</v>
      </c>
      <c r="D36" s="7" t="n">
        <v>-0.525</v>
      </c>
      <c r="E36" s="7" t="n">
        <v>-4.55378175</v>
      </c>
      <c r="F36" s="7" t="n">
        <v>0</v>
      </c>
      <c r="G36" s="7" t="n">
        <v>0</v>
      </c>
      <c r="H36" s="7" t="n">
        <v>0</v>
      </c>
      <c r="I36" s="7" t="n">
        <v>0</v>
      </c>
      <c r="N36" s="7" t="n">
        <f aca="false">SUM(B36:M36)</f>
        <v>-36.86295951</v>
      </c>
    </row>
    <row r="37" customFormat="false" ht="15" hidden="false" customHeight="false" outlineLevel="0" collapsed="false">
      <c r="A37" s="3" t="s">
        <v>65</v>
      </c>
      <c r="B37" s="7" t="n">
        <v>0</v>
      </c>
      <c r="C37" s="7" t="n">
        <v>0.88083585</v>
      </c>
      <c r="D37" s="7" t="n">
        <v>37.16684613</v>
      </c>
      <c r="E37" s="7" t="n">
        <v>4.45802033</v>
      </c>
      <c r="F37" s="7" t="n">
        <v>0</v>
      </c>
      <c r="G37" s="7" t="n">
        <v>43.63757336</v>
      </c>
      <c r="H37" s="7" t="n">
        <v>7.51786912</v>
      </c>
      <c r="I37" s="7" t="n">
        <v>0.939976</v>
      </c>
      <c r="N37" s="7" t="n">
        <f aca="false">SUM(B37:M37)</f>
        <v>94.60112079</v>
      </c>
    </row>
    <row r="38" customFormat="false" ht="15" hidden="false" customHeight="false" outlineLevel="0" collapsed="false">
      <c r="A38" s="3" t="s">
        <v>66</v>
      </c>
      <c r="B38" s="7" t="n">
        <v>0</v>
      </c>
      <c r="C38" s="7" t="n">
        <v>2.20404132</v>
      </c>
      <c r="D38" s="7" t="n">
        <v>0.80646765</v>
      </c>
      <c r="E38" s="7" t="n">
        <v>0</v>
      </c>
      <c r="F38" s="7" t="n">
        <v>0</v>
      </c>
      <c r="G38" s="7" t="n">
        <v>1.74350512</v>
      </c>
      <c r="H38" s="7" t="n">
        <v>0</v>
      </c>
      <c r="I38" s="7" t="n">
        <v>0</v>
      </c>
      <c r="N38" s="7" t="n">
        <f aca="false">SUM(B38:M38)</f>
        <v>4.75401409</v>
      </c>
    </row>
    <row r="39" customFormat="false" ht="15" hidden="false" customHeight="false" outlineLevel="0" collapsed="false">
      <c r="A39" s="3" t="s">
        <v>67</v>
      </c>
      <c r="B39" s="7" t="n">
        <v>0</v>
      </c>
      <c r="C39" s="7" t="n">
        <v>21.5737716</v>
      </c>
      <c r="D39" s="7" t="n">
        <v>0</v>
      </c>
      <c r="E39" s="7" t="n">
        <v>0</v>
      </c>
      <c r="F39" s="7" t="n">
        <v>0</v>
      </c>
      <c r="G39" s="7" t="n">
        <v>38.17544837</v>
      </c>
      <c r="H39" s="7" t="n">
        <v>14.7602298</v>
      </c>
      <c r="I39" s="7" t="n">
        <v>1.17900459</v>
      </c>
      <c r="N39" s="7" t="n">
        <f aca="false">SUM(B39:M39)</f>
        <v>75.68845436</v>
      </c>
    </row>
    <row r="40" customFormat="false" ht="15" hidden="false" customHeight="false" outlineLevel="0" collapsed="false">
      <c r="A40" s="3" t="s">
        <v>68</v>
      </c>
      <c r="J40" s="7" t="n">
        <v>43.8894850443278</v>
      </c>
      <c r="K40" s="7" t="n">
        <v>47.0923180264855</v>
      </c>
      <c r="L40" s="7" t="n">
        <v>48.060136571781</v>
      </c>
      <c r="M40" s="7" t="n">
        <v>55.1887770224611</v>
      </c>
      <c r="N40" s="7" t="n">
        <f aca="false">SUM(B40:M40)</f>
        <v>194.230716665055</v>
      </c>
    </row>
    <row r="41" customFormat="false" ht="15" hidden="false" customHeight="false" outlineLevel="0" collapsed="false">
      <c r="A41" s="4" t="s">
        <v>69</v>
      </c>
      <c r="B41" s="10" t="n">
        <f aca="false">SUM(B36:B40)</f>
        <v>-19.58417776</v>
      </c>
      <c r="C41" s="10" t="n">
        <f aca="false">SUM(C36:C40)</f>
        <v>12.45864877</v>
      </c>
      <c r="D41" s="10" t="n">
        <f aca="false">SUM(D36:D40)</f>
        <v>37.44831378</v>
      </c>
      <c r="E41" s="10" t="n">
        <f aca="false">SUM(E36:E40)</f>
        <v>-0.0957614199999997</v>
      </c>
      <c r="F41" s="10" t="n">
        <f aca="false">SUM(F36:F40)</f>
        <v>0</v>
      </c>
      <c r="G41" s="10" t="n">
        <f aca="false">SUM(G36:G40)</f>
        <v>83.55652685</v>
      </c>
      <c r="H41" s="10" t="n">
        <f aca="false">SUM(H36:H40)</f>
        <v>22.27809892</v>
      </c>
      <c r="I41" s="10" t="n">
        <f aca="false">SUM(I36:I40)</f>
        <v>2.11898059</v>
      </c>
      <c r="J41" s="10" t="n">
        <f aca="false">SUM(J36:J40)</f>
        <v>43.8894850443278</v>
      </c>
      <c r="K41" s="10" t="n">
        <f aca="false">SUM(K36:K40)</f>
        <v>47.0923180264855</v>
      </c>
      <c r="L41" s="10" t="n">
        <f aca="false">SUM(L36:L40)</f>
        <v>48.060136571781</v>
      </c>
      <c r="M41" s="10" t="n">
        <f aca="false">SUM(M36:M40)</f>
        <v>55.1887770224611</v>
      </c>
      <c r="N41" s="10" t="n">
        <f aca="false">SUM(N36:N40)</f>
        <v>332.411346395055</v>
      </c>
    </row>
    <row r="42" customFormat="false" ht="15" hidden="false" customHeight="false" outlineLevel="0" collapsed="false">
      <c r="A42" s="3"/>
    </row>
    <row r="43" customFormat="false" ht="28.35" hidden="false" customHeight="false" outlineLevel="0" collapsed="false">
      <c r="A43" s="4" t="s">
        <v>70</v>
      </c>
      <c r="B43" s="10" t="n">
        <v>66.25</v>
      </c>
      <c r="C43" s="10" t="n">
        <v>66.25</v>
      </c>
      <c r="D43" s="10" t="n">
        <v>66.25</v>
      </c>
      <c r="E43" s="10" t="n">
        <v>66.25</v>
      </c>
      <c r="F43" s="10" t="n">
        <v>66.25</v>
      </c>
      <c r="G43" s="10" t="n">
        <v>66.25</v>
      </c>
      <c r="H43" s="10" t="n">
        <v>66.25</v>
      </c>
      <c r="I43" s="10" t="n">
        <v>66.25</v>
      </c>
      <c r="J43" s="10" t="n">
        <v>66.25</v>
      </c>
      <c r="K43" s="10" t="n">
        <v>66.25</v>
      </c>
      <c r="L43" s="10" t="n">
        <v>66.25</v>
      </c>
      <c r="M43" s="10" t="n">
        <v>66.25</v>
      </c>
      <c r="N43" s="10" t="n">
        <f aca="false">SUM(B43:M43)</f>
        <v>795</v>
      </c>
    </row>
    <row r="44" customFormat="false" ht="55.2" hidden="false" customHeight="false" outlineLevel="0" collapsed="false">
      <c r="A44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"/>
    <col collapsed="false" customWidth="true" hidden="false" outlineLevel="0" max="10" min="10" style="0" width="44"/>
  </cols>
  <sheetData>
    <row r="1" customFormat="false" ht="41.75" hidden="false" customHeight="false" outlineLevel="0" collapsed="false">
      <c r="A1" s="1" t="s">
        <v>72</v>
      </c>
      <c r="J1" s="3"/>
    </row>
    <row r="2" customFormat="false" ht="41.75" hidden="false" customHeight="false" outlineLevel="0" collapsed="false">
      <c r="A2" s="2" t="s">
        <v>73</v>
      </c>
      <c r="J2" s="3"/>
    </row>
    <row r="3" customFormat="false" ht="15" hidden="false" customHeight="false" outlineLevel="0" collapsed="false">
      <c r="A3" s="3"/>
      <c r="J3" s="3"/>
    </row>
    <row r="4" customFormat="false" ht="28.35" hidden="false" customHeight="false" outlineLevel="0" collapsed="false">
      <c r="A4" s="4" t="s">
        <v>74</v>
      </c>
      <c r="J4" s="3"/>
    </row>
    <row r="5" customFormat="false" ht="28.35" hidden="false" customHeight="false" outlineLevel="0" collapsed="false">
      <c r="A5" s="5" t="s">
        <v>75</v>
      </c>
      <c r="B5" s="6" t="s">
        <v>76</v>
      </c>
      <c r="C5" s="6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82</v>
      </c>
      <c r="I5" s="5" t="s">
        <v>83</v>
      </c>
      <c r="J5" s="5" t="s">
        <v>84</v>
      </c>
    </row>
    <row r="6" customFormat="false" ht="15" hidden="false" customHeight="false" outlineLevel="0" collapsed="false">
      <c r="A6" s="3" t="s">
        <v>85</v>
      </c>
      <c r="B6" s="17" t="n">
        <v>220</v>
      </c>
      <c r="C6" s="8" t="n">
        <v>0.4</v>
      </c>
      <c r="D6" s="17" t="n">
        <f aca="false">IF(B6="","",B6*(1-C6))</f>
        <v>132</v>
      </c>
      <c r="E6" s="17" t="n">
        <v>292</v>
      </c>
      <c r="F6" s="8" t="n">
        <v>0.4</v>
      </c>
      <c r="G6" s="17" t="n">
        <f aca="false">E6*(1-F6)</f>
        <v>175.2</v>
      </c>
      <c r="H6" s="17" t="n">
        <f aca="false">E6-N(B6)</f>
        <v>72</v>
      </c>
      <c r="I6" s="7" t="n">
        <f aca="false">IF(C6="","",(F6-C6)*100)</f>
        <v>0</v>
      </c>
      <c r="J6" s="3" t="s">
        <v>86</v>
      </c>
    </row>
    <row r="7" customFormat="false" ht="28.35" hidden="false" customHeight="false" outlineLevel="0" collapsed="false">
      <c r="A7" s="3" t="s">
        <v>87</v>
      </c>
      <c r="B7" s="17" t="n">
        <v>505</v>
      </c>
      <c r="C7" s="8" t="n">
        <v>0.48</v>
      </c>
      <c r="D7" s="17" t="n">
        <f aca="false">IF(B7="","",B7*(1-C7))</f>
        <v>262.6</v>
      </c>
      <c r="E7" s="17" t="n">
        <v>589</v>
      </c>
      <c r="F7" s="8" t="n">
        <v>0.49</v>
      </c>
      <c r="G7" s="17" t="n">
        <f aca="false">E7*(1-F7)</f>
        <v>300.39</v>
      </c>
      <c r="H7" s="17" t="n">
        <f aca="false">E7-N(B7)</f>
        <v>84</v>
      </c>
      <c r="I7" s="7" t="n">
        <f aca="false">IF(C7="","",(F7-C7)*100)</f>
        <v>1</v>
      </c>
      <c r="J7" s="3" t="s">
        <v>88</v>
      </c>
    </row>
    <row r="8" customFormat="false" ht="15" hidden="false" customHeight="false" outlineLevel="0" collapsed="false">
      <c r="A8" s="3" t="s">
        <v>89</v>
      </c>
      <c r="B8" s="17" t="n">
        <v>238</v>
      </c>
      <c r="C8" s="8" t="n">
        <v>0.51</v>
      </c>
      <c r="D8" s="17" t="n">
        <f aca="false">IF(B8="","",B8*(1-C8))</f>
        <v>116.62</v>
      </c>
      <c r="E8" s="17" t="n">
        <v>290</v>
      </c>
      <c r="F8" s="8" t="n">
        <v>0.445</v>
      </c>
      <c r="G8" s="17" t="n">
        <f aca="false">E8*(1-F8)</f>
        <v>160.95</v>
      </c>
      <c r="H8" s="17" t="n">
        <f aca="false">E8-N(B8)</f>
        <v>52</v>
      </c>
      <c r="I8" s="7" t="n">
        <f aca="false">IF(C8="","",(F8-C8)*100)</f>
        <v>-6.5</v>
      </c>
      <c r="J8" s="3" t="s">
        <v>90</v>
      </c>
    </row>
    <row r="9" customFormat="false" ht="28.35" hidden="false" customHeight="false" outlineLevel="0" collapsed="false">
      <c r="A9" s="3" t="s">
        <v>91</v>
      </c>
      <c r="B9" s="17"/>
      <c r="C9" s="8"/>
      <c r="D9" s="17" t="str">
        <f aca="false">IF(B9="","",B9*(1-C9))</f>
        <v/>
      </c>
      <c r="E9" s="17" t="n">
        <v>440</v>
      </c>
      <c r="F9" s="8" t="n">
        <v>0.175</v>
      </c>
      <c r="G9" s="17" t="n">
        <f aca="false">E9*(1-F9)</f>
        <v>363</v>
      </c>
      <c r="H9" s="17" t="n">
        <f aca="false">E9-N(B9)</f>
        <v>440</v>
      </c>
      <c r="I9" s="7" t="str">
        <f aca="false">IF(C9="","",(F9-C9)*100)</f>
        <v/>
      </c>
      <c r="J9" s="3" t="s">
        <v>92</v>
      </c>
    </row>
    <row r="10" customFormat="false" ht="15" hidden="false" customHeight="false" outlineLevel="0" collapsed="false">
      <c r="A10" s="4" t="s">
        <v>93</v>
      </c>
      <c r="B10" s="18" t="n">
        <f aca="false">SUM(B6:B9)</f>
        <v>963</v>
      </c>
      <c r="C10" s="11" t="n">
        <f aca="false">1-D10/B10</f>
        <v>0.469138110072689</v>
      </c>
      <c r="D10" s="18" t="n">
        <f aca="false">SUM(D6:D9)</f>
        <v>511.22</v>
      </c>
      <c r="E10" s="18" t="n">
        <f aca="false">SUM(E6:E9)</f>
        <v>1611</v>
      </c>
      <c r="F10" s="11" t="n">
        <f aca="false">1-G10/E10</f>
        <v>0.379553072625698</v>
      </c>
      <c r="G10" s="18" t="n">
        <f aca="false">SUM(G6:G9)</f>
        <v>999.54</v>
      </c>
      <c r="H10" s="18" t="n">
        <f aca="false">E10-B10</f>
        <v>648</v>
      </c>
      <c r="I10" s="10" t="n">
        <f aca="false">(F10-C10)*100</f>
        <v>-8.95850374469911</v>
      </c>
      <c r="J10" s="3"/>
    </row>
    <row r="11" customFormat="false" ht="28.35" hidden="false" customHeight="false" outlineLevel="0" collapsed="false">
      <c r="A11" s="4" t="s">
        <v>94</v>
      </c>
      <c r="B11" s="18" t="n">
        <v>987</v>
      </c>
      <c r="C11" s="11" t="n">
        <f aca="false">1-D11/B11</f>
        <v>0.48273556231003</v>
      </c>
      <c r="D11" s="18" t="n">
        <v>510.54</v>
      </c>
      <c r="E11" s="18" t="n">
        <v>1600</v>
      </c>
      <c r="F11" s="11" t="n">
        <f aca="false">1-G11/E11</f>
        <v>0.375</v>
      </c>
      <c r="G11" s="18" t="n">
        <v>1000</v>
      </c>
      <c r="H11" s="18" t="n">
        <f aca="false">E11-B11</f>
        <v>613</v>
      </c>
      <c r="I11" s="10" t="n">
        <f aca="false">(F11-C11)*100</f>
        <v>-10.773556231003</v>
      </c>
      <c r="J11" s="4" t="s">
        <v>95</v>
      </c>
    </row>
    <row r="12" customFormat="false" ht="41.75" hidden="false" customHeight="false" outlineLevel="0" collapsed="false">
      <c r="A12" s="13" t="s">
        <v>96</v>
      </c>
      <c r="B12" s="19" t="n">
        <f aca="false">B10-B11</f>
        <v>-24</v>
      </c>
      <c r="C12" s="15"/>
      <c r="D12" s="20" t="n">
        <f aca="false">D10-D11</f>
        <v>0.680000000000007</v>
      </c>
      <c r="E12" s="19" t="n">
        <f aca="false">E10-E11</f>
        <v>11</v>
      </c>
      <c r="F12" s="15"/>
      <c r="G12" s="20" t="n">
        <f aca="false">G10-G11</f>
        <v>-0.460000000000036</v>
      </c>
      <c r="H12" s="15"/>
      <c r="I12" s="15"/>
      <c r="J12" s="13" t="s">
        <v>97</v>
      </c>
    </row>
    <row r="13" customFormat="false" ht="55.2" hidden="false" customHeight="false" outlineLevel="0" collapsed="false">
      <c r="A13" s="2" t="s">
        <v>98</v>
      </c>
      <c r="J13" s="3"/>
    </row>
    <row r="14" customFormat="false" ht="15" hidden="false" customHeight="false" outlineLevel="0" collapsed="false">
      <c r="A14" s="3"/>
      <c r="J14" s="3"/>
    </row>
    <row r="15" customFormat="false" ht="15" hidden="false" customHeight="false" outlineLevel="0" collapsed="false">
      <c r="A15" s="4" t="s">
        <v>99</v>
      </c>
      <c r="J15" s="3"/>
    </row>
    <row r="16" customFormat="false" ht="28.35" hidden="false" customHeight="false" outlineLevel="0" collapsed="false">
      <c r="A16" s="5" t="s">
        <v>100</v>
      </c>
      <c r="B16" s="6" t="s">
        <v>101</v>
      </c>
      <c r="C16" s="6" t="s">
        <v>41</v>
      </c>
      <c r="D16" s="5" t="s">
        <v>7</v>
      </c>
      <c r="J16" s="3"/>
    </row>
    <row r="17" customFormat="false" ht="15" hidden="false" customHeight="false" outlineLevel="0" collapsed="false">
      <c r="A17" s="3" t="s">
        <v>102</v>
      </c>
      <c r="B17" s="8" t="n">
        <f aca="false">C11</f>
        <v>0.48273556231003</v>
      </c>
      <c r="C17" s="7"/>
      <c r="D17" s="3" t="s">
        <v>103</v>
      </c>
      <c r="J17" s="3"/>
    </row>
    <row r="18" customFormat="false" ht="149.25" hidden="false" customHeight="false" outlineLevel="0" collapsed="false">
      <c r="A18" s="3" t="s">
        <v>104</v>
      </c>
      <c r="B18" s="8" t="n">
        <f aca="false">1-SUM(G6:G8)/SUM(E6:E8)</f>
        <v>0.456413321947054</v>
      </c>
      <c r="C18" s="7" t="n">
        <f aca="false">(B18-B17)*100</f>
        <v>-2.63222403629765</v>
      </c>
      <c r="D18" s="3" t="s">
        <v>105</v>
      </c>
      <c r="J18" s="3"/>
    </row>
    <row r="19" customFormat="false" ht="68.65" hidden="false" customHeight="false" outlineLevel="0" collapsed="false">
      <c r="A19" s="3" t="s">
        <v>106</v>
      </c>
      <c r="B19" s="8" t="n">
        <f aca="false">F10</f>
        <v>0.379553072625698</v>
      </c>
      <c r="C19" s="7" t="n">
        <f aca="false">(B19-B18)*100</f>
        <v>-7.68602493213555</v>
      </c>
      <c r="D19" s="3" t="s">
        <v>107</v>
      </c>
      <c r="J19" s="3"/>
    </row>
    <row r="20" customFormat="false" ht="95.5" hidden="false" customHeight="false" outlineLevel="0" collapsed="false">
      <c r="A20" s="3" t="s">
        <v>108</v>
      </c>
      <c r="B20" s="8" t="n">
        <f aca="false">F11</f>
        <v>0.375</v>
      </c>
      <c r="C20" s="7" t="n">
        <f aca="false">(B20-B19)*100</f>
        <v>-0.455307262569837</v>
      </c>
      <c r="D20" s="3" t="s">
        <v>109</v>
      </c>
      <c r="J20" s="3"/>
    </row>
    <row r="21" customFormat="false" ht="15" hidden="false" customHeight="false" outlineLevel="0" collapsed="false">
      <c r="A21" s="4" t="s">
        <v>110</v>
      </c>
      <c r="B21" s="12"/>
      <c r="C21" s="10" t="n">
        <f aca="false">(B20-B17)*100</f>
        <v>-10.773556231003</v>
      </c>
      <c r="D21" s="4"/>
      <c r="J21" s="3"/>
    </row>
    <row r="22" customFormat="false" ht="68.65" hidden="false" customHeight="false" outlineLevel="0" collapsed="false">
      <c r="A22" s="2" t="s">
        <v>111</v>
      </c>
      <c r="J22" s="3"/>
    </row>
    <row r="23" customFormat="false" ht="15" hidden="false" customHeight="false" outlineLevel="0" collapsed="false">
      <c r="A23" s="3"/>
      <c r="J23" s="3"/>
    </row>
    <row r="24" customFormat="false" ht="41.75" hidden="false" customHeight="false" outlineLevel="0" collapsed="false">
      <c r="A24" s="4" t="s">
        <v>112</v>
      </c>
      <c r="J24" s="3"/>
    </row>
    <row r="25" customFormat="false" ht="68.65" hidden="false" customHeight="false" outlineLevel="0" collapsed="false">
      <c r="A25" s="5" t="s">
        <v>113</v>
      </c>
      <c r="B25" s="6" t="s">
        <v>114</v>
      </c>
      <c r="C25" s="6" t="s">
        <v>115</v>
      </c>
      <c r="D25" s="5" t="s">
        <v>116</v>
      </c>
      <c r="E25" s="5" t="s">
        <v>7</v>
      </c>
      <c r="J25" s="3"/>
    </row>
    <row r="26" customFormat="false" ht="95.5" hidden="false" customHeight="false" outlineLevel="0" collapsed="false">
      <c r="A26" s="3" t="s">
        <v>117</v>
      </c>
      <c r="B26" s="17" t="n">
        <f aca="false">SUM(E6:E8)-SUM(B6:B8)</f>
        <v>208</v>
      </c>
      <c r="C26" s="17" t="n">
        <f aca="false">(SUM(E6:E8)-SUM(G6:G8))-(SUM(B6:B8)-SUM(D6:D8))</f>
        <v>82.6800000000001</v>
      </c>
      <c r="D26" s="21" t="n">
        <f aca="false">C26/B26</f>
        <v>0.3975</v>
      </c>
      <c r="E26" s="3" t="s">
        <v>118</v>
      </c>
      <c r="J26" s="3"/>
    </row>
    <row r="27" customFormat="false" ht="15" hidden="false" customHeight="false" outlineLevel="0" collapsed="false">
      <c r="A27" s="3" t="s">
        <v>119</v>
      </c>
      <c r="B27" s="17" t="n">
        <f aca="false">E9</f>
        <v>440</v>
      </c>
      <c r="C27" s="17" t="n">
        <f aca="false">E9-G9</f>
        <v>77</v>
      </c>
      <c r="D27" s="21" t="n">
        <f aca="false">C27/B27</f>
        <v>0.175</v>
      </c>
      <c r="E27" s="3"/>
      <c r="J27" s="3"/>
    </row>
    <row r="28" customFormat="false" ht="68.65" hidden="false" customHeight="false" outlineLevel="0" collapsed="false">
      <c r="A28" s="4" t="s">
        <v>120</v>
      </c>
      <c r="B28" s="18" t="n">
        <f aca="false">E11-B11</f>
        <v>613</v>
      </c>
      <c r="C28" s="18" t="n">
        <f aca="false">(E11-G11)-(B11-D11)</f>
        <v>123.54</v>
      </c>
      <c r="D28" s="22" t="n">
        <f aca="false">C28/B28</f>
        <v>0.201533442088091</v>
      </c>
      <c r="E28" s="4" t="s">
        <v>121</v>
      </c>
      <c r="J28" s="3"/>
    </row>
    <row r="29" customFormat="false" ht="15" hidden="false" customHeight="false" outlineLevel="0" collapsed="false">
      <c r="A29" s="3"/>
      <c r="J29" s="3"/>
    </row>
    <row r="30" customFormat="false" ht="41.75" hidden="false" customHeight="false" outlineLevel="0" collapsed="false">
      <c r="A30" s="4" t="s">
        <v>122</v>
      </c>
      <c r="J30" s="3"/>
    </row>
    <row r="31" customFormat="false" ht="28.35" hidden="false" customHeight="false" outlineLevel="0" collapsed="false">
      <c r="A31" s="5" t="s">
        <v>123</v>
      </c>
      <c r="B31" s="6" t="s">
        <v>79</v>
      </c>
      <c r="C31" s="6" t="s">
        <v>80</v>
      </c>
      <c r="D31" s="5" t="s">
        <v>81</v>
      </c>
      <c r="E31" s="5"/>
      <c r="F31" s="5" t="s">
        <v>7</v>
      </c>
      <c r="J31" s="3"/>
    </row>
    <row r="32" customFormat="false" ht="135.8" hidden="false" customHeight="false" outlineLevel="0" collapsed="false">
      <c r="A32" s="3" t="s">
        <v>85</v>
      </c>
      <c r="B32" s="17" t="n">
        <v>392.56</v>
      </c>
      <c r="C32" s="8" t="n">
        <v>0.25</v>
      </c>
      <c r="D32" s="17" t="n">
        <v>294.54</v>
      </c>
      <c r="F32" s="3" t="s">
        <v>124</v>
      </c>
      <c r="J32" s="3"/>
    </row>
    <row r="33" customFormat="false" ht="15" hidden="false" customHeight="false" outlineLevel="0" collapsed="false">
      <c r="A33" s="3" t="s">
        <v>87</v>
      </c>
      <c r="B33" s="17" t="n">
        <v>787.91</v>
      </c>
      <c r="C33" s="8" t="n">
        <v>0.404</v>
      </c>
      <c r="D33" s="17" t="n">
        <v>469.38</v>
      </c>
      <c r="F33" s="3"/>
      <c r="J33" s="3"/>
    </row>
    <row r="34" customFormat="false" ht="15" hidden="false" customHeight="false" outlineLevel="0" collapsed="false">
      <c r="A34" s="3" t="s">
        <v>89</v>
      </c>
      <c r="B34" s="17" t="n">
        <v>419.53</v>
      </c>
      <c r="C34" s="8" t="n">
        <v>0.437</v>
      </c>
      <c r="D34" s="17" t="n">
        <v>236.08</v>
      </c>
      <c r="F34" s="3"/>
      <c r="J34" s="3"/>
    </row>
    <row r="35" customFormat="false" ht="122.35" hidden="false" customHeight="false" outlineLevel="0" collapsed="false">
      <c r="A35" s="4" t="s">
        <v>125</v>
      </c>
      <c r="B35" s="18" t="n">
        <v>1600</v>
      </c>
      <c r="C35" s="11" t="n">
        <v>0.375</v>
      </c>
      <c r="D35" s="18" t="n">
        <v>1000</v>
      </c>
      <c r="E35" s="12"/>
      <c r="F35" s="4" t="s">
        <v>126</v>
      </c>
      <c r="J35" s="3"/>
    </row>
    <row r="36" customFormat="false" ht="202.95" hidden="false" customHeight="false" outlineLevel="0" collapsed="false">
      <c r="A36" s="13" t="s">
        <v>127</v>
      </c>
      <c r="B36" s="19"/>
      <c r="C36" s="14"/>
      <c r="D36" s="19" t="n">
        <v>404.45</v>
      </c>
      <c r="E36" s="15"/>
      <c r="F36" s="13" t="s">
        <v>128</v>
      </c>
      <c r="J36" s="3"/>
    </row>
    <row r="37" customFormat="false" ht="15" hidden="false" customHeight="false" outlineLevel="0" collapsed="false">
      <c r="A37" s="3"/>
      <c r="J37" s="3"/>
    </row>
    <row r="38" customFormat="false" ht="41.75" hidden="false" customHeight="false" outlineLevel="0" collapsed="false">
      <c r="A38" s="4" t="s">
        <v>129</v>
      </c>
      <c r="J38" s="3"/>
    </row>
    <row r="39" customFormat="false" ht="28.35" hidden="false" customHeight="false" outlineLevel="0" collapsed="false">
      <c r="A39" s="5" t="s">
        <v>130</v>
      </c>
      <c r="B39" s="6" t="s">
        <v>131</v>
      </c>
      <c r="C39" s="6" t="s">
        <v>7</v>
      </c>
      <c r="J39" s="3"/>
    </row>
    <row r="40" customFormat="false" ht="15" hidden="false" customHeight="false" outlineLevel="0" collapsed="false">
      <c r="A40" s="3" t="s">
        <v>132</v>
      </c>
      <c r="B40" s="7" t="n">
        <v>530.7</v>
      </c>
      <c r="C40" s="9" t="s">
        <v>133</v>
      </c>
      <c r="J40" s="3"/>
    </row>
    <row r="41" customFormat="false" ht="15" hidden="false" customHeight="false" outlineLevel="0" collapsed="false">
      <c r="A41" s="3" t="s">
        <v>134</v>
      </c>
      <c r="B41" s="7" t="n">
        <v>531.1</v>
      </c>
      <c r="C41" s="9" t="s">
        <v>135</v>
      </c>
      <c r="J41" s="3"/>
    </row>
    <row r="42" customFormat="false" ht="28.35" hidden="false" customHeight="false" outlineLevel="0" collapsed="false">
      <c r="A42" s="13" t="s">
        <v>136</v>
      </c>
      <c r="B42" s="20" t="n">
        <v>153.5</v>
      </c>
      <c r="C42" s="15" t="s">
        <v>137</v>
      </c>
      <c r="J42" s="3"/>
    </row>
    <row r="43" customFormat="false" ht="15" hidden="false" customHeight="false" outlineLevel="0" collapsed="false">
      <c r="A43" s="13" t="s">
        <v>138</v>
      </c>
      <c r="B43" s="20" t="n">
        <v>4.75</v>
      </c>
      <c r="C43" s="15" t="s">
        <v>139</v>
      </c>
      <c r="J43" s="3"/>
    </row>
    <row r="44" customFormat="false" ht="15" hidden="false" customHeight="false" outlineLevel="0" collapsed="false">
      <c r="A44" s="3" t="s">
        <v>140</v>
      </c>
      <c r="B44" s="17" t="n">
        <v>0</v>
      </c>
      <c r="C44" s="9" t="s">
        <v>141</v>
      </c>
      <c r="J44" s="3"/>
    </row>
    <row r="45" customFormat="false" ht="82.05" hidden="false" customHeight="false" outlineLevel="0" collapsed="false">
      <c r="A45" s="2" t="s">
        <v>142</v>
      </c>
      <c r="J4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14" min="2" style="0" width="12"/>
    <col collapsed="false" customWidth="true" hidden="false" outlineLevel="0" max="15" min="15" style="0" width="40"/>
  </cols>
  <sheetData>
    <row r="1" customFormat="false" ht="28.35" hidden="false" customHeight="false" outlineLevel="0" collapsed="false">
      <c r="A1" s="1" t="s">
        <v>143</v>
      </c>
    </row>
    <row r="2" customFormat="false" ht="41.7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/>
    </row>
    <row r="4" customFormat="false" ht="28.35" hidden="false" customHeight="false" outlineLevel="0" collapsed="false">
      <c r="A4" s="4" t="s">
        <v>145</v>
      </c>
    </row>
    <row r="5" customFormat="false" ht="28.35" hidden="false" customHeight="false" outlineLevel="0" collapsed="false">
      <c r="A5" s="5" t="s">
        <v>75</v>
      </c>
      <c r="B5" s="6" t="s">
        <v>146</v>
      </c>
      <c r="C5" s="6" t="s">
        <v>101</v>
      </c>
      <c r="D5" s="6" t="s">
        <v>147</v>
      </c>
      <c r="E5" s="6" t="s">
        <v>148</v>
      </c>
      <c r="F5" s="6" t="s">
        <v>149</v>
      </c>
    </row>
    <row r="6" customFormat="false" ht="15" hidden="false" customHeight="false" outlineLevel="0" collapsed="false">
      <c r="A6" s="3" t="s">
        <v>85</v>
      </c>
      <c r="B6" s="7" t="n">
        <v>392.559665831245</v>
      </c>
      <c r="C6" s="8" t="n">
        <f aca="false">E6/B6</f>
        <v>0.249694526798729</v>
      </c>
      <c r="D6" s="7" t="n">
        <f aca="false">B6-E6</f>
        <v>294.539665831245</v>
      </c>
      <c r="E6" s="7" t="n">
        <v>98.02</v>
      </c>
      <c r="F6" s="8" t="n">
        <f aca="false">B6/B$9</f>
        <v>0.245349791144528</v>
      </c>
    </row>
    <row r="7" customFormat="false" ht="15" hidden="false" customHeight="false" outlineLevel="0" collapsed="false">
      <c r="A7" s="3" t="s">
        <v>87</v>
      </c>
      <c r="B7" s="7" t="n">
        <v>787.912447786132</v>
      </c>
      <c r="C7" s="8" t="n">
        <f aca="false">E7/B7</f>
        <v>0.404273343941967</v>
      </c>
      <c r="D7" s="7" t="n">
        <f aca="false">B7-E7</f>
        <v>469.380447786132</v>
      </c>
      <c r="E7" s="7" t="n">
        <v>318.532</v>
      </c>
      <c r="F7" s="8" t="n">
        <f aca="false">B7/B$9</f>
        <v>0.492445279866333</v>
      </c>
    </row>
    <row r="8" customFormat="false" ht="15" hidden="false" customHeight="false" outlineLevel="0" collapsed="false">
      <c r="A8" s="3" t="s">
        <v>150</v>
      </c>
      <c r="B8" s="7" t="n">
        <v>419.527886382623</v>
      </c>
      <c r="C8" s="8" t="n">
        <f aca="false">E8/B8</f>
        <v>0.437272481650217</v>
      </c>
      <c r="D8" s="7" t="n">
        <f aca="false">B8-E8</f>
        <v>236.079886382623</v>
      </c>
      <c r="E8" s="7" t="n">
        <v>183.448</v>
      </c>
      <c r="F8" s="8" t="n">
        <f aca="false">B8/B$9</f>
        <v>0.26220492898914</v>
      </c>
    </row>
    <row r="9" customFormat="false" ht="15" hidden="false" customHeight="false" outlineLevel="0" collapsed="false">
      <c r="A9" s="4" t="s">
        <v>151</v>
      </c>
      <c r="B9" s="10" t="n">
        <f aca="false">SUM(B6:B8)</f>
        <v>1600</v>
      </c>
      <c r="C9" s="11" t="n">
        <f aca="false">E9/B9</f>
        <v>0.375</v>
      </c>
      <c r="D9" s="10" t="n">
        <f aca="false">SUM(D6:D8)</f>
        <v>1000</v>
      </c>
      <c r="E9" s="10" t="n">
        <f aca="false">SUM(E6:E8)</f>
        <v>600</v>
      </c>
    </row>
    <row r="10" customFormat="false" ht="41.75" hidden="false" customHeight="false" outlineLevel="0" collapsed="false">
      <c r="A10" s="2" t="s">
        <v>152</v>
      </c>
    </row>
    <row r="11" customFormat="false" ht="15" hidden="false" customHeight="false" outlineLevel="0" collapsed="false">
      <c r="A11" s="3"/>
    </row>
    <row r="12" customFormat="false" ht="28.35" hidden="false" customHeight="false" outlineLevel="0" collapsed="false">
      <c r="A12" s="4" t="s">
        <v>153</v>
      </c>
    </row>
    <row r="13" customFormat="false" ht="41.75" hidden="false" customHeight="false" outlineLevel="0" collapsed="false">
      <c r="A13" s="5" t="s">
        <v>154</v>
      </c>
      <c r="B13" s="6" t="s">
        <v>155</v>
      </c>
      <c r="C13" s="6" t="s">
        <v>156</v>
      </c>
    </row>
    <row r="14" customFormat="false" ht="15" hidden="false" customHeight="false" outlineLevel="0" collapsed="false">
      <c r="A14" s="3" t="s">
        <v>157</v>
      </c>
      <c r="B14" s="7" t="n">
        <v>595.55</v>
      </c>
      <c r="C14" s="9" t="s">
        <v>158</v>
      </c>
    </row>
    <row r="15" customFormat="false" ht="15" hidden="false" customHeight="false" outlineLevel="0" collapsed="false">
      <c r="A15" s="3" t="s">
        <v>159</v>
      </c>
      <c r="B15" s="7" t="n">
        <v>404.45</v>
      </c>
      <c r="C15" s="9" t="s">
        <v>160</v>
      </c>
    </row>
    <row r="16" customFormat="false" ht="15" hidden="false" customHeight="false" outlineLevel="0" collapsed="false">
      <c r="A16" s="4" t="s">
        <v>161</v>
      </c>
      <c r="B16" s="10" t="n">
        <v>1000</v>
      </c>
      <c r="C16" s="12"/>
    </row>
    <row r="17" customFormat="false" ht="15" hidden="false" customHeight="false" outlineLevel="0" collapsed="false">
      <c r="A17" s="3"/>
    </row>
    <row r="18" customFormat="false" ht="28.35" hidden="false" customHeight="false" outlineLevel="0" collapsed="false">
      <c r="A18" s="4" t="s">
        <v>162</v>
      </c>
    </row>
    <row r="19" customFormat="false" ht="95.5" hidden="false" customHeight="false" outlineLevel="0" collapsed="false">
      <c r="A19" s="5" t="s">
        <v>163</v>
      </c>
      <c r="B19" s="6" t="s">
        <v>146</v>
      </c>
      <c r="C19" s="6" t="s">
        <v>164</v>
      </c>
      <c r="D19" s="6" t="s">
        <v>148</v>
      </c>
      <c r="E19" s="6" t="s">
        <v>101</v>
      </c>
      <c r="F19" s="6" t="s">
        <v>7</v>
      </c>
    </row>
    <row r="20" customFormat="false" ht="15" hidden="false" customHeight="false" outlineLevel="0" collapsed="false">
      <c r="A20" s="3" t="s">
        <v>165</v>
      </c>
      <c r="B20" s="7" t="n">
        <v>986.999999999999</v>
      </c>
      <c r="C20" s="7" t="n">
        <v>510.54</v>
      </c>
      <c r="D20" s="7" t="n">
        <f aca="false">B20-C20</f>
        <v>476.459999999999</v>
      </c>
      <c r="E20" s="8" t="n">
        <f aca="false">IFERROR(D20/B20,"")</f>
        <v>0.48273556231003</v>
      </c>
      <c r="F20" s="9" t="s">
        <v>166</v>
      </c>
    </row>
    <row r="21" customFormat="false" ht="15" hidden="false" customHeight="false" outlineLevel="0" collapsed="false">
      <c r="A21" s="3" t="s">
        <v>167</v>
      </c>
      <c r="B21" s="7" t="n">
        <v>530.702863852945</v>
      </c>
      <c r="C21" s="7" t="n">
        <v>304.48541326</v>
      </c>
      <c r="D21" s="7" t="n">
        <f aca="false">B21-C21</f>
        <v>226.217450592945</v>
      </c>
      <c r="E21" s="8" t="n">
        <f aca="false">IFERROR(D21/B21,"")</f>
        <v>0.426260090157773</v>
      </c>
      <c r="F21" s="9" t="s">
        <v>168</v>
      </c>
    </row>
    <row r="22" customFormat="false" ht="15" hidden="false" customHeight="false" outlineLevel="0" collapsed="false">
      <c r="A22" s="3" t="s">
        <v>169</v>
      </c>
      <c r="B22" s="7" t="n">
        <v>530.702863852945</v>
      </c>
      <c r="C22" s="7" t="n">
        <v>425.18541326</v>
      </c>
      <c r="D22" s="7" t="n">
        <f aca="false">B22-C22</f>
        <v>105.517450592945</v>
      </c>
      <c r="E22" s="8" t="n">
        <f aca="false">IFERROR(D22/B22,"")</f>
        <v>0.198825854880224</v>
      </c>
      <c r="F22" s="9" t="s">
        <v>170</v>
      </c>
    </row>
    <row r="23" customFormat="false" ht="15" hidden="false" customHeight="false" outlineLevel="0" collapsed="false">
      <c r="A23" s="3" t="s">
        <v>171</v>
      </c>
      <c r="B23" s="7" t="n">
        <v>369.316632851684</v>
      </c>
      <c r="C23" s="7" t="n">
        <v>149.252797079744</v>
      </c>
      <c r="D23" s="7" t="n">
        <f aca="false">B23-C23</f>
        <v>220.06383577194</v>
      </c>
      <c r="E23" s="8" t="n">
        <f aca="false">IFERROR(D23/B23,"")</f>
        <v>0.595867654464176</v>
      </c>
    </row>
    <row r="24" customFormat="false" ht="15" hidden="false" customHeight="false" outlineLevel="0" collapsed="false">
      <c r="A24" s="4" t="s">
        <v>172</v>
      </c>
      <c r="B24" s="10" t="n">
        <v>900.019496704628</v>
      </c>
      <c r="C24" s="10" t="n">
        <v>453.738210339744</v>
      </c>
      <c r="D24" s="10" t="n">
        <f aca="false">B24-C24</f>
        <v>446.281286364885</v>
      </c>
      <c r="E24" s="11" t="n">
        <f aca="false">IFERROR(D24/B24,"")</f>
        <v>0.495857354200569</v>
      </c>
      <c r="F24" s="12" t="s">
        <v>173</v>
      </c>
    </row>
    <row r="25" customFormat="false" ht="15" hidden="false" customHeight="false" outlineLevel="0" collapsed="false">
      <c r="A25" s="3" t="s">
        <v>174</v>
      </c>
      <c r="B25" s="7" t="n">
        <v>900.019496704628</v>
      </c>
      <c r="C25" s="7" t="n">
        <v>574.438210339744</v>
      </c>
      <c r="D25" s="7" t="n">
        <f aca="false">B25-C25</f>
        <v>325.581286364885</v>
      </c>
      <c r="E25" s="8" t="n">
        <f aca="false">IFERROR(D25/B25,"")</f>
        <v>0.361749148276212</v>
      </c>
    </row>
    <row r="26" customFormat="false" ht="15" hidden="false" customHeight="false" outlineLevel="0" collapsed="false">
      <c r="A26" s="3" t="s">
        <v>175</v>
      </c>
      <c r="B26" s="7" t="n">
        <v>546.94153</v>
      </c>
      <c r="C26" s="7" t="n">
        <v>186.683177653646</v>
      </c>
      <c r="D26" s="7" t="n">
        <f aca="false">B26-C26</f>
        <v>360.258352346354</v>
      </c>
      <c r="E26" s="8" t="n">
        <f aca="false">IFERROR(D26/B26,"")</f>
        <v>0.658677998626936</v>
      </c>
      <c r="F26" s="9" t="s">
        <v>176</v>
      </c>
    </row>
    <row r="27" customFormat="false" ht="68.65" hidden="false" customHeight="false" outlineLevel="0" collapsed="false">
      <c r="A27" s="2" t="s">
        <v>177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4" t="s">
        <v>178</v>
      </c>
    </row>
    <row r="30" customFormat="false" ht="15" hidden="false" customHeight="false" outlineLevel="0" collapsed="false">
      <c r="A30" s="5" t="s">
        <v>15</v>
      </c>
      <c r="B30" s="6" t="s">
        <v>51</v>
      </c>
      <c r="C30" s="6" t="s">
        <v>52</v>
      </c>
      <c r="D30" s="6" t="s">
        <v>53</v>
      </c>
      <c r="E30" s="6" t="s">
        <v>54</v>
      </c>
      <c r="F30" s="6" t="s">
        <v>55</v>
      </c>
      <c r="G30" s="6" t="s">
        <v>56</v>
      </c>
      <c r="H30" s="6" t="s">
        <v>57</v>
      </c>
      <c r="I30" s="6" t="s">
        <v>58</v>
      </c>
      <c r="J30" s="6" t="s">
        <v>59</v>
      </c>
      <c r="K30" s="6" t="s">
        <v>60</v>
      </c>
      <c r="L30" s="6" t="s">
        <v>61</v>
      </c>
      <c r="M30" s="6" t="s">
        <v>62</v>
      </c>
      <c r="N30" s="6" t="s">
        <v>63</v>
      </c>
    </row>
    <row r="31" customFormat="false" ht="15" hidden="false" customHeight="false" outlineLevel="0" collapsed="false">
      <c r="A31" s="3" t="s">
        <v>179</v>
      </c>
      <c r="B31" s="7" t="n">
        <v>16.9387687250432</v>
      </c>
      <c r="C31" s="7" t="n">
        <v>11.670591777213</v>
      </c>
      <c r="D31" s="7" t="n">
        <v>3.3992407704918</v>
      </c>
      <c r="E31" s="7" t="n">
        <v>25.4823725409836</v>
      </c>
      <c r="F31" s="7" t="n">
        <v>57.6255045621643</v>
      </c>
      <c r="G31" s="7" t="n">
        <v>213.320463671475</v>
      </c>
      <c r="H31" s="7" t="n">
        <v>71.9327219331146</v>
      </c>
      <c r="I31" s="7" t="n">
        <v>130.33319987246</v>
      </c>
      <c r="J31" s="7" t="n">
        <v>75.205648644728</v>
      </c>
      <c r="K31" s="7" t="n">
        <v>66.4565698783001</v>
      </c>
      <c r="L31" s="7" t="n">
        <v>93.9568843826156</v>
      </c>
      <c r="M31" s="7" t="n">
        <v>133.69752994604</v>
      </c>
      <c r="N31" s="7" t="n">
        <f aca="false">SUM(B31:M31)</f>
        <v>900.019496704628</v>
      </c>
    </row>
    <row r="32" customFormat="false" ht="15" hidden="false" customHeight="false" outlineLevel="0" collapsed="false">
      <c r="A32" s="3" t="s">
        <v>180</v>
      </c>
      <c r="B32" s="7" t="n">
        <v>28.52889409</v>
      </c>
      <c r="C32" s="7" t="n">
        <v>16.82913428</v>
      </c>
      <c r="D32" s="7" t="n">
        <v>27.05948898</v>
      </c>
      <c r="E32" s="7" t="n">
        <v>35.09782284</v>
      </c>
      <c r="F32" s="7" t="n">
        <v>31.72780814</v>
      </c>
      <c r="G32" s="7" t="n">
        <v>93.2890167700001</v>
      </c>
      <c r="H32" s="7" t="n">
        <v>118.24857758</v>
      </c>
      <c r="I32" s="7" t="n">
        <v>-46.29532942</v>
      </c>
      <c r="J32" s="7" t="n">
        <v>37.602824322364</v>
      </c>
      <c r="K32" s="7" t="n">
        <v>16.614142469575</v>
      </c>
      <c r="L32" s="7" t="n">
        <v>28.1870653147847</v>
      </c>
      <c r="M32" s="7" t="n">
        <v>66.84876497302</v>
      </c>
      <c r="N32" s="7" t="n">
        <f aca="false">SUM(B32:M32)</f>
        <v>453.738210339744</v>
      </c>
    </row>
    <row r="33" customFormat="false" ht="15" hidden="false" customHeight="false" outlineLevel="0" collapsed="false">
      <c r="A33" s="4" t="s">
        <v>181</v>
      </c>
      <c r="B33" s="10" t="n">
        <f aca="false">B31-B32</f>
        <v>-11.5901253649569</v>
      </c>
      <c r="C33" s="10" t="n">
        <f aca="false">C31-C32</f>
        <v>-5.15854250278699</v>
      </c>
      <c r="D33" s="10" t="n">
        <f aca="false">D31-D32</f>
        <v>-23.6602482095082</v>
      </c>
      <c r="E33" s="10" t="n">
        <f aca="false">E31-E32</f>
        <v>-9.61545029901641</v>
      </c>
      <c r="F33" s="10" t="n">
        <f aca="false">F31-F32</f>
        <v>25.8976964221643</v>
      </c>
      <c r="G33" s="10" t="n">
        <f aca="false">G31-G32</f>
        <v>120.031446901475</v>
      </c>
      <c r="H33" s="10" t="n">
        <f aca="false">H31-H32</f>
        <v>-46.3158556468854</v>
      </c>
      <c r="I33" s="10" t="n">
        <f aca="false">I31-I32</f>
        <v>176.62852929246</v>
      </c>
      <c r="J33" s="10" t="n">
        <f aca="false">J31-J32</f>
        <v>37.602824322364</v>
      </c>
      <c r="K33" s="10" t="n">
        <f aca="false">K31-K32</f>
        <v>49.8424274087251</v>
      </c>
      <c r="L33" s="10" t="n">
        <f aca="false">L31-L32</f>
        <v>65.7698190678309</v>
      </c>
      <c r="M33" s="10" t="n">
        <f aca="false">M31-M32</f>
        <v>66.84876497302</v>
      </c>
      <c r="N33" s="10" t="n">
        <f aca="false">N31-N32</f>
        <v>446.281286364885</v>
      </c>
    </row>
    <row r="34" customFormat="false" ht="15" hidden="false" customHeight="false" outlineLevel="0" collapsed="false">
      <c r="A34" s="3" t="s">
        <v>182</v>
      </c>
      <c r="B34" s="8" t="n">
        <f aca="false">IFERROR(B33/B31,"")</f>
        <v>-0.684236590810843</v>
      </c>
      <c r="C34" s="8" t="n">
        <f aca="false">IFERROR(C33/C31,"")</f>
        <v>-0.442012076273554</v>
      </c>
      <c r="D34" s="8" t="n">
        <f aca="false">IFERROR(D33/D31,"")</f>
        <v>-6.96045082034158</v>
      </c>
      <c r="E34" s="8" t="n">
        <f aca="false">IFERROR(E33/E31,"")</f>
        <v>-0.377337325382547</v>
      </c>
      <c r="F34" s="8" t="n">
        <f aca="false">IFERROR(F33/F31,"")</f>
        <v>0.449413790281468</v>
      </c>
      <c r="G34" s="8" t="n">
        <f aca="false">IFERROR(G33/G31,"")</f>
        <v>0.562681351969728</v>
      </c>
      <c r="H34" s="8" t="n">
        <f aca="false">IFERROR(H33/H31,"")</f>
        <v>-0.643877423267138</v>
      </c>
      <c r="I34" s="8" t="n">
        <f aca="false">IFERROR(I33/I31,"")</f>
        <v>1.35520749483097</v>
      </c>
      <c r="J34" s="8" t="n">
        <f aca="false">IFERROR(J33/J31,"")</f>
        <v>0.5</v>
      </c>
      <c r="K34" s="8" t="n">
        <f aca="false">IFERROR(K33/K31,"")</f>
        <v>0.75</v>
      </c>
      <c r="L34" s="8" t="n">
        <f aca="false">IFERROR(L33/L31,"")</f>
        <v>0.7</v>
      </c>
      <c r="M34" s="8" t="n">
        <f aca="false">IFERROR(M33/M31,"")</f>
        <v>0.5</v>
      </c>
      <c r="N34" s="8" t="n">
        <f aca="false">IFERROR(N33/N31,"")</f>
        <v>0.495857354200569</v>
      </c>
    </row>
    <row r="35" customFormat="false" ht="41.75" hidden="false" customHeight="false" outlineLevel="0" collapsed="false">
      <c r="A35" s="2" t="s">
        <v>183</v>
      </c>
    </row>
    <row r="36" customFormat="false" ht="15" hidden="false" customHeight="false" outlineLevel="0" collapsed="false">
      <c r="A36" s="3"/>
    </row>
    <row r="37" customFormat="false" ht="28.35" hidden="false" customHeight="false" outlineLevel="0" collapsed="false">
      <c r="A37" s="4" t="s">
        <v>184</v>
      </c>
    </row>
    <row r="38" customFormat="false" ht="28.35" hidden="false" customHeight="false" outlineLevel="0" collapsed="false">
      <c r="A38" s="5" t="s">
        <v>185</v>
      </c>
      <c r="B38" s="6" t="s">
        <v>186</v>
      </c>
      <c r="C38" s="6" t="s">
        <v>7</v>
      </c>
    </row>
    <row r="39" customFormat="false" ht="15" hidden="false" customHeight="false" outlineLevel="0" collapsed="false">
      <c r="A39" s="3" t="s">
        <v>187</v>
      </c>
      <c r="B39" s="7" t="n">
        <v>282.49799362</v>
      </c>
    </row>
    <row r="40" customFormat="false" ht="15" hidden="false" customHeight="false" outlineLevel="0" collapsed="false">
      <c r="A40" s="3" t="s">
        <v>188</v>
      </c>
      <c r="B40" s="7" t="n">
        <v>109.84879112</v>
      </c>
    </row>
    <row r="41" customFormat="false" ht="15" hidden="false" customHeight="false" outlineLevel="0" collapsed="false">
      <c r="A41" s="3" t="s">
        <v>189</v>
      </c>
      <c r="B41" s="7" t="n">
        <v>31.31843725</v>
      </c>
    </row>
    <row r="42" customFormat="false" ht="15" hidden="false" customHeight="false" outlineLevel="0" collapsed="false">
      <c r="A42" s="3" t="s">
        <v>190</v>
      </c>
      <c r="B42" s="7" t="n">
        <v>19.726605</v>
      </c>
    </row>
    <row r="43" customFormat="false" ht="15" hidden="false" customHeight="false" outlineLevel="0" collapsed="false">
      <c r="A43" s="3" t="s">
        <v>191</v>
      </c>
      <c r="B43" s="7" t="n">
        <v>16.0624436</v>
      </c>
    </row>
    <row r="44" customFormat="false" ht="15" hidden="false" customHeight="false" outlineLevel="0" collapsed="false">
      <c r="A44" s="3" t="s">
        <v>192</v>
      </c>
      <c r="B44" s="7" t="n">
        <v>9.92231206</v>
      </c>
    </row>
    <row r="45" customFormat="false" ht="15" hidden="false" customHeight="false" outlineLevel="0" collapsed="false">
      <c r="A45" s="3" t="s">
        <v>193</v>
      </c>
      <c r="B45" s="7" t="n">
        <v>2.15214708</v>
      </c>
    </row>
    <row r="46" customFormat="false" ht="15" hidden="false" customHeight="false" outlineLevel="0" collapsed="false">
      <c r="A46" s="3" t="s">
        <v>194</v>
      </c>
      <c r="B46" s="7" t="n">
        <v>-46.34583669</v>
      </c>
    </row>
    <row r="47" customFormat="false" ht="15" hidden="false" customHeight="false" outlineLevel="0" collapsed="false">
      <c r="A47" s="3" t="s">
        <v>195</v>
      </c>
      <c r="B47" s="7" t="n">
        <v>-120.6984392</v>
      </c>
    </row>
    <row r="48" customFormat="false" ht="15" hidden="false" customHeight="false" outlineLevel="0" collapsed="false">
      <c r="A48" s="4" t="s">
        <v>196</v>
      </c>
      <c r="B48" s="10" t="n">
        <f aca="false">SUM(B39:B47)</f>
        <v>304.48445384</v>
      </c>
      <c r="C48" s="12"/>
    </row>
    <row r="49" customFormat="false" ht="15" hidden="false" customHeight="false" outlineLevel="0" collapsed="false">
      <c r="A49" s="3"/>
    </row>
    <row r="50" customFormat="false" ht="41.75" hidden="false" customHeight="false" outlineLevel="0" collapsed="false">
      <c r="A50" s="4" t="s">
        <v>197</v>
      </c>
    </row>
    <row r="51" customFormat="false" ht="55.2" hidden="false" customHeight="false" outlineLevel="0" collapsed="false">
      <c r="A51" s="5" t="s">
        <v>198</v>
      </c>
      <c r="B51" s="6" t="s">
        <v>146</v>
      </c>
      <c r="C51" s="6" t="s">
        <v>199</v>
      </c>
      <c r="D51" s="6" t="s">
        <v>200</v>
      </c>
      <c r="E51" s="6" t="s">
        <v>201</v>
      </c>
      <c r="F51" s="6" t="s">
        <v>101</v>
      </c>
      <c r="G51" s="6" t="s">
        <v>202</v>
      </c>
    </row>
    <row r="52" customFormat="false" ht="15" hidden="false" customHeight="false" outlineLevel="0" collapsed="false">
      <c r="A52" s="3" t="s">
        <v>203</v>
      </c>
      <c r="B52" s="7" t="n">
        <v>267.84</v>
      </c>
      <c r="C52" s="7" t="n">
        <v>122.937286453089</v>
      </c>
      <c r="D52" s="7" t="n">
        <v>26.3749593387</v>
      </c>
      <c r="E52" s="7" t="n">
        <f aca="false">C52-D52</f>
        <v>96.5623271143886</v>
      </c>
      <c r="F52" s="8" t="n">
        <f aca="false">IFERROR(1-E52/B52,"")</f>
        <v>0.639477572004224</v>
      </c>
      <c r="G52" s="23" t="n">
        <v>75</v>
      </c>
    </row>
    <row r="53" customFormat="false" ht="15" hidden="false" customHeight="false" outlineLevel="0" collapsed="false">
      <c r="A53" s="3" t="s">
        <v>204</v>
      </c>
      <c r="B53" s="7" t="n">
        <v>149.76153</v>
      </c>
      <c r="C53" s="7" t="n">
        <v>42.5467100504</v>
      </c>
      <c r="D53" s="7" t="n">
        <v>6.25306026000001</v>
      </c>
      <c r="E53" s="7" t="n">
        <f aca="false">C53-D53</f>
        <v>36.2936497904</v>
      </c>
      <c r="F53" s="8" t="n">
        <f aca="false">IFERROR(1-E53/B53,"")</f>
        <v>0.75765705792135</v>
      </c>
      <c r="G53" s="23" t="n">
        <v>157</v>
      </c>
    </row>
    <row r="54" customFormat="false" ht="15" hidden="false" customHeight="false" outlineLevel="0" collapsed="false">
      <c r="A54" s="3" t="s">
        <v>205</v>
      </c>
      <c r="B54" s="7" t="n">
        <v>88</v>
      </c>
      <c r="C54" s="7" t="n">
        <v>55.3283389957002</v>
      </c>
      <c r="D54" s="7" t="n">
        <v>10.2444350668432</v>
      </c>
      <c r="E54" s="7" t="n">
        <f aca="false">C54-D54</f>
        <v>45.083903928857</v>
      </c>
      <c r="F54" s="8" t="n">
        <f aca="false">IFERROR(1-E54/B54,"")</f>
        <v>0.487682909899352</v>
      </c>
      <c r="G54" s="23" t="n">
        <v>23</v>
      </c>
    </row>
    <row r="55" customFormat="false" ht="15" hidden="false" customHeight="false" outlineLevel="0" collapsed="false">
      <c r="A55" s="3" t="s">
        <v>206</v>
      </c>
      <c r="B55" s="7" t="n">
        <v>41.34</v>
      </c>
      <c r="C55" s="7" t="n">
        <v>10.23309832</v>
      </c>
      <c r="D55" s="7" t="n">
        <v>1.4898015</v>
      </c>
      <c r="E55" s="7" t="n">
        <f aca="false">C55-D55</f>
        <v>8.74329682</v>
      </c>
      <c r="F55" s="8" t="n">
        <f aca="false">IFERROR(1-E55/B55,"")</f>
        <v>0.788502737784228</v>
      </c>
      <c r="G55" s="23" t="n">
        <v>25</v>
      </c>
    </row>
    <row r="56" customFormat="false" ht="15" hidden="false" customHeight="false" outlineLevel="0" collapsed="false">
      <c r="A56" s="4" t="s">
        <v>161</v>
      </c>
      <c r="B56" s="10" t="n">
        <f aca="false">SUM(B52:B55)</f>
        <v>546.94153</v>
      </c>
      <c r="C56" s="10" t="n">
        <f aca="false">SUM(C52:C55)</f>
        <v>231.045433819189</v>
      </c>
      <c r="D56" s="10" t="n">
        <f aca="false">SUM(D52:D55)</f>
        <v>44.3622561655432</v>
      </c>
      <c r="E56" s="10" t="n">
        <f aca="false">C56-D56</f>
        <v>186.683177653646</v>
      </c>
      <c r="F56" s="11" t="n">
        <f aca="false">IFERROR(1-E56/B56,"")</f>
        <v>0.658677998626936</v>
      </c>
      <c r="G56" s="24" t="n">
        <f aca="false">SUM(G52:G55)</f>
        <v>280</v>
      </c>
    </row>
    <row r="57" customFormat="false" ht="15" hidden="false" customHeight="false" outlineLevel="0" collapsed="false">
      <c r="A57" s="3"/>
    </row>
    <row r="58" customFormat="false" ht="55.2" hidden="false" customHeight="false" outlineLevel="0" collapsed="false">
      <c r="A58" s="5" t="s">
        <v>207</v>
      </c>
      <c r="B58" s="6" t="s">
        <v>146</v>
      </c>
      <c r="C58" s="6" t="s">
        <v>199</v>
      </c>
      <c r="D58" s="6" t="s">
        <v>200</v>
      </c>
      <c r="E58" s="6" t="s">
        <v>201</v>
      </c>
      <c r="F58" s="6" t="s">
        <v>101</v>
      </c>
      <c r="G58" s="6" t="s">
        <v>202</v>
      </c>
    </row>
    <row r="59" customFormat="false" ht="15" hidden="false" customHeight="false" outlineLevel="0" collapsed="false">
      <c r="A59" s="3" t="s">
        <v>208</v>
      </c>
      <c r="B59" s="7" t="n">
        <v>130.8826</v>
      </c>
      <c r="C59" s="7" t="n">
        <v>45.91374677</v>
      </c>
      <c r="D59" s="7" t="n">
        <v>10.023402</v>
      </c>
      <c r="E59" s="7" t="n">
        <f aca="false">C59-D59</f>
        <v>35.89034477</v>
      </c>
      <c r="F59" s="8" t="n">
        <f aca="false">IFERROR(1-E59/B59,"")</f>
        <v>0.725782153089869</v>
      </c>
      <c r="G59" s="23" t="n">
        <v>134</v>
      </c>
    </row>
    <row r="60" customFormat="false" ht="15" hidden="false" customHeight="false" outlineLevel="0" collapsed="false">
      <c r="A60" s="3" t="s">
        <v>209</v>
      </c>
      <c r="B60" s="7" t="n">
        <v>117.71</v>
      </c>
      <c r="C60" s="7" t="n">
        <v>38.3221292030885</v>
      </c>
      <c r="D60" s="7" t="n">
        <v>9.1962275387</v>
      </c>
      <c r="E60" s="7" t="n">
        <f aca="false">C60-D60</f>
        <v>29.1259016643885</v>
      </c>
      <c r="F60" s="8" t="n">
        <f aca="false">IFERROR(1-E60/B60,"")</f>
        <v>0.752562215067636</v>
      </c>
      <c r="G60" s="23" t="n">
        <v>15</v>
      </c>
    </row>
    <row r="61" customFormat="false" ht="15" hidden="false" customHeight="false" outlineLevel="0" collapsed="false">
      <c r="A61" s="3" t="s">
        <v>210</v>
      </c>
      <c r="B61" s="7" t="n">
        <v>88</v>
      </c>
      <c r="C61" s="7" t="n">
        <v>55.3283389957002</v>
      </c>
      <c r="D61" s="7" t="n">
        <v>10.2444350668432</v>
      </c>
      <c r="E61" s="7" t="n">
        <f aca="false">C61-D61</f>
        <v>45.083903928857</v>
      </c>
      <c r="F61" s="8" t="n">
        <f aca="false">IFERROR(1-E61/B61,"")</f>
        <v>0.487682909899352</v>
      </c>
      <c r="G61" s="23" t="n">
        <v>23</v>
      </c>
    </row>
    <row r="62" customFormat="false" ht="15" hidden="false" customHeight="false" outlineLevel="0" collapsed="false">
      <c r="A62" s="3" t="s">
        <v>211</v>
      </c>
      <c r="B62" s="7" t="n">
        <v>72.5556</v>
      </c>
      <c r="C62" s="7" t="n">
        <v>33.69913131</v>
      </c>
      <c r="D62" s="7" t="n">
        <v>5.567022</v>
      </c>
      <c r="E62" s="7" t="n">
        <f aca="false">C62-D62</f>
        <v>28.13210931</v>
      </c>
      <c r="F62" s="8" t="n">
        <f aca="false">IFERROR(1-E62/B62,"")</f>
        <v>0.612268256206275</v>
      </c>
      <c r="G62" s="23" t="n">
        <v>50</v>
      </c>
    </row>
    <row r="63" customFormat="false" ht="15" hidden="false" customHeight="false" outlineLevel="0" collapsed="false">
      <c r="A63" s="3" t="s">
        <v>212</v>
      </c>
      <c r="B63" s="7" t="n">
        <v>50</v>
      </c>
      <c r="C63" s="7" t="n">
        <v>34.94992511</v>
      </c>
      <c r="D63" s="7" t="n">
        <v>7.2808718</v>
      </c>
      <c r="E63" s="7" t="n">
        <f aca="false">C63-D63</f>
        <v>27.66905331</v>
      </c>
      <c r="F63" s="8" t="n">
        <f aca="false">IFERROR(1-E63/B63,"")</f>
        <v>0.4466189338</v>
      </c>
      <c r="G63" s="23" t="n">
        <v>1</v>
      </c>
    </row>
    <row r="64" customFormat="false" ht="15" hidden="false" customHeight="false" outlineLevel="0" collapsed="false">
      <c r="A64" s="3" t="s">
        <v>213</v>
      </c>
      <c r="B64" s="7" t="n">
        <v>41.34</v>
      </c>
      <c r="C64" s="7" t="n">
        <v>10.23309832</v>
      </c>
      <c r="D64" s="7" t="n">
        <v>1.4898015</v>
      </c>
      <c r="E64" s="7" t="n">
        <f aca="false">C64-D64</f>
        <v>8.74329682</v>
      </c>
      <c r="F64" s="8" t="n">
        <f aca="false">IFERROR(1-E64/B64,"")</f>
        <v>0.788502737784228</v>
      </c>
      <c r="G64" s="23" t="n">
        <v>25</v>
      </c>
    </row>
    <row r="65" customFormat="false" ht="15" hidden="false" customHeight="false" outlineLevel="0" collapsed="false">
      <c r="A65" s="3" t="s">
        <v>214</v>
      </c>
      <c r="B65" s="7" t="n">
        <v>23.50433</v>
      </c>
      <c r="C65" s="7" t="n">
        <v>10.0834512204</v>
      </c>
      <c r="D65" s="7" t="n">
        <v>0.4374</v>
      </c>
      <c r="E65" s="7" t="n">
        <f aca="false">C65-D65</f>
        <v>9.6460512204</v>
      </c>
      <c r="F65" s="8" t="n">
        <f aca="false">IFERROR(1-E65/B65,"")</f>
        <v>0.589605352698843</v>
      </c>
      <c r="G65" s="23" t="n">
        <v>16</v>
      </c>
    </row>
    <row r="66" customFormat="false" ht="15" hidden="false" customHeight="false" outlineLevel="0" collapsed="false">
      <c r="A66" s="3" t="s">
        <v>215</v>
      </c>
      <c r="B66" s="7" t="n">
        <v>12.359</v>
      </c>
      <c r="C66" s="7" t="n">
        <v>0.00033484</v>
      </c>
      <c r="D66" s="7" t="n">
        <v>7.643E-005</v>
      </c>
      <c r="E66" s="7" t="n">
        <f aca="false">C66-D66</f>
        <v>0.00025841</v>
      </c>
      <c r="F66" s="8" t="n">
        <f aca="false">IFERROR(1-E66/B66,"")</f>
        <v>0.999979091350433</v>
      </c>
      <c r="G66" s="23" t="n">
        <v>11</v>
      </c>
    </row>
    <row r="67" customFormat="false" ht="15" hidden="false" customHeight="false" outlineLevel="0" collapsed="false">
      <c r="A67" s="3" t="s">
        <v>216</v>
      </c>
      <c r="B67" s="7" t="n">
        <v>6</v>
      </c>
      <c r="C67" s="7" t="n">
        <v>2.5152</v>
      </c>
      <c r="D67" s="7" t="n">
        <v>0.123</v>
      </c>
      <c r="E67" s="7" t="n">
        <f aca="false">C67-D67</f>
        <v>2.3922</v>
      </c>
      <c r="F67" s="8" t="n">
        <f aca="false">IFERROR(1-E67/B67,"")</f>
        <v>0.6013</v>
      </c>
      <c r="G67" s="23" t="n">
        <v>1</v>
      </c>
    </row>
    <row r="68" customFormat="false" ht="15" hidden="false" customHeight="false" outlineLevel="0" collapsed="false">
      <c r="A68" s="3" t="s">
        <v>217</v>
      </c>
      <c r="B68" s="7" t="n">
        <v>4.59</v>
      </c>
      <c r="C68" s="7" t="n">
        <v>7.805E-005</v>
      </c>
      <c r="D68" s="7" t="n">
        <v>1.983E-005</v>
      </c>
      <c r="E68" s="7" t="n">
        <f aca="false">C68-D68</f>
        <v>5.822E-005</v>
      </c>
      <c r="F68" s="8" t="n">
        <f aca="false">IFERROR(1-E68/B68,"")</f>
        <v>0.99998731590414</v>
      </c>
      <c r="G68" s="23" t="n">
        <v>4</v>
      </c>
    </row>
    <row r="69" customFormat="false" ht="55.2" hidden="false" customHeight="false" outlineLevel="0" collapsed="false">
      <c r="A69" s="2" t="s">
        <v>218</v>
      </c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4" t="s">
        <v>219</v>
      </c>
    </row>
    <row r="72" customFormat="false" ht="15" hidden="false" customHeight="false" outlineLevel="0" collapsed="false">
      <c r="A72" s="5" t="s">
        <v>220</v>
      </c>
      <c r="B72" s="6" t="s">
        <v>221</v>
      </c>
      <c r="C72" s="6" t="s">
        <v>222</v>
      </c>
      <c r="D72" s="6" t="s">
        <v>223</v>
      </c>
      <c r="E72" s="6" t="s">
        <v>222</v>
      </c>
      <c r="F72" s="6" t="s">
        <v>224</v>
      </c>
    </row>
    <row r="73" customFormat="false" ht="15" hidden="false" customHeight="false" outlineLevel="0" collapsed="false">
      <c r="A73" s="3" t="s">
        <v>225</v>
      </c>
      <c r="B73" s="7" t="n">
        <v>768.821180909195</v>
      </c>
      <c r="C73" s="8" t="n">
        <f aca="false">B73/B$77</f>
        <v>0.778947498388243</v>
      </c>
      <c r="D73" s="7" t="n">
        <v>1246.31599742119</v>
      </c>
      <c r="E73" s="8" t="n">
        <f aca="false">D73/D$77</f>
        <v>0.778947498388243</v>
      </c>
      <c r="F73" s="7" t="n">
        <f aca="false">D73-B73</f>
        <v>477.494816511992</v>
      </c>
    </row>
    <row r="74" customFormat="false" ht="15" hidden="false" customHeight="false" outlineLevel="0" collapsed="false">
      <c r="A74" s="3" t="s">
        <v>226</v>
      </c>
      <c r="B74" s="7" t="n">
        <v>192.791639187493</v>
      </c>
      <c r="C74" s="8" t="n">
        <f aca="false">B74/B$77</f>
        <v>0.195330941426032</v>
      </c>
      <c r="D74" s="7" t="n">
        <v>312.529506281651</v>
      </c>
      <c r="E74" s="8" t="n">
        <f aca="false">D74/D$77</f>
        <v>0.195330941426032</v>
      </c>
      <c r="F74" s="7" t="n">
        <f aca="false">D74-B74</f>
        <v>119.737867094157</v>
      </c>
    </row>
    <row r="75" customFormat="false" ht="15" hidden="false" customHeight="false" outlineLevel="0" collapsed="false">
      <c r="A75" s="3" t="s">
        <v>227</v>
      </c>
      <c r="B75" s="7" t="n">
        <v>18.942306944518</v>
      </c>
      <c r="C75" s="8" t="n">
        <f aca="false">B75/B$77</f>
        <v>0.0191918003490557</v>
      </c>
      <c r="D75" s="7" t="n">
        <v>30.7068805584891</v>
      </c>
      <c r="E75" s="8" t="n">
        <f aca="false">D75/D$77</f>
        <v>0.0191918003490557</v>
      </c>
      <c r="F75" s="7" t="n">
        <f aca="false">D75-B75</f>
        <v>11.7645736139711</v>
      </c>
    </row>
    <row r="76" customFormat="false" ht="15" hidden="false" customHeight="false" outlineLevel="0" collapsed="false">
      <c r="A76" s="3" t="s">
        <v>228</v>
      </c>
      <c r="B76" s="7" t="n">
        <v>6.44487295879252</v>
      </c>
      <c r="C76" s="8" t="n">
        <f aca="false">B76/B$77</f>
        <v>0.00652975983666923</v>
      </c>
      <c r="D76" s="7" t="n">
        <v>10.4476157386707</v>
      </c>
      <c r="E76" s="8" t="n">
        <f aca="false">D76/D$77</f>
        <v>0.00652975983666922</v>
      </c>
      <c r="F76" s="7" t="n">
        <f aca="false">D76-B76</f>
        <v>4.00274277987822</v>
      </c>
    </row>
    <row r="77" customFormat="false" ht="15" hidden="false" customHeight="false" outlineLevel="0" collapsed="false">
      <c r="A77" s="4" t="s">
        <v>229</v>
      </c>
      <c r="B77" s="10" t="n">
        <f aca="false">SUM(B73:B76)</f>
        <v>986.999999999999</v>
      </c>
      <c r="C77" s="12"/>
      <c r="D77" s="10" t="n">
        <f aca="false">SUM(D73:D76)</f>
        <v>1600</v>
      </c>
      <c r="E77" s="12"/>
      <c r="F77" s="10" t="n">
        <f aca="false">D77-B77</f>
        <v>612.999999999998</v>
      </c>
    </row>
    <row r="78" customFormat="false" ht="68.65" hidden="false" customHeight="false" outlineLevel="0" collapsed="false">
      <c r="A78" s="2" t="s">
        <v>230</v>
      </c>
    </row>
    <row r="79" customFormat="false" ht="55.2" hidden="false" customHeight="false" outlineLevel="0" collapsed="false">
      <c r="A79" s="2" t="s">
        <v>231</v>
      </c>
    </row>
    <row r="80" customFormat="false" ht="15" hidden="false" customHeight="false" outlineLevel="0" collapsed="false">
      <c r="A80" s="3"/>
    </row>
    <row r="81" customFormat="false" ht="41.75" hidden="false" customHeight="false" outlineLevel="0" collapsed="false">
      <c r="A81" s="4" t="s">
        <v>232</v>
      </c>
    </row>
    <row r="82" customFormat="false" ht="28.35" hidden="false" customHeight="false" outlineLevel="0" collapsed="false">
      <c r="A82" s="5" t="s">
        <v>233</v>
      </c>
      <c r="B82" s="6" t="s">
        <v>234</v>
      </c>
      <c r="C82" s="6" t="s">
        <v>222</v>
      </c>
    </row>
    <row r="83" customFormat="false" ht="15" hidden="false" customHeight="false" outlineLevel="0" collapsed="false">
      <c r="A83" s="3" t="s">
        <v>235</v>
      </c>
      <c r="B83" s="7" t="n">
        <v>531.102863852944</v>
      </c>
      <c r="C83" s="8" t="n">
        <f aca="false">B83/B$85</f>
        <v>1.00075371743257</v>
      </c>
    </row>
    <row r="84" customFormat="false" ht="15" hidden="false" customHeight="false" outlineLevel="0" collapsed="false">
      <c r="A84" s="3" t="s">
        <v>8</v>
      </c>
      <c r="B84" s="7" t="n">
        <v>-0.4</v>
      </c>
      <c r="C84" s="8" t="n">
        <f aca="false">B84/B$85</f>
        <v>-0.000753717432568516</v>
      </c>
    </row>
    <row r="85" customFormat="false" ht="15" hidden="false" customHeight="false" outlineLevel="0" collapsed="false">
      <c r="A85" s="4" t="s">
        <v>161</v>
      </c>
      <c r="B85" s="10" t="n">
        <f aca="false">SUM(B83:B84)</f>
        <v>530.702863852945</v>
      </c>
      <c r="C85" s="12"/>
    </row>
    <row r="86" customFormat="false" ht="15" hidden="false" customHeight="false" outlineLevel="0" collapsed="false">
      <c r="A86" s="3"/>
    </row>
    <row r="87" customFormat="false" ht="28.35" hidden="false" customHeight="false" outlineLevel="0" collapsed="false">
      <c r="A87" s="5" t="s">
        <v>236</v>
      </c>
      <c r="B87" s="6" t="s">
        <v>234</v>
      </c>
      <c r="C87" s="6" t="s">
        <v>237</v>
      </c>
      <c r="D87" s="6" t="s">
        <v>222</v>
      </c>
    </row>
    <row r="88" customFormat="false" ht="15" hidden="false" customHeight="false" outlineLevel="0" collapsed="false">
      <c r="A88" s="3" t="s">
        <v>238</v>
      </c>
      <c r="B88" s="7" t="n">
        <v>221.156488366715</v>
      </c>
      <c r="C88" s="7" t="n">
        <v>66.1815752598303</v>
      </c>
      <c r="D88" s="8" t="n">
        <f aca="false">B88/B$102</f>
        <v>0.416723751519074</v>
      </c>
    </row>
    <row r="89" customFormat="false" ht="15" hidden="false" customHeight="false" outlineLevel="0" collapsed="false">
      <c r="A89" s="3" t="s">
        <v>239</v>
      </c>
      <c r="B89" s="7" t="n">
        <v>84.3864815491803</v>
      </c>
      <c r="C89" s="7" t="n">
        <v>18.2999999999999</v>
      </c>
      <c r="D89" s="8" t="n">
        <f aca="false">B89/B$102</f>
        <v>0.159008905541846</v>
      </c>
    </row>
    <row r="90" customFormat="false" ht="15" hidden="false" customHeight="false" outlineLevel="0" collapsed="false">
      <c r="A90" s="3" t="s">
        <v>240</v>
      </c>
      <c r="B90" s="7" t="n">
        <v>74.038</v>
      </c>
      <c r="C90" s="7" t="n">
        <v>0</v>
      </c>
      <c r="D90" s="8" t="n">
        <f aca="false">B90/B$102</f>
        <v>0.139509328181269</v>
      </c>
    </row>
    <row r="91" customFormat="false" ht="15" hidden="false" customHeight="false" outlineLevel="0" collapsed="false">
      <c r="A91" s="3" t="s">
        <v>241</v>
      </c>
      <c r="B91" s="7" t="n">
        <v>50.85</v>
      </c>
      <c r="C91" s="7" t="n">
        <v>50</v>
      </c>
      <c r="D91" s="8" t="n">
        <f aca="false">B91/B$102</f>
        <v>0.0958163286152726</v>
      </c>
    </row>
    <row r="92" customFormat="false" ht="15" hidden="false" customHeight="false" outlineLevel="0" collapsed="false">
      <c r="A92" s="3" t="s">
        <v>242</v>
      </c>
      <c r="B92" s="7" t="n">
        <v>40.85</v>
      </c>
      <c r="C92" s="7" t="n">
        <v>12.85</v>
      </c>
      <c r="D92" s="8" t="n">
        <f aca="false">B92/B$102</f>
        <v>0.0769733928010597</v>
      </c>
    </row>
    <row r="93" customFormat="false" ht="15" hidden="false" customHeight="false" outlineLevel="0" collapsed="false">
      <c r="A93" s="3" t="s">
        <v>243</v>
      </c>
      <c r="B93" s="7" t="n">
        <v>26.3338573770492</v>
      </c>
      <c r="C93" s="7" t="n">
        <v>3.6273</v>
      </c>
      <c r="D93" s="8" t="n">
        <f aca="false">B93/B$102</f>
        <v>0.0496207184296374</v>
      </c>
    </row>
    <row r="94" customFormat="false" ht="15" hidden="false" customHeight="false" outlineLevel="0" collapsed="false">
      <c r="A94" s="3" t="s">
        <v>244</v>
      </c>
      <c r="B94" s="7" t="n">
        <v>9.57</v>
      </c>
      <c r="C94" s="7" t="n">
        <v>0</v>
      </c>
      <c r="D94" s="8" t="n">
        <f aca="false">B94/B$102</f>
        <v>0.0180326895742017</v>
      </c>
    </row>
    <row r="95" customFormat="false" ht="15" hidden="false" customHeight="false" outlineLevel="0" collapsed="false">
      <c r="A95" s="3" t="s">
        <v>245</v>
      </c>
      <c r="B95" s="7" t="n">
        <v>5.50803083</v>
      </c>
      <c r="C95" s="7" t="n">
        <v>0</v>
      </c>
      <c r="D95" s="8" t="n">
        <f aca="false">B95/B$102</f>
        <v>0.0103787471392396</v>
      </c>
    </row>
    <row r="96" customFormat="false" ht="15" hidden="false" customHeight="false" outlineLevel="0" collapsed="false">
      <c r="A96" s="3" t="s">
        <v>246</v>
      </c>
      <c r="B96" s="7" t="n">
        <v>5.2</v>
      </c>
      <c r="C96" s="7" t="n">
        <v>0</v>
      </c>
      <c r="D96" s="8" t="n">
        <f aca="false">B96/B$102</f>
        <v>0.00979832662339071</v>
      </c>
    </row>
    <row r="97" customFormat="false" ht="15" hidden="false" customHeight="false" outlineLevel="0" collapsed="false">
      <c r="A97" s="3" t="s">
        <v>247</v>
      </c>
      <c r="B97" s="7" t="n">
        <v>5.06</v>
      </c>
      <c r="C97" s="7" t="n">
        <v>0.51</v>
      </c>
      <c r="D97" s="8" t="n">
        <f aca="false">B97/B$102</f>
        <v>0.00953452552199172</v>
      </c>
    </row>
    <row r="98" customFormat="false" ht="15" hidden="false" customHeight="false" outlineLevel="0" collapsed="false">
      <c r="A98" s="3" t="s">
        <v>248</v>
      </c>
      <c r="B98" s="7" t="n">
        <v>4</v>
      </c>
      <c r="C98" s="7" t="n">
        <v>0</v>
      </c>
      <c r="D98" s="8" t="n">
        <f aca="false">B98/B$102</f>
        <v>0.00753717432568516</v>
      </c>
    </row>
    <row r="99" customFormat="false" ht="15" hidden="false" customHeight="false" outlineLevel="0" collapsed="false">
      <c r="A99" s="3" t="s">
        <v>249</v>
      </c>
      <c r="B99" s="7" t="n">
        <v>2.05</v>
      </c>
      <c r="C99" s="7" t="n">
        <v>2.05</v>
      </c>
      <c r="D99" s="8" t="n">
        <f aca="false">B99/B$102</f>
        <v>0.00386280184191364</v>
      </c>
    </row>
    <row r="100" customFormat="false" ht="15" hidden="false" customHeight="false" outlineLevel="0" collapsed="false">
      <c r="A100" s="3" t="s">
        <v>250</v>
      </c>
      <c r="B100" s="7" t="n">
        <v>1.19000573</v>
      </c>
      <c r="C100" s="7" t="n">
        <v>0</v>
      </c>
      <c r="D100" s="8" t="n">
        <f aca="false">B100/B$102</f>
        <v>0.00224232015889356</v>
      </c>
    </row>
    <row r="101" customFormat="false" ht="15" hidden="false" customHeight="false" outlineLevel="0" collapsed="false">
      <c r="A101" s="3" t="s">
        <v>251</v>
      </c>
      <c r="B101" s="7" t="n">
        <v>0.51</v>
      </c>
      <c r="C101" s="7" t="n">
        <v>0</v>
      </c>
      <c r="D101" s="8" t="n">
        <f aca="false">B101/B$102</f>
        <v>0.000960989726524858</v>
      </c>
    </row>
    <row r="102" customFormat="false" ht="15" hidden="false" customHeight="false" outlineLevel="0" collapsed="false">
      <c r="A102" s="4" t="s">
        <v>161</v>
      </c>
      <c r="B102" s="10" t="n">
        <f aca="false">SUM(B88:B101)</f>
        <v>530.702863852945</v>
      </c>
      <c r="C102" s="10" t="n">
        <f aca="false">SUM(C88:C101)</f>
        <v>153.51887525983</v>
      </c>
      <c r="D102" s="12"/>
    </row>
    <row r="103" customFormat="false" ht="55.2" hidden="false" customHeight="false" outlineLevel="0" collapsed="false">
      <c r="A103" s="2" t="s">
        <v>252</v>
      </c>
    </row>
    <row r="104" customFormat="false" ht="55.2" hidden="false" customHeight="false" outlineLevel="0" collapsed="false">
      <c r="A104" s="2" t="s">
        <v>253</v>
      </c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4" t="s">
        <v>254</v>
      </c>
    </row>
    <row r="107" customFormat="false" ht="28.35" hidden="false" customHeight="false" outlineLevel="0" collapsed="false">
      <c r="A107" s="5" t="s">
        <v>255</v>
      </c>
      <c r="B107" s="6" t="s">
        <v>256</v>
      </c>
      <c r="C107" s="6" t="s">
        <v>234</v>
      </c>
    </row>
    <row r="108" customFormat="false" ht="15" hidden="false" customHeight="false" outlineLevel="0" collapsed="false">
      <c r="A108" s="3" t="s">
        <v>257</v>
      </c>
      <c r="B108" s="9" t="s">
        <v>235</v>
      </c>
      <c r="C108" s="7" t="n">
        <v>61.0599999999998</v>
      </c>
    </row>
    <row r="109" customFormat="false" ht="15" hidden="false" customHeight="false" outlineLevel="0" collapsed="false">
      <c r="A109" s="3" t="s">
        <v>258</v>
      </c>
      <c r="B109" s="9" t="s">
        <v>235</v>
      </c>
      <c r="C109" s="7" t="n">
        <v>53.0435999999999</v>
      </c>
    </row>
    <row r="110" customFormat="false" ht="15" hidden="false" customHeight="false" outlineLevel="0" collapsed="false">
      <c r="A110" s="3" t="s">
        <v>259</v>
      </c>
      <c r="B110" s="9" t="s">
        <v>235</v>
      </c>
      <c r="C110" s="7" t="n">
        <v>50</v>
      </c>
    </row>
    <row r="111" customFormat="false" ht="15" hidden="false" customHeight="false" outlineLevel="0" collapsed="false">
      <c r="A111" s="3" t="s">
        <v>260</v>
      </c>
      <c r="B111" s="9" t="s">
        <v>235</v>
      </c>
      <c r="C111" s="7" t="n">
        <v>33.9</v>
      </c>
    </row>
    <row r="112" customFormat="false" ht="15" hidden="false" customHeight="false" outlineLevel="0" collapsed="false">
      <c r="A112" s="3" t="s">
        <v>261</v>
      </c>
      <c r="B112" s="9" t="s">
        <v>235</v>
      </c>
      <c r="C112" s="7" t="n">
        <v>33.236361</v>
      </c>
    </row>
    <row r="113" customFormat="false" ht="15" hidden="false" customHeight="false" outlineLevel="0" collapsed="false">
      <c r="A113" s="3" t="s">
        <v>262</v>
      </c>
      <c r="B113" s="9" t="s">
        <v>235</v>
      </c>
      <c r="C113" s="7" t="n">
        <v>25.3501545</v>
      </c>
    </row>
    <row r="114" customFormat="false" ht="15" hidden="false" customHeight="false" outlineLevel="0" collapsed="false">
      <c r="A114" s="3" t="s">
        <v>263</v>
      </c>
      <c r="B114" s="9" t="s">
        <v>235</v>
      </c>
      <c r="C114" s="7" t="n">
        <v>21.6000445</v>
      </c>
    </row>
    <row r="115" customFormat="false" ht="15" hidden="false" customHeight="false" outlineLevel="0" collapsed="false">
      <c r="A115" s="3" t="s">
        <v>264</v>
      </c>
      <c r="B115" s="9" t="s">
        <v>235</v>
      </c>
      <c r="C115" s="7" t="n">
        <v>20.15022926</v>
      </c>
    </row>
    <row r="116" customFormat="false" ht="15" hidden="false" customHeight="false" outlineLevel="0" collapsed="false">
      <c r="A116" s="3" t="s">
        <v>265</v>
      </c>
      <c r="B116" s="9" t="s">
        <v>235</v>
      </c>
      <c r="C116" s="7" t="n">
        <v>18</v>
      </c>
    </row>
    <row r="117" customFormat="false" ht="15" hidden="false" customHeight="false" outlineLevel="0" collapsed="false">
      <c r="A117" s="3" t="s">
        <v>266</v>
      </c>
      <c r="B117" s="9" t="s">
        <v>235</v>
      </c>
      <c r="C117" s="7" t="n">
        <v>14.15895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2026-10-21T12:53:24Z</dcterms:created>
  <dc:creator>openpyxl</dc:creator>
  <dc:description/>
  <dc:language>en-US</dc:language>
  <cp:lastModifiedBy/>
  <dcterms:modified xsi:type="dcterms:W3CDTF">2026-10-21T13:57:25Z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