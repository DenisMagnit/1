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Сплит доходов" sheetId="1" state="visible" r:id="rId1"/>
    <sheet xmlns:r="http://schemas.openxmlformats.org/officeDocument/2006/relationships" name="Куда идёт выруч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-#,##0.0;&quot;—&quot;"/>
    <numFmt numFmtId="165" formatCode="0.0;0.0"/>
  </numFmts>
  <fonts count="8">
    <font>
      <name val="Calibri"/>
      <family val="2"/>
      <color theme="1"/>
      <sz val="11"/>
      <scheme val="minor"/>
    </font>
    <font>
      <name val="Arial"/>
      <b val="1"/>
      <color rgb="00262626"/>
      <sz val="14"/>
    </font>
    <font>
      <name val="Arial"/>
      <b val="1"/>
      <color rgb="00FFFFFF"/>
      <sz val="10.5"/>
    </font>
    <font>
      <name val="Arial"/>
      <i val="1"/>
      <color rgb="007F7F7F"/>
      <sz val="9"/>
    </font>
    <font>
      <name val="Arial"/>
      <b val="1"/>
      <color rgb="00262626"/>
      <sz val="10"/>
    </font>
    <font>
      <name val="Arial"/>
      <color rgb="007F7F7F"/>
      <sz val="8"/>
    </font>
    <font>
      <name val="Arial"/>
      <color rgb="00262626"/>
      <sz val="10"/>
    </font>
    <font>
      <name val="Arial"/>
      <i val="1"/>
      <color rgb="00262626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horizontal="right" vertical="top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horizontal="right" vertical="top"/>
    </xf>
    <xf numFmtId="165" fontId="6" fillId="0" borderId="1" applyAlignment="1" pivotButton="0" quotePrefix="0" xfId="0">
      <alignment horizontal="right" vertical="top"/>
    </xf>
    <xf numFmtId="165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0" fontId="5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46" customWidth="1" min="13" max="13"/>
    <col width="40" customWidth="1" min="14" max="14"/>
  </cols>
  <sheetData>
    <row r="1" ht="24" customHeight="1">
      <c r="B1" s="1" t="inlineStr">
        <is>
          <t>Сплит доходов AdTech, 9 мес. 2026 г.</t>
        </is>
      </c>
    </row>
    <row r="2" ht="18" customHeight="1">
      <c r="A2" s="2" t="inlineStr">
        <is>
          <t>1. Доходы, отражённые в корпоративном P&amp;L AdTech</t>
        </is>
      </c>
    </row>
    <row r="3" ht="14.5" customHeight="1">
      <c r="A3" s="3" t="inlineStr">
        <is>
          <t>млн руб. без НДС. Источник — файл «Доходы AdTech_9м2026»: БиП и 1С — лист «PL AdTech», поставщики М+ — свод УО (инвентарь М+). Строки 7–17 — БиП по статьям за вычетом поставщиков М+ (стр. 19–27). Наименования статей — как в БиП.</t>
        </is>
      </c>
    </row>
    <row r="4" ht="18" customHeight="1">
      <c r="A4" s="4" t="n"/>
      <c r="B4" s="4" t="inlineStr">
        <is>
          <t>Статья</t>
        </is>
      </c>
      <c r="C4" s="5" t="inlineStr">
        <is>
          <t>янв</t>
        </is>
      </c>
      <c r="D4" s="5" t="inlineStr">
        <is>
          <t>фев</t>
        </is>
      </c>
      <c r="E4" s="5" t="inlineStr">
        <is>
          <t>мар</t>
        </is>
      </c>
      <c r="F4" s="5" t="inlineStr">
        <is>
          <t>апр</t>
        </is>
      </c>
      <c r="G4" s="5" t="inlineStr">
        <is>
          <t>май</t>
        </is>
      </c>
      <c r="H4" s="5" t="inlineStr">
        <is>
          <t>июн</t>
        </is>
      </c>
      <c r="I4" s="5" t="inlineStr">
        <is>
          <t>июл</t>
        </is>
      </c>
      <c r="J4" s="5" t="inlineStr">
        <is>
          <t>авг</t>
        </is>
      </c>
      <c r="K4" s="5" t="inlineStr">
        <is>
          <t>сен</t>
        </is>
      </c>
      <c r="L4" s="5" t="inlineStr">
        <is>
          <t>9 мес.</t>
        </is>
      </c>
      <c r="M4" s="4" t="inlineStr">
        <is>
          <t>Куда идёт</t>
        </is>
      </c>
      <c r="N4" s="4" t="inlineStr">
        <is>
          <t>Комментарий</t>
        </is>
      </c>
    </row>
    <row r="5" ht="17" customHeight="1">
      <c r="A5" s="6" t="n"/>
      <c r="B5" s="7" t="inlineStr">
        <is>
          <t>Итого доходы в корпоративном P&amp;L AdTech</t>
        </is>
      </c>
      <c r="C5" s="8">
        <f>C6+C18+C28</f>
        <v>252.568249</v>
      </c>
      <c r="D5" s="8">
        <f>D6+D18+D28</f>
        <v>448.640076</v>
      </c>
      <c r="E5" s="8">
        <f>E6+E18+E28</f>
        <v>449.85984</v>
      </c>
      <c r="F5" s="8">
        <f>F6+F18+F28</f>
        <v>539.9119712</v>
      </c>
      <c r="G5" s="8">
        <f>G6+G18+G28</f>
        <v>778.284132</v>
      </c>
      <c r="H5" s="8">
        <f>H6+H18+H28</f>
        <v>1159.04994</v>
      </c>
      <c r="I5" s="8">
        <f>I6+I18+I28</f>
        <v>969.281716</v>
      </c>
      <c r="J5" s="8">
        <f>J6+J18+J28</f>
        <v>920.741088</v>
      </c>
      <c r="K5" s="8">
        <f>K6+K18+K28</f>
        <v>1110.4757551</v>
      </c>
      <c r="L5" s="8">
        <f>SUM(C5:K5)</f>
        <v>6628.8127673</v>
      </c>
      <c r="M5" s="9" t="inlineStr">
        <is>
          <t>(3) Корпоративный P&amp;L AdTech</t>
        </is>
      </c>
      <c r="N5" s="9" t="n"/>
    </row>
    <row r="6" ht="30" customHeight="1">
      <c r="A6" s="10" t="n"/>
      <c r="B6" s="11" t="inlineStr">
        <is>
          <t>Направления AdTech (без поставщиков М+)</t>
        </is>
      </c>
      <c r="C6" s="12">
        <f>SUM(C7:C17)</f>
        <v>248.723943</v>
      </c>
      <c r="D6" s="12">
        <f>SUM(D7:D17)</f>
        <v>444.646325</v>
      </c>
      <c r="E6" s="12">
        <f>SUM(E7:E17)</f>
        <v>446.774958</v>
      </c>
      <c r="F6" s="12">
        <f>SUM(F7:F17)</f>
        <v>427.078645491803</v>
      </c>
      <c r="G6" s="12">
        <f>SUM(G7:G17)</f>
        <v>659.463777147541</v>
      </c>
      <c r="H6" s="12">
        <f>SUM(H7:H17)</f>
        <v>971.935927309052</v>
      </c>
      <c r="I6" s="12">
        <f>SUM(I7:I17)</f>
        <v>690.849479304996</v>
      </c>
      <c r="J6" s="12">
        <f>SUM(J7:J17)</f>
        <v>720.097454756026</v>
      </c>
      <c r="K6" s="12">
        <f>SUM(K7:K17)</f>
        <v>749.550340181755</v>
      </c>
      <c r="L6" s="12">
        <f>SUM(C6:K6)</f>
        <v>5359.12085019117</v>
      </c>
      <c r="M6" s="13" t="inlineStr">
        <is>
          <t>(1) Коммерция (Д. Ардаширов); (2) мастер-файл: BiP (Rev)</t>
        </is>
      </c>
      <c r="N6" s="13" t="inlineStr">
        <is>
          <t>Стр. 7–17</t>
        </is>
      </c>
    </row>
    <row r="7" ht="17" customHeight="1">
      <c r="A7" s="14" t="n"/>
      <c r="B7" s="15" t="inlineStr">
        <is>
          <t xml:space="preserve">    AdTech_Лояльность М-плюс (CVM, CRM)_</t>
        </is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7" t="n">
        <v>-2.800000000279397e-07</v>
      </c>
      <c r="L7" s="18">
        <f>SUM(C7:K7)</f>
        <v>-2.8000000002794e-07</v>
      </c>
      <c r="M7" s="15" t="n"/>
      <c r="N7" s="15" t="n"/>
    </row>
    <row r="8" ht="17" customHeight="1">
      <c r="A8" s="14" t="n"/>
      <c r="B8" s="15" t="inlineStr">
        <is>
          <t xml:space="preserve">    AdTech_Реклама и продвижение_</t>
        </is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7" t="n">
        <v>3.679999997839332e-07</v>
      </c>
      <c r="L8" s="18">
        <f>SUM(C8:K8)</f>
        <v>3.67999999783933e-07</v>
      </c>
      <c r="M8" s="15" t="n"/>
      <c r="N8" s="15" t="n"/>
    </row>
    <row r="9" ht="17" customHeight="1">
      <c r="A9" s="14" t="n"/>
      <c r="B9" s="15" t="inlineStr">
        <is>
          <t xml:space="preserve">    AdTech_Лояльность М-плюс (CVM, CRM)</t>
        </is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7" t="n">
        <v>1.090069998055696e-06</v>
      </c>
      <c r="L9" s="18">
        <f>SUM(C9:K9)</f>
        <v>1.0900699980557e-06</v>
      </c>
      <c r="M9" s="15" t="n"/>
      <c r="N9" s="15" t="n"/>
    </row>
    <row r="10" ht="17" customHeight="1">
      <c r="A10" s="14" t="n"/>
      <c r="B10" s="15" t="inlineStr">
        <is>
          <t xml:space="preserve">    AdTech_Лояльность М-плюс (CVM, CRM) (РА)</t>
        </is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7" t="n">
        <v>-1.099999997764826e-06</v>
      </c>
      <c r="L10" s="18">
        <f>SUM(C10:K10)</f>
        <v>-1.09999999776483e-06</v>
      </c>
      <c r="M10" s="15" t="n"/>
      <c r="N10" s="15" t="n"/>
    </row>
    <row r="11" ht="17" customHeight="1">
      <c r="A11" s="14" t="n"/>
      <c r="B11" s="15" t="inlineStr">
        <is>
          <t xml:space="preserve">    AdTech_Прочее (РА)</t>
        </is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0.9695319999999999</v>
      </c>
      <c r="J11" s="16" t="n">
        <v>16.921116</v>
      </c>
      <c r="K11" s="16" t="n">
        <v>0</v>
      </c>
      <c r="L11" s="19">
        <f>SUM(C11:K11)</f>
        <v>17.890648</v>
      </c>
      <c r="M11" s="15" t="n"/>
      <c r="N11" s="15" t="n"/>
    </row>
    <row r="12" ht="17" customHeight="1">
      <c r="A12" s="14" t="n"/>
      <c r="B12" s="15" t="inlineStr">
        <is>
          <t xml:space="preserve">    AdTech_Реклама и продвижение</t>
        </is>
      </c>
      <c r="C12" s="16" t="n">
        <v>59.175726</v>
      </c>
      <c r="D12" s="16" t="n">
        <v>81.570854</v>
      </c>
      <c r="E12" s="16" t="n">
        <v>30.571166</v>
      </c>
      <c r="F12" s="16" t="n">
        <v>60.29680654098334</v>
      </c>
      <c r="G12" s="16" t="n">
        <v>120.7631333852461</v>
      </c>
      <c r="H12" s="16" t="n">
        <v>215.1693877188861</v>
      </c>
      <c r="I12" s="16" t="n">
        <v>82.91801004098356</v>
      </c>
      <c r="J12" s="16" t="n">
        <v>148.8003307244262</v>
      </c>
      <c r="K12" s="16" t="n">
        <v>155.7243727006332</v>
      </c>
      <c r="L12" s="19">
        <f>SUM(C12:K12)</f>
        <v>954.989787111159</v>
      </c>
      <c r="M12" s="15" t="n"/>
      <c r="N12" s="15" t="n"/>
    </row>
    <row r="13" ht="17" customHeight="1">
      <c r="A13" s="14" t="n"/>
      <c r="B13" s="15" t="inlineStr">
        <is>
          <t xml:space="preserve">    AdTech_Реклама и продвижение (РА)</t>
        </is>
      </c>
      <c r="C13" s="16" t="n">
        <v>39.08459</v>
      </c>
      <c r="D13" s="16" t="n">
        <v>76.759578</v>
      </c>
      <c r="E13" s="16" t="n">
        <v>115.984529</v>
      </c>
      <c r="F13" s="16" t="n">
        <v>36.0619689508197</v>
      </c>
      <c r="G13" s="16" t="n">
        <v>175.449242762295</v>
      </c>
      <c r="H13" s="16" t="n">
        <v>197.8624295901661</v>
      </c>
      <c r="I13" s="16" t="n">
        <v>213.903297021061</v>
      </c>
      <c r="J13" s="16" t="n">
        <v>185.1729011940584</v>
      </c>
      <c r="K13" s="16" t="n">
        <v>141.159431673242</v>
      </c>
      <c r="L13" s="19">
        <f>SUM(C13:K13)</f>
        <v>1181.43796819164</v>
      </c>
      <c r="M13" s="15" t="n"/>
      <c r="N13" s="15" t="n"/>
    </row>
    <row r="14" ht="17" customHeight="1">
      <c r="A14" s="14" t="inlineStr">
        <is>
          <t>E-com</t>
        </is>
      </c>
      <c r="B14" s="15" t="inlineStr">
        <is>
          <t xml:space="preserve">    E-Commerce_Adtech</t>
        </is>
      </c>
      <c r="C14" s="16" t="n">
        <v>57.901587</v>
      </c>
      <c r="D14" s="16" t="n">
        <v>166.448829</v>
      </c>
      <c r="E14" s="16" t="n">
        <v>194.049246</v>
      </c>
      <c r="F14" s="16" t="n">
        <v>162.740962</v>
      </c>
      <c r="G14" s="16" t="n">
        <v>233.211383</v>
      </c>
      <c r="H14" s="16" t="n">
        <v>355.182024</v>
      </c>
      <c r="I14" s="16" t="n">
        <v>227.1448442995082</v>
      </c>
      <c r="J14" s="16" t="n">
        <v>262.2067643293443</v>
      </c>
      <c r="K14" s="16" t="n">
        <v>312.51297573993</v>
      </c>
      <c r="L14" s="19">
        <f>SUM(C14:K14)</f>
        <v>1971.39861536878</v>
      </c>
      <c r="M14" s="15" t="n"/>
      <c r="N14" s="15" t="n"/>
    </row>
    <row r="15" ht="17" customHeight="1">
      <c r="A15" s="14" t="inlineStr">
        <is>
          <t>E-com</t>
        </is>
      </c>
      <c r="B15" s="15" t="inlineStr">
        <is>
          <t xml:space="preserve">    E-Commerce_Adtech (РА)</t>
        </is>
      </c>
      <c r="C15" s="16" t="n">
        <v>51.025387</v>
      </c>
      <c r="D15" s="16" t="n">
        <v>102.249093</v>
      </c>
      <c r="E15" s="16" t="n">
        <v>118.874386</v>
      </c>
      <c r="F15" s="16" t="n">
        <v>151.751373</v>
      </c>
      <c r="G15" s="16" t="n">
        <v>182.764724</v>
      </c>
      <c r="H15" s="16" t="n">
        <v>192.510753</v>
      </c>
      <c r="I15" s="16" t="n">
        <v>169.2590839434427</v>
      </c>
      <c r="J15" s="16" t="n">
        <v>106.5116925081967</v>
      </c>
      <c r="K15" s="16" t="n">
        <v>143.70566844988</v>
      </c>
      <c r="L15" s="19">
        <f>SUM(C15:K15)</f>
        <v>1218.65216090152</v>
      </c>
      <c r="M15" s="15" t="n"/>
      <c r="N15" s="15" t="n"/>
    </row>
    <row r="16" ht="30" customHeight="1">
      <c r="A16" s="14" t="inlineStr">
        <is>
          <t>E-com</t>
        </is>
      </c>
      <c r="B16" s="15" t="inlineStr">
        <is>
          <t xml:space="preserve">    E-Commerce_Реклама и продвижение (условное)</t>
        </is>
      </c>
      <c r="C16" s="16" t="n">
        <v>27.606106</v>
      </c>
      <c r="D16" s="16" t="n">
        <v>6.626706</v>
      </c>
      <c r="E16" s="16" t="n">
        <v>-11.711405</v>
      </c>
      <c r="F16" s="16" t="n">
        <v>16.227535</v>
      </c>
      <c r="G16" s="16" t="n">
        <v>-52.008751</v>
      </c>
      <c r="H16" s="16" t="n">
        <v>10.717533</v>
      </c>
      <c r="I16" s="16" t="n">
        <v>-3.345288</v>
      </c>
      <c r="J16" s="16" t="n">
        <v>0.48465</v>
      </c>
      <c r="K16" s="16" t="n">
        <v>1.14914654</v>
      </c>
      <c r="L16" s="19">
        <f>SUM(C16:K16)</f>
        <v>-4.25376746</v>
      </c>
      <c r="M16" s="15" t="n"/>
      <c r="N16" s="15" t="n"/>
    </row>
    <row r="17" ht="30" customHeight="1">
      <c r="A17" s="14" t="inlineStr">
        <is>
          <t>E-com</t>
        </is>
      </c>
      <c r="B17" s="15" t="inlineStr">
        <is>
          <t xml:space="preserve">    E-Commerce_Реклама и продвижение (условное) (РА)</t>
        </is>
      </c>
      <c r="C17" s="16" t="n">
        <v>13.930547</v>
      </c>
      <c r="D17" s="16" t="n">
        <v>10.991265</v>
      </c>
      <c r="E17" s="16" t="n">
        <v>-0.992964</v>
      </c>
      <c r="F17" s="16" t="n">
        <v>0</v>
      </c>
      <c r="G17" s="16" t="n">
        <v>-0.715955</v>
      </c>
      <c r="H17" s="16" t="n">
        <v>0.4938</v>
      </c>
      <c r="I17" s="16" t="n">
        <v>0</v>
      </c>
      <c r="J17" s="16" t="n">
        <v>0</v>
      </c>
      <c r="K17" s="16" t="n">
        <v>-4.701255</v>
      </c>
      <c r="L17" s="19">
        <f>SUM(C17:K17)</f>
        <v>19.005438</v>
      </c>
      <c r="M17" s="15" t="n"/>
      <c r="N17" s="15" t="n"/>
    </row>
    <row r="18" ht="17" customHeight="1">
      <c r="A18" s="10" t="n"/>
      <c r="B18" s="11" t="inlineStr">
        <is>
          <t>Поставщики М+</t>
        </is>
      </c>
      <c r="C18" s="12">
        <f>SUM(C19:C27)</f>
        <v>0</v>
      </c>
      <c r="D18" s="12">
        <f>SUM(D19:D27)</f>
        <v>0</v>
      </c>
      <c r="E18" s="12">
        <f>SUM(E19:E27)</f>
        <v>0</v>
      </c>
      <c r="F18" s="12">
        <f>SUM(F19:F27)</f>
        <v>95.675716508197</v>
      </c>
      <c r="G18" s="12">
        <f>SUM(G19:G27)</f>
        <v>103.754459852459</v>
      </c>
      <c r="H18" s="12">
        <f>SUM(H19:H27)</f>
        <v>173.271079690948</v>
      </c>
      <c r="I18" s="12">
        <f>SUM(I19:I27)</f>
        <v>235.513060695004</v>
      </c>
      <c r="J18" s="12">
        <f>SUM(J19:J27)</f>
        <v>136.077022243974</v>
      </c>
      <c r="K18" s="12">
        <f>SUM(K19:K27)</f>
        <v>251.362838818245</v>
      </c>
      <c r="L18" s="12">
        <f>SUM(C18:K18)</f>
        <v>995.654177808827</v>
      </c>
      <c r="M18" s="13" t="inlineStr">
        <is>
          <t>(2) Мастер-файл: BiP (Rev)</t>
        </is>
      </c>
      <c r="N18" s="13" t="inlineStr">
        <is>
          <t>Учёт с апреля 2026 г.</t>
        </is>
      </c>
    </row>
    <row r="19" ht="17" customHeight="1">
      <c r="A19" s="14" t="n"/>
      <c r="B19" s="15" t="inlineStr">
        <is>
          <t xml:space="preserve">    AdTech_Лояльность М-плюс (CVM, CRM)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>
        <v>19.70106790993</v>
      </c>
      <c r="L19" s="19">
        <f>SUM(C19:K19)</f>
        <v>19.70106790993</v>
      </c>
      <c r="M19" s="15" t="n"/>
      <c r="N19" s="15" t="n"/>
    </row>
    <row r="20" ht="17" customHeight="1">
      <c r="A20" s="14" t="n"/>
      <c r="B20" s="15" t="inlineStr">
        <is>
          <t xml:space="preserve">    AdTech_Лояльность М-плюс (CVM, CRM) (РА)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>
        <v>10.48500299999999</v>
      </c>
      <c r="K20" s="16" t="n">
        <v>33.1945541</v>
      </c>
      <c r="L20" s="19">
        <f>SUM(C20:K20)</f>
        <v>43.6795571</v>
      </c>
      <c r="M20" s="15" t="n"/>
      <c r="N20" s="15" t="n"/>
    </row>
    <row r="21" ht="17" customHeight="1">
      <c r="A21" s="14" t="n"/>
      <c r="B21" s="15" t="inlineStr">
        <is>
          <t xml:space="preserve">    AdTech_Лояльность М-плюс (CVM, CRM)_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>
        <v>0.83000328</v>
      </c>
      <c r="L21" s="19">
        <f>SUM(C21:K21)</f>
        <v>0.83000328</v>
      </c>
      <c r="M21" s="15" t="n"/>
      <c r="N21" s="15" t="n"/>
    </row>
    <row r="22" ht="17" customHeight="1">
      <c r="A22" s="14" t="n"/>
      <c r="B22" s="15" t="inlineStr">
        <is>
          <t xml:space="preserve">    AdTech_Реклама и продвижение</t>
        </is>
      </c>
      <c r="C22" s="16" t="n"/>
      <c r="D22" s="16" t="n"/>
      <c r="E22" s="16" t="n"/>
      <c r="F22" s="16" t="n">
        <v>58.19869845901666</v>
      </c>
      <c r="G22" s="16" t="n">
        <v>20.97004561475394</v>
      </c>
      <c r="H22" s="16" t="n">
        <v>58.67685328111392</v>
      </c>
      <c r="I22" s="16" t="n">
        <v>97.37591395901644</v>
      </c>
      <c r="J22" s="16" t="n">
        <v>44.55441227557376</v>
      </c>
      <c r="K22" s="16" t="n">
        <v>43.94921129936683</v>
      </c>
      <c r="L22" s="19">
        <f>SUM(C22:K22)</f>
        <v>323.725134888842</v>
      </c>
      <c r="M22" s="15" t="n"/>
      <c r="N22" s="15" t="n"/>
    </row>
    <row r="23" ht="17" customHeight="1">
      <c r="A23" s="14" t="n"/>
      <c r="B23" s="15" t="inlineStr">
        <is>
          <t xml:space="preserve">    AdTech_Реклама и продвижение (РА)</t>
        </is>
      </c>
      <c r="C23" s="16" t="n"/>
      <c r="D23" s="16" t="n"/>
      <c r="E23" s="16" t="n"/>
      <c r="F23" s="16" t="n">
        <v>37.4770180491803</v>
      </c>
      <c r="G23" s="16" t="n">
        <v>82.78441423770496</v>
      </c>
      <c r="H23" s="16" t="n">
        <v>114.5942264098339</v>
      </c>
      <c r="I23" s="16" t="n">
        <v>68.46317097893896</v>
      </c>
      <c r="J23" s="16" t="n">
        <v>59.96317180594163</v>
      </c>
      <c r="K23" s="16" t="n">
        <v>102.072689326758</v>
      </c>
      <c r="L23" s="19">
        <f>SUM(C23:K23)</f>
        <v>465.354690808358</v>
      </c>
      <c r="M23" s="15" t="n"/>
      <c r="N23" s="15" t="n"/>
    </row>
    <row r="24" ht="17" customHeight="1">
      <c r="A24" s="14" t="n"/>
      <c r="B24" s="15" t="inlineStr">
        <is>
          <t xml:space="preserve">    AdTech_Реклама и продвижение_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>
        <v>4.190732632</v>
      </c>
      <c r="L24" s="19">
        <f>SUM(C24:K24)</f>
        <v>4.190732632</v>
      </c>
      <c r="M24" s="15" t="n"/>
      <c r="N24" s="15" t="n"/>
    </row>
    <row r="25" ht="17" customHeight="1">
      <c r="A25" s="14" t="inlineStr">
        <is>
          <t>E-com</t>
        </is>
      </c>
      <c r="B25" s="15" t="inlineStr">
        <is>
          <t xml:space="preserve">    E-Commerce_Adtech</t>
        </is>
      </c>
      <c r="C25" s="16" t="n"/>
      <c r="D25" s="16" t="n"/>
      <c r="E25" s="16" t="n"/>
      <c r="F25" s="16" t="n"/>
      <c r="G25" s="16" t="n"/>
      <c r="H25" s="16" t="n"/>
      <c r="I25" s="16" t="n">
        <v>47.57278770049179</v>
      </c>
      <c r="J25" s="16" t="n">
        <v>9.488047670655744</v>
      </c>
      <c r="K25" s="16" t="n">
        <v>43.84737226007</v>
      </c>
      <c r="L25" s="19">
        <f>SUM(C25:K25)</f>
        <v>100.908207631218</v>
      </c>
      <c r="M25" s="15" t="n"/>
      <c r="N25" s="15" t="n"/>
    </row>
    <row r="26" ht="17" customHeight="1">
      <c r="A26" s="14" t="inlineStr">
        <is>
          <t>E-com</t>
        </is>
      </c>
      <c r="B26" s="15" t="inlineStr">
        <is>
          <t xml:space="preserve">    E-Commerce_Adtech (РА)</t>
        </is>
      </c>
      <c r="C26" s="16" t="n"/>
      <c r="D26" s="16" t="n"/>
      <c r="E26" s="16" t="n"/>
      <c r="F26" s="16" t="n"/>
      <c r="G26" s="16" t="n"/>
      <c r="H26" s="16" t="n"/>
      <c r="I26" s="16" t="n">
        <v>22.10118805655728</v>
      </c>
      <c r="J26" s="16" t="n">
        <v>11.58638749180325</v>
      </c>
      <c r="K26" s="16" t="n">
        <v>3.07706755012</v>
      </c>
      <c r="L26" s="19">
        <f>SUM(C26:K26)</f>
        <v>36.7646430984805</v>
      </c>
      <c r="M26" s="15" t="n"/>
      <c r="N26" s="15" t="n"/>
    </row>
    <row r="27" ht="30" customHeight="1">
      <c r="A27" s="14" t="inlineStr">
        <is>
          <t>E-com</t>
        </is>
      </c>
      <c r="B27" s="15" t="inlineStr">
        <is>
          <t xml:space="preserve">    E-Commerce_Реклама и продвижение (условное)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>
        <v>0.50014046</v>
      </c>
      <c r="L27" s="19">
        <f>SUM(C27:K27)</f>
        <v>0.50014046</v>
      </c>
      <c r="M27" s="15" t="n"/>
      <c r="N27" s="15" t="n"/>
    </row>
    <row r="28" ht="30" customHeight="1">
      <c r="A28" s="10" t="n"/>
      <c r="B28" s="11" t="inlineStr">
        <is>
          <t>1С</t>
        </is>
      </c>
      <c r="C28" s="12" t="n">
        <v>3.844306</v>
      </c>
      <c r="D28" s="12" t="n">
        <v>3.993751</v>
      </c>
      <c r="E28" s="12" t="n">
        <v>3.084882</v>
      </c>
      <c r="F28" s="12" t="n">
        <v>17.1576092</v>
      </c>
      <c r="G28" s="12" t="n">
        <v>15.065895</v>
      </c>
      <c r="H28" s="12" t="n">
        <v>13.842933</v>
      </c>
      <c r="I28" s="12" t="n">
        <v>42.919176</v>
      </c>
      <c r="J28" s="12" t="n">
        <v>64.56661099999999</v>
      </c>
      <c r="K28" s="12" t="n">
        <v>109.5625761</v>
      </c>
      <c r="L28" s="12">
        <f>SUM(C28:K28)</f>
        <v>274.0377393</v>
      </c>
      <c r="M28" s="13" t="inlineStr">
        <is>
          <t>(3) Корпоративный P&amp;L AdTech; (4) мастер-файл: финальная выручка</t>
        </is>
      </c>
      <c r="N28" s="13" t="inlineStr">
        <is>
          <t>В т.ч. ФинТех, М+ (не поставщики), Яндекс (Digital Instore)</t>
        </is>
      </c>
    </row>
    <row r="30" ht="18" customHeight="1">
      <c r="A30" s="2" t="inlineStr">
        <is>
          <t>2. Доходы AdTech, не отражённые в корпоративном P&amp;L (сделки на РН других направлений)</t>
        </is>
      </c>
    </row>
    <row r="31" ht="14.5" customHeight="1">
      <c r="A31" s="3" t="inlineStr">
        <is>
          <t>млн руб. без НДС. Источник — лист «Доходы, не РН AdTech» файла «Доходы AdTech_9м2026»: сделки, закрытые на РН других направлений, по данным ДО AdTech.</t>
        </is>
      </c>
    </row>
    <row r="32" ht="18" customHeight="1">
      <c r="A32" s="4" t="n"/>
      <c r="B32" s="4" t="inlineStr">
        <is>
          <t>Статья</t>
        </is>
      </c>
      <c r="C32" s="5" t="inlineStr">
        <is>
          <t>янв</t>
        </is>
      </c>
      <c r="D32" s="5" t="inlineStr">
        <is>
          <t>фев</t>
        </is>
      </c>
      <c r="E32" s="5" t="inlineStr">
        <is>
          <t>мар</t>
        </is>
      </c>
      <c r="F32" s="5" t="inlineStr">
        <is>
          <t>апр</t>
        </is>
      </c>
      <c r="G32" s="5" t="inlineStr">
        <is>
          <t>май</t>
        </is>
      </c>
      <c r="H32" s="5" t="inlineStr">
        <is>
          <t>июн</t>
        </is>
      </c>
      <c r="I32" s="5" t="inlineStr">
        <is>
          <t>июл</t>
        </is>
      </c>
      <c r="J32" s="5" t="inlineStr">
        <is>
          <t>авг</t>
        </is>
      </c>
      <c r="K32" s="5" t="inlineStr">
        <is>
          <t>сен</t>
        </is>
      </c>
      <c r="L32" s="5" t="inlineStr">
        <is>
          <t>9 мес.</t>
        </is>
      </c>
      <c r="M32" s="4" t="inlineStr">
        <is>
          <t>Куда идёт</t>
        </is>
      </c>
      <c r="N32" s="4" t="inlineStr">
        <is>
          <t>Комментарий</t>
        </is>
      </c>
    </row>
    <row r="33" ht="17" customHeight="1">
      <c r="A33" s="6" t="n"/>
      <c r="B33" s="7" t="inlineStr">
        <is>
          <t>Итого доходы на РН других направлений</t>
        </is>
      </c>
      <c r="C33" s="8">
        <f>SUM(C34:C43)</f>
        <v>16.79824854</v>
      </c>
      <c r="D33" s="8">
        <f>SUM(D34:D43)</f>
        <v>3.72340383</v>
      </c>
      <c r="E33" s="8">
        <f>SUM(E34:E43)</f>
        <v>102.42665563429</v>
      </c>
      <c r="F33" s="8">
        <f>SUM(F34:F43)</f>
        <v>24.2558904040984</v>
      </c>
      <c r="G33" s="8">
        <f>SUM(G34:G43)</f>
        <v>19.9003891926234</v>
      </c>
      <c r="H33" s="8">
        <f>SUM(H34:H43)</f>
        <v>223.585935837855</v>
      </c>
      <c r="I33" s="8">
        <f>SUM(I34:I43)</f>
        <v>275.558305258397</v>
      </c>
      <c r="J33" s="8">
        <f>SUM(J34:J43)</f>
        <v>199.518173958173</v>
      </c>
      <c r="K33" s="8">
        <f>SUM(K34:K43)</f>
        <v>401.963688849477</v>
      </c>
      <c r="L33" s="8">
        <f>SUM(C33:K33)</f>
        <v>1267.73069150491</v>
      </c>
      <c r="M33" s="9" t="inlineStr">
        <is>
          <t>(1) Коммерция (Д. Ардаширов)</t>
        </is>
      </c>
      <c r="N33" s="9" t="n"/>
    </row>
    <row r="34" ht="17" customHeight="1">
      <c r="A34" s="14" t="n"/>
      <c r="B34" s="15" t="inlineStr">
        <is>
          <t xml:space="preserve">    Digital Instore</t>
        </is>
      </c>
      <c r="C34" s="16" t="n">
        <v>3.298248540000001</v>
      </c>
      <c r="D34" s="16" t="n">
        <v>0.063375</v>
      </c>
      <c r="E34" s="16" t="n"/>
      <c r="F34" s="16" t="n"/>
      <c r="G34" s="16" t="n">
        <v>11.21037512885294</v>
      </c>
      <c r="H34" s="16" t="n">
        <v>58.94670436129763</v>
      </c>
      <c r="I34" s="16" t="n">
        <v>108.5229484265938</v>
      </c>
      <c r="J34" s="16" t="n">
        <v>77.21700705997259</v>
      </c>
      <c r="K34" s="16" t="n">
        <v>233.541825017346</v>
      </c>
      <c r="L34" s="19">
        <f>SUM(C34:K34)</f>
        <v>492.800483534063</v>
      </c>
      <c r="M34" s="15" t="n"/>
      <c r="N34" s="15" t="n"/>
    </row>
    <row r="35" ht="17" customHeight="1">
      <c r="A35" s="14" t="n"/>
      <c r="B35" s="15" t="inlineStr">
        <is>
          <t xml:space="preserve">    Online+DMP</t>
        </is>
      </c>
      <c r="C35" s="16" t="n">
        <v>13.5</v>
      </c>
      <c r="D35" s="16" t="n"/>
      <c r="E35" s="16" t="n"/>
      <c r="F35" s="16" t="n"/>
      <c r="G35" s="16" t="n"/>
      <c r="H35" s="16" t="n">
        <v>124.8854078791803</v>
      </c>
      <c r="I35" s="16" t="n">
        <v>57.21815449999994</v>
      </c>
      <c r="J35" s="16" t="n">
        <v>86.41895</v>
      </c>
      <c r="K35" s="16" t="n">
        <v>95.31652772950819</v>
      </c>
      <c r="L35" s="19">
        <f>SUM(C35:K35)</f>
        <v>377.339040108688</v>
      </c>
      <c r="M35" s="15" t="n"/>
      <c r="N35" s="15" t="n"/>
    </row>
    <row r="36" ht="17" customHeight="1">
      <c r="A36" s="14" t="n"/>
      <c r="B36" s="15" t="inlineStr">
        <is>
          <t xml:space="preserve">    М+</t>
        </is>
      </c>
      <c r="C36" s="16" t="n"/>
      <c r="D36" s="16" t="n"/>
      <c r="E36" s="16" t="n">
        <v>102.4266556342896</v>
      </c>
      <c r="F36" s="16" t="n">
        <v>24.25589040409836</v>
      </c>
      <c r="G36" s="16" t="n">
        <v>5.087853270491767</v>
      </c>
      <c r="H36" s="16" t="n">
        <v>37.76175613737711</v>
      </c>
      <c r="I36" s="16" t="n">
        <v>96.54570951180328</v>
      </c>
      <c r="J36" s="16" t="n">
        <v>27.91809761820056</v>
      </c>
      <c r="K36" s="16" t="n">
        <v>39.0884974</v>
      </c>
      <c r="L36" s="19">
        <f>SUM(C36:K36)</f>
        <v>333.084459976261</v>
      </c>
      <c r="M36" s="15" t="n"/>
      <c r="N36" s="15" t="n"/>
    </row>
    <row r="37" ht="17" customHeight="1">
      <c r="A37" s="14" t="n"/>
      <c r="B37" s="15" t="inlineStr">
        <is>
          <t xml:space="preserve">    E-comm</t>
        </is>
      </c>
      <c r="C37" s="16" t="n"/>
      <c r="D37" s="16" t="n"/>
      <c r="E37" s="16" t="n"/>
      <c r="F37" s="16" t="n"/>
      <c r="G37" s="16" t="n">
        <v>-0.1018416967213003</v>
      </c>
      <c r="H37" s="16" t="n">
        <v>0.74206746</v>
      </c>
      <c r="I37" s="16" t="n">
        <v>9.901236820000001</v>
      </c>
      <c r="J37" s="16" t="n">
        <v>0.29411928</v>
      </c>
      <c r="K37" s="16" t="n">
        <v>34.31902444262295</v>
      </c>
      <c r="L37" s="19">
        <f>SUM(C37:K37)</f>
        <v>45.1546063059017</v>
      </c>
      <c r="M37" s="15" t="n"/>
      <c r="N37" s="15" t="n"/>
    </row>
    <row r="38" ht="17" customHeight="1">
      <c r="A38" s="14" t="n"/>
      <c r="B38" s="15" t="inlineStr">
        <is>
          <t xml:space="preserve">    Пакеты</t>
        </is>
      </c>
      <c r="C38" s="16" t="n"/>
      <c r="D38" s="16" t="n"/>
      <c r="E38" s="16" t="n"/>
      <c r="F38" s="16" t="n"/>
      <c r="G38" s="16" t="n"/>
      <c r="H38" s="16" t="n">
        <v>1.6</v>
      </c>
      <c r="I38" s="16" t="n"/>
      <c r="J38" s="16" t="n">
        <v>7.67</v>
      </c>
      <c r="K38" s="16" t="n">
        <v>-2.591564</v>
      </c>
      <c r="L38" s="19">
        <f>SUM(C38:K38)</f>
        <v>6.678436</v>
      </c>
      <c r="M38" s="15" t="n"/>
      <c r="N38" s="15" t="n"/>
    </row>
    <row r="39" ht="17" customHeight="1">
      <c r="A39" s="14" t="n"/>
      <c r="B39" s="15" t="inlineStr">
        <is>
          <t xml:space="preserve">    POSM</t>
        </is>
      </c>
      <c r="C39" s="16" t="n"/>
      <c r="D39" s="16" t="n">
        <v>3.66002883</v>
      </c>
      <c r="E39" s="16" t="n"/>
      <c r="F39" s="16" t="n"/>
      <c r="G39" s="16" t="n">
        <v>3.70400249</v>
      </c>
      <c r="H39" s="16" t="n">
        <v>-0.85</v>
      </c>
      <c r="I39" s="16" t="n"/>
      <c r="J39" s="16" t="n"/>
      <c r="K39" s="16" t="n"/>
      <c r="L39" s="19">
        <f>SUM(C39:K39)</f>
        <v>6.51403132</v>
      </c>
      <c r="M39" s="15" t="n"/>
      <c r="N39" s="15" t="n"/>
    </row>
    <row r="40" ht="17" customHeight="1">
      <c r="A40" s="14" t="n"/>
      <c r="B40" s="15" t="inlineStr">
        <is>
          <t xml:space="preserve">    ММ</t>
        </is>
      </c>
      <c r="C40" s="16" t="n"/>
      <c r="D40" s="16" t="n"/>
      <c r="E40" s="16" t="n"/>
      <c r="F40" s="16" t="n"/>
      <c r="G40" s="16" t="n"/>
      <c r="H40" s="16" t="n"/>
      <c r="I40" s="16" t="n">
        <v>3.370256</v>
      </c>
      <c r="J40" s="16" t="n"/>
      <c r="K40" s="16" t="n"/>
      <c r="L40" s="19">
        <f>SUM(C40:K40)</f>
        <v>3.370256</v>
      </c>
      <c r="M40" s="15" t="n"/>
      <c r="N40" s="15" t="n"/>
    </row>
    <row r="41" ht="17" customHeight="1">
      <c r="A41" s="14" t="n"/>
      <c r="B41" s="15" t="inlineStr">
        <is>
          <t xml:space="preserve">    Реклама на транспорте</t>
        </is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>
        <v>2.40000176</v>
      </c>
      <c r="L41" s="19">
        <f>SUM(C41:K41)</f>
        <v>2.40000176</v>
      </c>
      <c r="M41" s="15" t="n"/>
      <c r="N41" s="15" t="n"/>
    </row>
    <row r="42" ht="17" customHeight="1">
      <c r="A42" s="14" t="n"/>
      <c r="B42" s="15" t="inlineStr">
        <is>
          <t xml:space="preserve">    DMP</t>
        </is>
      </c>
      <c r="C42" s="16" t="n"/>
      <c r="D42" s="16" t="n"/>
      <c r="E42" s="16" t="n"/>
      <c r="F42" s="16" t="n"/>
      <c r="G42" s="16" t="n"/>
      <c r="H42" s="16" t="n">
        <v>0.5</v>
      </c>
      <c r="I42" s="16" t="n"/>
      <c r="J42" s="16" t="n"/>
      <c r="K42" s="16" t="n"/>
      <c r="L42" s="19">
        <f>SUM(C42:K42)</f>
        <v>0.5</v>
      </c>
      <c r="M42" s="15" t="n"/>
      <c r="N42" s="15" t="n"/>
    </row>
    <row r="43" ht="17" customHeight="1">
      <c r="A43" s="14" t="n"/>
      <c r="B43" s="15" t="inlineStr">
        <is>
          <t xml:space="preserve">    Другое</t>
        </is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>
        <v>-0.1106235</v>
      </c>
      <c r="L43" s="19">
        <f>SUM(C43:K43)</f>
        <v>-0.1106235</v>
      </c>
      <c r="M43" s="15" t="n"/>
      <c r="N43" s="15" t="n"/>
    </row>
    <row r="45" ht="18" customHeight="1">
      <c r="A45" s="2" t="inlineStr">
        <is>
          <t>3. Итог и обозначения</t>
        </is>
      </c>
    </row>
    <row r="46">
      <c r="A46" s="20" t="n"/>
      <c r="B46" s="7" t="inlineStr">
        <is>
          <t>Итого доходы AdTech (стр. 5 + стр. 33)</t>
        </is>
      </c>
      <c r="C46" s="8">
        <f>C5+C33</f>
        <v>269.36649754</v>
      </c>
      <c r="D46" s="8">
        <f>D5+D33</f>
        <v>452.36347983</v>
      </c>
      <c r="E46" s="8">
        <f>E5+E33</f>
        <v>552.28649563429</v>
      </c>
      <c r="F46" s="8">
        <f>F5+F33</f>
        <v>564.167861604098</v>
      </c>
      <c r="G46" s="8">
        <f>G5+G33</f>
        <v>798.184521192623</v>
      </c>
      <c r="H46" s="8">
        <f>H5+H33</f>
        <v>1382.63587583785</v>
      </c>
      <c r="I46" s="8">
        <f>I5+I33</f>
        <v>1244.8400212584</v>
      </c>
      <c r="J46" s="8">
        <f>J5+J33</f>
        <v>1120.25926195817</v>
      </c>
      <c r="K46" s="8">
        <f>K5+K33</f>
        <v>1512.43944394948</v>
      </c>
      <c r="L46" s="8">
        <f>L5+L33</f>
        <v>7896.54345880491</v>
      </c>
      <c r="M46" s="9" t="n"/>
      <c r="N46" s="9" t="n"/>
    </row>
    <row r="48">
      <c r="B48" s="21" t="inlineStr">
        <is>
          <t>Куда идёт (столбец M):</t>
        </is>
      </c>
    </row>
    <row r="49">
      <c r="B49" s="22" t="inlineStr">
        <is>
          <t>(1) Коммерция (Д. Ардаширов) — стр. 6 + стр. 33</t>
        </is>
      </c>
    </row>
    <row r="50">
      <c r="B50" s="22" t="inlineStr">
        <is>
          <t>(2) Мастер-файл: BiP (Rev) — стр. 6 + стр. 18</t>
        </is>
      </c>
    </row>
    <row r="51">
      <c r="B51" s="22" t="inlineStr">
        <is>
          <t>(3) Корпоративный P&amp;L AdTech (портал корпоративной отчётности) — стр. 5 = стр. 6 + 18 + 28</t>
        </is>
      </c>
    </row>
    <row r="52">
      <c r="B52" s="22" t="inlineStr">
        <is>
          <t>(4) Мастер-файл: финальная выручка («Расшифровка» = «Данные УО AdTech»)</t>
        </is>
      </c>
    </row>
    <row r="53">
      <c r="B53" s="22" t="inlineStr">
        <is>
          <t>Подробно, с итогами каждого представления, — лист «Куда идёт выручка».</t>
        </is>
      </c>
    </row>
  </sheetData>
  <mergeCells count="5">
    <mergeCell ref="A31:N31"/>
    <mergeCell ref="A3:N3"/>
    <mergeCell ref="A30:N30"/>
    <mergeCell ref="A2:N2"/>
    <mergeCell ref="A45:N4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I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17" customWidth="1" min="4" max="4"/>
    <col width="27" customWidth="1" min="5" max="5"/>
    <col width="32" customWidth="1" min="6" max="6"/>
    <col width="26" customWidth="1" min="7" max="7"/>
    <col width="24" customWidth="1" min="8" max="8"/>
    <col width="40" customWidth="1" min="9" max="9"/>
  </cols>
  <sheetData>
    <row r="1" ht="24" customHeight="1">
      <c r="B1" s="1" t="inlineStr">
        <is>
          <t>Куда идёт выручка AdTech: компоненты и отчёты, 9 мес. 2026 г.</t>
        </is>
      </c>
    </row>
    <row r="2" ht="14.5" customHeight="1">
      <c r="B2" s="3" t="inlineStr">
        <is>
          <t>млн руб. без НДС. Значения по строкам листа «Сплит доходов» — формулами; данные мастер-файлов и модели бюджета 2027 (AdTech_2027_1021_cons) — значениями на 23.10.2026.</t>
        </is>
      </c>
    </row>
    <row r="4" ht="18" customHeight="1">
      <c r="B4" s="2" t="inlineStr">
        <is>
          <t>1. Сбор выручки: компоненты и представления</t>
        </is>
      </c>
    </row>
    <row r="5" ht="69" customHeight="1">
      <c r="B5" s="23" t="inlineStr">
        <is>
          <t>Компонент</t>
        </is>
      </c>
      <c r="C5" s="23" t="inlineStr">
        <is>
          <t>Строки «Сплита доходов»</t>
        </is>
      </c>
      <c r="D5" s="23" t="inlineStr">
        <is>
          <t>9 мес. 2026</t>
        </is>
      </c>
      <c r="E5" s="23" t="inlineStr">
        <is>
          <t>Корпоративный P&amp;L AdTech (портал корпоративной отчётности)</t>
        </is>
      </c>
      <c r="F5" s="23" t="inlineStr">
        <is>
          <t>Мастер-файл: BiP (Rev) — сегменты, инкремент, свод для консолидации, E-com, КПЭ, сегментный P&amp;L для финансов OMNI</t>
        </is>
      </c>
      <c r="G5" s="23" t="inlineStr">
        <is>
          <t>Мастер-файл: управленческий P&amp;L (MBR, trading deck, прогноз)</t>
        </is>
      </c>
      <c r="H5" s="23" t="inlineStr">
        <is>
          <t>Mads Commercial (Д. Ардаширов)</t>
        </is>
      </c>
      <c r="I5" s="23" t="inlineStr">
        <is>
          <t>КПЭ сотрудников, ежеквартально (КПЭ 125, лист «Подтверждение КПЭ»)</t>
        </is>
      </c>
    </row>
    <row r="6" ht="30" customHeight="1">
      <c r="B6" s="24" t="inlineStr">
        <is>
          <t>Направления AdTech: БиП на РН AdTech без поставщиков М+</t>
        </is>
      </c>
      <c r="C6" s="25" t="inlineStr">
        <is>
          <t>6 (стр. 7–17)</t>
        </is>
      </c>
      <c r="D6" s="16">
        <f>'Сплит доходов'!L6</f>
        <v>5359.12085019117</v>
      </c>
      <c r="E6" s="25" t="inlineStr">
        <is>
          <t>✓</t>
        </is>
      </c>
      <c r="F6" s="25" t="inlineStr">
        <is>
          <t>✓</t>
        </is>
      </c>
      <c r="G6" s="25" t="inlineStr">
        <is>
          <t>✓*</t>
        </is>
      </c>
      <c r="H6" s="25" t="inlineStr">
        <is>
          <t>✓*</t>
        </is>
      </c>
      <c r="I6" s="25" t="inlineStr">
        <is>
          <t>✓*</t>
        </is>
      </c>
    </row>
    <row r="7" ht="30" customHeight="1">
      <c r="B7" s="24" t="inlineStr">
        <is>
          <t xml:space="preserve">    в т.ч. E-com (E-Commerce_Adtech, включая РА и «условное»)</t>
        </is>
      </c>
      <c r="C7" s="25" t="inlineStr">
        <is>
          <t>14–17</t>
        </is>
      </c>
      <c r="D7" s="16">
        <f>SUM('Сплит доходов'!L14:L17)</f>
        <v>3204.8024468103</v>
      </c>
      <c r="E7" s="25" t="inlineStr">
        <is>
          <t>✓</t>
        </is>
      </c>
      <c r="F7" s="25" t="inlineStr">
        <is>
          <t>✓ сегменты E-com, выгрузка «E-Com FC»</t>
        </is>
      </c>
      <c r="G7" s="25" t="inlineStr">
        <is>
          <t>✓* строка APP</t>
        </is>
      </c>
      <c r="H7" s="25" t="inlineStr">
        <is>
          <t>✓*</t>
        </is>
      </c>
      <c r="I7" s="25" t="inlineStr">
        <is>
          <t>✓*</t>
        </is>
      </c>
    </row>
    <row r="8" ht="30" customHeight="1">
      <c r="B8" s="24" t="inlineStr">
        <is>
          <t xml:space="preserve">    в т.ч. не E-com (Реклама и продвижение, Прочее, Лояльность М+ на РН AdTech)</t>
        </is>
      </c>
      <c r="C8" s="25" t="inlineStr">
        <is>
          <t>7–13</t>
        </is>
      </c>
      <c r="D8" s="16">
        <f>'Сплит доходов'!L6-SUM('Сплит доходов'!L14:L17)</f>
        <v>2154.31840338087</v>
      </c>
      <c r="E8" s="25" t="inlineStr">
        <is>
          <t>✓</t>
        </is>
      </c>
      <c r="F8" s="25" t="inlineStr">
        <is>
          <t>✓ инкремент без E-comm → свод для консолидации</t>
        </is>
      </c>
      <c r="G8" s="25" t="inlineStr">
        <is>
          <t>✓*</t>
        </is>
      </c>
      <c r="H8" s="25" t="inlineStr">
        <is>
          <t>✓*</t>
        </is>
      </c>
      <c r="I8" s="25" t="inlineStr">
        <is>
          <t>✓*</t>
        </is>
      </c>
    </row>
    <row r="9" ht="30" customHeight="1">
      <c r="B9" s="24" t="inlineStr">
        <is>
          <t>Поставщики М+: БиП на РН AdTech (с апреля)</t>
        </is>
      </c>
      <c r="C9" s="25" t="inlineStr">
        <is>
          <t>18 (стр. 19–27)</t>
        </is>
      </c>
      <c r="D9" s="16">
        <f>'Сплит доходов'!L18</f>
        <v>995.654177808827</v>
      </c>
      <c r="E9" s="25" t="inlineStr">
        <is>
          <t>✓</t>
        </is>
      </c>
      <c r="F9" s="25" t="inlineStr">
        <is>
          <t>✓</t>
        </is>
      </c>
      <c r="G9" s="25" t="inlineStr">
        <is>
          <t>—</t>
        </is>
      </c>
      <c r="H9" s="25" t="inlineStr">
        <is>
          <t>—</t>
        </is>
      </c>
      <c r="I9" s="25" t="inlineStr">
        <is>
          <t>✓*</t>
        </is>
      </c>
    </row>
    <row r="10" ht="43" customHeight="1">
      <c r="B10" s="24" t="inlineStr">
        <is>
          <t>1С: услуги лояльности (банки, партнёры), реклама непоставщикам, размещение на сайте</t>
        </is>
      </c>
      <c r="C10" s="25" t="inlineStr">
        <is>
          <t>28</t>
        </is>
      </c>
      <c r="D10" s="16">
        <f>'Сплит доходов'!L28</f>
        <v>274.0377393</v>
      </c>
      <c r="E10" s="25" t="inlineStr">
        <is>
          <t>✓</t>
        </is>
      </c>
      <c r="F10" s="25" t="inlineStr">
        <is>
          <t>—</t>
        </is>
      </c>
      <c r="G10" s="25" t="inlineStr">
        <is>
          <t>✓* кроме М+</t>
        </is>
      </c>
      <c r="H10" s="25" t="inlineStr">
        <is>
          <t>✓*</t>
        </is>
      </c>
      <c r="I10" s="25" t="inlineStr">
        <is>
          <t>✓*</t>
        </is>
      </c>
    </row>
    <row r="11" ht="30" customHeight="1">
      <c r="B11" s="24" t="inlineStr">
        <is>
          <t>Доходы на РН других направлений: сделки по данным ДО AdTech</t>
        </is>
      </c>
      <c r="C11" s="25" t="inlineStr">
        <is>
          <t>33 (стр. 34–43)</t>
        </is>
      </c>
      <c r="D11" s="16">
        <f>'Сплит доходов'!L33</f>
        <v>1267.73069150491</v>
      </c>
      <c r="E11" s="25" t="inlineStr">
        <is>
          <t>—</t>
        </is>
      </c>
      <c r="F11" s="25" t="inlineStr">
        <is>
          <t>—</t>
        </is>
      </c>
      <c r="G11" s="25" t="inlineStr">
        <is>
          <t>✓* кроме М+</t>
        </is>
      </c>
      <c r="H11" s="25" t="inlineStr">
        <is>
          <t>✓*</t>
        </is>
      </c>
      <c r="I11" s="25" t="inlineStr">
        <is>
          <t>—</t>
        </is>
      </c>
    </row>
    <row r="12" ht="17" customHeight="1">
      <c r="B12" s="24" t="inlineStr">
        <is>
          <t xml:space="preserve">    в т.ч. М+</t>
        </is>
      </c>
      <c r="C12" s="25" t="inlineStr">
        <is>
          <t>36</t>
        </is>
      </c>
      <c r="D12" s="16">
        <f>'Сплит доходов'!L36</f>
        <v>333.084459976261</v>
      </c>
      <c r="E12" s="25" t="inlineStr">
        <is>
          <t>—</t>
        </is>
      </c>
      <c r="F12" s="25" t="inlineStr">
        <is>
          <t>—</t>
        </is>
      </c>
      <c r="G12" s="25" t="inlineStr">
        <is>
          <t>—</t>
        </is>
      </c>
      <c r="H12" s="25" t="inlineStr">
        <is>
          <t>—</t>
        </is>
      </c>
      <c r="I12" s="25" t="inlineStr">
        <is>
          <t>—</t>
        </is>
      </c>
    </row>
    <row r="13" ht="17" customHeight="1">
      <c r="B13" s="7" t="inlineStr">
        <is>
          <t>Итого в представлении, 9 мес. 2026</t>
        </is>
      </c>
      <c r="C13" s="26" t="inlineStr"/>
      <c r="D13" s="8">
        <f>'Сплит доходов'!L5+'Сплит доходов'!L33</f>
        <v>7896.54345880491</v>
      </c>
      <c r="E13" s="8">
        <f>'Сплит доходов'!L5</f>
        <v>6628.8127673</v>
      </c>
      <c r="F13" s="8" t="n">
        <v>6357.887</v>
      </c>
      <c r="G13" s="8" t="n">
        <v>6718.37</v>
      </c>
      <c r="H13" s="8" t="n">
        <v>6783.93</v>
      </c>
      <c r="I13" s="8" t="n">
        <v>3142.727</v>
      </c>
    </row>
    <row r="14" ht="108" customHeight="1">
      <c r="B14" s="24" t="inlineStr">
        <is>
          <t>Как собирается итог</t>
        </is>
      </c>
      <c r="C14" s="15" t="inlineStr"/>
      <c r="D14" s="15" t="inlineStr"/>
      <c r="E14" s="15" t="inlineStr">
        <is>
          <t>«Сплит доходов», стр. 5: БиП на РН AdTech + 1С (лист «PL AdTech»)</t>
        </is>
      </c>
      <c r="F14" s="15" t="inlineStr">
        <is>
          <t>Выгрузка «Бонусы и скидки» + «Бонусы» по РН AdTech (мастер-файл, лист «Rev вход»); совпадает со «Сплитом» (стр. 6 + 18) с точностью до 3,1 (июль)</t>
        </is>
      </c>
      <c r="G14" s="15" t="inlineStr">
        <is>
          <t>«Данные УО AdTech» (в мастер-файле — «Расшифровка») по инвентарю, без инвентаря М+: свод УО 8 129,2 − М+ 1 410,9</t>
        </is>
      </c>
      <c r="H14" s="15" t="inlineStr">
        <is>
          <t>Свод УО по направлениям, поставщики / не поставщики (лист «Mads Commercial» файла доходов). Выше управленческого P&amp;L на 65,5: включает М+ через 1С (64,2)</t>
        </is>
      </c>
      <c r="I14" s="15" t="inlineStr">
        <is>
          <t>УО за квартал без доходов на РН других направлений, включая М+. Показатель за Q3: поставщики 2 782,5 + не поставщики 360,3</t>
        </is>
      </c>
    </row>
    <row r="15" ht="39.5" customHeight="1">
      <c r="B15" s="3" t="inlineStr">
        <is>
          <t>✓* — представление формируется не из строк «Сплита доходов», а из «Данных УО AdTech» по инвентарю. Свод УО (8 129,2) больше суммы компонентов «Сплита» (7 896,5) на 232,7: доходы по РН AdTech +271,2 (в УО 6 626,0, в БиП 6 354,8; из них 186,4 приходится на июль — КУ, отражённые в БиП в прошлых месяцах, учтены в УО в июле повторно на инвентаре М+ (75,4) и Digital Instore (64,4)), доходы на РН других направлений +25,4, корректировки прошлых месяцев +18,3, 1С −82,3 (в УО 191,7, в «Сплите» 274,0). Лист «Сверка» файла доходов показывает по РН AdTech 283,5: суммы БиП там внесены вручную с округлением до млн руб.</t>
        </is>
      </c>
    </row>
    <row r="17" ht="18" customHeight="1">
      <c r="B17" s="23" t="inlineStr">
        <is>
          <t>Перераспределение бюджетов поставщиков в инструменты AdTech: эффект для компании</t>
        </is>
      </c>
      <c r="C17" s="27" t="n"/>
      <c r="D17" s="27" t="n"/>
      <c r="E17" s="27" t="n"/>
      <c r="F17" s="27" t="n"/>
      <c r="G17" s="27" t="n"/>
      <c r="H17" s="27" t="n"/>
      <c r="I17" s="28" t="n"/>
    </row>
    <row r="18" ht="31" customHeight="1">
      <c r="B18" s="15" t="inlineStr">
        <is>
          <t>1. Источник роста. Часть роста выручки AdTech обеспечивают бюджеты поставщиков, которые переходят из классических коммерческих условий (премии, промо, разовые условия) в рекламные инструменты. Для компании это смена формы, в которой поставщик инвестирует в продажи, а не перераспределение выручки между направлениями.</t>
        </is>
      </c>
      <c r="C18" s="27" t="n"/>
      <c r="D18" s="27" t="n"/>
      <c r="E18" s="27" t="n"/>
      <c r="F18" s="27" t="n"/>
      <c r="G18" s="27" t="n"/>
      <c r="H18" s="27" t="n"/>
      <c r="I18" s="28" t="n"/>
    </row>
    <row r="19" ht="31" customHeight="1">
      <c r="B19" s="15" t="inlineStr">
        <is>
          <t>2. РТО. Размещения в приложении, в магазинах (Digital Instore) и в онлайне продвигают товары поставщика в каналах Магнита и стимулируют их продажи, то есть дают вклад в товарооборот, а не только компенсируют коммерческие условия.</t>
        </is>
      </c>
      <c r="C19" s="27" t="n"/>
      <c r="D19" s="27" t="n"/>
      <c r="E19" s="27" t="n"/>
      <c r="F19" s="27" t="n"/>
      <c r="G19" s="27" t="n"/>
      <c r="H19" s="27" t="n"/>
      <c r="I19" s="28" t="n"/>
    </row>
    <row r="20" ht="31" customHeight="1">
      <c r="B20" s="15" t="inlineStr">
        <is>
          <t>3. Маржинальность. В отличие от промо-компенсаций, которые покрывают снижение цены, рекламный доход не требует скидки на полке. Расходы, привязанные к выручке AdTech (закупка трафика, вознаграждения РА, креаторы), в бюджете 2027 г. составляют 13,5% выручки; рентабельность AdTech по EBITDA — 74%.</t>
        </is>
      </c>
      <c r="C20" s="27" t="n"/>
      <c r="D20" s="27" t="n"/>
      <c r="E20" s="27" t="n"/>
      <c r="F20" s="27" t="n"/>
      <c r="G20" s="27" t="n"/>
      <c r="H20" s="27" t="n"/>
      <c r="I20" s="28" t="n"/>
    </row>
    <row r="21" ht="31" customHeight="1">
      <c r="B21" s="15" t="inlineStr">
        <is>
          <t>4. Динамика. По анализу Magnit Ads за 9 мес. 2026 г. сегменты маркетинговых доходов, в которых учитывается выручка AdTech, растут быстрее остальных: «Маркетинг» +86%, прочие бонусы от поставщиков +19%; в сегментах без AdTech премии +3%, промо на уровне прошлого года, разовые условия −7%. Сегмент «Маркетинг» дал 85% прироста маркетинговых доходов: поставщики переводят бюджеты в инструменты с измеримым эффектом.</t>
        </is>
      </c>
      <c r="C21" s="27" t="n"/>
      <c r="D21" s="27" t="n"/>
      <c r="E21" s="27" t="n"/>
      <c r="F21" s="27" t="n"/>
      <c r="G21" s="27" t="n"/>
      <c r="H21" s="27" t="n"/>
      <c r="I21" s="28" t="n"/>
    </row>
    <row r="23" ht="18" customHeight="1">
      <c r="B23" s="2" t="inlineStr">
        <is>
          <t>2. Регулярные выгрузки и отчёты с выручкой</t>
        </is>
      </c>
    </row>
    <row r="24" ht="17" customHeight="1">
      <c r="B24" s="23" t="inlineStr">
        <is>
          <t>Выгрузка / отчёт</t>
        </is>
      </c>
      <c r="C24" s="23" t="inlineStr">
        <is>
          <t>Кому</t>
        </is>
      </c>
      <c r="D24" s="23" t="inlineStr">
        <is>
          <t>Как часто</t>
        </is>
      </c>
      <c r="E24" s="23" t="inlineStr">
        <is>
          <t>Где формируется</t>
        </is>
      </c>
      <c r="F24" s="23" t="inlineStr">
        <is>
          <t>Какая выручка</t>
        </is>
      </c>
      <c r="G24" s="23" t="inlineStr">
        <is>
          <t>9 мес. 2026</t>
        </is>
      </c>
      <c r="H24" s="23" t="inlineStr">
        <is>
          <t>2026: факт + прогноз</t>
        </is>
      </c>
      <c r="I24" s="23" t="inlineStr">
        <is>
          <t>Комментарий</t>
        </is>
      </c>
    </row>
    <row r="25" ht="56" customHeight="1">
      <c r="B25" s="24" t="inlineStr">
        <is>
          <t>Корпоративный P&amp;L AdTech</t>
        </is>
      </c>
      <c r="C25" s="15" t="inlineStr">
        <is>
          <t>Корпоративная отчётность (портал «Отчёт PL AdTech»)</t>
        </is>
      </c>
      <c r="D25" s="15" t="inlineStr">
        <is>
          <t>ежемесячно</t>
        </is>
      </c>
      <c r="E25" s="15" t="inlineStr">
        <is>
          <t>Лист «PL AdTech» = «Сплит доходов», стр. 5</t>
        </is>
      </c>
      <c r="F25" s="15" t="inlineStr">
        <is>
          <t>БиП на РН AdTech (включая поставщиков М+) + 1С</t>
        </is>
      </c>
      <c r="G25" s="16">
        <f>'Сплит доходов'!L5</f>
        <v>6628.8127673</v>
      </c>
      <c r="H25" s="25" t="inlineStr">
        <is>
          <t>—</t>
        </is>
      </c>
      <c r="I25" s="15" t="inlineStr">
        <is>
          <t>Доходы на РН других направлений не входят</t>
        </is>
      </c>
    </row>
    <row r="26" ht="95" customHeight="1">
      <c r="B26" s="24" t="inlineStr">
        <is>
          <t>Управленческий P&amp;L AdTech: MBR, «OMNI KPI Summary. AdTech» (trading deck), отчёт BU vs факт</t>
        </is>
      </c>
      <c r="C26" s="15" t="inlineStr">
        <is>
          <t>Руководство</t>
        </is>
      </c>
      <c r="D26" s="15" t="inlineStr">
        <is>
          <t>ежемесячно; trading deck — еженедельно</t>
        </is>
      </c>
      <c r="E26" s="15" t="inlineStr">
        <is>
          <t>Мастер-файл: '10 PL' → '13 Для слайда', '19 Trading deck weekly', '11 Reports'</t>
        </is>
      </c>
      <c r="F26" s="15" t="inlineStr">
        <is>
          <t>Вся выручка свода УО по инвентарю, без М+</t>
        </is>
      </c>
      <c r="G26" s="16" t="n">
        <v>6718.37</v>
      </c>
      <c r="H26" s="16" t="n">
        <v>10606.11</v>
      </c>
      <c r="I26" s="15" t="inlineStr">
        <is>
          <t>Факт — «Данные УО AdTech» и «Общий свод УО». Инвентарь сопоставляется со строками P&amp;L; ФинТех, TV, Гетблоггер, реклама на транспорте и прочее относятся в Other; М+ исключается. Помесячно архивные данные могут отличаться от УО, итог 9 мес. совпадает</t>
        </is>
      </c>
    </row>
    <row r="27" ht="69" customHeight="1">
      <c r="B27" s="24" t="inlineStr">
        <is>
          <t>Свод для консолидации «Adtech_прогноз 9+3 для конс»</t>
        </is>
      </c>
      <c r="C27" s="15" t="inlineStr">
        <is>
          <t>Консолидация, контроллинг</t>
        </is>
      </c>
      <c r="D27" s="15" t="inlineStr">
        <is>
          <t>ежемесячно</t>
        </is>
      </c>
      <c r="E27" s="15" t="inlineStr">
        <is>
          <t>Мастер-файл: '15 CONS' A93:M152 → лист «Свод»</t>
        </is>
      </c>
      <c r="F27" s="15" t="inlineStr">
        <is>
          <t>Инкремент выручки без E-comm по BiP без ADJ ('12 Сегменты', стр. 13 + 15); Commercial margin — за вычетом вознаграждений РА и блогерам</t>
        </is>
      </c>
      <c r="G27" s="16" t="n">
        <v>2375.81</v>
      </c>
      <c r="H27" s="16" t="n">
        <v>3439.42</v>
      </c>
      <c r="I27" s="15" t="inlineStr">
        <is>
          <t>Отправленные месяцы фиксируются в архиве и не пересчитываются. Commercial margin 2026 г. — 3 171,3</t>
        </is>
      </c>
    </row>
    <row r="28" ht="69" customHeight="1">
      <c r="B28" s="24" t="inlineStr">
        <is>
          <t>E-Com «E-Com_FC_9+3»</t>
        </is>
      </c>
      <c r="C28" s="15" t="inlineStr">
        <is>
          <t>FT</t>
        </is>
      </c>
      <c r="D28" s="15" t="inlineStr">
        <is>
          <t>ежемесячно</t>
        </is>
      </c>
      <c r="E28" s="15" t="inlineStr">
        <is>
          <t>Мастер-файл: '32 E-comm' B61:O66</t>
        </is>
      </c>
      <c r="F28" s="15" t="inlineStr">
        <is>
          <t>Выручка APP из P&amp;L: поставщики / не поставщики + признание выручки с РН других направлений (ручная корректировка)</t>
        </is>
      </c>
      <c r="G28" s="16" t="n">
        <v>3362.05</v>
      </c>
      <c r="H28" s="16" t="n">
        <v>6090.26</v>
      </c>
      <c r="I28" s="15" t="inlineStr">
        <is>
          <t>Дополнительно учтено 200 — признание выручки с РН других направлений (ноябрь и декабрь по 100). Корректировка есть только в этой выгрузке, в P&amp;L и MBR не входит</t>
        </is>
      </c>
    </row>
    <row r="29" ht="69" customHeight="1">
      <c r="B29" s="24" t="inlineStr">
        <is>
          <t>КПЭ AdTech</t>
        </is>
      </c>
      <c r="C29" s="15" t="inlineStr">
        <is>
          <t>Расчёт триггеров КПЭ</t>
        </is>
      </c>
      <c r="D29" s="15" t="inlineStr">
        <is>
          <t>ежемесячно</t>
        </is>
      </c>
      <c r="E29" s="15" t="inlineStr">
        <is>
          <t>Мастер-файл: '14 Триггеры'</t>
        </is>
      </c>
      <c r="F29" s="15" t="inlineStr">
        <is>
          <t>Rev / BiP без ADJ за вычетом фиксированной базы E-com поставщиков (3 930 в год); Non-vendor — не поставщики / инкремент</t>
        </is>
      </c>
      <c r="G29" s="16" t="n">
        <v>3418.48</v>
      </c>
      <c r="H29" s="16" t="n">
        <v>6247.09</v>
      </c>
      <c r="I29" s="15" t="inlineStr">
        <is>
          <t>Применяется сценарий 1. Сценарий 2 (с «Другое» и «ФинТех» из «Расшифровки») не используется</t>
        </is>
      </c>
    </row>
    <row r="30" ht="56" customHeight="1">
      <c r="B30" s="24" t="inlineStr">
        <is>
          <t>КПЭ сотрудников</t>
        </is>
      </c>
      <c r="C30" s="15" t="inlineStr">
        <is>
          <t>HR, C&amp;B</t>
        </is>
      </c>
      <c r="D30" s="15" t="inlineStr">
        <is>
          <t>ежеквартально</t>
        </is>
      </c>
      <c r="E30" s="15" t="inlineStr">
        <is>
          <t>Файл доходов, лист «Подтверждение КПЭ»</t>
        </is>
      </c>
      <c r="F30" s="15" t="inlineStr">
        <is>
          <t>УО по РН AdTech + 1С + корректировки, включая М+, без доходов на РН других направлений</t>
        </is>
      </c>
      <c r="G30" s="16" t="n">
        <v>3142.727</v>
      </c>
      <c r="H30" s="25" t="inlineStr">
        <is>
          <t>—</t>
        </is>
      </c>
      <c r="I30" s="15" t="inlineStr">
        <is>
          <t>Показатель за Q3, а не за 9 мес.: поставщики 2 782,5, не поставщики 360,3</t>
        </is>
      </c>
    </row>
    <row r="31" ht="43" customHeight="1">
      <c r="B31" s="24" t="inlineStr">
        <is>
          <t>Mads Commercial</t>
        </is>
      </c>
      <c r="C31" s="15" t="inlineStr">
        <is>
          <t>Коммерция (Google-таблица Mads Commercial)</t>
        </is>
      </c>
      <c r="D31" s="15" t="inlineStr">
        <is>
          <t>оперативно</t>
        </is>
      </c>
      <c r="E31" s="15" t="inlineStr">
        <is>
          <t>Файл доходов, лист «Mads Commercial»</t>
        </is>
      </c>
      <c r="F31" s="15" t="inlineStr">
        <is>
          <t>Свод УО по направлениям: поставщики / не поставщики</t>
        </is>
      </c>
      <c r="G31" s="16" t="n">
        <v>6783.93</v>
      </c>
      <c r="H31" s="25" t="inlineStr">
        <is>
          <t>—</t>
        </is>
      </c>
      <c r="I31" s="15" t="inlineStr">
        <is>
          <t>Выше управленческого P&amp;L на 65,5: включает М+ через 1С</t>
        </is>
      </c>
    </row>
    <row r="32" ht="82" customHeight="1">
      <c r="B32" s="24" t="inlineStr">
        <is>
          <t>Сегменты и инкремент</t>
        </is>
      </c>
      <c r="C32" s="15" t="inlineStr">
        <is>
          <t>Сегментная выручка для OMNI (Загудалова); база для свода консолидации, КПЭ и E-Com</t>
        </is>
      </c>
      <c r="D32" s="15" t="inlineStr">
        <is>
          <t>ежемесячно</t>
        </is>
      </c>
      <c r="E32" s="15" t="inlineStr">
        <is>
          <t>Мастер-файл: '31 Инкремент' → '12 Сегменты'</t>
        </is>
      </c>
      <c r="F32" s="15" t="inlineStr">
        <is>
          <t>BiP по контрагентам (= «Сплит доходов», стр. 6 + 18)</t>
        </is>
      </c>
      <c r="G32" s="16" t="n">
        <v>6357.887</v>
      </c>
      <c r="H32" s="16" t="n">
        <v>10177.13</v>
      </c>
      <c r="I32" s="15" t="inlineStr">
        <is>
          <t>Отличие от управленческого P&amp;L (ADJ): 9 мес. — 360,5, год — 429,0</t>
        </is>
      </c>
    </row>
    <row r="33" ht="56" customHeight="1">
      <c r="B33" s="24" t="inlineStr">
        <is>
          <t>Доходы М+</t>
        </is>
      </c>
      <c r="C33" s="15" t="inlineStr">
        <is>
          <t>Уточняется</t>
        </is>
      </c>
      <c r="D33" s="15" t="inlineStr">
        <is>
          <t>—</t>
        </is>
      </c>
      <c r="E33" s="15" t="inlineStr">
        <is>
          <t>Файл доходов, лист «М+»</t>
        </is>
      </c>
      <c r="F33" s="15" t="inlineStr">
        <is>
          <t>Доходы М+ по РН AdTech + ручные добавления (не все доходы М+ маркируются AdTech); учёт с марта 2026 г.</t>
        </is>
      </c>
      <c r="G33" s="25" t="inlineStr">
        <is>
          <t>—</t>
        </is>
      </c>
      <c r="H33" s="25" t="inlineStr">
        <is>
          <t>—</t>
        </is>
      </c>
      <c r="I33" s="15" t="inlineStr"/>
    </row>
    <row r="34" ht="43" customHeight="1">
      <c r="B34" s="24" t="inlineStr">
        <is>
          <t>Доходы E-com</t>
        </is>
      </c>
      <c r="C34" s="15" t="inlineStr">
        <is>
          <t>Уточняется</t>
        </is>
      </c>
      <c r="D34" s="15" t="inlineStr">
        <is>
          <t>—</t>
        </is>
      </c>
      <c r="E34" s="15" t="inlineStr">
        <is>
          <t>Файл доходов, лист «Ecom»</t>
        </is>
      </c>
      <c r="F34" s="15" t="inlineStr">
        <is>
          <t>Доходы с признаком Ecom: поставщики / не поставщики, инвентарь, топ-10 контрагентов</t>
        </is>
      </c>
      <c r="G34" s="25" t="inlineStr">
        <is>
          <t>—</t>
        </is>
      </c>
      <c r="H34" s="25" t="inlineStr">
        <is>
          <t>—</t>
        </is>
      </c>
      <c r="I34" s="15" t="inlineStr"/>
    </row>
    <row r="35" ht="69" customHeight="1">
      <c r="B35" s="24" t="inlineStr">
        <is>
          <t>FC 2026 в модели бюджета 2027</t>
        </is>
      </c>
      <c r="C35" s="15" t="inlineStr">
        <is>
          <t>—</t>
        </is>
      </c>
      <c r="D35" s="15" t="inlineStr">
        <is>
          <t>разово</t>
        </is>
      </c>
      <c r="E35" s="15" t="inlineStr">
        <is>
          <t>Модель «AdTech_2027_1021_cons», столбец 2026</t>
        </is>
      </c>
      <c r="F35" s="15" t="inlineStr">
        <is>
          <t>См. раздел 3</t>
        </is>
      </c>
      <c r="G35" s="25" t="inlineStr">
        <is>
          <t>—</t>
        </is>
      </c>
      <c r="H35" s="16" t="n">
        <v>10323.41</v>
      </c>
      <c r="I35" s="15" t="inlineStr">
        <is>
          <t>Выручка — мастер-файл по итогам июля (факт янв–июл + прогноз сен–дек) и август, разнесённый вручную. Расходы и CAPEX — в основном BU 2026 после ревизии</t>
        </is>
      </c>
    </row>
    <row r="37" ht="18" customHeight="1">
      <c r="B37" s="2" t="inlineStr">
        <is>
          <t>3. Как собран FC 2026 для бюджета 2027</t>
        </is>
      </c>
    </row>
    <row r="38" ht="30" customHeight="1">
      <c r="B38" s="23" t="inlineStr">
        <is>
          <t>Направление</t>
        </is>
      </c>
      <c r="C38" s="23" t="inlineStr">
        <is>
          <t>FC 2026 в модели</t>
        </is>
      </c>
      <c r="D38" s="23" t="inlineStr">
        <is>
          <t>Мастер-файл по итогам июля</t>
        </is>
      </c>
      <c r="E38" s="23" t="inlineStr">
        <is>
          <t>Модель − мастер-файл</t>
        </is>
      </c>
      <c r="F38" s="23" t="inlineStr">
        <is>
          <t>Как собрано / что в разнице</t>
        </is>
      </c>
      <c r="G38" s="27" t="n"/>
      <c r="H38" s="27" t="n"/>
      <c r="I38" s="28" t="n"/>
    </row>
    <row r="39" ht="30" customHeight="1">
      <c r="B39" s="24" t="inlineStr">
        <is>
          <t>APP</t>
        </is>
      </c>
      <c r="C39" s="16" t="n">
        <v>6195.4</v>
      </c>
      <c r="D39" s="16" t="n">
        <v>5701.07</v>
      </c>
      <c r="E39" s="16">
        <f>C39-D39</f>
        <v>494.33</v>
      </c>
      <c r="F39" s="15" t="inlineStr">
        <is>
          <t>Январь–июль и сентябрь–декабрь — из мастер-файла. Разница — август (494,3): в мастер-файле за август указан только общий итог без разбивки по направлениям. В модели APP введён одним значением (лист «APP Перформанс», O28)</t>
        </is>
      </c>
      <c r="G39" s="27" t="n"/>
      <c r="H39" s="27" t="n"/>
      <c r="I39" s="28" t="n"/>
    </row>
    <row r="40" ht="30" customHeight="1">
      <c r="B40" s="24" t="inlineStr">
        <is>
          <t>Instore digital (включая 2.0)</t>
        </is>
      </c>
      <c r="C40" s="16" t="n">
        <v>2446.09</v>
      </c>
      <c r="D40" s="16" t="n">
        <v>2206.84</v>
      </c>
      <c r="E40" s="16">
        <f>C40-D40</f>
        <v>239.25</v>
      </c>
      <c r="F40" s="15" t="inlineStr">
        <is>
          <t>Сентябрь–декабрь совпадают помесячно с суммой Instore digital и digital 2.0: 297,1 / 213,7 / 285,9 / 406,8. Разница — август 239,4 (≈ 0,81 × сентябрь)</t>
        </is>
      </c>
      <c r="G40" s="27" t="n"/>
      <c r="H40" s="27" t="n"/>
      <c r="I40" s="28" t="n"/>
    </row>
    <row r="41" ht="17" customHeight="1">
      <c r="B41" s="24" t="inlineStr">
        <is>
          <t>DMP+Online</t>
        </is>
      </c>
      <c r="C41" s="16" t="n">
        <v>987</v>
      </c>
      <c r="D41" s="16" t="n">
        <v>889.8099999999999</v>
      </c>
      <c r="E41" s="16">
        <f>C41-D41</f>
        <v>97.1900000000001</v>
      </c>
      <c r="F41" s="15" t="inlineStr">
        <is>
          <t>Сентябрь–декабрь совпадают: 120,8 / 86,9 / 116,3 / 165,4. Разница — август 97,3 (≈ 0,81 × сентябрь)</t>
        </is>
      </c>
      <c r="G41" s="27" t="n"/>
      <c r="H41" s="27" t="n"/>
      <c r="I41" s="28" t="n"/>
    </row>
    <row r="42" ht="17" customHeight="1">
      <c r="B42" s="24" t="inlineStr">
        <is>
          <t>DMP+Analytics</t>
        </is>
      </c>
      <c r="C42" s="16" t="n">
        <v>102.4</v>
      </c>
      <c r="D42" s="16" t="n">
        <v>90.76000000000001</v>
      </c>
      <c r="E42" s="16">
        <f>C42-D42</f>
        <v>11.64</v>
      </c>
      <c r="F42" s="15" t="inlineStr">
        <is>
          <t>Сентябрь–декабрь совпадают: 14,2 / 10,2 / 13,7 / 19,5. Разница — август 11,5</t>
        </is>
      </c>
      <c r="G42" s="27" t="n"/>
      <c r="H42" s="27" t="n"/>
      <c r="I42" s="28" t="n"/>
    </row>
    <row r="43" ht="43" customHeight="1">
      <c r="B43" s="24" t="inlineStr">
        <is>
          <t>RMN (бренд-бюджеты) / прочие направления мастер-файла</t>
        </is>
      </c>
      <c r="C43" s="16" t="n">
        <v>592.6</v>
      </c>
      <c r="D43" s="16" t="n">
        <v>619.51</v>
      </c>
      <c r="E43" s="16">
        <f>C43-D43</f>
        <v>-26.91</v>
      </c>
      <c r="F43" s="15" t="inlineStr">
        <is>
          <t>Отдельной строки RMN в мастер-файле нет. По величине 592,6 соответствует прочим направлениям мастер-файла: POSM 98,0 + Other 286,9 + пакеты 214,8 + Magnit Market 13,4 + MIP 6,5. С учётом этой строки итог модели совпадает с мастер-файлом с точностью до 2,5. Источник разницы 26,9 не установлен</t>
        </is>
      </c>
      <c r="G43" s="27" t="n"/>
      <c r="H43" s="27" t="n"/>
      <c r="I43" s="28" t="n"/>
    </row>
    <row r="44" ht="30" customHeight="1">
      <c r="B44" s="24" t="inlineStr">
        <is>
          <t>Август итогом</t>
        </is>
      </c>
      <c r="C44" s="16" t="n">
        <v>0</v>
      </c>
      <c r="D44" s="16" t="n">
        <v>817.9</v>
      </c>
      <c r="E44" s="16">
        <f>C44-D44</f>
        <v>-817.9</v>
      </c>
      <c r="F44" s="15" t="inlineStr">
        <is>
          <t>Предварительный август внесён в мастер-файл одной суммой; в модели он разнесён по направлениям (см. разницы в строках выше)</t>
        </is>
      </c>
      <c r="G44" s="27" t="n"/>
      <c r="H44" s="27" t="n"/>
      <c r="I44" s="28" t="n"/>
    </row>
    <row r="45" ht="17" customHeight="1">
      <c r="B45" s="7" t="inlineStr">
        <is>
          <t>Итого Gross Revenue</t>
        </is>
      </c>
      <c r="C45" s="8">
        <f>SUM(C39:C44)</f>
        <v>10323.49</v>
      </c>
      <c r="D45" s="8">
        <f>SUM(D39:D44)</f>
        <v>10325.89</v>
      </c>
      <c r="E45" s="8">
        <f>C45-D45</f>
        <v>-2.39999999999964</v>
      </c>
      <c r="F45" s="7" t="inlineStr"/>
      <c r="G45" s="27" t="n"/>
      <c r="H45" s="27" t="n"/>
      <c r="I45" s="28" t="n"/>
    </row>
    <row r="46" ht="43" customHeight="1">
      <c r="B46" s="24" t="inlineStr">
        <is>
          <t>COGS: РА / закупка трафика / креаторы</t>
        </is>
      </c>
      <c r="C46" s="25" t="inlineStr">
        <is>
          <t>354,4 / 510,5 / 15,6</t>
        </is>
      </c>
      <c r="D46" s="25" t="inlineStr">
        <is>
          <t>332,4 / 504,2 / 18,3</t>
        </is>
      </c>
      <c r="E46" s="25" t="inlineStr"/>
      <c r="F46" s="15" t="inlineStr">
        <is>
          <t>РА 354,4 — из мастер-файла июля (Master_File_FPA_AdTech_July_v.1). Закупка трафика 510,5 — план команды DMP (модель, лист «DMP», стр. 25), в мастер-файлах отсутствует. Источник суммы вознаграждений креаторам (15,6) не установлен</t>
        </is>
      </c>
      <c r="G46" s="27" t="n"/>
      <c r="H46" s="27" t="n"/>
      <c r="I46" s="28" t="n"/>
    </row>
    <row r="47" ht="56" customHeight="1">
      <c r="B47" s="24" t="inlineStr">
        <is>
          <t>OPEX и CAPEX</t>
        </is>
      </c>
      <c r="C47" s="25" t="inlineStr">
        <is>
          <t>PEX 1 120,1; CAPEX 1 179,6</t>
        </is>
      </c>
      <c r="D47" s="25" t="inlineStr">
        <is>
          <t>BU 2026: PEX 1 091,4; CAPEX 1 179,7</t>
        </is>
      </c>
      <c r="E47" s="25" t="inlineStr"/>
      <c r="F47" s="15" t="inlineStr">
        <is>
          <t>Other PEX 32,7, IT 58,6, Other OPEX 91,6, PR/GR 23,3, исследования 8,3 и CAPEX 1 179,6 (AT Platform 447,2 + Instore 732,4) соответствуют BU 2026 после ревизии из того же мастер-файла, а не прогнозу. Маркетинг ВГО 20,2 — факт января–июля без прогноза на август–декабрь. PEX 1 120,1 предположительно взят по данным HR: не совпадает ни с BU, ни с прогнозом мастер-файла</t>
        </is>
      </c>
      <c r="G47" s="27" t="n"/>
      <c r="H47" s="27" t="n"/>
      <c r="I47" s="28" t="n"/>
    </row>
    <row r="48" ht="27" customHeight="1">
      <c r="B48" s="29" t="inlineStr">
        <is>
          <t>Итог: выручка FC 2026 в модели — мастер-файл по итогам июля (Master_File_FPA_AdTech_August_new: факт янв–июл + прогноз сен–дек) и август, разнесённый по направлениям вручную. Расходы и CAPEX в столбце 2026 — в основном BU 2026 после ревизии, а не прогноз.</t>
        </is>
      </c>
    </row>
  </sheetData>
  <mergeCells count="21">
    <mergeCell ref="F43:I43"/>
    <mergeCell ref="F39:I39"/>
    <mergeCell ref="B18:I18"/>
    <mergeCell ref="B21:I21"/>
    <mergeCell ref="B48:I48"/>
    <mergeCell ref="B2:I2"/>
    <mergeCell ref="F44:I44"/>
    <mergeCell ref="B23:I23"/>
    <mergeCell ref="B17:I17"/>
    <mergeCell ref="F40:I40"/>
    <mergeCell ref="B4:I4"/>
    <mergeCell ref="B19:I19"/>
    <mergeCell ref="B37:I37"/>
    <mergeCell ref="F45:I45"/>
    <mergeCell ref="F42:I42"/>
    <mergeCell ref="F41:I41"/>
    <mergeCell ref="B15:I15"/>
    <mergeCell ref="B20:I20"/>
    <mergeCell ref="F47:I47"/>
    <mergeCell ref="F38:I38"/>
    <mergeCell ref="F46:I4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2026-10-26T11:54:19Z</dcterms:created>
  <dcterms:modified xmlns:dcterms="http://purl.org/dc/terms/" xmlns:xsi="http://www.w3.org/2001/XMLSchema-instance" xsi:type="dcterms:W3CDTF">2026-10-26T11:54:20Z</dcterms:modified>
</cp:coreProperties>
</file>