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столб. J (Авг.2026 факт), 30.09.2026. Выручка I5:I12 = ЗФ!J55:J62.</t>
        </r>
      </text>
    </comment>
    <comment ref="I14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столб. J. Ссылки на Model.xlsx ACT OPEX недоступны (#REF!), поэтому вбиты значения: PEX=J64, Other PEX=J79, Marketing=J80+J87+J88, Other OPEX=J89+J91, IT=J90. Июль по PEX/Other PEX между источниками расходится на ~26 млн.</t>
        </r>
      </text>
    </comment>
    <comment ref="I21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J96/J97 (знак инвертирован).</t>
        </r>
      </text>
    </comment>
    <comment ref="J5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столбцы K:N (прогноз сен–дек 2026), 30.09.2026. Группировка OPEX: Marketing=80+87+88, Other OPEX=89+91; знак CAPEX инвертирован.</t>
        </r>
      </text>
    </comment>
  </commentList>
</comments>
</file>

<file path=xl/sharedStrings.xml><?xml version="1.0" encoding="utf-8"?>
<sst xmlns="http://schemas.openxmlformats.org/spreadsheetml/2006/main" count="63" uniqueCount="48">
  <si>
    <t xml:space="preserve">Факт</t>
  </si>
  <si>
    <t xml:space="preserve">Прогноз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</si>
  <si>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</si>
  <si>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</si>
  <si>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</si>
  <si>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</si>
  <si>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 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</si>
  <si>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</si>
  <si>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</si>
  <si>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</si>
  <si>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</si>
  <si>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</si>
  <si>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</si>
  <si>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</si>
  <si>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</t>
  </si>
  <si>
    <t xml:space="preserve">9m</t>
  </si>
  <si>
    <t xml:space="preserve">YTG</t>
  </si>
  <si>
    <t xml:space="preserve">Выручка (бэки, маркетинг)</t>
  </si>
  <si>
    <t xml:space="preserve">Еком/Поставщики/База</t>
  </si>
  <si>
    <t xml:space="preserve">Еком/Поставщики/Инкремент</t>
  </si>
  <si>
    <t xml:space="preserve">Еком/Не поставщики/База </t>
  </si>
  <si>
    <t xml:space="preserve">Еком/Не поставщики/Инкремент</t>
  </si>
  <si>
    <t xml:space="preserve">Не еком/Поставщики/База </t>
  </si>
  <si>
    <t xml:space="preserve">Не еком/Поставщики/Инкремент</t>
  </si>
  <si>
    <t xml:space="preserve">Не еком/Не поставщики/База </t>
  </si>
  <si>
    <t xml:space="preserve">Не еком/Не поставщики/Инкремент</t>
  </si>
  <si>
    <t xml:space="preserve">OPEX</t>
  </si>
  <si>
    <t xml:space="preserve">PEX</t>
  </si>
  <si>
    <t xml:space="preserve">Other PEX</t>
  </si>
  <si>
    <t xml:space="preserve">Marketing</t>
  </si>
  <si>
    <t xml:space="preserve">Other OPEX</t>
  </si>
  <si>
    <t xml:space="preserve">IT</t>
  </si>
  <si>
    <t xml:space="preserve">EBITDA</t>
  </si>
  <si>
    <t xml:space="preserve">CAPEX</t>
  </si>
  <si>
    <t xml:space="preserve">AT Platform</t>
  </si>
  <si>
    <t xml:space="preserve">Instore digital</t>
  </si>
  <si>
    <t xml:space="preserve">FCF</t>
  </si>
  <si>
    <t xml:space="preserve">FCF без базовой выручки e-comm</t>
  </si>
  <si>
    <t xml:space="preserve">FCF только инкремент</t>
  </si>
  <si>
    <t xml:space="preserve">Инкрементальная выручка от некоммерческих поставщиков</t>
  </si>
  <si>
    <t xml:space="preserve">Еком</t>
  </si>
  <si>
    <t xml:space="preserve">Не еком</t>
  </si>
  <si>
    <t xml:space="preserve">EBITDA Инкремент</t>
  </si>
  <si>
    <t xml:space="preserve">EBITDA без базы E-comm</t>
  </si>
  <si>
    <t xml:space="preserve">Инкремент</t>
  </si>
  <si>
    <t xml:space="preserve">Total без базовой выручки e-comm</t>
  </si>
  <si>
    <t xml:space="preserve">E-comm</t>
  </si>
  <si>
    <t xml:space="preserve">E-comm без базовой выручки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</si>
</sst>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??_-;_-@_-"/>
    <numFmt numFmtId="166" formatCode="_(* #,##0.00_);_(* \(#,##0.00\);_(* \-??_);_(@_)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204"/>
    </font>
    <font>
      <b val="true"/>
      <sz val="10"/>
      <color theme="1"/>
      <name val="Arial"/>
      <family val="2"/>
      <charset val="204"/>
    </font>
    <font>
      <b val="true"/>
      <sz val="10"/>
      <color rgb="FF002060"/>
      <name val="Arial"/>
      <family val="2"/>
      <charset val="204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theme="0" tint="-0.05"/>
        <bgColor rgb="FFDEEBF7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/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5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6" fillId="5" borderId="1" xfId="15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4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2F2F2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45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I17" activeCellId="0" sqref="I17"/>
    </sheetView>
  </sheetViews>
  <sheetFormatPr defaultColWidth="8.83203125" defaultRowHeight="15" zeroHeight="false" outlineLevelRow="1" outlineLevelCol="0"/>
  <cols>
    <col collapsed="false" customWidth="true" hidden="false" outlineLevel="0" max="1" min="1" style="0" width="58"/>
    <col collapsed="false" customWidth="true" hidden="false" outlineLevel="0" max="14" min="2" style="0" width="16.16"/>
    <col collapsed="false" customWidth="true" hidden="false" outlineLevel="0" max="15" min="15" style="0" width="3.67"/>
    <col collapsed="false" customWidth="true" hidden="false" outlineLevel="0" max="16" min="16" style="0" width="9.51"/>
    <col collapsed="false" customWidth="true" hidden="false" outlineLevel="0" max="17" min="17" style="0" width="10.8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" t="s">
        <v>0</v>
      </c>
      <c r="K2" s="5" t="s">
        <v>1</v>
      </c>
      <c r="L2" s="5" t="s">
        <v>1</v>
      </c>
      <c r="M2" s="5" t="s">
        <v>1</v>
      </c>
      <c r="N2" s="6" t="s">
        <v>1</v>
      </c>
      <c r="O2" s="2"/>
      <c r="P2" s="3" t="s">
        <v>0</v>
      </c>
      <c r="Q2" s="5" t="s">
        <v>1</v>
      </c>
    </row>
    <row r="3" customFormat="false" ht="15" hidden="false" customHeight="false" outlineLevel="0" collapsed="false">
      <c r="A3" s="2"/>
      <c r="B3" s="7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9" t="s">
        <v>14</v>
      </c>
      <c r="O3" s="2"/>
      <c r="P3" s="10" t="s">
        <v>15</v>
      </c>
      <c r="Q3" s="10" t="s">
        <v>16</v>
      </c>
    </row>
    <row r="4" customFormat="false" ht="15" hidden="false" customHeight="false" outlineLevel="0" collapsed="false">
      <c r="A4" s="11" t="s">
        <v>17</v>
      </c>
      <c r="B4" s="12" t="n">
        <f aca="false">SUM(B5:B12)</f>
        <v>279.258</v>
      </c>
      <c r="C4" s="12" t="n">
        <f aca="false">SUM(C5:C12)</f>
        <v>439.073</v>
      </c>
      <c r="D4" s="12" t="n">
        <f aca="false">SUM(D5:D12)</f>
        <v>433.613</v>
      </c>
      <c r="E4" s="12" t="n">
        <f aca="false">SUM(E5:E12)</f>
        <v>455.188</v>
      </c>
      <c r="F4" s="12" t="n">
        <f aca="false">SUM(F5:F12)</f>
        <v>699.345</v>
      </c>
      <c r="G4" s="12" t="n">
        <f aca="false">SUM(G5:G12)</f>
        <v>1199.311</v>
      </c>
      <c r="H4" s="12" t="n">
        <f aca="false">SUM(H5:H12)</f>
        <v>1065.307</v>
      </c>
      <c r="I4" s="12" t="n">
        <f aca="false">SUM(I5:I12)</f>
        <v>964.11</v>
      </c>
      <c r="J4" s="12" t="n">
        <f aca="false">SUM(J5:J12)</f>
        <v>1011.245</v>
      </c>
      <c r="K4" s="12" t="n">
        <f aca="false">SUM(K5:K12)</f>
        <v>978.889</v>
      </c>
      <c r="L4" s="12" t="n">
        <f aca="false">SUM(L5:L12)</f>
        <v>1343.346</v>
      </c>
      <c r="M4" s="12" t="n">
        <f aca="false">SUM(M5:M12)</f>
        <v>1763.805</v>
      </c>
      <c r="N4" s="13" t="n">
        <f aca="false">SUM(B4:M4)</f>
        <v>10632.49</v>
      </c>
      <c r="O4" s="2"/>
      <c r="P4" s="12" t="n">
        <f aca="false">SUM(B4:J4)</f>
        <v>6546.45</v>
      </c>
      <c r="Q4" s="12" t="n">
        <f aca="false">N4-P4</f>
        <v>4086.04</v>
      </c>
    </row>
    <row r="5" customFormat="false" ht="15" hidden="false" customHeight="false" outlineLevel="0" collapsed="false">
      <c r="A5" s="14" t="s">
        <v>18</v>
      </c>
      <c r="B5" s="2" t="n">
        <v>96.298</v>
      </c>
      <c r="C5" s="2" t="n">
        <v>226.382</v>
      </c>
      <c r="D5" s="2" t="n">
        <v>197.298</v>
      </c>
      <c r="E5" s="2" t="n">
        <v>217.819</v>
      </c>
      <c r="F5" s="2" t="n">
        <v>247.369</v>
      </c>
      <c r="G5" s="2" t="n">
        <v>279.322</v>
      </c>
      <c r="H5" s="2" t="n">
        <v>276.348</v>
      </c>
      <c r="I5" s="2" t="n">
        <v>199.667</v>
      </c>
      <c r="J5" s="2" t="n">
        <v>199.042</v>
      </c>
      <c r="K5" s="2" t="n">
        <v>323.845</v>
      </c>
      <c r="L5" s="2" t="n">
        <v>457.834</v>
      </c>
      <c r="M5" s="2" t="n">
        <v>708.582</v>
      </c>
      <c r="N5" s="15" t="n">
        <f aca="false">SUM(B5:M5)</f>
        <v>3429.806</v>
      </c>
      <c r="O5" s="2"/>
      <c r="P5" s="2" t="n">
        <f aca="false">SUM(B5:J5)</f>
        <v>1939.545</v>
      </c>
      <c r="Q5" s="2" t="n">
        <f aca="false">N5-P5</f>
        <v>1490.261</v>
      </c>
    </row>
    <row r="6" customFormat="false" ht="15" hidden="false" customHeight="false" outlineLevel="0" collapsed="false">
      <c r="A6" s="14" t="s">
        <v>19</v>
      </c>
      <c r="B6" s="2" t="n">
        <v>22.395</v>
      </c>
      <c r="C6" s="2" t="n">
        <v>10.123</v>
      </c>
      <c r="D6" s="2" t="n">
        <v>41.349</v>
      </c>
      <c r="E6" s="2" t="n">
        <v>44.528</v>
      </c>
      <c r="F6" s="2" t="n">
        <v>74.459</v>
      </c>
      <c r="G6" s="2" t="n">
        <v>213.025</v>
      </c>
      <c r="H6" s="2" t="n">
        <v>138.06</v>
      </c>
      <c r="I6" s="2" t="n">
        <v>161.028</v>
      </c>
      <c r="J6" s="2" t="n">
        <v>241.51</v>
      </c>
      <c r="K6" s="2" t="n">
        <v>189.495</v>
      </c>
      <c r="L6" s="2" t="n">
        <v>330.254</v>
      </c>
      <c r="M6" s="2" t="n">
        <v>449.365</v>
      </c>
      <c r="N6" s="15" t="n">
        <f aca="false">SUM(B6:M6)</f>
        <v>1915.591</v>
      </c>
      <c r="O6" s="2"/>
      <c r="P6" s="2" t="n">
        <f aca="false">SUM(B6:J6)</f>
        <v>946.477</v>
      </c>
      <c r="Q6" s="2" t="n">
        <f aca="false">N6-P6</f>
        <v>969.114</v>
      </c>
    </row>
    <row r="7" customFormat="false" ht="15" hidden="false" customHeight="false" outlineLevel="0" collapsed="false">
      <c r="A7" s="14" t="s">
        <v>20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15" t="n">
        <f aca="false">SUM(B7:M7)</f>
        <v>0</v>
      </c>
      <c r="O7" s="2"/>
      <c r="P7" s="2" t="n">
        <f aca="false">SUM(B7:J7)</f>
        <v>0</v>
      </c>
      <c r="Q7" s="2" t="n">
        <f aca="false">N7-P7</f>
        <v>0</v>
      </c>
    </row>
    <row r="8" customFormat="false" ht="15" hidden="false" customHeight="false" outlineLevel="0" collapsed="false">
      <c r="A8" s="14" t="s">
        <v>21</v>
      </c>
      <c r="B8" s="2" t="n">
        <v>26.564</v>
      </c>
      <c r="C8" s="2" t="n">
        <v>39.92</v>
      </c>
      <c r="D8" s="2" t="n">
        <v>45.315</v>
      </c>
      <c r="E8" s="2" t="n">
        <v>84.63</v>
      </c>
      <c r="F8" s="2" t="n">
        <v>74.858</v>
      </c>
      <c r="G8" s="2" t="n">
        <v>62.029</v>
      </c>
      <c r="H8" s="2" t="n">
        <v>73.609</v>
      </c>
      <c r="I8" s="2" t="n">
        <v>39.977</v>
      </c>
      <c r="J8" s="2" t="n">
        <v>59.539</v>
      </c>
      <c r="K8" s="2" t="n">
        <v>70.508</v>
      </c>
      <c r="L8" s="2" t="n">
        <v>111.463</v>
      </c>
      <c r="M8" s="2" t="n">
        <v>141.431</v>
      </c>
      <c r="N8" s="15" t="n">
        <f aca="false">SUM(B8:M8)</f>
        <v>829.843</v>
      </c>
      <c r="O8" s="2"/>
      <c r="P8" s="2" t="n">
        <f aca="false">SUM(B8:J8)</f>
        <v>506.441</v>
      </c>
      <c r="Q8" s="2" t="n">
        <f aca="false">N8-P8</f>
        <v>323.402</v>
      </c>
    </row>
    <row r="9" customFormat="false" ht="15" hidden="false" customHeight="false" outlineLevel="0" collapsed="false">
      <c r="A9" s="14" t="s">
        <v>22</v>
      </c>
      <c r="B9" s="2" t="n">
        <v>73.371</v>
      </c>
      <c r="C9" s="2" t="n">
        <v>112.333</v>
      </c>
      <c r="D9" s="2" t="n">
        <v>85.438</v>
      </c>
      <c r="E9" s="2" t="n">
        <v>38.119</v>
      </c>
      <c r="F9" s="2" t="n">
        <v>140.28</v>
      </c>
      <c r="G9" s="2" t="n">
        <v>399.168</v>
      </c>
      <c r="H9" s="2" t="n">
        <v>267.342</v>
      </c>
      <c r="I9" s="2" t="n">
        <v>245.988</v>
      </c>
      <c r="J9" s="2" t="n">
        <v>46.534</v>
      </c>
      <c r="K9" s="2" t="n">
        <v>73.854</v>
      </c>
      <c r="L9" s="2" t="n">
        <v>72.335</v>
      </c>
      <c r="M9" s="2" t="n">
        <v>-4.71</v>
      </c>
      <c r="N9" s="15" t="n">
        <f aca="false">SUM(B9:M9)</f>
        <v>1550.052</v>
      </c>
      <c r="O9" s="2"/>
      <c r="P9" s="2" t="n">
        <f aca="false">SUM(B9:J9)</f>
        <v>1408.573</v>
      </c>
      <c r="Q9" s="2" t="n">
        <f aca="false">N9-P9</f>
        <v>141.479</v>
      </c>
    </row>
    <row r="10" customFormat="false" ht="15" hidden="false" customHeight="false" outlineLevel="0" collapsed="false">
      <c r="A10" s="14" t="s">
        <v>23</v>
      </c>
      <c r="B10" s="2" t="n">
        <v>50.501</v>
      </c>
      <c r="C10" s="2" t="n">
        <v>38.763</v>
      </c>
      <c r="D10" s="2" t="n">
        <v>43.598</v>
      </c>
      <c r="E10" s="2" t="n">
        <v>47.08</v>
      </c>
      <c r="F10" s="2" t="n">
        <v>148.654</v>
      </c>
      <c r="G10" s="2" t="n">
        <v>225.421</v>
      </c>
      <c r="H10" s="2" t="n">
        <v>273.659</v>
      </c>
      <c r="I10" s="2" t="n">
        <v>249.299</v>
      </c>
      <c r="J10" s="2" t="n">
        <v>422.294</v>
      </c>
      <c r="K10" s="2" t="n">
        <v>281.306</v>
      </c>
      <c r="L10" s="2" t="n">
        <v>329.866</v>
      </c>
      <c r="M10" s="2" t="n">
        <v>424.973</v>
      </c>
      <c r="N10" s="15" t="n">
        <f aca="false">SUM(B10:M10)</f>
        <v>2535.414</v>
      </c>
      <c r="O10" s="2"/>
      <c r="P10" s="2" t="n">
        <f aca="false">SUM(B10:J10)</f>
        <v>1499.269</v>
      </c>
      <c r="Q10" s="2" t="n">
        <f aca="false">N10-P10</f>
        <v>1036.145</v>
      </c>
    </row>
    <row r="11" customFormat="false" ht="15" hidden="false" customHeight="false" outlineLevel="0" collapsed="false">
      <c r="A11" s="14" t="s">
        <v>24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15" t="n">
        <f aca="false">SUM(B11:M11)</f>
        <v>0</v>
      </c>
      <c r="O11" s="2"/>
      <c r="P11" s="2" t="n">
        <f aca="false">SUM(B11:J11)</f>
        <v>0</v>
      </c>
      <c r="Q11" s="2" t="n">
        <f aca="false">N11-P11</f>
        <v>0</v>
      </c>
    </row>
    <row r="12" customFormat="false" ht="15" hidden="false" customHeight="false" outlineLevel="0" collapsed="false">
      <c r="A12" s="14" t="s">
        <v>25</v>
      </c>
      <c r="B12" s="2" t="n">
        <v>10.129</v>
      </c>
      <c r="C12" s="2" t="n">
        <v>11.552</v>
      </c>
      <c r="D12" s="2" t="n">
        <v>20.615</v>
      </c>
      <c r="E12" s="2" t="n">
        <v>23.012</v>
      </c>
      <c r="F12" s="2" t="n">
        <v>13.725</v>
      </c>
      <c r="G12" s="2" t="n">
        <v>20.346</v>
      </c>
      <c r="H12" s="2" t="n">
        <v>36.289</v>
      </c>
      <c r="I12" s="2" t="n">
        <v>68.151</v>
      </c>
      <c r="J12" s="2" t="n">
        <v>42.326</v>
      </c>
      <c r="K12" s="2" t="n">
        <v>39.881</v>
      </c>
      <c r="L12" s="2" t="n">
        <v>41.594</v>
      </c>
      <c r="M12" s="2" t="n">
        <v>44.164</v>
      </c>
      <c r="N12" s="15" t="n">
        <f aca="false">SUM(B12:M12)</f>
        <v>371.784</v>
      </c>
      <c r="O12" s="2"/>
      <c r="P12" s="2" t="n">
        <f aca="false">SUM(B12:J12)</f>
        <v>246.145</v>
      </c>
      <c r="Q12" s="2" t="n">
        <f aca="false">N12-P12</f>
        <v>125.639</v>
      </c>
    </row>
    <row r="13" customFormat="false" ht="15" hidden="false" customHeight="false" outlineLevel="0" collapsed="false">
      <c r="A13" s="16" t="s">
        <v>26</v>
      </c>
      <c r="B13" s="11" t="n">
        <f aca="false">SUM(B14:B18)</f>
        <v>-105.754</v>
      </c>
      <c r="C13" s="11" t="n">
        <f aca="false">SUM(C14:C18)</f>
        <v>-126.775</v>
      </c>
      <c r="D13" s="11" t="n">
        <f aca="false">SUM(D14:D18)</f>
        <v>-161.753</v>
      </c>
      <c r="E13" s="11" t="n">
        <f aca="false">SUM(E14:E18)</f>
        <v>-141.55</v>
      </c>
      <c r="F13" s="11" t="n">
        <f aca="false">SUM(F14:F18)</f>
        <v>-159.084</v>
      </c>
      <c r="G13" s="11" t="n">
        <f aca="false">SUM(G14:G18)</f>
        <v>-314.968</v>
      </c>
      <c r="H13" s="11" t="n">
        <f aca="false">SUM(H14:H18)</f>
        <v>-263.838</v>
      </c>
      <c r="I13" s="11" t="n">
        <f aca="false">SUM(I14:I18)</f>
        <v>-208.941</v>
      </c>
      <c r="J13" s="11" t="n">
        <f aca="false">SUM(J14:J18)</f>
        <v>-74.618</v>
      </c>
      <c r="K13" s="11" t="n">
        <f aca="false">SUM(K14:K18)</f>
        <v>-264.913</v>
      </c>
      <c r="L13" s="11" t="n">
        <f aca="false">SUM(L14:L18)</f>
        <v>-260.115</v>
      </c>
      <c r="M13" s="11" t="n">
        <f aca="false">SUM(M14:M18)</f>
        <v>-281.97</v>
      </c>
      <c r="N13" s="17" t="n">
        <f aca="false">SUM(N14:N18)</f>
        <v>-2364.279</v>
      </c>
      <c r="O13" s="2"/>
      <c r="P13" s="18" t="n">
        <f aca="false">SUM(B13:J13)</f>
        <v>-1557.281</v>
      </c>
      <c r="Q13" s="18" t="n">
        <f aca="false">N13-P13</f>
        <v>-806.998</v>
      </c>
    </row>
    <row r="14" customFormat="false" ht="15" hidden="false" customHeight="false" outlineLevel="0" collapsed="false">
      <c r="A14" s="19" t="s">
        <v>27</v>
      </c>
      <c r="B14" s="20" t="n">
        <v>-89.794</v>
      </c>
      <c r="C14" s="20" t="n">
        <v>-91.056</v>
      </c>
      <c r="D14" s="20" t="n">
        <v>-91.791</v>
      </c>
      <c r="E14" s="20" t="n">
        <v>-102.522</v>
      </c>
      <c r="F14" s="20" t="n">
        <v>-106.127</v>
      </c>
      <c r="G14" s="20" t="n">
        <v>-109.249</v>
      </c>
      <c r="H14" s="20" t="n">
        <v>-113.977</v>
      </c>
      <c r="I14" s="20" t="n">
        <v>-111.305</v>
      </c>
      <c r="J14" s="20" t="n">
        <v>44.821</v>
      </c>
      <c r="K14" s="20" t="n">
        <v>-111.51</v>
      </c>
      <c r="L14" s="20" t="n">
        <v>-111.51</v>
      </c>
      <c r="M14" s="20" t="n">
        <v>-111.51</v>
      </c>
      <c r="N14" s="21" t="n">
        <f aca="false">SUM(B14:M14)</f>
        <v>-1105.53</v>
      </c>
      <c r="O14" s="2"/>
      <c r="P14" s="22" t="n">
        <f aca="false">SUM(B14:J14)</f>
        <v>-771</v>
      </c>
      <c r="Q14" s="22" t="n">
        <f aca="false">N14-P14</f>
        <v>-334.53</v>
      </c>
    </row>
    <row r="15" customFormat="false" ht="15" hidden="false" customHeight="false" outlineLevel="0" collapsed="false">
      <c r="A15" s="23" t="s">
        <v>28</v>
      </c>
      <c r="B15" s="24" t="n">
        <v>-6.095</v>
      </c>
      <c r="C15" s="24" t="n">
        <v>-3.93</v>
      </c>
      <c r="D15" s="24" t="n">
        <v>-4.512</v>
      </c>
      <c r="E15" s="24" t="n">
        <v>-0.968</v>
      </c>
      <c r="F15" s="24" t="n">
        <v>-6.765</v>
      </c>
      <c r="G15" s="24" t="n">
        <v>-1.746</v>
      </c>
      <c r="H15" s="24" t="n">
        <v>2.264</v>
      </c>
      <c r="I15" s="24" t="n">
        <v>-3.17</v>
      </c>
      <c r="J15" s="24" t="n">
        <v>-0.411</v>
      </c>
      <c r="K15" s="24" t="n">
        <v>-4.273</v>
      </c>
      <c r="L15" s="24" t="n">
        <v>-4.143</v>
      </c>
      <c r="M15" s="24" t="n">
        <v>-3.965</v>
      </c>
      <c r="N15" s="21" t="n">
        <f aca="false">SUM(B15:M15)</f>
        <v>-37.714</v>
      </c>
      <c r="O15" s="2"/>
      <c r="P15" s="22" t="n">
        <f aca="false">SUM(B15:J15)</f>
        <v>-25.333</v>
      </c>
      <c r="Q15" s="22" t="n">
        <f aca="false">N15-P15</f>
        <v>-12.381</v>
      </c>
    </row>
    <row r="16" customFormat="false" ht="15" hidden="false" customHeight="false" outlineLevel="0" collapsed="false">
      <c r="A16" s="23" t="s">
        <v>29</v>
      </c>
      <c r="B16" s="24" t="n">
        <v>-8.945</v>
      </c>
      <c r="C16" s="24" t="n">
        <v>-29.288</v>
      </c>
      <c r="D16" s="24" t="n">
        <v>-64.508</v>
      </c>
      <c r="E16" s="24" t="n">
        <v>-35.985</v>
      </c>
      <c r="F16" s="24" t="n">
        <v>-43.872</v>
      </c>
      <c r="G16" s="24" t="n">
        <v>-190.28</v>
      </c>
      <c r="H16" s="24" t="n">
        <v>-146.837</v>
      </c>
      <c r="I16" s="24" t="n">
        <v>-87.163</v>
      </c>
      <c r="J16" s="24" t="n">
        <v>-106.017</v>
      </c>
      <c r="K16" s="24" t="n">
        <v>-142.721</v>
      </c>
      <c r="L16" s="24" t="n">
        <v>-137.396</v>
      </c>
      <c r="M16" s="24" t="n">
        <v>-158.008</v>
      </c>
      <c r="N16" s="21" t="n">
        <f aca="false">SUM(B16:M16)</f>
        <v>-1151.02</v>
      </c>
      <c r="O16" s="2"/>
      <c r="P16" s="22" t="n">
        <f aca="false">SUM(B16:J16)</f>
        <v>-712.895</v>
      </c>
      <c r="Q16" s="22" t="n">
        <f aca="false">N16-P16</f>
        <v>-438.125</v>
      </c>
    </row>
    <row r="17" customFormat="false" ht="15" hidden="false" customHeight="false" outlineLevel="0" collapsed="false">
      <c r="A17" s="25" t="s">
        <v>30</v>
      </c>
      <c r="B17" s="26" t="n">
        <v>-0.764</v>
      </c>
      <c r="C17" s="26" t="n">
        <v>-0.867</v>
      </c>
      <c r="D17" s="26" t="n">
        <v>-0.739</v>
      </c>
      <c r="E17" s="26" t="n">
        <v>-0.704</v>
      </c>
      <c r="F17" s="26" t="n">
        <v>-0.831</v>
      </c>
      <c r="G17" s="26" t="n">
        <v>-11.529</v>
      </c>
      <c r="H17" s="26" t="n">
        <v>-4.566</v>
      </c>
      <c r="I17" s="26" t="n">
        <v>-6.339</v>
      </c>
      <c r="J17" s="26" t="n">
        <v>-9.123</v>
      </c>
      <c r="K17" s="26" t="n">
        <v>-5.125</v>
      </c>
      <c r="L17" s="26" t="n">
        <v>-5.782</v>
      </c>
      <c r="M17" s="26" t="n">
        <v>-7.203</v>
      </c>
      <c r="N17" s="21" t="n">
        <f aca="false">SUM(B17:M17)</f>
        <v>-53.572</v>
      </c>
      <c r="O17" s="2"/>
      <c r="P17" s="22" t="n">
        <f aca="false">SUM(B17:J17)</f>
        <v>-35.462</v>
      </c>
      <c r="Q17" s="22" t="n">
        <f aca="false">N17-P17</f>
        <v>-18.11</v>
      </c>
    </row>
    <row r="18" customFormat="false" ht="15" hidden="false" customHeight="false" outlineLevel="0" collapsed="false">
      <c r="A18" s="25" t="s">
        <v>31</v>
      </c>
      <c r="B18" s="24" t="n">
        <v>-0.156</v>
      </c>
      <c r="C18" s="24" t="n">
        <v>-1.634</v>
      </c>
      <c r="D18" s="24" t="n">
        <v>-0.203</v>
      </c>
      <c r="E18" s="24" t="n">
        <v>-1.371</v>
      </c>
      <c r="F18" s="24" t="n">
        <v>-1.489</v>
      </c>
      <c r="G18" s="24" t="n">
        <v>-2.164</v>
      </c>
      <c r="H18" s="24" t="n">
        <v>-0.722</v>
      </c>
      <c r="I18" s="24" t="n">
        <v>-0.964</v>
      </c>
      <c r="J18" s="24" t="n">
        <v>-3.888</v>
      </c>
      <c r="K18" s="24" t="n">
        <v>-1.284</v>
      </c>
      <c r="L18" s="24" t="n">
        <v>-1.284</v>
      </c>
      <c r="M18" s="24" t="n">
        <v>-1.284</v>
      </c>
      <c r="N18" s="21" t="n">
        <f aca="false">SUM(B18:M18)</f>
        <v>-16.443</v>
      </c>
      <c r="O18" s="2"/>
      <c r="P18" s="22" t="n">
        <f aca="false">SUM(B18:J18)</f>
        <v>-12.591</v>
      </c>
      <c r="Q18" s="22" t="n">
        <f aca="false">N18-P18</f>
        <v>-3.852</v>
      </c>
    </row>
    <row r="19" customFormat="false" ht="15" hidden="false" customHeight="false" outlineLevel="0" collapsed="false">
      <c r="A19" s="16" t="s">
        <v>32</v>
      </c>
      <c r="B19" s="11" t="n">
        <f aca="false">B4+B13</f>
        <v>173.504</v>
      </c>
      <c r="C19" s="11" t="n">
        <f aca="false">C4+C13</f>
        <v>312.298</v>
      </c>
      <c r="D19" s="11" t="n">
        <f aca="false">D4+D13</f>
        <v>271.86</v>
      </c>
      <c r="E19" s="11" t="n">
        <f aca="false">E4+E13</f>
        <v>313.638</v>
      </c>
      <c r="F19" s="11" t="n">
        <f aca="false">F4+F13</f>
        <v>540.261</v>
      </c>
      <c r="G19" s="11" t="n">
        <f aca="false">G4+G13</f>
        <v>884.343</v>
      </c>
      <c r="H19" s="11" t="n">
        <f aca="false">H4+H13</f>
        <v>801.469</v>
      </c>
      <c r="I19" s="11" t="n">
        <f aca="false">I4+I13</f>
        <v>755.169</v>
      </c>
      <c r="J19" s="11" t="n">
        <f aca="false">J4+J13</f>
        <v>936.627</v>
      </c>
      <c r="K19" s="11" t="n">
        <f aca="false">K4+K13</f>
        <v>713.976</v>
      </c>
      <c r="L19" s="11" t="n">
        <f aca="false">L4+L13</f>
        <v>1083.231</v>
      </c>
      <c r="M19" s="11" t="n">
        <f aca="false">M4+M13</f>
        <v>1481.835</v>
      </c>
      <c r="N19" s="17" t="n">
        <f aca="false">N4+N13</f>
        <v>8268.211</v>
      </c>
      <c r="P19" s="11" t="n">
        <f aca="false">SUM(B19:J19)</f>
        <v>4989.169</v>
      </c>
      <c r="Q19" s="11" t="n">
        <f aca="false">N19-P19</f>
        <v>3279.042</v>
      </c>
    </row>
    <row r="20" customFormat="false" ht="15" hidden="false" customHeight="false" outlineLevel="0" collapsed="false">
      <c r="A20" s="16" t="s">
        <v>33</v>
      </c>
      <c r="B20" s="11" t="n">
        <f aca="false">SUM(B21:B22)</f>
        <v>0.035</v>
      </c>
      <c r="C20" s="11" t="n">
        <f aca="false">SUM(C21:C22)</f>
        <v>-15.032</v>
      </c>
      <c r="D20" s="11" t="n">
        <f aca="false">SUM(D21:D22)</f>
        <v>-0.631</v>
      </c>
      <c r="E20" s="11" t="n">
        <f aca="false">SUM(E21:E22)</f>
        <v>-10.576</v>
      </c>
      <c r="F20" s="11" t="n">
        <f aca="false">SUM(F21:F22)</f>
        <v>-13.023</v>
      </c>
      <c r="G20" s="11" t="n">
        <f aca="false">SUM(G21:G22)</f>
        <v>-26.611</v>
      </c>
      <c r="H20" s="11" t="n">
        <f aca="false">SUM(H21:H22)</f>
        <v>-19.589</v>
      </c>
      <c r="I20" s="11" t="n">
        <f aca="false">SUM(I21:I22)</f>
        <v>-86.853</v>
      </c>
      <c r="J20" s="11" t="n">
        <f aca="false">SUM(J21:J22)</f>
        <v>-422.71</v>
      </c>
      <c r="K20" s="11" t="n">
        <f aca="false">SUM(K21:K22)</f>
        <v>-36.435</v>
      </c>
      <c r="L20" s="11" t="n">
        <f aca="false">SUM(L21:L22)</f>
        <v>-36.435</v>
      </c>
      <c r="M20" s="11" t="n">
        <f aca="false">SUM(M21:M22)</f>
        <v>-36.46</v>
      </c>
      <c r="N20" s="17" t="n">
        <f aca="false">SUM(N21:N22)</f>
        <v>-704.32</v>
      </c>
      <c r="P20" s="11" t="n">
        <f aca="false">SUM(B20:J20)</f>
        <v>-594.99</v>
      </c>
      <c r="Q20" s="11" t="n">
        <f aca="false">N20-P20</f>
        <v>-109.33</v>
      </c>
    </row>
    <row r="21" customFormat="false" ht="15" hidden="false" customHeight="false" outlineLevel="0" collapsed="false">
      <c r="A21" s="2" t="s">
        <v>34</v>
      </c>
      <c r="B21" s="27" t="n">
        <v>0</v>
      </c>
      <c r="C21" s="27" t="n">
        <v>-0.054</v>
      </c>
      <c r="D21" s="27" t="n">
        <v>-0.631</v>
      </c>
      <c r="E21" s="27" t="n">
        <v>-1</v>
      </c>
      <c r="F21" s="27" t="n">
        <v>0</v>
      </c>
      <c r="G21" s="27" t="n">
        <v>0</v>
      </c>
      <c r="H21" s="27" t="n">
        <v>-2.137</v>
      </c>
      <c r="I21" s="27" t="n">
        <v>-24.753</v>
      </c>
      <c r="J21" s="27" t="n">
        <v>-216.46</v>
      </c>
      <c r="K21" s="27" t="n">
        <v>-36.435</v>
      </c>
      <c r="L21" s="27" t="n">
        <v>-36.435</v>
      </c>
      <c r="M21" s="27" t="n">
        <v>-36.46</v>
      </c>
      <c r="N21" s="28" t="n">
        <f aca="false">SUM(B21:M21)</f>
        <v>-354.365</v>
      </c>
      <c r="P21" s="27" t="n">
        <f aca="false">SUM(B21:J21)</f>
        <v>-245.035</v>
      </c>
      <c r="Q21" s="27" t="n">
        <f aca="false">N21-P21</f>
        <v>-109.33</v>
      </c>
    </row>
    <row r="22" customFormat="false" ht="15" hidden="false" customHeight="false" outlineLevel="0" collapsed="false">
      <c r="A22" s="2" t="s">
        <v>35</v>
      </c>
      <c r="B22" s="27" t="n">
        <v>0.035</v>
      </c>
      <c r="C22" s="27" t="n">
        <v>-14.978</v>
      </c>
      <c r="D22" s="27" t="n">
        <v>0</v>
      </c>
      <c r="E22" s="27" t="n">
        <v>-9.576</v>
      </c>
      <c r="F22" s="27" t="n">
        <v>-13.023</v>
      </c>
      <c r="G22" s="27" t="n">
        <v>-26.611</v>
      </c>
      <c r="H22" s="27" t="n">
        <v>-17.452</v>
      </c>
      <c r="I22" s="27" t="n">
        <v>-62.1</v>
      </c>
      <c r="J22" s="27" t="n">
        <v>-206.25</v>
      </c>
      <c r="K22" s="27" t="n">
        <v>0</v>
      </c>
      <c r="L22" s="27" t="n">
        <v>0</v>
      </c>
      <c r="M22" s="27" t="n">
        <v>0</v>
      </c>
      <c r="N22" s="28" t="n">
        <f aca="false">SUM(B22:M22)</f>
        <v>-349.955</v>
      </c>
      <c r="P22" s="27" t="n">
        <f aca="false">SUM(B22:J22)</f>
        <v>-349.955</v>
      </c>
      <c r="Q22" s="27" t="n">
        <f aca="false">N22-P22</f>
        <v>0</v>
      </c>
    </row>
    <row r="23" customFormat="false" ht="15" hidden="false" customHeight="false" outlineLevel="0" collapsed="false">
      <c r="A23" s="16" t="s">
        <v>36</v>
      </c>
      <c r="B23" s="11" t="n">
        <f aca="false">B19+B20</f>
        <v>173.539</v>
      </c>
      <c r="C23" s="11" t="n">
        <f aca="false">C19+C20</f>
        <v>297.266</v>
      </c>
      <c r="D23" s="11" t="n">
        <f aca="false">D19+D20</f>
        <v>271.229</v>
      </c>
      <c r="E23" s="11" t="n">
        <f aca="false">E19+E20</f>
        <v>303.062</v>
      </c>
      <c r="F23" s="11" t="n">
        <f aca="false">F19+F20</f>
        <v>527.238</v>
      </c>
      <c r="G23" s="11" t="n">
        <f aca="false">G19+G20</f>
        <v>857.732</v>
      </c>
      <c r="H23" s="11" t="n">
        <f aca="false">H19+H20</f>
        <v>781.88</v>
      </c>
      <c r="I23" s="11" t="n">
        <f aca="false">I19+I20</f>
        <v>668.316</v>
      </c>
      <c r="J23" s="11" t="n">
        <f aca="false">J19+J20</f>
        <v>513.917</v>
      </c>
      <c r="K23" s="11" t="n">
        <f aca="false">K19+K20</f>
        <v>677.541</v>
      </c>
      <c r="L23" s="11" t="n">
        <f aca="false">L19+L20</f>
        <v>1046.796</v>
      </c>
      <c r="M23" s="11" t="n">
        <f aca="false">M19+M20</f>
        <v>1445.375</v>
      </c>
      <c r="N23" s="17" t="n">
        <f aca="false">N19+N20</f>
        <v>7563.891</v>
      </c>
      <c r="P23" s="11" t="n">
        <f aca="false">SUM(B23:J23)</f>
        <v>4394.179</v>
      </c>
      <c r="Q23" s="11" t="n">
        <f aca="false">N23-P23</f>
        <v>3169.712</v>
      </c>
    </row>
    <row r="24" customFormat="false" ht="15" hidden="false" customHeight="false" outlineLevel="0" collapsed="false">
      <c r="A24" s="16" t="s">
        <v>37</v>
      </c>
      <c r="B24" s="11" t="n">
        <f aca="false">B23-B5</f>
        <v>77.241</v>
      </c>
      <c r="C24" s="11" t="n">
        <f aca="false">C23-C5</f>
        <v>70.884</v>
      </c>
      <c r="D24" s="11" t="n">
        <f aca="false">D23-D5</f>
        <v>73.931</v>
      </c>
      <c r="E24" s="11" t="n">
        <f aca="false">E23-E5</f>
        <v>85.243</v>
      </c>
      <c r="F24" s="11" t="n">
        <f aca="false">F23-F5</f>
        <v>279.869</v>
      </c>
      <c r="G24" s="11" t="n">
        <f aca="false">G23-G5</f>
        <v>578.41</v>
      </c>
      <c r="H24" s="11" t="n">
        <f aca="false">H23-H5</f>
        <v>505.532</v>
      </c>
      <c r="I24" s="11" t="n">
        <f aca="false">I23-I5</f>
        <v>468.649</v>
      </c>
      <c r="J24" s="11" t="n">
        <f aca="false">J23-J5</f>
        <v>314.875</v>
      </c>
      <c r="K24" s="11" t="n">
        <f aca="false">K23-K5</f>
        <v>353.696</v>
      </c>
      <c r="L24" s="11" t="n">
        <f aca="false">L23-L5</f>
        <v>588.962</v>
      </c>
      <c r="M24" s="11" t="n">
        <f aca="false">M23-M5</f>
        <v>736.793</v>
      </c>
      <c r="N24" s="17" t="n">
        <f aca="false">N23-N5</f>
        <v>4134.085</v>
      </c>
      <c r="P24" s="11" t="n">
        <f aca="false">SUM(B24:J24)</f>
        <v>2454.634</v>
      </c>
      <c r="Q24" s="11" t="n">
        <f aca="false">N24-P24</f>
        <v>1679.451</v>
      </c>
    </row>
    <row r="25" customFormat="false" ht="15" hidden="false" customHeight="false" outlineLevel="0" collapsed="false">
      <c r="A25" s="16" t="s">
        <v>38</v>
      </c>
      <c r="B25" s="11" t="n">
        <f aca="false">B23-SUM(B5,B7,B9,B11)</f>
        <v>3.87</v>
      </c>
      <c r="C25" s="11" t="n">
        <f aca="false">C23-SUM(C5,C7,C9,C11)</f>
        <v>-41.449</v>
      </c>
      <c r="D25" s="11" t="n">
        <f aca="false">D23-SUM(D5,D7,D9,D11)</f>
        <v>-11.5069999999999</v>
      </c>
      <c r="E25" s="11" t="n">
        <f aca="false">E23-SUM(E5,E7,E9,E11)</f>
        <v>47.124</v>
      </c>
      <c r="F25" s="11" t="n">
        <f aca="false">F23-SUM(F5,F7,F9,F11)</f>
        <v>139.589</v>
      </c>
      <c r="G25" s="11" t="n">
        <f aca="false">G23-SUM(G5,G7,G9,G11)</f>
        <v>179.242</v>
      </c>
      <c r="H25" s="11" t="n">
        <f aca="false">H23-SUM(H5,H7,H9,H11)</f>
        <v>238.19</v>
      </c>
      <c r="I25" s="11" t="n">
        <f aca="false">I23-SUM(I5,I7,I9,I11)</f>
        <v>222.661</v>
      </c>
      <c r="J25" s="11" t="n">
        <f aca="false">J23-SUM(J5,J7,J9,J11)</f>
        <v>268.341</v>
      </c>
      <c r="K25" s="11" t="n">
        <f aca="false">K23-SUM(K5,K7,K9,K11)</f>
        <v>279.842</v>
      </c>
      <c r="L25" s="11" t="n">
        <f aca="false">L23-SUM(L5,L7,L9,L11)</f>
        <v>516.627</v>
      </c>
      <c r="M25" s="11" t="n">
        <f aca="false">M23-SUM(M5,M7,M9,M11)</f>
        <v>741.503</v>
      </c>
      <c r="N25" s="17" t="n">
        <f aca="false">N23-SUM(N5,N7,N9,N11)</f>
        <v>2584.033</v>
      </c>
      <c r="P25" s="11" t="n">
        <f aca="false">SUM(B25:J25)</f>
        <v>1046.061</v>
      </c>
      <c r="Q25" s="11" t="n">
        <f aca="false">N25-P25</f>
        <v>1537.972</v>
      </c>
    </row>
    <row r="26" customFormat="false" ht="15" hidden="false" customHeight="false" outlineLevel="0" collapsed="false">
      <c r="N26" s="29"/>
    </row>
    <row r="27" customFormat="false" ht="15" hidden="false" customHeight="false" outlineLevel="0" collapsed="false">
      <c r="A27" s="16" t="s">
        <v>39</v>
      </c>
      <c r="B27" s="11" t="n">
        <f aca="false">B28+B29</f>
        <v>36.693</v>
      </c>
      <c r="C27" s="11" t="n">
        <f aca="false">C28+C29</f>
        <v>51.472</v>
      </c>
      <c r="D27" s="11" t="n">
        <f aca="false">D28+D29</f>
        <v>65.93</v>
      </c>
      <c r="E27" s="11" t="n">
        <f aca="false">E28+E29</f>
        <v>107.642</v>
      </c>
      <c r="F27" s="11" t="n">
        <f aca="false">F28+F29</f>
        <v>88.583</v>
      </c>
      <c r="G27" s="11" t="n">
        <f aca="false">G28+G29</f>
        <v>82.375</v>
      </c>
      <c r="H27" s="11" t="n">
        <f aca="false">H28+H29</f>
        <v>109.898</v>
      </c>
      <c r="I27" s="11" t="n">
        <f aca="false">I28+I29</f>
        <v>108.128</v>
      </c>
      <c r="J27" s="11" t="n">
        <f aca="false">J28+J29</f>
        <v>101.865</v>
      </c>
      <c r="K27" s="11" t="n">
        <f aca="false">K28+K29</f>
        <v>110.389</v>
      </c>
      <c r="L27" s="11" t="n">
        <f aca="false">L28+L29</f>
        <v>153.057</v>
      </c>
      <c r="M27" s="11" t="n">
        <f aca="false">M28+M29</f>
        <v>185.595</v>
      </c>
      <c r="N27" s="17" t="n">
        <f aca="false">N28+N29</f>
        <v>1201.627</v>
      </c>
      <c r="P27" s="11" t="n">
        <f aca="false">SUM(B27:J27)</f>
        <v>752.586</v>
      </c>
      <c r="Q27" s="11" t="n">
        <f aca="false">N27-P27</f>
        <v>449.041</v>
      </c>
    </row>
    <row r="28" customFormat="false" ht="15" hidden="false" customHeight="false" outlineLevel="1" collapsed="false">
      <c r="A28" s="0" t="s">
        <v>40</v>
      </c>
      <c r="B28" s="1" t="n">
        <f aca="false">B8</f>
        <v>26.564</v>
      </c>
      <c r="C28" s="1" t="n">
        <f aca="false">C8</f>
        <v>39.92</v>
      </c>
      <c r="D28" s="1" t="n">
        <f aca="false">D8</f>
        <v>45.315</v>
      </c>
      <c r="E28" s="1" t="n">
        <f aca="false">E8</f>
        <v>84.63</v>
      </c>
      <c r="F28" s="1" t="n">
        <f aca="false">F8</f>
        <v>74.858</v>
      </c>
      <c r="G28" s="1" t="n">
        <f aca="false">G8</f>
        <v>62.029</v>
      </c>
      <c r="H28" s="1" t="n">
        <f aca="false">H8</f>
        <v>73.609</v>
      </c>
      <c r="I28" s="1" t="n">
        <f aca="false">I8</f>
        <v>39.977</v>
      </c>
      <c r="J28" s="1" t="n">
        <f aca="false">J8</f>
        <v>59.539</v>
      </c>
      <c r="K28" s="1" t="n">
        <f aca="false">K8</f>
        <v>70.508</v>
      </c>
      <c r="L28" s="1" t="n">
        <f aca="false">L8</f>
        <v>111.463</v>
      </c>
      <c r="M28" s="1" t="n">
        <f aca="false">M8</f>
        <v>141.431</v>
      </c>
      <c r="N28" s="30" t="n">
        <f aca="false">N8</f>
        <v>829.843</v>
      </c>
      <c r="P28" s="1" t="n">
        <f aca="false">SUM(B28:J28)</f>
        <v>506.441</v>
      </c>
      <c r="Q28" s="1" t="n">
        <f aca="false">N28-P28</f>
        <v>323.402</v>
      </c>
    </row>
    <row r="29" customFormat="false" ht="15" hidden="false" customHeight="false" outlineLevel="1" collapsed="false">
      <c r="A29" s="0" t="s">
        <v>41</v>
      </c>
      <c r="B29" s="1" t="n">
        <f aca="false">B12</f>
        <v>10.129</v>
      </c>
      <c r="C29" s="1" t="n">
        <f aca="false">C12</f>
        <v>11.552</v>
      </c>
      <c r="D29" s="1" t="n">
        <f aca="false">D12</f>
        <v>20.615</v>
      </c>
      <c r="E29" s="1" t="n">
        <f aca="false">E12</f>
        <v>23.012</v>
      </c>
      <c r="F29" s="1" t="n">
        <f aca="false">F12</f>
        <v>13.725</v>
      </c>
      <c r="G29" s="1" t="n">
        <f aca="false">G12</f>
        <v>20.346</v>
      </c>
      <c r="H29" s="1" t="n">
        <f aca="false">H12</f>
        <v>36.289</v>
      </c>
      <c r="I29" s="1" t="n">
        <f aca="false">I12</f>
        <v>68.151</v>
      </c>
      <c r="J29" s="1" t="n">
        <f aca="false">J12</f>
        <v>42.326</v>
      </c>
      <c r="K29" s="1" t="n">
        <f aca="false">K12</f>
        <v>39.881</v>
      </c>
      <c r="L29" s="1" t="n">
        <f aca="false">L12</f>
        <v>41.594</v>
      </c>
      <c r="M29" s="1" t="n">
        <f aca="false">M12</f>
        <v>44.164</v>
      </c>
      <c r="N29" s="30" t="n">
        <f aca="false">N12</f>
        <v>371.784</v>
      </c>
      <c r="P29" s="1" t="n">
        <f aca="false">SUM(B29:J29)</f>
        <v>246.145</v>
      </c>
      <c r="Q29" s="1" t="n">
        <f aca="false">N29-P29</f>
        <v>125.639</v>
      </c>
    </row>
    <row r="30" customFormat="false" ht="15" hidden="false" customHeight="false" outlineLevel="0" collapsed="false">
      <c r="N30" s="29"/>
      <c r="P30" s="31" t="n">
        <f aca="false">SUM(B30:J30)</f>
        <v>0</v>
      </c>
      <c r="Q30" s="31" t="n">
        <f aca="false">N30-P30</f>
        <v>0</v>
      </c>
    </row>
    <row r="31" customFormat="false" ht="15" hidden="false" customHeight="false" outlineLevel="0" collapsed="false">
      <c r="A31" s="16" t="s">
        <v>42</v>
      </c>
      <c r="B31" s="11" t="n">
        <f aca="false">B35+B39</f>
        <v>3.83500000000001</v>
      </c>
      <c r="C31" s="11" t="n">
        <f aca="false">C35+C39</f>
        <v>-26.417</v>
      </c>
      <c r="D31" s="11" t="n">
        <f aca="false">D35+D39</f>
        <v>-10.876</v>
      </c>
      <c r="E31" s="11" t="n">
        <f aca="false">E35+E39</f>
        <v>57.7</v>
      </c>
      <c r="F31" s="11" t="n">
        <f aca="false">F35+F39</f>
        <v>152.612</v>
      </c>
      <c r="G31" s="11" t="n">
        <f aca="false">G35+G39</f>
        <v>205.853</v>
      </c>
      <c r="H31" s="11" t="n">
        <f aca="false">H35+H39</f>
        <v>257.779</v>
      </c>
      <c r="I31" s="11" t="n">
        <f aca="false">I35+I39</f>
        <v>309.514</v>
      </c>
      <c r="J31" s="11" t="n">
        <f aca="false">J35+J39</f>
        <v>691.051</v>
      </c>
      <c r="K31" s="11" t="n">
        <f aca="false">K35+K39</f>
        <v>316.277</v>
      </c>
      <c r="L31" s="11" t="n">
        <f aca="false">L35+L39</f>
        <v>553.062</v>
      </c>
      <c r="M31" s="11" t="n">
        <f aca="false">M35+M39</f>
        <v>777.963</v>
      </c>
      <c r="N31" s="17" t="n">
        <f aca="false">N35+N39</f>
        <v>3288.353</v>
      </c>
      <c r="P31" s="11" t="n">
        <f aca="false">SUM(B31:J31)</f>
        <v>1641.051</v>
      </c>
      <c r="Q31" s="11" t="n">
        <f aca="false">N31-P31</f>
        <v>1647.302</v>
      </c>
    </row>
    <row r="32" customFormat="false" ht="15" hidden="false" customHeight="false" outlineLevel="0" collapsed="false">
      <c r="A32" s="16" t="s">
        <v>43</v>
      </c>
      <c r="B32" s="11" t="n">
        <f aca="false">B36+B39</f>
        <v>77.206</v>
      </c>
      <c r="C32" s="11" t="n">
        <f aca="false">C36+C39</f>
        <v>85.916</v>
      </c>
      <c r="D32" s="11" t="n">
        <f aca="false">D36+D39</f>
        <v>74.562</v>
      </c>
      <c r="E32" s="11" t="n">
        <f aca="false">E36+E39</f>
        <v>95.819</v>
      </c>
      <c r="F32" s="11" t="n">
        <f aca="false">F36+F39</f>
        <v>292.892</v>
      </c>
      <c r="G32" s="11" t="n">
        <f aca="false">G36+G39</f>
        <v>605.021</v>
      </c>
      <c r="H32" s="11" t="n">
        <f aca="false">H36+H39</f>
        <v>525.121</v>
      </c>
      <c r="I32" s="11" t="n">
        <f aca="false">I36+I39</f>
        <v>555.502</v>
      </c>
      <c r="J32" s="11" t="n">
        <f aca="false">J36+J39</f>
        <v>737.585</v>
      </c>
      <c r="K32" s="11" t="n">
        <f aca="false">K36+K39</f>
        <v>390.131</v>
      </c>
      <c r="L32" s="11" t="n">
        <f aca="false">L36+L39</f>
        <v>625.397</v>
      </c>
      <c r="M32" s="11" t="n">
        <f aca="false">M36+M39</f>
        <v>773.253</v>
      </c>
      <c r="N32" s="32" t="n">
        <f aca="false">N36+N39</f>
        <v>4838.405</v>
      </c>
      <c r="P32" s="11" t="n">
        <f aca="false">SUM(B32:J32)</f>
        <v>3049.624</v>
      </c>
      <c r="Q32" s="11" t="n">
        <f aca="false">N32-P32</f>
        <v>1788.781</v>
      </c>
    </row>
    <row r="33" customFormat="false" ht="15" hidden="false" customHeight="false" outlineLevel="0" collapsed="false">
      <c r="N33" s="29"/>
    </row>
    <row r="34" customFormat="false" ht="15" hidden="false" customHeight="false" outlineLevel="0" collapsed="false">
      <c r="A34" s="16" t="s">
        <v>17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7"/>
      <c r="P34" s="11"/>
      <c r="Q34" s="11"/>
    </row>
    <row r="35" customFormat="false" ht="15" hidden="false" customHeight="false" outlineLevel="0" collapsed="false">
      <c r="A35" s="0" t="s">
        <v>44</v>
      </c>
      <c r="B35" s="1" t="n">
        <f aca="false">SUM(B6,B8,B10,B12)</f>
        <v>109.589</v>
      </c>
      <c r="C35" s="1" t="n">
        <f aca="false">SUM(C6,C8,C10,C12)</f>
        <v>100.358</v>
      </c>
      <c r="D35" s="1" t="n">
        <f aca="false">SUM(D6,D8,D10,D12)</f>
        <v>150.877</v>
      </c>
      <c r="E35" s="1" t="n">
        <f aca="false">SUM(E6,E8,E10,E12)</f>
        <v>199.25</v>
      </c>
      <c r="F35" s="1" t="n">
        <f aca="false">SUM(F6,F8,F10,F12)</f>
        <v>311.696</v>
      </c>
      <c r="G35" s="1" t="n">
        <f aca="false">SUM(G6,G8,G10,G12)</f>
        <v>520.821</v>
      </c>
      <c r="H35" s="1" t="n">
        <f aca="false">SUM(H6,H8,H10,H12)</f>
        <v>521.617</v>
      </c>
      <c r="I35" s="1" t="n">
        <f aca="false">SUM(I6,I8,I10,I12)</f>
        <v>518.455</v>
      </c>
      <c r="J35" s="1" t="n">
        <f aca="false">SUM(J6,J8,J10,J12)</f>
        <v>765.669</v>
      </c>
      <c r="K35" s="1" t="n">
        <f aca="false">SUM(K6,K8,K10,K12)</f>
        <v>581.19</v>
      </c>
      <c r="L35" s="1" t="n">
        <f aca="false">SUM(L6,L8,L10,L12)</f>
        <v>813.177</v>
      </c>
      <c r="M35" s="1" t="n">
        <f aca="false">SUM(M6,M8,M10,M12)</f>
        <v>1059.933</v>
      </c>
      <c r="N35" s="30" t="n">
        <f aca="false">SUM(N6,N8,N10,N12)</f>
        <v>5652.632</v>
      </c>
      <c r="P35" s="1" t="n">
        <f aca="false">SUM(B35:J35)</f>
        <v>3198.332</v>
      </c>
      <c r="Q35" s="1" t="n">
        <f aca="false">N35-P35</f>
        <v>2454.3</v>
      </c>
    </row>
    <row r="36" customFormat="false" ht="15" hidden="false" customHeight="false" outlineLevel="0" collapsed="false">
      <c r="A36" s="0" t="s">
        <v>45</v>
      </c>
      <c r="B36" s="1" t="n">
        <f aca="false">SUM(B6:B12)</f>
        <v>182.96</v>
      </c>
      <c r="C36" s="1" t="n">
        <f aca="false">SUM(C6:C12)</f>
        <v>212.691</v>
      </c>
      <c r="D36" s="1" t="n">
        <f aca="false">SUM(D6:D12)</f>
        <v>236.315</v>
      </c>
      <c r="E36" s="1" t="n">
        <f aca="false">SUM(E6:E12)</f>
        <v>237.369</v>
      </c>
      <c r="F36" s="1" t="n">
        <f aca="false">SUM(F6:F12)</f>
        <v>451.976</v>
      </c>
      <c r="G36" s="1" t="n">
        <f aca="false">SUM(G6:G12)</f>
        <v>919.989</v>
      </c>
      <c r="H36" s="1" t="n">
        <f aca="false">SUM(H6:H12)</f>
        <v>788.959</v>
      </c>
      <c r="I36" s="1" t="n">
        <f aca="false">SUM(I6:I12)</f>
        <v>764.443</v>
      </c>
      <c r="J36" s="1" t="n">
        <f aca="false">SUM(J6:J12)</f>
        <v>812.203</v>
      </c>
      <c r="K36" s="1" t="n">
        <f aca="false">SUM(K6:K12)</f>
        <v>655.044</v>
      </c>
      <c r="L36" s="1" t="n">
        <f aca="false">SUM(L6:L12)</f>
        <v>885.512</v>
      </c>
      <c r="M36" s="1" t="n">
        <f aca="false">SUM(M6:M12)</f>
        <v>1055.223</v>
      </c>
      <c r="N36" s="30" t="n">
        <f aca="false">SUM(N6:N12)</f>
        <v>7202.684</v>
      </c>
      <c r="P36" s="1" t="n">
        <f aca="false">SUM(B36:J36)</f>
        <v>4606.905</v>
      </c>
      <c r="Q36" s="1" t="n">
        <f aca="false">N36-P36</f>
        <v>2595.779</v>
      </c>
    </row>
    <row r="37" customFormat="false" ht="15" hidden="false" customHeight="false" outlineLevel="0" collapsed="false">
      <c r="A37" s="0" t="s">
        <v>46</v>
      </c>
      <c r="B37" s="1" t="n">
        <f aca="false">SUM(B5:B8)</f>
        <v>145.257</v>
      </c>
      <c r="C37" s="1" t="n">
        <f aca="false">SUM(C5:C8)</f>
        <v>276.425</v>
      </c>
      <c r="D37" s="1" t="n">
        <f aca="false">SUM(D5:D8)</f>
        <v>283.962</v>
      </c>
      <c r="E37" s="1" t="n">
        <f aca="false">SUM(E5:E8)</f>
        <v>346.977</v>
      </c>
      <c r="F37" s="1" t="n">
        <f aca="false">SUM(F5:F8)</f>
        <v>396.686</v>
      </c>
      <c r="G37" s="1" t="n">
        <f aca="false">SUM(G5:G8)</f>
        <v>554.376</v>
      </c>
      <c r="H37" s="1" t="n">
        <f aca="false">SUM(H5:H8)</f>
        <v>488.017</v>
      </c>
      <c r="I37" s="1" t="n">
        <f aca="false">SUM(I5:I8)</f>
        <v>400.672</v>
      </c>
      <c r="J37" s="1" t="n">
        <f aca="false">SUM(J5:J8)</f>
        <v>500.091</v>
      </c>
      <c r="K37" s="1" t="n">
        <f aca="false">SUM(K5:K8)</f>
        <v>583.848</v>
      </c>
      <c r="L37" s="1" t="n">
        <f aca="false">SUM(L5:L8)</f>
        <v>899.551</v>
      </c>
      <c r="M37" s="1" t="n">
        <f aca="false">SUM(M5:M8)</f>
        <v>1299.378</v>
      </c>
      <c r="N37" s="30" t="n">
        <f aca="false">SUM(N5:N8)</f>
        <v>6175.24</v>
      </c>
      <c r="P37" s="1" t="n">
        <f aca="false">SUM(B37:J37)</f>
        <v>3392.463</v>
      </c>
      <c r="Q37" s="1" t="n">
        <f aca="false">N37-P37</f>
        <v>2782.777</v>
      </c>
    </row>
    <row r="38" customFormat="false" ht="15" hidden="false" customHeight="false" outlineLevel="0" collapsed="false">
      <c r="A38" s="0" t="s">
        <v>47</v>
      </c>
      <c r="B38" s="1" t="n">
        <f aca="false">B37-B5</f>
        <v>48.959</v>
      </c>
      <c r="C38" s="1" t="n">
        <f aca="false">C37-C5</f>
        <v>50.043</v>
      </c>
      <c r="D38" s="1" t="n">
        <f aca="false">D37-D5</f>
        <v>86.664</v>
      </c>
      <c r="E38" s="1" t="n">
        <f aca="false">E37-E5</f>
        <v>129.158</v>
      </c>
      <c r="F38" s="1" t="n">
        <f aca="false">F37-F5</f>
        <v>149.317</v>
      </c>
      <c r="G38" s="1" t="n">
        <f aca="false">G37-G5</f>
        <v>275.054</v>
      </c>
      <c r="H38" s="1" t="n">
        <f aca="false">H37-H5</f>
        <v>211.669</v>
      </c>
      <c r="I38" s="1" t="n">
        <f aca="false">I37-I5</f>
        <v>201.005</v>
      </c>
      <c r="J38" s="1" t="n">
        <f aca="false">J37-J5</f>
        <v>301.049</v>
      </c>
      <c r="K38" s="1" t="n">
        <f aca="false">K37-K5</f>
        <v>260.003</v>
      </c>
      <c r="L38" s="1" t="n">
        <f aca="false">L37-L5</f>
        <v>441.717</v>
      </c>
      <c r="M38" s="1" t="n">
        <f aca="false">M37-M5</f>
        <v>590.796</v>
      </c>
      <c r="N38" s="30" t="n">
        <f aca="false">N37-N5</f>
        <v>2745.434</v>
      </c>
      <c r="P38" s="1" t="n">
        <f aca="false">SUM(B38:J38)</f>
        <v>1452.918</v>
      </c>
      <c r="Q38" s="1" t="n">
        <f aca="false">N38-P38</f>
        <v>1292.516</v>
      </c>
    </row>
    <row r="39" customFormat="false" ht="15" hidden="false" customHeight="false" outlineLevel="0" collapsed="false">
      <c r="A39" s="16" t="s">
        <v>26</v>
      </c>
      <c r="B39" s="11" t="n">
        <f aca="false">B13</f>
        <v>-105.754</v>
      </c>
      <c r="C39" s="11" t="n">
        <f aca="false">C13</f>
        <v>-126.775</v>
      </c>
      <c r="D39" s="11" t="n">
        <f aca="false">D13</f>
        <v>-161.753</v>
      </c>
      <c r="E39" s="11" t="n">
        <f aca="false">E13</f>
        <v>-141.55</v>
      </c>
      <c r="F39" s="11" t="n">
        <f aca="false">F13</f>
        <v>-159.084</v>
      </c>
      <c r="G39" s="11" t="n">
        <f aca="false">G13</f>
        <v>-314.968</v>
      </c>
      <c r="H39" s="11" t="n">
        <f aca="false">H13</f>
        <v>-263.838</v>
      </c>
      <c r="I39" s="11" t="n">
        <f aca="false">I13</f>
        <v>-208.941</v>
      </c>
      <c r="J39" s="11" t="n">
        <f aca="false">J13</f>
        <v>-74.618</v>
      </c>
      <c r="K39" s="11" t="n">
        <f aca="false">K13</f>
        <v>-264.913</v>
      </c>
      <c r="L39" s="11" t="n">
        <f aca="false">L13</f>
        <v>-260.115</v>
      </c>
      <c r="M39" s="11" t="n">
        <f aca="false">M13</f>
        <v>-281.97</v>
      </c>
      <c r="N39" s="17" t="n">
        <f aca="false">N13</f>
        <v>-2364.279</v>
      </c>
      <c r="O39" s="2"/>
      <c r="P39" s="18" t="n">
        <f aca="false">SUM(B39:J39)</f>
        <v>-1557.281</v>
      </c>
      <c r="Q39" s="18" t="n">
        <f aca="false">N39-P39</f>
        <v>-806.998</v>
      </c>
    </row>
    <row r="42" customFormat="false" ht="15" hidden="false" customHeight="false" outlineLevel="0" collapsed="false">
      <c r="N42" s="1"/>
    </row>
    <row r="45" customFormat="false" ht="15" hidden="false" customHeight="false" outlineLevel="0" collapsed="false">
      <c r="N4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2026-09-07T09:03:39Z</dcterms:created>
  <dc:creator>Астемир Хоконов</dc:creator>
  <dc:description/>
  <dc:language>en-US</dc:language>
  <cp:lastModifiedBy>Бабкин Денис Владимирович</cp:lastModifiedBy>
  <dcterms:modified xsi:type="dcterms:W3CDTF">2026-10-19T08:51:06Z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