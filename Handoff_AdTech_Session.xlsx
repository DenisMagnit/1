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Как читать" sheetId="1" state="visible" r:id="rId1"/>
    <sheet xmlns:r="http://schemas.openxmlformats.org/officeDocument/2006/relationships" name="01 Файлы" sheetId="2" state="visible" r:id="rId2"/>
    <sheet xmlns:r="http://schemas.openxmlformats.org/officeDocument/2006/relationships" name="02 Логика свода" sheetId="3" state="visible" r:id="rId3"/>
    <sheet xmlns:r="http://schemas.openxmlformats.org/officeDocument/2006/relationships" name="03 Инкремент (4 правила)" sheetId="4" state="visible" r:id="rId4"/>
    <sheet xmlns:r="http://schemas.openxmlformats.org/officeDocument/2006/relationships" name="04 Мастер v4 — правки" sheetId="5" state="visible" r:id="rId5"/>
    <sheet xmlns:r="http://schemas.openxmlformats.org/officeDocument/2006/relationships" name="05 E-Com" sheetId="6" state="visible" r:id="rId6"/>
    <sheet xmlns:r="http://schemas.openxmlformats.org/officeDocument/2006/relationships" name="06 Слайды сентябрь" sheetId="7" state="visible" r:id="rId7"/>
    <sheet xmlns:r="http://schemas.openxmlformats.org/officeDocument/2006/relationships" name="07 Бюджет 2027" sheetId="8" state="visible" r:id="rId8"/>
    <sheet xmlns:r="http://schemas.openxmlformats.org/officeDocument/2006/relationships" name="08 Известные проблемы" sheetId="9" state="visible" r:id="rId9"/>
    <sheet xmlns:r="http://schemas.openxmlformats.org/officeDocument/2006/relationships" name="09 Чек-лист месяца" sheetId="10" state="visible" r:id="rId10"/>
    <sheet xmlns:r="http://schemas.openxmlformats.org/officeDocument/2006/relationships" name="10 Открытые вопросы" sheetId="11" state="visible" r:id="rId11"/>
    <sheet xmlns:r="http://schemas.openxmlformats.org/officeDocument/2006/relationships" name="11 Цифры-якоря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Содержание</t>
        </is>
      </c>
    </row>
    <row r="2">
      <c r="A2" s="2" t="inlineStr">
        <is>
          <t>Назначение</t>
        </is>
      </c>
      <c r="B2" s="3" t="inlineStr">
        <is>
          <t>Передача контекста сессии Claude (14.10.2026) по закрытию сентября AdTech: свод для консолидации, E-Com прогноз, MBR-слайды за сентябрь, слайды бюджета 2027. Используй как чек-лист при проверке правок и при сборке следующих версий.</t>
        </is>
      </c>
    </row>
    <row r="3">
      <c r="A3" s="2" t="inlineStr">
        <is>
          <t>Главное правило</t>
        </is>
      </c>
      <c r="B3" s="3" t="inlineStr">
        <is>
          <t>Отчётные (уже отправленные) месяцы в сводах НЕ пересчитываются — меняются только новые месяцы факта и прогноз. Мастер правится точечно; всё, что «поверх модели» (поправки, разовые строки), вносится только в выходные файлы и помечается.</t>
        </is>
      </c>
    </row>
    <row r="4">
      <c r="A4" s="2" t="inlineStr">
        <is>
          <t>Единицы</t>
        </is>
      </c>
      <c r="B4" s="3" t="inlineStr">
        <is>
          <t>Мастер — руб.; '12 Сегменты', '13 Для слайда', '14 Триггеры' — млн руб.; свод (Adtech_svod...) — руб.; E-Com файл и слайды — млн руб.</t>
        </is>
      </c>
    </row>
    <row r="5">
      <c r="A5" s="2" t="inlineStr">
        <is>
          <t>Листы этого файла</t>
        </is>
      </c>
      <c r="B5" s="3" t="inlineStr">
        <is>
          <t>01 Файлы · 02 Логика свода · 03 Инкремент (4 правила) · 04 Мастер v4 — правки · 05 E-Com · 06 Слайды сентябрь · 07 Бюджет 2027 · 08 Известные проблемы · 09 Чек-лист закрытия месяца · 10 Открытые вопросы · 11 Цифры-якоря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60" customWidth="1" min="3" max="3"/>
  </cols>
  <sheetData>
    <row r="1">
      <c r="A1" s="1" t="inlineStr">
        <is>
          <t>Файл</t>
        </is>
      </c>
      <c r="B1" s="1" t="inlineStr">
        <is>
          <t>Роль</t>
        </is>
      </c>
      <c r="C1" s="1" t="inlineStr">
        <is>
          <t>Статус / версия</t>
        </is>
      </c>
    </row>
    <row r="2">
      <c r="A2" s="2" t="inlineStr">
        <is>
          <t>Master_AT_Sep_v4.xlsx</t>
        </is>
      </c>
      <c r="B2" s="3" t="inlineStr">
        <is>
          <t>Мастер FP&amp;A AdTech 2026 (на базе Master_AT_Sep_v3 от пользователя). Факт янв–авг закрыт (01 Config B6=8), сентябрь — ПРЕД (B12=9).</t>
        </is>
      </c>
      <c r="C2" s="3" t="inlineStr">
        <is>
          <t>Изменён только лист '15 CONS' (см. лист 04). Остальное = v3.</t>
        </is>
      </c>
    </row>
    <row r="3">
      <c r="A3" s="2" t="inlineStr">
        <is>
          <t>Master_AT_Sep_v3.xlsx</t>
        </is>
      </c>
      <c r="B3" s="3" t="inlineStr">
        <is>
          <t>Версия пользователя с восстановленной выручкой 2025 в Rev (столбец YTD у строк Year=2025).</t>
        </is>
      </c>
      <c r="C3" s="3" t="inlineStr">
        <is>
          <t>Источник всех цифр сентября.</t>
        </is>
      </c>
    </row>
    <row r="4">
      <c r="A4" s="2" t="inlineStr">
        <is>
          <t>Master_AT_Sep_v2.xlsx</t>
        </is>
      </c>
      <c r="B4" s="3" t="inlineStr">
        <is>
          <t>Битая: у строк 2025 в Rev стёрт YTD (формула SUM месяцев 2026 = 0) → инкремент завышен.</t>
        </is>
      </c>
      <c r="C4" s="3" t="inlineStr">
        <is>
          <t>НЕ использовать.</t>
        </is>
      </c>
    </row>
    <row r="5">
      <c r="A5" s="2" t="inlineStr">
        <is>
          <t>Master_File_FPA_AdTech_July/August_v.1.xlsx</t>
        </is>
      </c>
      <c r="B5" s="3" t="inlineStr">
        <is>
          <t>Старая модель (листы ЗФ, CONS, FC INCR, FC Summary, E-Comm). Использовались для восстановления логики янв–июл.</t>
        </is>
      </c>
      <c r="C5" s="3" t="inlineStr">
        <is>
          <t>Справочно.</t>
        </is>
      </c>
    </row>
    <row r="6">
      <c r="A6" s="2" t="inlineStr">
        <is>
          <t>Adtech_svod_Aug-Sep_fact_Oct-Dec_FC.xlsx</t>
        </is>
      </c>
      <c r="B6" s="3" t="inlineStr">
        <is>
          <t>Свод для консолидации (лист 'Свод', формат P&amp;L консолидации, руб.).</t>
        </is>
      </c>
      <c r="C6" s="3" t="inlineStr">
        <is>
          <t>Янв–июл = исходный отчёт (не менять); авг–сен факт; окт–дек прогноз; окт с поправкой −7/31.</t>
        </is>
      </c>
    </row>
    <row r="7">
      <c r="A7" s="2" t="inlineStr">
        <is>
          <t>E-Com_FC_Sep_fact_Oct-Dec_FC.xlsx</t>
        </is>
      </c>
      <c r="B7" s="3" t="inlineStr">
        <is>
          <t>E-Com по поставщикам / не поставщикам + строка признания с не наших РН (млн руб.).</t>
        </is>
      </c>
      <c r="C7" s="3" t="inlineStr">
        <is>
          <t>Итог 2026 = 6 345 (6 344,8).</t>
        </is>
      </c>
    </row>
    <row r="8">
      <c r="A8" s="2" t="inlineStr">
        <is>
          <t>OMNI_weekly_AdTech_Sept.pptx</t>
        </is>
      </c>
      <c r="B8" s="3" t="inlineStr">
        <is>
          <t>MBR-слайды AdTech за сентябрь (2 слайда).</t>
        </is>
      </c>
      <c r="C8" s="3" t="inlineStr">
        <is>
          <t>Слайд 1 — бюджет ревизии; слайд 2 — утверждённые таргеты КПЭ.</t>
        </is>
      </c>
    </row>
    <row r="9">
      <c r="A9" s="2" t="inlineStr">
        <is>
          <t>AdTech_Budget_2027.pptx</t>
        </is>
      </c>
      <c r="B9" s="3" t="inlineStr">
        <is>
          <t>Слайды по бюджету 2027 (5 слайдов) из модели 'Бюджет AdTech 2027 1009 cons'.</t>
        </is>
      </c>
      <c r="C9" s="3" t="inlineStr">
        <is>
          <t>Для запроса п.3 (бюджет 2027 помесячно, срок 21.10).</t>
        </is>
      </c>
    </row>
    <row r="10">
      <c r="A10" s="2" t="inlineStr">
        <is>
          <t>Бюджет AdTech 2027 1009 cons.xlsx</t>
        </is>
      </c>
      <c r="B10" s="3" t="inlineStr">
        <is>
          <t>Модель бюджета 2027: листы Summary, P&amp;L 2027, P&amp;L 2027_Formats, RevSplit и др.</t>
        </is>
      </c>
      <c r="C10" s="3" t="inlineStr">
        <is>
          <t>Источник для слайдов 2027.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60" customWidth="1" min="3" max="3"/>
  </cols>
  <sheetData>
    <row r="1">
      <c r="A1" s="1" t="inlineStr">
        <is>
          <t>Строка свода (лист 'Свод')</t>
        </is>
      </c>
      <c r="B1" s="1" t="inlineStr">
        <is>
          <t>Источник в мастере</t>
        </is>
      </c>
      <c r="C1" s="1" t="inlineStr">
        <is>
          <t>Комментарий</t>
        </is>
      </c>
    </row>
    <row r="2">
      <c r="A2" s="2" t="inlineStr">
        <is>
          <t>Commercial margin (стр.16) = Gross margin (стр.26)</t>
        </is>
      </c>
      <c r="B2" s="3" t="inlineStr">
        <is>
          <t>('12 Сегменты' стр.13 + стр.15) ×1e6 + ('10 PL' стр.17 + стр.18)</t>
        </is>
      </c>
      <c r="C2" s="3" t="inlineStr">
        <is>
          <t>Инкремент без E-comm по контрагентам (BiP, БЕЗ ADJ «P&amp;L−Rev») + вознаграждения РА и блогерам. Так собран июль в отчётном своде (= 'FC Summary'!H15 августовского мастера + РА). Подтверждено: июль 287 937 837 − 26 571 520 = 261 366 316.</t>
        </is>
      </c>
    </row>
    <row r="3">
      <c r="A3" s="2" t="inlineStr">
        <is>
          <t>PEX admin (стр.35)</t>
        </is>
      </c>
      <c r="B3" s="3" t="inlineStr">
        <is>
          <t>'10 PL' стр.28</t>
        </is>
      </c>
      <c r="C3" s="3" t="inlineStr"/>
    </row>
    <row r="4">
      <c r="A4" s="2" t="inlineStr">
        <is>
          <t>PEX other (стр.36)</t>
        </is>
      </c>
      <c r="B4" s="3" t="inlineStr">
        <is>
          <t>'10 PL' стр.38</t>
        </is>
      </c>
      <c r="C4" s="3" t="inlineStr"/>
    </row>
    <row r="5">
      <c r="A5" s="2" t="inlineStr">
        <is>
          <t>Marketing (стр.49)</t>
        </is>
      </c>
      <c r="B5" s="3" t="inlineStr">
        <is>
          <t>'10 PL' стр.47</t>
        </is>
      </c>
      <c r="C5" s="3" t="inlineStr"/>
    </row>
    <row r="6">
      <c r="A6" s="2" t="inlineStr">
        <is>
          <t>Consulting and insurance (стр.53)</t>
        </is>
      </c>
      <c r="B6" s="3" t="inlineStr">
        <is>
          <t>'10 PL' стр.49 (IT)</t>
        </is>
      </c>
      <c r="C6" s="3" t="inlineStr"/>
    </row>
    <row r="7">
      <c r="A7" s="2" t="inlineStr">
        <is>
          <t>Other OPEX (стр.55)</t>
        </is>
      </c>
      <c r="B7" s="3" t="inlineStr">
        <is>
          <t>'10 PL' стр.58</t>
        </is>
      </c>
      <c r="C7" s="3" t="inlineStr"/>
    </row>
    <row r="8">
      <c r="A8" s="2" t="inlineStr">
        <is>
          <t>PEX (32)=35+36; NON PEX (37)=49+53+55; Total OPEX (30)=32+37; EBITDA (60)=26+30</t>
        </is>
      </c>
      <c r="B8" s="3" t="inlineStr">
        <is>
          <t>расчёт</t>
        </is>
      </c>
      <c r="C8" s="3" t="inlineStr"/>
    </row>
    <row r="9">
      <c r="A9" s="2" t="inlineStr">
        <is>
          <t>Месяцы</t>
        </is>
      </c>
      <c r="B9" s="3" t="inlineStr">
        <is>
          <t>Янв–июл: значения отчётного свода (НЕ менять). Авг: факт. Сен: ПРЕД (выручка по Rev до финальной сверки, расходы — корп. PL). Окт–дек: прогноз мастера.</t>
        </is>
      </c>
      <c r="C9" s="3" t="inlineStr">
        <is>
          <t>Строка 2: янв–сен «факт», окт–дек «прогноз».</t>
        </is>
      </c>
    </row>
    <row r="10">
      <c r="A10" s="2" t="inlineStr">
        <is>
          <t>Поправка октября</t>
        </is>
      </c>
      <c r="B10" s="3" t="inlineStr">
        <is>
          <t>Выручка октября × (1 − 7/31): −65,84 млн к CM и EBITDA (сбой приложения). Только в выходных файлах, НЕ в мастере.</t>
        </is>
      </c>
      <c r="C10" s="3" t="inlineStr">
        <is>
          <t>Расходы %REV (РА −38, рекл. сбор) не уменьшали — открытый вопрос.</t>
        </is>
      </c>
    </row>
    <row r="11">
      <c r="A11" s="2" t="inlineStr">
        <is>
          <t>Сверка OPEX</t>
        </is>
      </c>
      <c r="B11" s="3" t="inlineStr">
        <is>
          <t>YTD янв–июл свода = YTD '10 PL' (PEX admin −704,515; Marketing −379,26). Разница только Consulting −0,218 млн (не правили).</t>
        </is>
      </c>
      <c r="C11" s="3" t="inlineStr">
        <is>
          <t>Помесячно отчётные значения отличаются (зафиксированы на дату закрытия).</t>
        </is>
      </c>
    </row>
    <row r="12">
      <c r="A12" s="2" t="inlineStr">
        <is>
          <t>Как НЕ надо</t>
        </is>
      </c>
      <c r="B12" s="3" t="inlineStr">
        <is>
          <t>НЕ брать '12 Сегменты' стр.55 (включает ADJ не поставщиков), НЕ брать 'ЗФ' стр.101 старой модели (включает E-comm).</t>
        </is>
      </c>
      <c r="C1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60" customWidth="1" min="3" max="3"/>
  </cols>
  <sheetData>
    <row r="1">
      <c r="A1" s="1" t="inlineStr">
        <is>
          <t>Правило</t>
        </is>
      </c>
      <c r="B1" s="1" t="inlineStr">
        <is>
          <t>Формула ('31 Инкремент', ключ = Признак|КИС|Level 3)</t>
        </is>
      </c>
      <c r="C1" s="1" t="inlineStr">
        <is>
          <t>Комментарий</t>
        </is>
      </c>
    </row>
    <row r="2">
      <c r="A2" s="2" t="inlineStr">
        <is>
          <t>Периметр</t>
        </is>
      </c>
      <c r="B2" s="3" t="inlineStr">
        <is>
          <t>Только Наше РН = 'АТ'; без E-comm = Level 3 ≠ 'E-commerce' (Реклама Компенсация).</t>
        </is>
      </c>
      <c r="C2" s="3" t="inlineStr"/>
    </row>
    <row r="3">
      <c r="A3" s="2" t="inlineStr">
        <is>
          <t>1. Не поставщики (H)</t>
        </is>
      </c>
      <c r="B3" s="3" t="inlineStr">
        <is>
          <t>Вся выручка АТ 2026 не поставщиков.</t>
        </is>
      </c>
      <c r="C3" s="3" t="inlineStr"/>
    </row>
    <row r="4">
      <c r="A4" s="2" t="inlineStr">
        <is>
          <t>2. Новые поставщики (I)</t>
        </is>
      </c>
      <c r="B4" s="3" t="inlineStr">
        <is>
          <t>Поставщик без выручки 2025 по всему контуру (BT=0 по КИС) → вся выручка.</t>
        </is>
      </c>
      <c r="C4" s="3" t="inlineStr"/>
    </row>
    <row r="5">
      <c r="A5" s="2" t="inlineStr">
        <is>
          <t>3. Дельта АТ25→АТ26 по РН (J)</t>
        </is>
      </c>
      <c r="B5" s="3" t="inlineStr">
        <is>
          <t>Если E&gt;0, G&gt;E−F и G&gt;F → G−F</t>
        </is>
      </c>
      <c r="C5" s="3" t="inlineStr">
        <is>
          <t>Заголовок старой модели: «Дельта АТ25 АТ26, если АТ26&gt;MR+AT25 (инд. по напр.)».</t>
        </is>
      </c>
    </row>
    <row r="6">
      <c r="A6" s="2" t="inlineStr">
        <is>
          <t>4. Дельта Маркетинг+АТ25 (K)</t>
        </is>
      </c>
      <c r="B6" s="3" t="inlineStr">
        <is>
          <t>Если BU(КИС)&lt;G и E−F&gt;G → G−BU</t>
        </is>
      </c>
      <c r="C6" s="3" t="inlineStr">
        <is>
          <t>Заголовок: «Дельта АТ25 АТ26, если АТ26&gt;AT25 (тотал напр.)». Т.е. инкремент всегда = прирост к АТ 2025, не к маркетингу 2025 — это осознанная логика (так же в июльском/августовском мастере).</t>
        </is>
      </c>
    </row>
    <row r="7">
      <c r="A7" s="2" t="inlineStr">
        <is>
          <t>Обозначения</t>
        </is>
      </c>
      <c r="B7" s="3" t="inlineStr">
        <is>
          <t>E = выручка 2025 все РН; F = 2025 АТ; G = накопленная 2026 АТ; BT/BU = 2025 все РН / АТ по КИС.</t>
        </is>
      </c>
      <c r="C7" s="3" t="inlineStr"/>
    </row>
    <row r="8">
      <c r="A8" s="2" t="inlineStr">
        <is>
          <t>Накопительность</t>
        </is>
      </c>
      <c r="B8" s="3" t="inlineStr">
        <is>
          <t>Сравнение накопленной 2026 с ГОДОВОЙ 2025; месячный инкремент = инкремент на конец месяца − на конец прошлого.</t>
        </is>
      </c>
      <c r="C8" s="3" t="inlineStr">
        <is>
          <t>Поэтому к концу года доля инкремента растёт (авг 55% выручки без E-comm, сен 85%): контрагенты пересекают порог 2025.</t>
        </is>
      </c>
    </row>
    <row r="9">
      <c r="A9" s="2" t="inlineStr">
        <is>
          <t>Rev 2025</t>
        </is>
      </c>
      <c r="B9" s="3" t="inlineStr">
        <is>
          <t>В Rev 2025 — одно годовое значение на строку в столбце YTD (вбито числом). Итог 20 788,3 млн (АТ 4 999,6; НЕ АТ 15 788,8). Совпадает в июльском, августовском мастере и v3.</t>
        </is>
      </c>
      <c r="C9" s="3" t="inlineStr">
        <is>
          <t>РИСК: YTD — вычисляемый столбец таблицы BiP; при вставке нового месяца Excel перезаписывает YTD у 2025 формулой → 2025 обнуляется (так сломалась v2). Пользователь решил структуру не менять — проверяй после каждой вставки месяца.</t>
        </is>
      </c>
    </row>
    <row r="10">
      <c r="A10" s="2" t="inlineStr">
        <is>
          <t>Сентябрь 435 млн (без ADJ)</t>
        </is>
      </c>
      <c r="B10" s="3" t="inlineStr">
        <is>
          <t>Разбивка Авг→Сен +177: вошли в зону инкремента в сен +109 (Марс +29, АБ ИнБев 37, Вектор, Доширак и др.); уже в зоне +55; вошли в авг +14.</t>
        </is>
      </c>
      <c r="C10" s="3" t="inlineStr">
        <is>
          <t>Выручка без E-comm 511 (авг 468).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60" customWidth="1" min="3" max="3"/>
  </cols>
  <sheetData>
    <row r="1">
      <c r="A1" s="1" t="inlineStr">
        <is>
          <t>Где</t>
        </is>
      </c>
      <c r="B1" s="1" t="inlineStr">
        <is>
          <t>Что сделано</t>
        </is>
      </c>
      <c r="C1" s="1" t="inlineStr">
        <is>
          <t>Зачем / как пользоваться</t>
        </is>
      </c>
    </row>
    <row r="2">
      <c r="A2" s="2" t="inlineStr">
        <is>
          <t>'15 CONS' стр.6 (выручка)</t>
        </is>
      </c>
      <c r="B2" s="3" t="inlineStr">
        <is>
          <t>Было '12 Сегменты'!стр.55 (с ADJ). Стало: блок модели стр.71 = ('12 Сегменты' стр.13+15)×1e6.</t>
        </is>
      </c>
      <c r="C2" s="3" t="inlineStr">
        <is>
          <t>Правка 2: выручка как в своде (без ADJ).</t>
        </is>
      </c>
    </row>
    <row r="3">
      <c r="A3" s="2" t="inlineStr">
        <is>
          <t>'15 CONS' стр.71–77</t>
        </is>
      </c>
      <c r="B3" s="3" t="inlineStr">
        <is>
          <t>Блок A — расчёт по модели (формулы): выручка, РА, PEX admin, PEX other, Marketing, Consulting, Other OPEX.</t>
        </is>
      </c>
      <c r="C3" s="3" t="inlineStr"/>
    </row>
    <row r="4">
      <c r="A4" s="2" t="inlineStr">
        <is>
          <t>'15 CONS' стр.81–87</t>
        </is>
      </c>
      <c r="B4" s="3" t="inlineStr">
        <is>
          <t>Блок B — АРХИВ отчётных значений (ввод значениями, жёлтый фон). Заполнено янв–авг: янв–июл = отчётный свод (выручка/РА янв–июн — split из CONS августовского мастера, июль — FC Summary H15), авг = модель.</t>
        </is>
      </c>
      <c r="C4" s="3" t="inlineStr">
        <is>
          <t>Правка 3. После отправки свода месяц вставлять сюда значениями → он перестаёт пересчитываться. СЕНТЯБРЬ (столбец J) ещё НЕ внесён — внести после финального закрытия.</t>
        </is>
      </c>
    </row>
    <row r="5">
      <c r="A5" s="2" t="inlineStr">
        <is>
          <t>'15 CONS' стр.6,7,39,40,53,57,59</t>
        </is>
      </c>
      <c r="B5" s="3">
        <f>IF(ISNUMBER(архив),архив,модель)</f>
        <v/>
      </c>
      <c r="C5" s="3" t="inlineStr">
        <is>
          <t>Свод/CONS = архив, если он заполнен.</t>
        </is>
      </c>
    </row>
    <row r="6">
      <c r="A6" s="2" t="inlineStr">
        <is>
          <t>'15 CONS' стр.89–90</t>
        </is>
      </c>
      <c r="B6" s="3" t="inlineStr">
        <is>
          <t>Архив − модель (CM, OPEX), информативно.</t>
        </is>
      </c>
      <c r="C6" s="3" t="inlineStr">
        <is>
          <t>Сейчас: CM янв–июн +774 млн (в основном E-comm в мае–июне старого CONS), OPEX помесячно ±50, YTD ≈ −0,2. Не ошибка — показывает пересмотр.</t>
        </is>
      </c>
    </row>
    <row r="7">
      <c r="A7" s="2" t="inlineStr">
        <is>
          <t>'15 CONS' стр.67 (контроль)</t>
        </is>
      </c>
      <c r="B7" s="3" t="inlineStr">
        <is>
          <t>Сверяет блок модели (не архив) с '10 PL'. Должно быть 0.</t>
        </is>
      </c>
      <c r="C7" s="3" t="inlineStr">
        <is>
          <t>Используется '16 Проверки'.</t>
        </is>
      </c>
    </row>
    <row r="8">
      <c r="A8" s="2" t="inlineStr">
        <is>
          <t>Техническое</t>
        </is>
      </c>
      <c r="B8" s="3" t="inlineStr">
        <is>
          <t>Правка XML листа; удалён calcChain.xml; в workbook.xml включён fullCalcOnLoad=1.</t>
        </is>
      </c>
      <c r="C8" s="3" t="inlineStr">
        <is>
          <t>При первом открытии Excel пересчитает; проверь '16 Проверки' = OK. Если сохраняешь — calcChain восстановится сам.</t>
        </is>
      </c>
    </row>
    <row r="9">
      <c r="A9" s="2" t="inlineStr">
        <is>
          <t>Что НЕ меняли</t>
        </is>
      </c>
      <c r="B9" s="3" t="inlineStr">
        <is>
          <t>Правку 1 (отдельный столбец «2025 год» в Rev) — по решению пользователя НЕ делали.</t>
        </is>
      </c>
      <c r="C9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60" customWidth="1" min="3" max="3"/>
  </cols>
  <sheetData>
    <row r="1">
      <c r="A1" s="1" t="inlineStr">
        <is>
          <t>Пункт</t>
        </is>
      </c>
      <c r="B1" s="1" t="inlineStr">
        <is>
          <t>Значение</t>
        </is>
      </c>
      <c r="C1" s="1" t="inlineStr">
        <is>
          <t>Комментарий</t>
        </is>
      </c>
    </row>
    <row r="2">
      <c r="A2" s="2" t="inlineStr">
        <is>
          <t>Источник</t>
        </is>
      </c>
      <c r="B2" s="3" t="inlineStr">
        <is>
          <t>'32 E-comm' мастера стр.4 (поставщики) и стр.5 (не поставщики) = сегменты '12 Сегменты' (BiP+ADJ). Итог = APP в '10 PL' (стр.15 check = 0).</t>
        </is>
      </c>
      <c r="C2" s="3" t="inlineStr">
        <is>
          <t>Проверено: старый лист E-Comm брал BiP без ADJ (июль 457,6 ≠ P&amp;L 488,0).</t>
        </is>
      </c>
    </row>
    <row r="3">
      <c r="A3" s="2" t="inlineStr">
        <is>
          <t>Янв–июл</t>
        </is>
      </c>
      <c r="B3" s="3" t="inlineStr">
        <is>
          <t>Не менять (как в исходном файле).</t>
        </is>
      </c>
      <c r="C3" s="3" t="inlineStr"/>
    </row>
    <row r="4">
      <c r="A4" s="2" t="inlineStr">
        <is>
          <t>Авг (факт)</t>
        </is>
      </c>
      <c r="B4" s="3" t="inlineStr">
        <is>
          <t>360,70 / 39,98 = 400,67</t>
        </is>
      </c>
      <c r="C4" s="3" t="inlineStr"/>
    </row>
    <row r="5">
      <c r="A5" s="2" t="inlineStr">
        <is>
          <t>Сен (факт, предв.)</t>
        </is>
      </c>
      <c r="B5" s="3" t="inlineStr">
        <is>
          <t>440,55 / 59,54 = 500,09</t>
        </is>
      </c>
      <c r="C5" s="3" t="inlineStr">
        <is>
          <t>Rev до финальной сверки.</t>
        </is>
      </c>
    </row>
    <row r="6">
      <c r="A6" s="2" t="inlineStr">
        <is>
          <t>Окт (прогноз)</t>
        </is>
      </c>
      <c r="B6" s="3" t="inlineStr">
        <is>
          <t>663,06 / 91,07 × 24/31 = 513,34 / 70,51</t>
        </is>
      </c>
      <c r="C6" s="3" t="inlineStr">
        <is>
          <t>Поправка −7/31 на сбой приложения.</t>
        </is>
      </c>
    </row>
    <row r="7">
      <c r="A7" s="2" t="inlineStr">
        <is>
          <t>Ноя / Дек</t>
        </is>
      </c>
      <c r="B7" s="3" t="inlineStr">
        <is>
          <t>788,09 / 111,46 ; 1 157,95 / 141,43</t>
        </is>
      </c>
      <c r="C7" s="3" t="inlineStr"/>
    </row>
    <row r="8">
      <c r="A8" s="2" t="inlineStr">
        <is>
          <t>Строка 6</t>
        </is>
      </c>
      <c r="B8" s="3" t="inlineStr">
        <is>
          <t>«Признание выручки с не наших РН на РН E-com»: +100 ноя, +100 дек.</t>
        </is>
      </c>
      <c r="C8" s="3" t="inlineStr">
        <is>
          <t>По указанию пользователя; итог (стр.7) = SUM(стр.4:6).</t>
        </is>
      </c>
    </row>
    <row r="9">
      <c r="A9" s="2" t="inlineStr">
        <is>
          <t>Итог 2026</t>
        </is>
      </c>
      <c r="B9" s="3" t="inlineStr">
        <is>
          <t>6 344,8 ≈ 6 345 млн</t>
        </is>
      </c>
      <c r="C9" s="3" t="inlineStr">
        <is>
          <t>Целевое значение пользователя. В MBR-слайдах E-comm = 6 175 (без +200) — расхождение осознанное, уточнить если нужно единообразие.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60" customWidth="1" min="3" max="3"/>
  </cols>
  <sheetData>
    <row r="1">
      <c r="A1" s="1" t="inlineStr">
        <is>
          <t>Элемент</t>
        </is>
      </c>
      <c r="B1" s="1" t="inlineStr">
        <is>
          <t>Правило / источник</t>
        </is>
      </c>
      <c r="C1" s="1" t="inlineStr">
        <is>
          <t>Значения</t>
        </is>
      </c>
    </row>
    <row r="2">
      <c r="A2" s="2" t="inlineStr">
        <is>
          <t>Источник</t>
        </is>
      </c>
      <c r="B2" s="3" t="inlineStr">
        <is>
          <t>'13 Для слайда' мастера v4, помесячные столбцы (T:AE факт/прогноз, AG:AR бюджет ревизии), месяц = 9.</t>
        </is>
      </c>
      <c r="C2" s="3" t="inlineStr"/>
    </row>
    <row r="3">
      <c r="A3" s="2" t="inlineStr">
        <is>
          <t>Слайд 1 бюджет</t>
        </is>
      </c>
      <c r="B3" s="3" t="inlineStr">
        <is>
          <t>РЕВИЗИЯ (по указанию пользователя): '13 Для слайда' AO/N.</t>
        </is>
      </c>
      <c r="C3" s="3" t="inlineStr">
        <is>
          <t>Сен: OPEX −577, EBITDA 83, Increment EBITDA −206, FCF −160.</t>
        </is>
      </c>
    </row>
    <row r="4">
      <c r="A4" s="2" t="inlineStr">
        <is>
          <t>Слайд 2 КПЭ</t>
        </is>
      </c>
      <c r="B4" s="3" t="inlineStr">
        <is>
          <t>Таргеты УТВЕРЖДЁННЫЕ, не трогать: EBITDA 3,17/3,45/4,31; Non-vendor 0,80/1,00/1,20. Триггер ≥92% от 3,45.</t>
        </is>
      </c>
      <c r="C4" s="3" t="inlineStr">
        <is>
          <t>EBITDA КПЭ = EBITDA − E-com/Поставщики/База. Факт 9 мес. 3,05; прогноз 4,75 (138%, 1,5). Non-vendor 0,75 / 1,19 (119%, 1,48).</t>
        </is>
      </c>
    </row>
    <row r="5">
      <c r="A5" s="2" t="inlineStr">
        <is>
          <t>Прогноз 2026</t>
        </is>
      </c>
      <c r="B5" s="3" t="inlineStr">
        <is>
          <t>Факт 9 + прогноз 3 мастера, МИНУС поправка окт. 7/31 по всей выручке.</t>
        </is>
      </c>
      <c r="C5" s="3" t="inlineStr">
        <is>
          <t>Gross 10 543; EBITDA 8 179; E-comm 6 175; Incremental 5 580.</t>
        </is>
      </c>
    </row>
    <row r="6">
      <c r="A6" s="2" t="inlineStr">
        <is>
          <t>Сентябрь 2025</t>
        </is>
      </c>
      <c r="B6" s="3" t="inlineStr">
        <is>
          <t>н/д (в мастерах нет). FY2025 1 745 / −659 / 1 086 — из прошлой версии слайда, не менять без источника.</t>
        </is>
      </c>
      <c r="C6" s="3" t="inlineStr"/>
    </row>
    <row r="7">
      <c r="A7" s="2" t="inlineStr">
        <is>
          <t>Комментарии</t>
        </is>
      </c>
      <c r="B7" s="3" t="inlineStr">
        <is>
          <t>Сен OPEX −75 и CAPEX −423: разовый рекласс ФОТ в CAPEX 180 млн (PEX +180, AT Platform −180).</t>
        </is>
      </c>
      <c r="C7" s="3" t="inlineStr">
        <is>
          <t>Маркетинг факт −106 vs бюджет ревизии −468.</t>
        </is>
      </c>
    </row>
    <row r="8">
      <c r="A8" s="2" t="inlineStr">
        <is>
          <t>Формат</t>
        </is>
      </c>
      <c r="B8" s="3" t="inlineStr">
        <is>
          <t>Числа: |x|&lt;10 → 1 знак; тысячи через неразрывный пробел; % к бюджету = (факт−бюджет)/|бюджет|; |бюджет|&lt;10 → «н/п». Зелёная заливка C6EFCE — улучшение.</t>
        </is>
      </c>
      <c r="C8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60" customWidth="1" min="3" max="3"/>
  </cols>
  <sheetData>
    <row r="1">
      <c r="A1" s="1" t="inlineStr">
        <is>
          <t>Слайд</t>
        </is>
      </c>
      <c r="B1" s="1" t="inlineStr">
        <is>
          <t>Источник</t>
        </is>
      </c>
      <c r="C1" s="1" t="inlineStr">
        <is>
          <t>Замечания для проверки</t>
        </is>
      </c>
    </row>
    <row r="2">
      <c r="A2" s="2" t="inlineStr">
        <is>
          <t>1 Сводка (направления)</t>
        </is>
      </c>
      <c r="B2" s="3" t="inlineStr">
        <is>
          <t>Summary: стр.3,5,10,12,18,20,22 (выручка по направлениям), 24 Gross, 25+26 PEX, 27 Mkt, 30 OPEX, 31 EBITDA, 34 CAPEX, 35 FCF; N=BU, O=FC2026, S=Strategy; Q1–Q4 = сумма месяцев B:M. Incremental = Y24 (CONS).</t>
        </is>
      </c>
      <c r="C2" s="3" t="inlineStr"/>
    </row>
    <row r="3">
      <c r="A3" s="2" t="inlineStr">
        <is>
          <t>2 Сводка (форматы)</t>
        </is>
      </c>
      <c r="B3" s="3" t="inlineStr">
        <is>
          <t>'P&amp;L 2027_Formats' стр.5–12 (E-commerce, ММ, МК, МЭ, МС, МС Лайт, Без формата, Gross).</t>
        </is>
      </c>
      <c r="C3" s="3" t="inlineStr">
        <is>
          <t>Стратегии по форматам нет: только Gross и E-commerce (=APP 7 251).</t>
        </is>
      </c>
    </row>
    <row r="4">
      <c r="A4" s="2" t="inlineStr">
        <is>
          <t>3 Направления</t>
        </is>
      </c>
      <c r="B4" s="3" t="inlineStr">
        <is>
          <t>Summary, доля в Gross; справочно М+ стр.37.</t>
        </is>
      </c>
      <c r="C4" s="3" t="inlineStr"/>
    </row>
    <row r="5">
      <c r="A5" s="2" t="inlineStr">
        <is>
          <t>4 По месяцам</t>
        </is>
      </c>
      <c r="B5" s="3" t="inlineStr">
        <is>
          <t>Summary B:M.</t>
        </is>
      </c>
      <c r="C5" s="3" t="inlineStr">
        <is>
          <t>Профиль выручки единый для всех направлений: 2% янв → 17% дек (P&amp;L 2027 стр.3). Агрессивно — подтвердить.</t>
        </is>
      </c>
    </row>
    <row r="6">
      <c r="A6" s="2" t="inlineStr">
        <is>
          <t>5 Консолидация</t>
        </is>
      </c>
      <c r="B6" s="3" t="inlineStr">
        <is>
          <t>Summary X:AE (CONS BU vs CONS STR).</t>
        </is>
      </c>
      <c r="C6" s="3" t="inlineStr">
        <is>
          <t>EBITDA CONS 500 vs 485; FCF −651 vs −758.</t>
        </is>
      </c>
    </row>
    <row r="7">
      <c r="A7" s="2" t="inlineStr">
        <is>
          <t>Прогноз 2026 в слайдах</t>
        </is>
      </c>
      <c r="B7" s="3" t="inlineStr">
        <is>
          <t>Из модели бюджета (cons 10.09): Gross 10 335.</t>
        </is>
      </c>
      <c r="C7" s="3" t="inlineStr">
        <is>
          <t>Актуальный 9+3 = 10 543 (после поправки окт.). Если нужен актуальный — обновить столбец 2026 FC в модели бюджета.</t>
        </is>
      </c>
    </row>
    <row r="8">
      <c r="A8" s="2" t="inlineStr">
        <is>
          <t>Ключевые отклонения</t>
        </is>
      </c>
      <c r="B8" s="3" t="inlineStr">
        <is>
          <t>Marketing −2 110 vs стратегия −1 330 (−780): интернет −1 000, агентства −795, креаторы −215.</t>
        </is>
      </c>
      <c r="C8" s="3" t="inlineStr">
        <is>
          <t>Подготовить объяснение.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60" customWidth="1" min="3" max="3"/>
  </cols>
  <sheetData>
    <row r="1">
      <c r="A1" s="1" t="inlineStr">
        <is>
          <t>Проблема</t>
        </is>
      </c>
      <c r="B1" s="1" t="inlineStr">
        <is>
          <t>Где</t>
        </is>
      </c>
      <c r="C1" s="1" t="inlineStr">
        <is>
          <t>Влияние / решение</t>
        </is>
      </c>
    </row>
    <row r="2">
      <c r="A2" s="2" t="inlineStr">
        <is>
          <t>E-comm в инкременте янв–июн отчётного свода</t>
        </is>
      </c>
      <c r="B2" s="3" t="inlineStr">
        <is>
          <t>Старый CONS: май/июн = YTD 'ЗФ' стр.101 (с E-comm) − прошлые месяцы.</t>
        </is>
      </c>
      <c r="C2" s="3" t="inlineStr">
        <is>
          <t>~+751 млн E-comm в CM янв–июн. Решение пользователя: старые месяцы НЕ менять.</t>
        </is>
      </c>
    </row>
    <row r="3">
      <c r="A3" s="2" t="inlineStr">
        <is>
          <t>Июнь OPEX в CONS августовского мастера</t>
        </is>
      </c>
      <c r="B3" s="3" t="inlineStr">
        <is>
          <t>G39 = Total!S93 − SUM(B:F): S = YTD 8 мес. → июнь вбирает июль+август (−673 млн).</t>
        </is>
      </c>
      <c r="C3" s="3" t="inlineStr">
        <is>
          <t>Не используется; в своде июнь −244 (верно).</t>
        </is>
      </c>
    </row>
    <row r="4">
      <c r="A4" s="2" t="inlineStr">
        <is>
          <t>Сентябрь предварительный</t>
        </is>
      </c>
      <c r="B4" s="3" t="inlineStr">
        <is>
          <t>01 Config B12=9: выручка = Rev предв., расходы = корп. PL.</t>
        </is>
      </c>
      <c r="C4" s="3" t="inlineStr">
        <is>
          <t>Пересчитать сентябрь после финальной сверки; внести в архив '15 CONS' только после этого.</t>
        </is>
      </c>
    </row>
    <row r="5">
      <c r="A5" s="2" t="inlineStr">
        <is>
          <t>Rev 2025 может обнулиться</t>
        </is>
      </c>
      <c r="B5" s="3" t="inlineStr">
        <is>
          <t>Вычисляемый столбец YTD таблицы BiP.</t>
        </is>
      </c>
      <c r="C5" s="3" t="inlineStr">
        <is>
          <t>Проверка: SUM(YTD) строк Year=2025 должна быть 20 788,3 млн; иначе восстановить из прошлой версии.</t>
        </is>
      </c>
    </row>
    <row r="6">
      <c r="A6" s="2" t="inlineStr">
        <is>
          <t>Прогноз E-comm вырос</t>
        </is>
      </c>
      <c r="B6" s="3" t="inlineStr">
        <is>
          <t>'01 Config' стр.35: новые КА e-com +1 509; настройка стр.52 (чек ниже среднего) выключена (−453 если включить).</t>
        </is>
      </c>
      <c r="C6" s="3" t="inlineStr">
        <is>
          <t>Прогноз APP окт–дек заметно выше старого E-Com файла.</t>
        </is>
      </c>
    </row>
    <row r="7">
      <c r="A7" s="2" t="inlineStr">
        <is>
          <t>%REV расходы при поправке октября</t>
        </is>
      </c>
      <c r="B7" s="3" t="inlineStr">
        <is>
          <t>РА и рекламный сбор не уменьшены вместе с выручкой.</t>
        </is>
      </c>
      <c r="C7" s="3" t="inlineStr">
        <is>
          <t>Если уменьшать: РА −8,6 млн в окт.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60" customWidth="1" min="3" max="3"/>
  </cols>
  <sheetData>
    <row r="1">
      <c r="A1" s="1" t="inlineStr">
        <is>
          <t>Шаг</t>
        </is>
      </c>
      <c r="B1" s="1" t="inlineStr">
        <is>
          <t>Действие</t>
        </is>
      </c>
      <c r="C1" s="1" t="inlineStr">
        <is>
          <t>Проверка</t>
        </is>
      </c>
    </row>
    <row r="2">
      <c r="A2" s="2" t="inlineStr">
        <is>
          <t>1</t>
        </is>
      </c>
      <c r="B2" s="3" t="inlineStr">
        <is>
          <t>Вставить выгрузки в мастер (README мастера, Шаг 1). Новый месяц в Rev — столбцом перед YTD.</t>
        </is>
      </c>
      <c r="C2" s="3" t="inlineStr">
        <is>
          <t>Сразу проверить сумму YTD строк 2025 = 20 788,3 млн.</t>
        </is>
      </c>
    </row>
    <row r="3">
      <c r="A3" s="2" t="inlineStr">
        <is>
          <t>2</t>
        </is>
      </c>
      <c r="B3" s="3" t="inlineStr">
        <is>
          <t>'01 Config' B6 = закрытый месяц (B12 — предфакт).</t>
        </is>
      </c>
      <c r="C3" s="3" t="inlineStr">
        <is>
          <t>'16 Проверки' без «ПРОВЕРИТЬ»; '15 CONS' стр.67 = 0.</t>
        </is>
      </c>
    </row>
    <row r="4">
      <c r="A4" s="2" t="inlineStr">
        <is>
          <t>3</t>
        </is>
      </c>
      <c r="B4" s="3" t="inlineStr">
        <is>
          <t>Свод: новый месяц = '15 CONS' (стр.20 CM, 30 GM, 34–59 OPEX, 64 EBITDA) или формулы листа 02.</t>
        </is>
      </c>
      <c r="C4" s="3" t="inlineStr">
        <is>
          <t>Отчётные месяцы не менять; поправки «поверх» — только в своде, с пометкой.</t>
        </is>
      </c>
    </row>
    <row r="5">
      <c r="A5" s="2" t="inlineStr">
        <is>
          <t>4</t>
        </is>
      </c>
      <c r="B5" s="3" t="inlineStr">
        <is>
          <t>После отправки свода — вставить месяц значениями в '15 CONS' стр.81–87 (архив).</t>
        </is>
      </c>
      <c r="C5" s="3" t="inlineStr">
        <is>
          <t>Стр.89–90 = 0 для нового месяца.</t>
        </is>
      </c>
    </row>
    <row r="6">
      <c r="A6" s="2" t="inlineStr">
        <is>
          <t>5</t>
        </is>
      </c>
      <c r="B6" s="3" t="inlineStr">
        <is>
          <t>E-Com: '32 E-comm' стр.4–5 для нового факта и прогноза.</t>
        </is>
      </c>
      <c r="C6" s="3" t="inlineStr">
        <is>
          <t>Итог = APP '10 PL'; учесть ручные строки (признание с других РН).</t>
        </is>
      </c>
    </row>
    <row r="7">
      <c r="A7" s="2" t="inlineStr">
        <is>
          <t>6</t>
        </is>
      </c>
      <c r="B7" s="3" t="inlineStr">
        <is>
          <t>Слайды: '13 Для слайда' (месяц), бюджет слайда 1 — ревизия, КПЭ — утверждённые таргеты.</t>
        </is>
      </c>
      <c r="C7" s="3" t="inlineStr">
        <is>
          <t>EBITDA = Gross + OPEX(вкл. Direct cost); сверить FY с '10 PL'.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60" customWidth="1" min="3" max="3"/>
  </cols>
  <sheetData>
    <row r="1">
      <c r="A1" s="1" t="inlineStr">
        <is>
          <t>Вопрос</t>
        </is>
      </c>
      <c r="B1" s="1" t="inlineStr">
        <is>
          <t>Текущее решение</t>
        </is>
      </c>
      <c r="C1" s="1" t="inlineStr">
        <is>
          <t>Кто решает</t>
        </is>
      </c>
    </row>
    <row r="2">
      <c r="A2" s="2" t="inlineStr">
        <is>
          <t>Уменьшать ли %REV-расходы (РА, рекл. сбор) в октябре вместе с выручкой?</t>
        </is>
      </c>
      <c r="B2" s="3" t="inlineStr">
        <is>
          <t>Нет (только выручка).</t>
        </is>
      </c>
      <c r="C2" s="3" t="inlineStr">
        <is>
          <t>Пользователь</t>
        </is>
      </c>
    </row>
    <row r="3">
      <c r="A3" s="2" t="inlineStr">
        <is>
          <t>Отражать ли +200 «признание с не наших РН» в MBR-слайдах и своде?</t>
        </is>
      </c>
      <c r="B3" s="3" t="inlineStr">
        <is>
          <t>Только в E-Com файле.</t>
        </is>
      </c>
      <c r="C3" s="3" t="inlineStr">
        <is>
          <t>Пользователь</t>
        </is>
      </c>
    </row>
    <row r="4">
      <c r="A4" s="2" t="inlineStr">
        <is>
          <t>Сравнение бюджета 2027 с актуальным прогнозом 2026 (10 543) вместо 10 335 модели?</t>
        </is>
      </c>
      <c r="B4" s="3" t="inlineStr">
        <is>
          <t>Оставлено 10 335 (из модели бюджета).</t>
        </is>
      </c>
      <c r="C4" s="3" t="inlineStr">
        <is>
          <t>Пользователь</t>
        </is>
      </c>
    </row>
    <row r="5">
      <c r="A5" s="2" t="inlineStr">
        <is>
          <t>Данные сентября 2025 для MBR</t>
        </is>
      </c>
      <c r="B5" s="3" t="inlineStr">
        <is>
          <t>н/д.</t>
        </is>
      </c>
      <c r="C5" s="3" t="inlineStr">
        <is>
          <t>Пользователь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60" customWidth="1" min="3" max="3"/>
  </cols>
  <sheetData>
    <row r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Где проверить</t>
        </is>
      </c>
    </row>
    <row r="2">
      <c r="A2" s="2" t="inlineStr">
        <is>
          <t>Июль CM свода</t>
        </is>
      </c>
      <c r="B2" s="3" t="inlineStr">
        <is>
          <t>261 366 316 руб.</t>
        </is>
      </c>
      <c r="C2" s="3">
        <f> 'FC Summary'!H15 (авг. мастер) 287 937 837 + РА −26 571 520</f>
        <v/>
      </c>
    </row>
    <row r="3">
      <c r="A3" s="2" t="inlineStr">
        <is>
          <t>Свод авг: CM / OPEX / EBITDA</t>
        </is>
      </c>
      <c r="B3" s="3" t="inlineStr">
        <is>
          <t>253,41 / −204,58 / 48,84 млн</t>
        </is>
      </c>
      <c r="C3" s="3" t="inlineStr"/>
    </row>
    <row r="4">
      <c r="A4" s="2" t="inlineStr">
        <is>
          <t>Свод сен: CM / OPEX / EBITDA</t>
        </is>
      </c>
      <c r="B4" s="3" t="inlineStr">
        <is>
          <t>434,09 / −73,69 / 360,40 млн</t>
        </is>
      </c>
      <c r="C4" s="3" t="inlineStr">
        <is>
          <t>PEX admin +44,82 (рекласс ФОТ +180)</t>
        </is>
      </c>
    </row>
    <row r="5">
      <c r="A5" s="2" t="inlineStr">
        <is>
          <t>Свод окт: CM / EBITDA</t>
        </is>
      </c>
      <c r="B5" s="3" t="inlineStr">
        <is>
          <t>187,71 / −39,10 млн</t>
        </is>
      </c>
      <c r="C5" s="3" t="inlineStr">
        <is>
          <t>после −7/31 (−65,84)</t>
        </is>
      </c>
    </row>
    <row r="6">
      <c r="A6" s="2" t="inlineStr">
        <is>
          <t>Свод ноя / дек CM</t>
        </is>
      </c>
      <c r="B6" s="3" t="inlineStr">
        <is>
          <t>302,72 / 393,07 млн</t>
        </is>
      </c>
      <c r="C6" s="3" t="inlineStr"/>
    </row>
    <row r="7">
      <c r="A7" s="2" t="inlineStr">
        <is>
          <t>Rev 2025 итог</t>
        </is>
      </c>
      <c r="B7" s="3" t="inlineStr">
        <is>
          <t>20 788,3 млн (АТ 4 999,6)</t>
        </is>
      </c>
      <c r="C7" s="3" t="inlineStr"/>
    </row>
    <row r="8">
      <c r="A8" s="2" t="inlineStr">
        <is>
          <t>E-Com 2026 итог</t>
        </is>
      </c>
      <c r="B8" s="3" t="inlineStr">
        <is>
          <t>6 344,8 млн</t>
        </is>
      </c>
      <c r="C8" s="3" t="inlineStr">
        <is>
          <t>с +200 признания</t>
        </is>
      </c>
    </row>
    <row r="9">
      <c r="A9" s="2" t="inlineStr">
        <is>
          <t>MBR FY 2026 (после поправки)</t>
        </is>
      </c>
      <c r="B9" s="3" t="inlineStr">
        <is>
          <t>Gross 10 543; EBITDA 8 179; КПЭ EBITDA 4,75 млрд</t>
        </is>
      </c>
      <c r="C9" s="3" t="inlineStr"/>
    </row>
    <row r="10">
      <c r="A10" s="2" t="inlineStr">
        <is>
          <t>Бюджет 2027</t>
        </is>
      </c>
      <c r="B10" s="3" t="inlineStr">
        <is>
          <t>Gross 14 747; OPEX −3 781; EBITDA 10 966; CAPEX −1 151; FCF 9 815</t>
        </is>
      </c>
      <c r="C10" s="3" t="inlineStr">
        <is>
          <t>Summary модели бюджета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2026-10-14T13:49:53Z</dcterms:created>
  <dcterms:modified xmlns:dcterms="http://purl.org/dc/terms/" xmlns:xsi="http://www.w3.org/2001/XMLSchema-instance" xsi:type="dcterms:W3CDTF">2026-10-14T13:49:53Z</dcterms:modified>
</cp:coreProperties>
</file>