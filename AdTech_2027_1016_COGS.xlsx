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babkin_dv/Downloads/"/>
    </mc:Choice>
  </mc:AlternateContent>
  <xr:revisionPtr revIDLastSave="0" documentId="8_{AE43BB34-B16F-E24F-979F-82356CC2A154}" xr6:coauthVersionLast="47" xr6:coauthVersionMax="47" xr10:uidLastSave="{00000000-0000-0000-0000-000000000000}"/>
  <bookViews>
    <workbookView xWindow="0" yWindow="780" windowWidth="34200" windowHeight="19920" tabRatio="913" xr2:uid="{00000000-000D-0000-FFFF-FFFF00000000}"/>
  </bookViews>
  <sheets>
    <sheet name="Summary" sheetId="16" r:id="rId1"/>
    <sheet name="P&amp;L 2027" sheetId="22" r:id="rId2"/>
    <sheet name="P&amp;L 2027_AdvInventory" sheetId="3" r:id="rId3"/>
    <sheet name="P&amp;L 2027_Formats" sheetId="20" r:id="rId4"/>
    <sheet name="Вводные" sheetId="5" r:id="rId5"/>
    <sheet name="DATA" sheetId="6" r:id="rId6"/>
    <sheet name="ПРАЙС" sheetId="7" r:id="rId7"/>
    <sheet name="APP Медиа" sheetId="8" r:id="rId8"/>
    <sheet name="APP Перформанс" sheetId="9" r:id="rId9"/>
    <sheet name="In-store" sheetId="10" r:id="rId10"/>
    <sheet name="DMP" sheetId="11" r:id="rId11"/>
    <sheet name="Content factory" sheetId="12" r:id="rId12"/>
    <sheet name="RMN" sheetId="13" r:id="rId13"/>
    <sheet name="Расходы" sheetId="17" r:id="rId14"/>
    <sheet name="М+ справочно" sheetId="15" r:id="rId15"/>
    <sheet name="Потребности" sheetId="18" r:id="rId16"/>
    <sheet name="PEX" sheetId="19" r:id="rId17"/>
    <sheet name="RevSplit" sheetId="21" r:id="rId18"/>
  </sheets>
  <definedNames>
    <definedName name="_" hidden="1">#REF!</definedName>
    <definedName name="__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" hidden="1">#REF!</definedName>
    <definedName name="______________________" hidden="1">#REF!</definedName>
    <definedName name="________________________________________rwn10" hidden="1">{#N/A,#N/A,FALSE,"Aging Summary";#N/A,#N/A,FALSE,"Ratio Analysis";#N/A,#N/A,FALSE,"Test 120 Day Accts";#N/A,#N/A,FALSE,"Tickmarks"}</definedName>
    <definedName name="________________________________________rwn3" hidden="1">{"assets",#N/A,FALSE,"historicBS";"liab",#N/A,FALSE,"historicBS";"is",#N/A,FALSE,"historicIS";"ratios",#N/A,FALSE,"ratios"}</definedName>
    <definedName name="________________________________________rwn4" hidden="1">{"assets",#N/A,FALSE,"historicBS";"liab",#N/A,FALSE,"historicBS";"is",#N/A,FALSE,"historicIS";"ratios",#N/A,FALSE,"ratios"}</definedName>
    <definedName name="________________________________________rwn5" hidden="1">{"glcbs",#N/A,FALSE,"GLCBS";"glccsbs",#N/A,FALSE,"GLCCSBS";"glcis",#N/A,FALSE,"GLCIS";"glccsis",#N/A,FALSE,"GLCCSIS";"glcrat1",#N/A,FALSE,"GLC-ratios1"}</definedName>
    <definedName name="________________________________________rwn6" hidden="1">{"glc1",#N/A,FALSE,"GLC";"glc2",#N/A,FALSE,"GLC";"glc3",#N/A,FALSE,"GLC";"glc4",#N/A,FALSE,"GLC";"glc5",#N/A,FALSE,"GLC"}</definedName>
    <definedName name="__________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_____rwn8" hidden="1">{"glc1",#N/A,FALSE,"GLC";"glc2",#N/A,FALSE,"GLC";"glc3",#N/A,FALSE,"GLC";"glc4",#N/A,FALSE,"GLC";"glc5",#N/A,FALSE,"GLC"}</definedName>
    <definedName name="__________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_____wrn2" hidden="1">{"glc1",#N/A,FALSE,"GLC";"glc2",#N/A,FALSE,"GLC";"glc3",#N/A,FALSE,"GLC";"glc4",#N/A,FALSE,"GLC";"glc5",#N/A,FALSE,"GLC"}</definedName>
    <definedName name="_______________________________________rwn1" hidden="1">{#N/A,#N/A,FALSE,"Aging Summary";#N/A,#N/A,FALSE,"Ratio Analysis";#N/A,#N/A,FALSE,"Test 120 Day Accts";#N/A,#N/A,FALSE,"Tickmarks"}</definedName>
    <definedName name="______________________________________rwb2" hidden="1">{#N/A,#N/A,FALSE,"Aging Summary";#N/A,#N/A,FALSE,"Ratio Analysis";#N/A,#N/A,FALSE,"Test 120 Day Accts";#N/A,#N/A,FALSE,"Tickmarks"}</definedName>
    <definedName name="______________________________________rwn10" hidden="1">{#N/A,#N/A,FALSE,"Aging Summary";#N/A,#N/A,FALSE,"Ratio Analysis";#N/A,#N/A,FALSE,"Test 120 Day Accts";#N/A,#N/A,FALSE,"Tickmarks"}</definedName>
    <definedName name="______________________________________rwn3" hidden="1">{"assets",#N/A,FALSE,"historicBS";"liab",#N/A,FALSE,"historicBS";"is",#N/A,FALSE,"historicIS";"ratios",#N/A,FALSE,"ratios"}</definedName>
    <definedName name="______________________________________rwn4" hidden="1">{"assets",#N/A,FALSE,"historicBS";"liab",#N/A,FALSE,"historicBS";"is",#N/A,FALSE,"historicIS";"ratios",#N/A,FALSE,"ratios"}</definedName>
    <definedName name="______________________________________rwn5" hidden="1">{"glcbs",#N/A,FALSE,"GLCBS";"glccsbs",#N/A,FALSE,"GLCCSBS";"glcis",#N/A,FALSE,"GLCIS";"glccsis",#N/A,FALSE,"GLCCSIS";"glcrat1",#N/A,FALSE,"GLC-ratios1"}</definedName>
    <definedName name="______________________________________rwn6" hidden="1">{"glc1",#N/A,FALSE,"GLC";"glc2",#N/A,FALSE,"GLC";"glc3",#N/A,FALSE,"GLC";"glc4",#N/A,FALSE,"GLC";"glc5",#N/A,FALSE,"GLC"}</definedName>
    <definedName name="________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___rwn8" hidden="1">{"glc1",#N/A,FALSE,"GLC";"glc2",#N/A,FALSE,"GLC";"glc3",#N/A,FALSE,"GLC";"glc4",#N/A,FALSE,"GLC";"glc5",#N/A,FALSE,"GLC"}</definedName>
    <definedName name="________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___wrn2" hidden="1">{"glc1",#N/A,FALSE,"GLC";"glc2",#N/A,FALSE,"GLC";"glc3",#N/A,FALSE,"GLC";"glc4",#N/A,FALSE,"GLC";"glc5",#N/A,FALSE,"GLC"}</definedName>
    <definedName name="_____________________________________rwn1" hidden="1">{#N/A,#N/A,FALSE,"Aging Summary";#N/A,#N/A,FALSE,"Ratio Analysis";#N/A,#N/A,FALSE,"Test 120 Day Accts";#N/A,#N/A,FALSE,"Tickmarks"}</definedName>
    <definedName name="____________________________________rwb2" hidden="1">{#N/A,#N/A,FALSE,"Aging Summary";#N/A,#N/A,FALSE,"Ratio Analysis";#N/A,#N/A,FALSE,"Test 120 Day Accts";#N/A,#N/A,FALSE,"Tickmarks"}</definedName>
    <definedName name="___________________________________rwn10" hidden="1">{#N/A,#N/A,FALSE,"Aging Summary";#N/A,#N/A,FALSE,"Ratio Analysis";#N/A,#N/A,FALSE,"Test 120 Day Accts";#N/A,#N/A,FALSE,"Tickmarks"}</definedName>
    <definedName name="___________________________________rwn3" hidden="1">{"assets",#N/A,FALSE,"historicBS";"liab",#N/A,FALSE,"historicBS";"is",#N/A,FALSE,"historicIS";"ratios",#N/A,FALSE,"ratios"}</definedName>
    <definedName name="___________________________________rwn4" hidden="1">{"assets",#N/A,FALSE,"historicBS";"liab",#N/A,FALSE,"historicBS";"is",#N/A,FALSE,"historicIS";"ratios",#N/A,FALSE,"ratios"}</definedName>
    <definedName name="___________________________________rwn5" hidden="1">{"glcbs",#N/A,FALSE,"GLCBS";"glccsbs",#N/A,FALSE,"GLCCSBS";"glcis",#N/A,FALSE,"GLCIS";"glccsis",#N/A,FALSE,"GLCCSIS";"glcrat1",#N/A,FALSE,"GLC-ratios1"}</definedName>
    <definedName name="___________________________________rwn6" hidden="1">{"glc1",#N/A,FALSE,"GLC";"glc2",#N/A,FALSE,"GLC";"glc3",#N/A,FALSE,"GLC";"glc4",#N/A,FALSE,"GLC";"glc5",#N/A,FALSE,"GLC"}</definedName>
    <definedName name="_____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rwn8" hidden="1">{"glc1",#N/A,FALSE,"GLC";"glc2",#N/A,FALSE,"GLC";"glc3",#N/A,FALSE,"GLC";"glc4",#N/A,FALSE,"GLC";"glc5",#N/A,FALSE,"GLC"}</definedName>
    <definedName name="_____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____wrn2" hidden="1">{"glc1",#N/A,FALSE,"GLC";"glc2",#N/A,FALSE,"GLC";"glc3",#N/A,FALSE,"GLC";"glc4",#N/A,FALSE,"GLC";"glc5",#N/A,FALSE,"GLC"}</definedName>
    <definedName name="__________________________________rwn1" hidden="1">{#N/A,#N/A,FALSE,"Aging Summary";#N/A,#N/A,FALSE,"Ratio Analysis";#N/A,#N/A,FALSE,"Test 120 Day Accts";#N/A,#N/A,FALSE,"Tickmarks"}</definedName>
    <definedName name="_________________________________rwb2" hidden="1">{#N/A,#N/A,FALSE,"Aging Summary";#N/A,#N/A,FALSE,"Ratio Analysis";#N/A,#N/A,FALSE,"Test 120 Day Accts";#N/A,#N/A,FALSE,"Tickmarks"}</definedName>
    <definedName name="_______________________________rwn10" hidden="1">{#N/A,#N/A,FALSE,"Aging Summary";#N/A,#N/A,FALSE,"Ratio Analysis";#N/A,#N/A,FALSE,"Test 120 Day Accts";#N/A,#N/A,FALSE,"Tickmarks"}</definedName>
    <definedName name="_______________________________rwn3" hidden="1">{"assets",#N/A,FALSE,"historicBS";"liab",#N/A,FALSE,"historicBS";"is",#N/A,FALSE,"historicIS";"ratios",#N/A,FALSE,"ratios"}</definedName>
    <definedName name="_______________________________rwn4" hidden="1">{"assets",#N/A,FALSE,"historicBS";"liab",#N/A,FALSE,"historicBS";"is",#N/A,FALSE,"historicIS";"ratios",#N/A,FALSE,"ratios"}</definedName>
    <definedName name="_______________________________rwn5" hidden="1">{"glcbs",#N/A,FALSE,"GLCBS";"glccsbs",#N/A,FALSE,"GLCCSBS";"glcis",#N/A,FALSE,"GLCIS";"glccsis",#N/A,FALSE,"GLCCSIS";"glcrat1",#N/A,FALSE,"GLC-ratios1"}</definedName>
    <definedName name="_______________________________rwn6" hidden="1">{"glc1",#N/A,FALSE,"GLC";"glc2",#N/A,FALSE,"GLC";"glc3",#N/A,FALSE,"GLC";"glc4",#N/A,FALSE,"GLC";"glc5",#N/A,FALSE,"GLC"}</definedName>
    <definedName name="_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rwn8" hidden="1">{"glc1",#N/A,FALSE,"GLC";"glc2",#N/A,FALSE,"GLC";"glc3",#N/A,FALSE,"GLC";"glc4",#N/A,FALSE,"GLC";"glc5",#N/A,FALSE,"GLC"}</definedName>
    <definedName name="_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_wrn2" hidden="1">{"glc1",#N/A,FALSE,"GLC";"glc2",#N/A,FALSE,"GLC";"glc3",#N/A,FALSE,"GLC";"glc4",#N/A,FALSE,"GLC";"glc5",#N/A,FALSE,"GLC"}</definedName>
    <definedName name="______________________________rwn1" hidden="1">{#N/A,#N/A,FALSE,"Aging Summary";#N/A,#N/A,FALSE,"Ratio Analysis";#N/A,#N/A,FALSE,"Test 120 Day Accts";#N/A,#N/A,FALSE,"Tickmarks"}</definedName>
    <definedName name="______________________________rwn10" hidden="1">{#N/A,#N/A,FALSE,"Aging Summary";#N/A,#N/A,FALSE,"Ratio Analysis";#N/A,#N/A,FALSE,"Test 120 Day Accts";#N/A,#N/A,FALSE,"Tickmarks"}</definedName>
    <definedName name="______________________________rwn3" hidden="1">{"assets",#N/A,FALSE,"historicBS";"liab",#N/A,FALSE,"historicBS";"is",#N/A,FALSE,"historicIS";"ratios",#N/A,FALSE,"ratios"}</definedName>
    <definedName name="______________________________rwn4" hidden="1">{"assets",#N/A,FALSE,"historicBS";"liab",#N/A,FALSE,"historicBS";"is",#N/A,FALSE,"historicIS";"ratios",#N/A,FALSE,"ratios"}</definedName>
    <definedName name="______________________________rwn5" hidden="1">{"glcbs",#N/A,FALSE,"GLCBS";"glccsbs",#N/A,FALSE,"GLCCSBS";"glcis",#N/A,FALSE,"GLCIS";"glccsis",#N/A,FALSE,"GLCCSIS";"glcrat1",#N/A,FALSE,"GLC-ratios1"}</definedName>
    <definedName name="______________________________rwn6" hidden="1">{"glc1",#N/A,FALSE,"GLC";"glc2",#N/A,FALSE,"GLC";"glc3",#N/A,FALSE,"GLC";"glc4",#N/A,FALSE,"GLC";"glc5",#N/A,FALSE,"GLC"}</definedName>
    <definedName name="_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rwn8" hidden="1">{"glc1",#N/A,FALSE,"GLC";"glc2",#N/A,FALSE,"GLC";"glc3",#N/A,FALSE,"GLC";"glc4",#N/A,FALSE,"GLC";"glc5",#N/A,FALSE,"GLC"}</definedName>
    <definedName name="_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_wrn2" hidden="1">{"glc1",#N/A,FALSE,"GLC";"glc2",#N/A,FALSE,"GLC";"glc3",#N/A,FALSE,"GLC";"glc4",#N/A,FALSE,"GLC";"glc5",#N/A,FALSE,"GLC"}</definedName>
    <definedName name="_____________________________rwb2" hidden="1">{#N/A,#N/A,FALSE,"Aging Summary";#N/A,#N/A,FALSE,"Ratio Analysis";#N/A,#N/A,FALSE,"Test 120 Day Accts";#N/A,#N/A,FALSE,"Tickmarks"}</definedName>
    <definedName name="_____________________________rwn1" hidden="1">{#N/A,#N/A,FALSE,"Aging Summary";#N/A,#N/A,FALSE,"Ratio Analysis";#N/A,#N/A,FALSE,"Test 120 Day Accts";#N/A,#N/A,FALSE,"Tickmarks"}</definedName>
    <definedName name="_____________________________rwn10" hidden="1">{#N/A,#N/A,FALSE,"Aging Summary";#N/A,#N/A,FALSE,"Ratio Analysis";#N/A,#N/A,FALSE,"Test 120 Day Accts";#N/A,#N/A,FALSE,"Tickmarks"}</definedName>
    <definedName name="_____________________________rwn3" hidden="1">{"assets",#N/A,FALSE,"historicBS";"liab",#N/A,FALSE,"historicBS";"is",#N/A,FALSE,"historicIS";"ratios",#N/A,FALSE,"ratios"}</definedName>
    <definedName name="_____________________________rwn4" hidden="1">{"assets",#N/A,FALSE,"historicBS";"liab",#N/A,FALSE,"historicBS";"is",#N/A,FALSE,"historicIS";"ratios",#N/A,FALSE,"ratios"}</definedName>
    <definedName name="_____________________________rwn5" hidden="1">{"glcbs",#N/A,FALSE,"GLCBS";"glccsbs",#N/A,FALSE,"GLCCSBS";"glcis",#N/A,FALSE,"GLCIS";"glccsis",#N/A,FALSE,"GLCCSIS";"glcrat1",#N/A,FALSE,"GLC-ratios1"}</definedName>
    <definedName name="_____________________________rwn6" hidden="1">{"glc1",#N/A,FALSE,"GLC";"glc2",#N/A,FALSE,"GLC";"glc3",#N/A,FALSE,"GLC";"glc4",#N/A,FALSE,"GLC";"glc5",#N/A,FALSE,"GLC"}</definedName>
    <definedName name="_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rwn8" hidden="1">{"glc1",#N/A,FALSE,"GLC";"glc2",#N/A,FALSE,"GLC";"glc3",#N/A,FALSE,"GLC";"glc4",#N/A,FALSE,"GLC";"glc5",#N/A,FALSE,"GLC"}</definedName>
    <definedName name="_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_wrn2" hidden="1">{"glc1",#N/A,FALSE,"GLC";"glc2",#N/A,FALSE,"GLC";"glc3",#N/A,FALSE,"GLC";"glc4",#N/A,FALSE,"GLC";"glc5",#N/A,FALSE,"GLC"}</definedName>
    <definedName name="_____________________________wrn222" hidden="1">{"glc1",#N/A,FALSE,"GLC";"glc2",#N/A,FALSE,"GLC";"glc3",#N/A,FALSE,"GLC";"glc4",#N/A,FALSE,"GLC";"glc5",#N/A,FALSE,"GLC"}</definedName>
    <definedName name="____________________________rwb2" hidden="1">{#N/A,#N/A,FALSE,"Aging Summary";#N/A,#N/A,FALSE,"Ratio Analysis";#N/A,#N/A,FALSE,"Test 120 Day Accts";#N/A,#N/A,FALSE,"Tickmarks"}</definedName>
    <definedName name="____________________________rwn1" hidden="1">{#N/A,#N/A,FALSE,"Aging Summary";#N/A,#N/A,FALSE,"Ratio Analysis";#N/A,#N/A,FALSE,"Test 120 Day Accts";#N/A,#N/A,FALSE,"Tickmarks"}</definedName>
    <definedName name="____________________________rwn10" hidden="1">{#N/A,#N/A,FALSE,"Aging Summary";#N/A,#N/A,FALSE,"Ratio Analysis";#N/A,#N/A,FALSE,"Test 120 Day Accts";#N/A,#N/A,FALSE,"Tickmarks"}</definedName>
    <definedName name="____________________________rwn3" hidden="1">{"assets",#N/A,FALSE,"historicBS";"liab",#N/A,FALSE,"historicBS";"is",#N/A,FALSE,"historicIS";"ratios",#N/A,FALSE,"ratios"}</definedName>
    <definedName name="____________________________rwn4" hidden="1">{"assets",#N/A,FALSE,"historicBS";"liab",#N/A,FALSE,"historicBS";"is",#N/A,FALSE,"historicIS";"ratios",#N/A,FALSE,"ratios"}</definedName>
    <definedName name="____________________________rwn5" hidden="1">{"glcbs",#N/A,FALSE,"GLCBS";"glccsbs",#N/A,FALSE,"GLCCSBS";"glcis",#N/A,FALSE,"GLCIS";"glccsis",#N/A,FALSE,"GLCCSIS";"glcrat1",#N/A,FALSE,"GLC-ratios1"}</definedName>
    <definedName name="____________________________rwn6" hidden="1">{"glc1",#N/A,FALSE,"GLC";"glc2",#N/A,FALSE,"GLC";"glc3",#N/A,FALSE,"GLC";"glc4",#N/A,FALSE,"GLC";"glc5",#N/A,FALSE,"GLC"}</definedName>
    <definedName name="_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rwn8" hidden="1">{"glc1",#N/A,FALSE,"GLC";"glc2",#N/A,FALSE,"GLC";"glc3",#N/A,FALSE,"GLC";"glc4",#N/A,FALSE,"GLC";"glc5",#N/A,FALSE,"GLC"}</definedName>
    <definedName name="_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_wrn2" hidden="1">{"glc1",#N/A,FALSE,"GLC";"glc2",#N/A,FALSE,"GLC";"glc3",#N/A,FALSE,"GLC";"glc4",#N/A,FALSE,"GLC";"glc5",#N/A,FALSE,"GLC"}</definedName>
    <definedName name="___________________________rwb2" hidden="1">{#N/A,#N/A,FALSE,"Aging Summary";#N/A,#N/A,FALSE,"Ratio Analysis";#N/A,#N/A,FALSE,"Test 120 Day Accts";#N/A,#N/A,FALSE,"Tickmarks"}</definedName>
    <definedName name="___________________________rwn1" hidden="1">{#N/A,#N/A,FALSE,"Aging Summary";#N/A,#N/A,FALSE,"Ratio Analysis";#N/A,#N/A,FALSE,"Test 120 Day Accts";#N/A,#N/A,FALSE,"Tickmarks"}</definedName>
    <definedName name="___________________________rwn10" hidden="1">{#N/A,#N/A,FALSE,"Aging Summary";#N/A,#N/A,FALSE,"Ratio Analysis";#N/A,#N/A,FALSE,"Test 120 Day Accts";#N/A,#N/A,FALSE,"Tickmarks"}</definedName>
    <definedName name="___________________________rwn3" hidden="1">{"assets",#N/A,FALSE,"historicBS";"liab",#N/A,FALSE,"historicBS";"is",#N/A,FALSE,"historicIS";"ratios",#N/A,FALSE,"ratios"}</definedName>
    <definedName name="___________________________rwn4" hidden="1">{"assets",#N/A,FALSE,"historicBS";"liab",#N/A,FALSE,"historicBS";"is",#N/A,FALSE,"historicIS";"ratios",#N/A,FALSE,"ratios"}</definedName>
    <definedName name="___________________________rwn5" hidden="1">{"glcbs",#N/A,FALSE,"GLCBS";"glccsbs",#N/A,FALSE,"GLCCSBS";"glcis",#N/A,FALSE,"GLCIS";"glccsis",#N/A,FALSE,"GLCCSIS";"glcrat1",#N/A,FALSE,"GLC-ratios1"}</definedName>
    <definedName name="___________________________rwn6" hidden="1">{"glc1",#N/A,FALSE,"GLC";"glc2",#N/A,FALSE,"GLC";"glc3",#N/A,FALSE,"GLC";"glc4",#N/A,FALSE,"GLC";"glc5",#N/A,FALSE,"GLC"}</definedName>
    <definedName name="_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rwn8" hidden="1">{"glc1",#N/A,FALSE,"GLC";"glc2",#N/A,FALSE,"GLC";"glc3",#N/A,FALSE,"GLC";"glc4",#N/A,FALSE,"GLC";"glc5",#N/A,FALSE,"GLC"}</definedName>
    <definedName name="_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_wrn2" hidden="1">{"glc1",#N/A,FALSE,"GLC";"glc2",#N/A,FALSE,"GLC";"glc3",#N/A,FALSE,"GLC";"glc4",#N/A,FALSE,"GLC";"glc5",#N/A,FALSE,"GLC"}</definedName>
    <definedName name="___________________________wrn222" hidden="1">{"glc1",#N/A,FALSE,"GLC";"glc2",#N/A,FALSE,"GLC";"glc3",#N/A,FALSE,"GLC";"glc4",#N/A,FALSE,"GLC";"glc5",#N/A,FALSE,"GLC"}</definedName>
    <definedName name="__________________________rwb2" hidden="1">{#N/A,#N/A,FALSE,"Aging Summary";#N/A,#N/A,FALSE,"Ratio Analysis";#N/A,#N/A,FALSE,"Test 120 Day Accts";#N/A,#N/A,FALSE,"Tickmarks"}</definedName>
    <definedName name="__________________________rwn1" hidden="1">{#N/A,#N/A,FALSE,"Aging Summary";#N/A,#N/A,FALSE,"Ratio Analysis";#N/A,#N/A,FALSE,"Test 120 Day Accts";#N/A,#N/A,FALSE,"Tickmarks"}</definedName>
    <definedName name="__________________________rwn10" hidden="1">{#N/A,#N/A,FALSE,"Aging Summary";#N/A,#N/A,FALSE,"Ratio Analysis";#N/A,#N/A,FALSE,"Test 120 Day Accts";#N/A,#N/A,FALSE,"Tickmarks"}</definedName>
    <definedName name="__________________________rwn3" hidden="1">{"assets",#N/A,FALSE,"historicBS";"liab",#N/A,FALSE,"historicBS";"is",#N/A,FALSE,"historicIS";"ratios",#N/A,FALSE,"ratios"}</definedName>
    <definedName name="__________________________rwn4" hidden="1">{"assets",#N/A,FALSE,"historicBS";"liab",#N/A,FALSE,"historicBS";"is",#N/A,FALSE,"historicIS";"ratios",#N/A,FALSE,"ratios"}</definedName>
    <definedName name="__________________________rwn5" hidden="1">{"glcbs",#N/A,FALSE,"GLCBS";"glccsbs",#N/A,FALSE,"GLCCSBS";"glcis",#N/A,FALSE,"GLCIS";"glccsis",#N/A,FALSE,"GLCCSIS";"glcrat1",#N/A,FALSE,"GLC-ratios1"}</definedName>
    <definedName name="__________________________rwn6" hidden="1">{"glc1",#N/A,FALSE,"GLC";"glc2",#N/A,FALSE,"GLC";"glc3",#N/A,FALSE,"GLC";"glc4",#N/A,FALSE,"GLC";"glc5",#N/A,FALSE,"GLC"}</definedName>
    <definedName name="_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rwn8" hidden="1">{"glc1",#N/A,FALSE,"GLC";"glc2",#N/A,FALSE,"GLC";"glc3",#N/A,FALSE,"GLC";"glc4",#N/A,FALSE,"GLC";"glc5",#N/A,FALSE,"GLC"}</definedName>
    <definedName name="_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_wrn2" hidden="1">{"glc1",#N/A,FALSE,"GLC";"glc2",#N/A,FALSE,"GLC";"glc3",#N/A,FALSE,"GLC";"glc4",#N/A,FALSE,"GLC";"glc5",#N/A,FALSE,"GLC"}</definedName>
    <definedName name="_________________________rwb2" hidden="1">{#N/A,#N/A,FALSE,"Aging Summary";#N/A,#N/A,FALSE,"Ratio Analysis";#N/A,#N/A,FALSE,"Test 120 Day Accts";#N/A,#N/A,FALSE,"Tickmarks"}</definedName>
    <definedName name="_________________________rwn1" hidden="1">{#N/A,#N/A,FALSE,"Aging Summary";#N/A,#N/A,FALSE,"Ratio Analysis";#N/A,#N/A,FALSE,"Test 120 Day Accts";#N/A,#N/A,FALSE,"Tickmarks"}</definedName>
    <definedName name="_________________________rwn10" hidden="1">{#N/A,#N/A,FALSE,"Aging Summary";#N/A,#N/A,FALSE,"Ratio Analysis";#N/A,#N/A,FALSE,"Test 120 Day Accts";#N/A,#N/A,FALSE,"Tickmarks"}</definedName>
    <definedName name="_________________________rwn3" hidden="1">{"assets",#N/A,FALSE,"historicBS";"liab",#N/A,FALSE,"historicBS";"is",#N/A,FALSE,"historicIS";"ratios",#N/A,FALSE,"ratios"}</definedName>
    <definedName name="_________________________rwn4" hidden="1">{"assets",#N/A,FALSE,"historicBS";"liab",#N/A,FALSE,"historicBS";"is",#N/A,FALSE,"historicIS";"ratios",#N/A,FALSE,"ratios"}</definedName>
    <definedName name="_________________________rwn5" hidden="1">{"glcbs",#N/A,FALSE,"GLCBS";"glccsbs",#N/A,FALSE,"GLCCSBS";"glcis",#N/A,FALSE,"GLCIS";"glccsis",#N/A,FALSE,"GLCCSIS";"glcrat1",#N/A,FALSE,"GLC-ratios1"}</definedName>
    <definedName name="_________________________rwn6" hidden="1">{"glc1",#N/A,FALSE,"GLC";"glc2",#N/A,FALSE,"GLC";"glc3",#N/A,FALSE,"GLC";"glc4",#N/A,FALSE,"GLC";"glc5",#N/A,FALSE,"GLC"}</definedName>
    <definedName name="_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rwn8" hidden="1">{"glc1",#N/A,FALSE,"GLC";"glc2",#N/A,FALSE,"GLC";"glc3",#N/A,FALSE,"GLC";"glc4",#N/A,FALSE,"GLC";"glc5",#N/A,FALSE,"GLC"}</definedName>
    <definedName name="_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_wrn2" hidden="1">{"glc1",#N/A,FALSE,"GLC";"glc2",#N/A,FALSE,"GLC";"glc3",#N/A,FALSE,"GLC";"glc4",#N/A,FALSE,"GLC";"glc5",#N/A,FALSE,"GLC"}</definedName>
    <definedName name="________________________rwb2" hidden="1">{#N/A,#N/A,FALSE,"Aging Summary";#N/A,#N/A,FALSE,"Ratio Analysis";#N/A,#N/A,FALSE,"Test 120 Day Accts";#N/A,#N/A,FALSE,"Tickmarks"}</definedName>
    <definedName name="________________________rwn1" hidden="1">{#N/A,#N/A,FALSE,"Aging Summary";#N/A,#N/A,FALSE,"Ratio Analysis";#N/A,#N/A,FALSE,"Test 120 Day Accts";#N/A,#N/A,FALSE,"Tickmarks"}</definedName>
    <definedName name="________________________rwn10" hidden="1">{#N/A,#N/A,FALSE,"Aging Summary";#N/A,#N/A,FALSE,"Ratio Analysis";#N/A,#N/A,FALSE,"Test 120 Day Accts";#N/A,#N/A,FALSE,"Tickmarks"}</definedName>
    <definedName name="________________________rwn3" hidden="1">{"assets",#N/A,FALSE,"historicBS";"liab",#N/A,FALSE,"historicBS";"is",#N/A,FALSE,"historicIS";"ratios",#N/A,FALSE,"ratios"}</definedName>
    <definedName name="________________________rwn4" hidden="1">{"assets",#N/A,FALSE,"historicBS";"liab",#N/A,FALSE,"historicBS";"is",#N/A,FALSE,"historicIS";"ratios",#N/A,FALSE,"ratios"}</definedName>
    <definedName name="________________________rwn5" hidden="1">{"glcbs",#N/A,FALSE,"GLCBS";"glccsbs",#N/A,FALSE,"GLCCSBS";"glcis",#N/A,FALSE,"GLCIS";"glccsis",#N/A,FALSE,"GLCCSIS";"glcrat1",#N/A,FALSE,"GLC-ratios1"}</definedName>
    <definedName name="________________________rwn6" hidden="1">{"glc1",#N/A,FALSE,"GLC";"glc2",#N/A,FALSE,"GLC";"glc3",#N/A,FALSE,"GLC";"glc4",#N/A,FALSE,"GLC";"glc5",#N/A,FALSE,"GLC"}</definedName>
    <definedName name="_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rwn8" hidden="1">{"glc1",#N/A,FALSE,"GLC";"glc2",#N/A,FALSE,"GLC";"glc3",#N/A,FALSE,"GLC";"glc4",#N/A,FALSE,"GLC";"glc5",#N/A,FALSE,"GLC"}</definedName>
    <definedName name="_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_wrn2" hidden="1">{"glc1",#N/A,FALSE,"GLC";"glc2",#N/A,FALSE,"GLC";"glc3",#N/A,FALSE,"GLC";"glc4",#N/A,FALSE,"GLC";"glc5",#N/A,FALSE,"GLC"}</definedName>
    <definedName name="________________________wrn222" hidden="1">{"glc1",#N/A,FALSE,"GLC";"glc2",#N/A,FALSE,"GLC";"glc3",#N/A,FALSE,"GLC";"glc4",#N/A,FALSE,"GLC";"glc5",#N/A,FALSE,"GLC"}</definedName>
    <definedName name="_______________________rwb2" hidden="1">{#N/A,#N/A,FALSE,"Aging Summary";#N/A,#N/A,FALSE,"Ratio Analysis";#N/A,#N/A,FALSE,"Test 120 Day Accts";#N/A,#N/A,FALSE,"Tickmarks"}</definedName>
    <definedName name="_______________________rwn1" hidden="1">{#N/A,#N/A,FALSE,"Aging Summary";#N/A,#N/A,FALSE,"Ratio Analysis";#N/A,#N/A,FALSE,"Test 120 Day Accts";#N/A,#N/A,FALSE,"Tickmarks"}</definedName>
    <definedName name="_______________________rwn10" hidden="1">{#N/A,#N/A,FALSE,"Aging Summary";#N/A,#N/A,FALSE,"Ratio Analysis";#N/A,#N/A,FALSE,"Test 120 Day Accts";#N/A,#N/A,FALSE,"Tickmarks"}</definedName>
    <definedName name="_______________________rwn3" hidden="1">{"assets",#N/A,FALSE,"historicBS";"liab",#N/A,FALSE,"historicBS";"is",#N/A,FALSE,"historicIS";"ratios",#N/A,FALSE,"ratios"}</definedName>
    <definedName name="_______________________rwn4" hidden="1">{"assets",#N/A,FALSE,"historicBS";"liab",#N/A,FALSE,"historicBS";"is",#N/A,FALSE,"historicIS";"ratios",#N/A,FALSE,"ratios"}</definedName>
    <definedName name="_______________________rwn5" hidden="1">{"glcbs",#N/A,FALSE,"GLCBS";"glccsbs",#N/A,FALSE,"GLCCSBS";"glcis",#N/A,FALSE,"GLCIS";"glccsis",#N/A,FALSE,"GLCCSIS";"glcrat1",#N/A,FALSE,"GLC-ratios1"}</definedName>
    <definedName name="_______________________rwn6" hidden="1">{"glc1",#N/A,FALSE,"GLC";"glc2",#N/A,FALSE,"GLC";"glc3",#N/A,FALSE,"GLC";"glc4",#N/A,FALSE,"GLC";"glc5",#N/A,FALSE,"GLC"}</definedName>
    <definedName name="_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rwn8" hidden="1">{"glc1",#N/A,FALSE,"GLC";"glc2",#N/A,FALSE,"GLC";"glc3",#N/A,FALSE,"GLC";"glc4",#N/A,FALSE,"GLC";"glc5",#N/A,FALSE,"GLC"}</definedName>
    <definedName name="_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_wrn2" hidden="1">{"glc1",#N/A,FALSE,"GLC";"glc2",#N/A,FALSE,"GLC";"glc3",#N/A,FALSE,"GLC";"glc4",#N/A,FALSE,"GLC";"glc5",#N/A,FALSE,"GLC"}</definedName>
    <definedName name="______________________rwb2" hidden="1">{#N/A,#N/A,FALSE,"Aging Summary";#N/A,#N/A,FALSE,"Ratio Analysis";#N/A,#N/A,FALSE,"Test 120 Day Accts";#N/A,#N/A,FALSE,"Tickmarks"}</definedName>
    <definedName name="______________________rwn1" hidden="1">{#N/A,#N/A,FALSE,"Aging Summary";#N/A,#N/A,FALSE,"Ratio Analysis";#N/A,#N/A,FALSE,"Test 120 Day Accts";#N/A,#N/A,FALSE,"Tickmarks"}</definedName>
    <definedName name="______________________rwn10" hidden="1">{#N/A,#N/A,FALSE,"Aging Summary";#N/A,#N/A,FALSE,"Ratio Analysis";#N/A,#N/A,FALSE,"Test 120 Day Accts";#N/A,#N/A,FALSE,"Tickmarks"}</definedName>
    <definedName name="______________________rwn3" hidden="1">{"assets",#N/A,FALSE,"historicBS";"liab",#N/A,FALSE,"historicBS";"is",#N/A,FALSE,"historicIS";"ratios",#N/A,FALSE,"ratios"}</definedName>
    <definedName name="______________________rwn4" hidden="1">{"assets",#N/A,FALSE,"historicBS";"liab",#N/A,FALSE,"historicBS";"is",#N/A,FALSE,"historicIS";"ratios",#N/A,FALSE,"ratios"}</definedName>
    <definedName name="______________________rwn5" hidden="1">{"glcbs",#N/A,FALSE,"GLCBS";"glccsbs",#N/A,FALSE,"GLCCSBS";"glcis",#N/A,FALSE,"GLCIS";"glccsis",#N/A,FALSE,"GLCCSIS";"glcrat1",#N/A,FALSE,"GLC-ratios1"}</definedName>
    <definedName name="______________________rwn6" hidden="1">{"glc1",#N/A,FALSE,"GLC";"glc2",#N/A,FALSE,"GLC";"glc3",#N/A,FALSE,"GLC";"glc4",#N/A,FALSE,"GLC";"glc5",#N/A,FALSE,"GLC"}</definedName>
    <definedName name="_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rwn8" hidden="1">{"glc1",#N/A,FALSE,"GLC";"glc2",#N/A,FALSE,"GLC";"glc3",#N/A,FALSE,"GLC";"glc4",#N/A,FALSE,"GLC";"glc5",#N/A,FALSE,"GLC"}</definedName>
    <definedName name="_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_wrn2" hidden="1">{"glc1",#N/A,FALSE,"GLC";"glc2",#N/A,FALSE,"GLC";"glc3",#N/A,FALSE,"GLC";"glc4",#N/A,FALSE,"GLC";"glc5",#N/A,FALSE,"GLC"}</definedName>
    <definedName name="_____________________rwb2" hidden="1">{#N/A,#N/A,FALSE,"Aging Summary";#N/A,#N/A,FALSE,"Ratio Analysis";#N/A,#N/A,FALSE,"Test 120 Day Accts";#N/A,#N/A,FALSE,"Tickmarks"}</definedName>
    <definedName name="_____________________rwn1" hidden="1">{#N/A,#N/A,FALSE,"Aging Summary";#N/A,#N/A,FALSE,"Ratio Analysis";#N/A,#N/A,FALSE,"Test 120 Day Accts";#N/A,#N/A,FALSE,"Tickmarks"}</definedName>
    <definedName name="_____________________rwn10" hidden="1">{#N/A,#N/A,FALSE,"Aging Summary";#N/A,#N/A,FALSE,"Ratio Analysis";#N/A,#N/A,FALSE,"Test 120 Day Accts";#N/A,#N/A,FALSE,"Tickmarks"}</definedName>
    <definedName name="_____________________rwn3" hidden="1">{"assets",#N/A,FALSE,"historicBS";"liab",#N/A,FALSE,"historicBS";"is",#N/A,FALSE,"historicIS";"ratios",#N/A,FALSE,"ratios"}</definedName>
    <definedName name="_____________________rwn4" hidden="1">{"assets",#N/A,FALSE,"historicBS";"liab",#N/A,FALSE,"historicBS";"is",#N/A,FALSE,"historicIS";"ratios",#N/A,FALSE,"ratios"}</definedName>
    <definedName name="_____________________rwn5" hidden="1">{"glcbs",#N/A,FALSE,"GLCBS";"glccsbs",#N/A,FALSE,"GLCCSBS";"glcis",#N/A,FALSE,"GLCIS";"glccsis",#N/A,FALSE,"GLCCSIS";"glcrat1",#N/A,FALSE,"GLC-ratios1"}</definedName>
    <definedName name="_____________________rwn6" hidden="1">{"glc1",#N/A,FALSE,"GLC";"glc2",#N/A,FALSE,"GLC";"glc3",#N/A,FALSE,"GLC";"glc4",#N/A,FALSE,"GLC";"glc5",#N/A,FALSE,"GLC"}</definedName>
    <definedName name="_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rwn8" hidden="1">{"glc1",#N/A,FALSE,"GLC";"glc2",#N/A,FALSE,"GLC";"glc3",#N/A,FALSE,"GLC";"glc4",#N/A,FALSE,"GLC";"glc5",#N/A,FALSE,"GLC"}</definedName>
    <definedName name="_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_wrn2" hidden="1">{"glc1",#N/A,FALSE,"GLC";"glc2",#N/A,FALSE,"GLC";"glc3",#N/A,FALSE,"GLC";"glc4",#N/A,FALSE,"GLC";"glc5",#N/A,FALSE,"GLC"}</definedName>
    <definedName name="____________________rwb2" hidden="1">{#N/A,#N/A,FALSE,"Aging Summary";#N/A,#N/A,FALSE,"Ratio Analysis";#N/A,#N/A,FALSE,"Test 120 Day Accts";#N/A,#N/A,FALSE,"Tickmarks"}</definedName>
    <definedName name="____________________rwn1" hidden="1">{#N/A,#N/A,FALSE,"Aging Summary";#N/A,#N/A,FALSE,"Ratio Analysis";#N/A,#N/A,FALSE,"Test 120 Day Accts";#N/A,#N/A,FALSE,"Tickmarks"}</definedName>
    <definedName name="____________________rwn10" hidden="1">{#N/A,#N/A,FALSE,"Aging Summary";#N/A,#N/A,FALSE,"Ratio Analysis";#N/A,#N/A,FALSE,"Test 120 Day Accts";#N/A,#N/A,FALSE,"Tickmarks"}</definedName>
    <definedName name="____________________rwn3" hidden="1">{"assets",#N/A,FALSE,"historicBS";"liab",#N/A,FALSE,"historicBS";"is",#N/A,FALSE,"historicIS";"ratios",#N/A,FALSE,"ratios"}</definedName>
    <definedName name="____________________rwn4" hidden="1">{"assets",#N/A,FALSE,"historicBS";"liab",#N/A,FALSE,"historicBS";"is",#N/A,FALSE,"historicIS";"ratios",#N/A,FALSE,"ratios"}</definedName>
    <definedName name="____________________rwn5" hidden="1">{"glcbs",#N/A,FALSE,"GLCBS";"glccsbs",#N/A,FALSE,"GLCCSBS";"glcis",#N/A,FALSE,"GLCIS";"glccsis",#N/A,FALSE,"GLCCSIS";"glcrat1",#N/A,FALSE,"GLC-ratios1"}</definedName>
    <definedName name="____________________rwn6" hidden="1">{"glc1",#N/A,FALSE,"GLC";"glc2",#N/A,FALSE,"GLC";"glc3",#N/A,FALSE,"GLC";"glc4",#N/A,FALSE,"GLC";"glc5",#N/A,FALSE,"GLC"}</definedName>
    <definedName name="_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rwn8" hidden="1">{"glc1",#N/A,FALSE,"GLC";"glc2",#N/A,FALSE,"GLC";"glc3",#N/A,FALSE,"GLC";"glc4",#N/A,FALSE,"GLC";"glc5",#N/A,FALSE,"GLC"}</definedName>
    <definedName name="_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_wrn2" hidden="1">{"glc1",#N/A,FALSE,"GLC";"glc2",#N/A,FALSE,"GLC";"glc3",#N/A,FALSE,"GLC";"glc4",#N/A,FALSE,"GLC";"glc5",#N/A,FALSE,"GLC"}</definedName>
    <definedName name="____________________wrn222" hidden="1">{"glc1",#N/A,FALSE,"GLC";"glc2",#N/A,FALSE,"GLC";"glc3",#N/A,FALSE,"GLC";"glc4",#N/A,FALSE,"GLC";"glc5",#N/A,FALSE,"GLC"}</definedName>
    <definedName name="___________________rwb2" hidden="1">{#N/A,#N/A,FALSE,"Aging Summary";#N/A,#N/A,FALSE,"Ratio Analysis";#N/A,#N/A,FALSE,"Test 120 Day Accts";#N/A,#N/A,FALSE,"Tickmarks"}</definedName>
    <definedName name="___________________rwn1" hidden="1">{#N/A,#N/A,FALSE,"Aging Summary";#N/A,#N/A,FALSE,"Ratio Analysis";#N/A,#N/A,FALSE,"Test 120 Day Accts";#N/A,#N/A,FALSE,"Tickmarks"}</definedName>
    <definedName name="___________________rwn10" hidden="1">{#N/A,#N/A,FALSE,"Aging Summary";#N/A,#N/A,FALSE,"Ratio Analysis";#N/A,#N/A,FALSE,"Test 120 Day Accts";#N/A,#N/A,FALSE,"Tickmarks"}</definedName>
    <definedName name="___________________rwn3" hidden="1">{"assets",#N/A,FALSE,"historicBS";"liab",#N/A,FALSE,"historicBS";"is",#N/A,FALSE,"historicIS";"ratios",#N/A,FALSE,"ratios"}</definedName>
    <definedName name="___________________rwn4" hidden="1">{"assets",#N/A,FALSE,"historicBS";"liab",#N/A,FALSE,"historicBS";"is",#N/A,FALSE,"historicIS";"ratios",#N/A,FALSE,"ratios"}</definedName>
    <definedName name="___________________rwn5" hidden="1">{"glcbs",#N/A,FALSE,"GLCBS";"glccsbs",#N/A,FALSE,"GLCCSBS";"glcis",#N/A,FALSE,"GLCIS";"glccsis",#N/A,FALSE,"GLCCSIS";"glcrat1",#N/A,FALSE,"GLC-ratios1"}</definedName>
    <definedName name="___________________rwn6" hidden="1">{"glc1",#N/A,FALSE,"GLC";"glc2",#N/A,FALSE,"GLC";"glc3",#N/A,FALSE,"GLC";"glc4",#N/A,FALSE,"GLC";"glc5",#N/A,FALSE,"GLC"}</definedName>
    <definedName name="_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rwn8" hidden="1">{"glc1",#N/A,FALSE,"GLC";"glc2",#N/A,FALSE,"GLC";"glc3",#N/A,FALSE,"GLC";"glc4",#N/A,FALSE,"GLC";"glc5",#N/A,FALSE,"GLC"}</definedName>
    <definedName name="_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_wrn2" hidden="1">{"glc1",#N/A,FALSE,"GLC";"glc2",#N/A,FALSE,"GLC";"glc3",#N/A,FALSE,"GLC";"glc4",#N/A,FALSE,"GLC";"glc5",#N/A,FALSE,"GLC"}</definedName>
    <definedName name="___________________wrn222" hidden="1">{"glc1",#N/A,FALSE,"GLC";"glc2",#N/A,FALSE,"GLC";"glc3",#N/A,FALSE,"GLC";"glc4",#N/A,FALSE,"GLC";"glc5",#N/A,FALSE,"GLC"}</definedName>
    <definedName name="__________________rwb2" hidden="1">{#N/A,#N/A,FALSE,"Aging Summary";#N/A,#N/A,FALSE,"Ratio Analysis";#N/A,#N/A,FALSE,"Test 120 Day Accts";#N/A,#N/A,FALSE,"Tickmarks"}</definedName>
    <definedName name="__________________rwn1" hidden="1">{#N/A,#N/A,FALSE,"Aging Summary";#N/A,#N/A,FALSE,"Ratio Analysis";#N/A,#N/A,FALSE,"Test 120 Day Accts";#N/A,#N/A,FALSE,"Tickmarks"}</definedName>
    <definedName name="__________________rwn10" hidden="1">{#N/A,#N/A,FALSE,"Aging Summary";#N/A,#N/A,FALSE,"Ratio Analysis";#N/A,#N/A,FALSE,"Test 120 Day Accts";#N/A,#N/A,FALSE,"Tickmarks"}</definedName>
    <definedName name="__________________rwn3" hidden="1">{"assets",#N/A,FALSE,"historicBS";"liab",#N/A,FALSE,"historicBS";"is",#N/A,FALSE,"historicIS";"ratios",#N/A,FALSE,"ratios"}</definedName>
    <definedName name="__________________rwn4" hidden="1">{"assets",#N/A,FALSE,"historicBS";"liab",#N/A,FALSE,"historicBS";"is",#N/A,FALSE,"historicIS";"ratios",#N/A,FALSE,"ratios"}</definedName>
    <definedName name="__________________rwn5" hidden="1">{"glcbs",#N/A,FALSE,"GLCBS";"glccsbs",#N/A,FALSE,"GLCCSBS";"glcis",#N/A,FALSE,"GLCIS";"glccsis",#N/A,FALSE,"GLCCSIS";"glcrat1",#N/A,FALSE,"GLC-ratios1"}</definedName>
    <definedName name="__________________rwn6" hidden="1">{"glc1",#N/A,FALSE,"GLC";"glc2",#N/A,FALSE,"GLC";"glc3",#N/A,FALSE,"GLC";"glc4",#N/A,FALSE,"GLC";"glc5",#N/A,FALSE,"GLC"}</definedName>
    <definedName name="_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rwn8" hidden="1">{"glc1",#N/A,FALSE,"GLC";"glc2",#N/A,FALSE,"GLC";"glc3",#N/A,FALSE,"GLC";"glc4",#N/A,FALSE,"GLC";"glc5",#N/A,FALSE,"GLC"}</definedName>
    <definedName name="_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_wrn2" hidden="1">{"glc1",#N/A,FALSE,"GLC";"glc2",#N/A,FALSE,"GLC";"glc3",#N/A,FALSE,"GLC";"glc4",#N/A,FALSE,"GLC";"glc5",#N/A,FALSE,"GLC"}</definedName>
    <definedName name="__________________wrn222" hidden="1">{"glc1",#N/A,FALSE,"GLC";"glc2",#N/A,FALSE,"GLC";"glc3",#N/A,FALSE,"GLC";"glc4",#N/A,FALSE,"GLC";"glc5",#N/A,FALSE,"GLC"}</definedName>
    <definedName name="_________________rwb2" hidden="1">{#N/A,#N/A,FALSE,"Aging Summary";#N/A,#N/A,FALSE,"Ratio Analysis";#N/A,#N/A,FALSE,"Test 120 Day Accts";#N/A,#N/A,FALSE,"Tickmarks"}</definedName>
    <definedName name="_________________rwn1" hidden="1">{#N/A,#N/A,FALSE,"Aging Summary";#N/A,#N/A,FALSE,"Ratio Analysis";#N/A,#N/A,FALSE,"Test 120 Day Accts";#N/A,#N/A,FALSE,"Tickmarks"}</definedName>
    <definedName name="_________________rwn10" hidden="1">{#N/A,#N/A,FALSE,"Aging Summary";#N/A,#N/A,FALSE,"Ratio Analysis";#N/A,#N/A,FALSE,"Test 120 Day Accts";#N/A,#N/A,FALSE,"Tickmarks"}</definedName>
    <definedName name="_________________rwn3" hidden="1">{"assets",#N/A,FALSE,"historicBS";"liab",#N/A,FALSE,"historicBS";"is",#N/A,FALSE,"historicIS";"ratios",#N/A,FALSE,"ratios"}</definedName>
    <definedName name="_________________rwn4" hidden="1">{"assets",#N/A,FALSE,"historicBS";"liab",#N/A,FALSE,"historicBS";"is",#N/A,FALSE,"historicIS";"ratios",#N/A,FALSE,"ratios"}</definedName>
    <definedName name="_________________rwn5" hidden="1">{"glcbs",#N/A,FALSE,"GLCBS";"glccsbs",#N/A,FALSE,"GLCCSBS";"glcis",#N/A,FALSE,"GLCIS";"glccsis",#N/A,FALSE,"GLCCSIS";"glcrat1",#N/A,FALSE,"GLC-ratios1"}</definedName>
    <definedName name="_________________rwn6" hidden="1">{"glc1",#N/A,FALSE,"GLC";"glc2",#N/A,FALSE,"GLC";"glc3",#N/A,FALSE,"GLC";"glc4",#N/A,FALSE,"GLC";"glc5",#N/A,FALSE,"GLC"}</definedName>
    <definedName name="_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rwn8" hidden="1">{"glc1",#N/A,FALSE,"GLC";"glc2",#N/A,FALSE,"GLC";"glc3",#N/A,FALSE,"GLC";"glc4",#N/A,FALSE,"GLC";"glc5",#N/A,FALSE,"GLC"}</definedName>
    <definedName name="_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_wrn2" hidden="1">{"glc1",#N/A,FALSE,"GLC";"glc2",#N/A,FALSE,"GLC";"glc3",#N/A,FALSE,"GLC";"glc4",#N/A,FALSE,"GLC";"glc5",#N/A,FALSE,"GLC"}</definedName>
    <definedName name="_________________wrn222" hidden="1">{"glc1",#N/A,FALSE,"GLC";"glc2",#N/A,FALSE,"GLC";"glc3",#N/A,FALSE,"GLC";"glc4",#N/A,FALSE,"GLC";"glc5",#N/A,FALSE,"GLC"}</definedName>
    <definedName name="________________hkf8" hidden="1">{"glc1",#N/A,FALSE,"GLC";"glc2",#N/A,FALSE,"GLC";"glc3",#N/A,FALSE,"GLC";"glc4",#N/A,FALSE,"GLC";"glc5",#N/A,FALSE,"GLC"}</definedName>
    <definedName name="________________rwb2" hidden="1">{#N/A,#N/A,FALSE,"Aging Summary";#N/A,#N/A,FALSE,"Ratio Analysis";#N/A,#N/A,FALSE,"Test 120 Day Accts";#N/A,#N/A,FALSE,"Tickmarks"}</definedName>
    <definedName name="________________rwn1" hidden="1">{#N/A,#N/A,FALSE,"Aging Summary";#N/A,#N/A,FALSE,"Ratio Analysis";#N/A,#N/A,FALSE,"Test 120 Day Accts";#N/A,#N/A,FALSE,"Tickmarks"}</definedName>
    <definedName name="________________rwn10" hidden="1">{#N/A,#N/A,FALSE,"Aging Summary";#N/A,#N/A,FALSE,"Ratio Analysis";#N/A,#N/A,FALSE,"Test 120 Day Accts";#N/A,#N/A,FALSE,"Tickmarks"}</definedName>
    <definedName name="________________rwn3" hidden="1">{"assets",#N/A,FALSE,"historicBS";"liab",#N/A,FALSE,"historicBS";"is",#N/A,FALSE,"historicIS";"ratios",#N/A,FALSE,"ratios"}</definedName>
    <definedName name="________________rwn4" hidden="1">{"assets",#N/A,FALSE,"historicBS";"liab",#N/A,FALSE,"historicBS";"is",#N/A,FALSE,"historicIS";"ratios",#N/A,FALSE,"ratios"}</definedName>
    <definedName name="________________rwn5" hidden="1">{"glcbs",#N/A,FALSE,"GLCBS";"glccsbs",#N/A,FALSE,"GLCCSBS";"glcis",#N/A,FALSE,"GLCIS";"glccsis",#N/A,FALSE,"GLCCSIS";"glcrat1",#N/A,FALSE,"GLC-ratios1"}</definedName>
    <definedName name="________________rwn6" hidden="1">{"glc1",#N/A,FALSE,"GLC";"glc2",#N/A,FALSE,"GLC";"glc3",#N/A,FALSE,"GLC";"glc4",#N/A,FALSE,"GLC";"glc5",#N/A,FALSE,"GLC"}</definedName>
    <definedName name="_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rwn8" hidden="1">{"glc1",#N/A,FALSE,"GLC";"glc2",#N/A,FALSE,"GLC";"glc3",#N/A,FALSE,"GLC";"glc4",#N/A,FALSE,"GLC";"glc5",#N/A,FALSE,"GLC"}</definedName>
    <definedName name="_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_wrn2" hidden="1">{"glc1",#N/A,FALSE,"GLC";"glc2",#N/A,FALSE,"GLC";"glc3",#N/A,FALSE,"GLC";"glc4",#N/A,FALSE,"GLC";"glc5",#N/A,FALSE,"GLC"}</definedName>
    <definedName name="________________wrn222" hidden="1">{"glc1",#N/A,FALSE,"GLC";"glc2",#N/A,FALSE,"GLC";"glc3",#N/A,FALSE,"GLC";"glc4",#N/A,FALSE,"GLC";"glc5",#N/A,FALSE,"GLC"}</definedName>
    <definedName name="_______________hkf8" hidden="1">{"glc1",#N/A,FALSE,"GLC";"glc2",#N/A,FALSE,"GLC";"glc3",#N/A,FALSE,"GLC";"glc4",#N/A,FALSE,"GLC";"glc5",#N/A,FALSE,"GLC"}</definedName>
    <definedName name="_______________rwb2" hidden="1">{#N/A,#N/A,FALSE,"Aging Summary";#N/A,#N/A,FALSE,"Ratio Analysis";#N/A,#N/A,FALSE,"Test 120 Day Accts";#N/A,#N/A,FALSE,"Tickmarks"}</definedName>
    <definedName name="_______________rwn1" hidden="1">{#N/A,#N/A,FALSE,"Aging Summary";#N/A,#N/A,FALSE,"Ratio Analysis";#N/A,#N/A,FALSE,"Test 120 Day Accts";#N/A,#N/A,FALSE,"Tickmarks"}</definedName>
    <definedName name="_______________rwn10" hidden="1">{#N/A,#N/A,FALSE,"Aging Summary";#N/A,#N/A,FALSE,"Ratio Analysis";#N/A,#N/A,FALSE,"Test 120 Day Accts";#N/A,#N/A,FALSE,"Tickmarks"}</definedName>
    <definedName name="_______________rwn3" hidden="1">{"assets",#N/A,FALSE,"historicBS";"liab",#N/A,FALSE,"historicBS";"is",#N/A,FALSE,"historicIS";"ratios",#N/A,FALSE,"ratios"}</definedName>
    <definedName name="_______________rwn4" hidden="1">{"assets",#N/A,FALSE,"historicBS";"liab",#N/A,FALSE,"historicBS";"is",#N/A,FALSE,"historicIS";"ratios",#N/A,FALSE,"ratios"}</definedName>
    <definedName name="_______________rwn5" hidden="1">{"glcbs",#N/A,FALSE,"GLCBS";"glccsbs",#N/A,FALSE,"GLCCSBS";"glcis",#N/A,FALSE,"GLCIS";"glccsis",#N/A,FALSE,"GLCCSIS";"glcrat1",#N/A,FALSE,"GLC-ratios1"}</definedName>
    <definedName name="_______________rwn6" hidden="1">{"glc1",#N/A,FALSE,"GLC";"glc2",#N/A,FALSE,"GLC";"glc3",#N/A,FALSE,"GLC";"glc4",#N/A,FALSE,"GLC";"glc5",#N/A,FALSE,"GLC"}</definedName>
    <definedName name="_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rwn8" hidden="1">{"glc1",#N/A,FALSE,"GLC";"glc2",#N/A,FALSE,"GLC";"glc3",#N/A,FALSE,"GLC";"glc4",#N/A,FALSE,"GLC";"glc5",#N/A,FALSE,"GLC"}</definedName>
    <definedName name="_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_wrn2" hidden="1">{"glc1",#N/A,FALSE,"GLC";"glc2",#N/A,FALSE,"GLC";"glc3",#N/A,FALSE,"GLC";"glc4",#N/A,FALSE,"GLC";"glc5",#N/A,FALSE,"GLC"}</definedName>
    <definedName name="_______________wrn222" hidden="1">{"glc1",#N/A,FALSE,"GLC";"glc2",#N/A,FALSE,"GLC";"glc3",#N/A,FALSE,"GLC";"glc4",#N/A,FALSE,"GLC";"glc5",#N/A,FALSE,"GLC"}</definedName>
    <definedName name="______________hkf8" hidden="1">{"glc1",#N/A,FALSE,"GLC";"glc2",#N/A,FALSE,"GLC";"glc3",#N/A,FALSE,"GLC";"glc4",#N/A,FALSE,"GLC";"glc5",#N/A,FALSE,"GLC"}</definedName>
    <definedName name="____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____rwb2" hidden="1">{#N/A,#N/A,FALSE,"Aging Summary";#N/A,#N/A,FALSE,"Ratio Analysis";#N/A,#N/A,FALSE,"Test 120 Day Accts";#N/A,#N/A,FALSE,"Tickmarks"}</definedName>
    <definedName name="______________rwn1" hidden="1">{#N/A,#N/A,FALSE,"Aging Summary";#N/A,#N/A,FALSE,"Ratio Analysis";#N/A,#N/A,FALSE,"Test 120 Day Accts";#N/A,#N/A,FALSE,"Tickmarks"}</definedName>
    <definedName name="______________rwn10" hidden="1">{#N/A,#N/A,FALSE,"Aging Summary";#N/A,#N/A,FALSE,"Ratio Analysis";#N/A,#N/A,FALSE,"Test 120 Day Accts";#N/A,#N/A,FALSE,"Tickmarks"}</definedName>
    <definedName name="______________rwn3" hidden="1">{"assets",#N/A,FALSE,"historicBS";"liab",#N/A,FALSE,"historicBS";"is",#N/A,FALSE,"historicIS";"ratios",#N/A,FALSE,"ratios"}</definedName>
    <definedName name="______________rwn4" hidden="1">{"assets",#N/A,FALSE,"historicBS";"liab",#N/A,FALSE,"historicBS";"is",#N/A,FALSE,"historicIS";"ratios",#N/A,FALSE,"ratios"}</definedName>
    <definedName name="______________rwn5" hidden="1">{"glcbs",#N/A,FALSE,"GLCBS";"glccsbs",#N/A,FALSE,"GLCCSBS";"glcis",#N/A,FALSE,"GLCIS";"glccsis",#N/A,FALSE,"GLCCSIS";"glcrat1",#N/A,FALSE,"GLC-ratios1"}</definedName>
    <definedName name="______________rwn6" hidden="1">{"glc1",#N/A,FALSE,"GLC";"glc2",#N/A,FALSE,"GLC";"glc3",#N/A,FALSE,"GLC";"glc4",#N/A,FALSE,"GLC";"glc5",#N/A,FALSE,"GLC"}</definedName>
    <definedName name="_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rwn8" hidden="1">{"glc1",#N/A,FALSE,"GLC";"glc2",#N/A,FALSE,"GLC";"glc3",#N/A,FALSE,"GLC";"glc4",#N/A,FALSE,"GLC";"glc5",#N/A,FALSE,"GLC"}</definedName>
    <definedName name="_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_wrn2" hidden="1">{"glc1",#N/A,FALSE,"GLC";"glc2",#N/A,FALSE,"GLC";"glc3",#N/A,FALSE,"GLC";"glc4",#N/A,FALSE,"GLC";"glc5",#N/A,FALSE,"GLC"}</definedName>
    <definedName name="______________wrn222" hidden="1">{"glc1",#N/A,FALSE,"GLC";"glc2",#N/A,FALSE,"GLC";"glc3",#N/A,FALSE,"GLC";"glc4",#N/A,FALSE,"GLC";"glc5",#N/A,FALSE,"GLC"}</definedName>
    <definedName name="___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___rwb2" hidden="1">{#N/A,#N/A,FALSE,"Aging Summary";#N/A,#N/A,FALSE,"Ratio Analysis";#N/A,#N/A,FALSE,"Test 120 Day Accts";#N/A,#N/A,FALSE,"Tickmarks"}</definedName>
    <definedName name="_____________rwn1" hidden="1">{#N/A,#N/A,FALSE,"Aging Summary";#N/A,#N/A,FALSE,"Ratio Analysis";#N/A,#N/A,FALSE,"Test 120 Day Accts";#N/A,#N/A,FALSE,"Tickmarks"}</definedName>
    <definedName name="_____________rwn10" hidden="1">{#N/A,#N/A,FALSE,"Aging Summary";#N/A,#N/A,FALSE,"Ratio Analysis";#N/A,#N/A,FALSE,"Test 120 Day Accts";#N/A,#N/A,FALSE,"Tickmarks"}</definedName>
    <definedName name="_____________rwn3" hidden="1">{"assets",#N/A,FALSE,"historicBS";"liab",#N/A,FALSE,"historicBS";"is",#N/A,FALSE,"historicIS";"ratios",#N/A,FALSE,"ratios"}</definedName>
    <definedName name="_____________rwn4" hidden="1">{"assets",#N/A,FALSE,"historicBS";"liab",#N/A,FALSE,"historicBS";"is",#N/A,FALSE,"historicIS";"ratios",#N/A,FALSE,"ratios"}</definedName>
    <definedName name="_____________rwn5" hidden="1">{"glcbs",#N/A,FALSE,"GLCBS";"glccsbs",#N/A,FALSE,"GLCCSBS";"glcis",#N/A,FALSE,"GLCIS";"glccsis",#N/A,FALSE,"GLCCSIS";"glcrat1",#N/A,FALSE,"GLC-ratios1"}</definedName>
    <definedName name="_____________rwn6" hidden="1">{"glc1",#N/A,FALSE,"GLC";"glc2",#N/A,FALSE,"GLC";"glc3",#N/A,FALSE,"GLC";"glc4",#N/A,FALSE,"GLC";"glc5",#N/A,FALSE,"GLC"}</definedName>
    <definedName name="_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rwn8" hidden="1">{"glc1",#N/A,FALSE,"GLC";"glc2",#N/A,FALSE,"GLC";"glc3",#N/A,FALSE,"GLC";"glc4",#N/A,FALSE,"GLC";"glc5",#N/A,FALSE,"GLC"}</definedName>
    <definedName name="_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_wrn2" hidden="1">{"glc1",#N/A,FALSE,"GLC";"glc2",#N/A,FALSE,"GLC";"glc3",#N/A,FALSE,"GLC";"glc4",#N/A,FALSE,"GLC";"glc5",#N/A,FALSE,"GLC"}</definedName>
    <definedName name="_____________wrn222" hidden="1">{"glc1",#N/A,FALSE,"GLC";"glc2",#N/A,FALSE,"GLC";"glc3",#N/A,FALSE,"GLC";"glc4",#N/A,FALSE,"GLC";"glc5",#N/A,FALSE,"GLC"}</definedName>
    <definedName name="__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__rwb2" hidden="1">{#N/A,#N/A,FALSE,"Aging Summary";#N/A,#N/A,FALSE,"Ratio Analysis";#N/A,#N/A,FALSE,"Test 120 Day Accts";#N/A,#N/A,FALSE,"Tickmarks"}</definedName>
    <definedName name="____________rwn1" hidden="1">{#N/A,#N/A,FALSE,"Aging Summary";#N/A,#N/A,FALSE,"Ratio Analysis";#N/A,#N/A,FALSE,"Test 120 Day Accts";#N/A,#N/A,FALSE,"Tickmarks"}</definedName>
    <definedName name="____________rwn10" hidden="1">{#N/A,#N/A,FALSE,"Aging Summary";#N/A,#N/A,FALSE,"Ratio Analysis";#N/A,#N/A,FALSE,"Test 120 Day Accts";#N/A,#N/A,FALSE,"Tickmarks"}</definedName>
    <definedName name="____________rwn3" hidden="1">{"assets",#N/A,FALSE,"historicBS";"liab",#N/A,FALSE,"historicBS";"is",#N/A,FALSE,"historicIS";"ratios",#N/A,FALSE,"ratios"}</definedName>
    <definedName name="____________rwn4" hidden="1">{"assets",#N/A,FALSE,"historicBS";"liab",#N/A,FALSE,"historicBS";"is",#N/A,FALSE,"historicIS";"ratios",#N/A,FALSE,"ratios"}</definedName>
    <definedName name="____________rwn5" hidden="1">{"glcbs",#N/A,FALSE,"GLCBS";"glccsbs",#N/A,FALSE,"GLCCSBS";"glcis",#N/A,FALSE,"GLCIS";"glccsis",#N/A,FALSE,"GLCCSIS";"glcrat1",#N/A,FALSE,"GLC-ratios1"}</definedName>
    <definedName name="____________rwn6" hidden="1">{"glc1",#N/A,FALSE,"GLC";"glc2",#N/A,FALSE,"GLC";"glc3",#N/A,FALSE,"GLC";"glc4",#N/A,FALSE,"GLC";"glc5",#N/A,FALSE,"GLC"}</definedName>
    <definedName name="_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rwn8" hidden="1">{"glc1",#N/A,FALSE,"GLC";"glc2",#N/A,FALSE,"GLC";"glc3",#N/A,FALSE,"GLC";"glc4",#N/A,FALSE,"GLC";"glc5",#N/A,FALSE,"GLC"}</definedName>
    <definedName name="_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_wrn2" hidden="1">{"glc1",#N/A,FALSE,"GLC";"glc2",#N/A,FALSE,"GLC";"glc3",#N/A,FALSE,"GLC";"glc4",#N/A,FALSE,"GLC";"glc5",#N/A,FALSE,"GLC"}</definedName>
    <definedName name="____________wrn222" hidden="1">{"glc1",#N/A,FALSE,"GLC";"glc2",#N/A,FALSE,"GLC";"glc3",#N/A,FALSE,"GLC";"glc4",#N/A,FALSE,"GLC";"glc5",#N/A,FALSE,"GLC"}</definedName>
    <definedName name="____________xlfn.AVERAGEIF" hidden="1">#NAME?</definedName>
    <definedName name="___________hkf8" hidden="1">{"glc1",#N/A,FALSE,"GLC";"glc2",#N/A,FALSE,"GLC";"glc3",#N/A,FALSE,"GLC";"glc4",#N/A,FALSE,"GLC";"glc5",#N/A,FALSE,"GLC"}</definedName>
    <definedName name="_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_rwb2" hidden="1">{#N/A,#N/A,FALSE,"Aging Summary";#N/A,#N/A,FALSE,"Ratio Analysis";#N/A,#N/A,FALSE,"Test 120 Day Accts";#N/A,#N/A,FALSE,"Tickmarks"}</definedName>
    <definedName name="___________rwn1" hidden="1">{#N/A,#N/A,FALSE,"Aging Summary";#N/A,#N/A,FALSE,"Ratio Analysis";#N/A,#N/A,FALSE,"Test 120 Day Accts";#N/A,#N/A,FALSE,"Tickmarks"}</definedName>
    <definedName name="___________rwn10" hidden="1">{#N/A,#N/A,FALSE,"Aging Summary";#N/A,#N/A,FALSE,"Ratio Analysis";#N/A,#N/A,FALSE,"Test 120 Day Accts";#N/A,#N/A,FALSE,"Tickmarks"}</definedName>
    <definedName name="___________rwn3" hidden="1">{"assets",#N/A,FALSE,"historicBS";"liab",#N/A,FALSE,"historicBS";"is",#N/A,FALSE,"historicIS";"ratios",#N/A,FALSE,"ratios"}</definedName>
    <definedName name="___________rwn4" hidden="1">{"assets",#N/A,FALSE,"historicBS";"liab",#N/A,FALSE,"historicBS";"is",#N/A,FALSE,"historicIS";"ratios",#N/A,FALSE,"ratios"}</definedName>
    <definedName name="___________rwn5" hidden="1">{"glcbs",#N/A,FALSE,"GLCBS";"glccsbs",#N/A,FALSE,"GLCCSBS";"glcis",#N/A,FALSE,"GLCIS";"glccsis",#N/A,FALSE,"GLCCSIS";"glcrat1",#N/A,FALSE,"GLC-ratios1"}</definedName>
    <definedName name="___________rwn6" hidden="1">{"glc1",#N/A,FALSE,"GLC";"glc2",#N/A,FALSE,"GLC";"glc3",#N/A,FALSE,"GLC";"glc4",#N/A,FALSE,"GLC";"glc5",#N/A,FALSE,"GLC"}</definedName>
    <definedName name="_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rwn8" hidden="1">{"glc1",#N/A,FALSE,"GLC";"glc2",#N/A,FALSE,"GLC";"glc3",#N/A,FALSE,"GLC";"glc4",#N/A,FALSE,"GLC";"glc5",#N/A,FALSE,"GLC"}</definedName>
    <definedName name="_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_wrn2" hidden="1">{"glc1",#N/A,FALSE,"GLC";"glc2",#N/A,FALSE,"GLC";"glc3",#N/A,FALSE,"GLC";"glc4",#N/A,FALSE,"GLC";"glc5",#N/A,FALSE,"GLC"}</definedName>
    <definedName name="___________wrn222" hidden="1">{"glc1",#N/A,FALSE,"GLC";"glc2",#N/A,FALSE,"GLC";"glc3",#N/A,FALSE,"GLC";"glc4",#N/A,FALSE,"GLC";"glc5",#N/A,FALSE,"GLC"}</definedName>
    <definedName name="___________xlfn.AVERAGEIF" hidden="1">#NAME?</definedName>
    <definedName name="_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_rwb2" hidden="1">{#N/A,#N/A,FALSE,"Aging Summary";#N/A,#N/A,FALSE,"Ratio Analysis";#N/A,#N/A,FALSE,"Test 120 Day Accts";#N/A,#N/A,FALSE,"Tickmarks"}</definedName>
    <definedName name="__________rwn1" hidden="1">{#N/A,#N/A,FALSE,"Aging Summary";#N/A,#N/A,FALSE,"Ratio Analysis";#N/A,#N/A,FALSE,"Test 120 Day Accts";#N/A,#N/A,FALSE,"Tickmarks"}</definedName>
    <definedName name="__________rwn10" hidden="1">{#N/A,#N/A,FALSE,"Aging Summary";#N/A,#N/A,FALSE,"Ratio Analysis";#N/A,#N/A,FALSE,"Test 120 Day Accts";#N/A,#N/A,FALSE,"Tickmarks"}</definedName>
    <definedName name="__________rwn3" hidden="1">{"assets",#N/A,FALSE,"historicBS";"liab",#N/A,FALSE,"historicBS";"is",#N/A,FALSE,"historicIS";"ratios",#N/A,FALSE,"ratios"}</definedName>
    <definedName name="__________rwn4" hidden="1">{"assets",#N/A,FALSE,"historicBS";"liab",#N/A,FALSE,"historicBS";"is",#N/A,FALSE,"historicIS";"ratios",#N/A,FALSE,"ratios"}</definedName>
    <definedName name="__________rwn5" hidden="1">{"glcbs",#N/A,FALSE,"GLCBS";"glccsbs",#N/A,FALSE,"GLCCSBS";"glcis",#N/A,FALSE,"GLCIS";"glccsis",#N/A,FALSE,"GLCCSIS";"glcrat1",#N/A,FALSE,"GLC-ratios1"}</definedName>
    <definedName name="__________rwn6" hidden="1">{"glc1",#N/A,FALSE,"GLC";"glc2",#N/A,FALSE,"GLC";"glc3",#N/A,FALSE,"GLC";"glc4",#N/A,FALSE,"GLC";"glc5",#N/A,FALSE,"GLC"}</definedName>
    <definedName name="_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rwn8" hidden="1">{"glc1",#N/A,FALSE,"GLC";"glc2",#N/A,FALSE,"GLC";"glc3",#N/A,FALSE,"GLC";"glc4",#N/A,FALSE,"GLC";"glc5",#N/A,FALSE,"GLC"}</definedName>
    <definedName name="_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_wrn2" hidden="1">{"glc1",#N/A,FALSE,"GLC";"glc2",#N/A,FALSE,"GLC";"glc3",#N/A,FALSE,"GLC";"glc4",#N/A,FALSE,"GLC";"glc5",#N/A,FALSE,"GLC"}</definedName>
    <definedName name="__________wrn222" hidden="1">{"glc1",#N/A,FALSE,"GLC";"glc2",#N/A,FALSE,"GLC";"glc3",#N/A,FALSE,"GLC";"glc4",#N/A,FALSE,"GLC";"glc5",#N/A,FALSE,"GLC"}</definedName>
    <definedName name="__________xlfn.AVERAGEIF" hidden="1">#NAME?</definedName>
    <definedName name="_________hkf8" hidden="1">{"glc1",#N/A,FALSE,"GLC";"glc2",#N/A,FALSE,"GLC";"glc3",#N/A,FALSE,"GLC";"glc4",#N/A,FALSE,"GLC";"glc5",#N/A,FALSE,"GLC"}</definedName>
    <definedName name="_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_rwb2" hidden="1">{#N/A,#N/A,FALSE,"Aging Summary";#N/A,#N/A,FALSE,"Ratio Analysis";#N/A,#N/A,FALSE,"Test 120 Day Accts";#N/A,#N/A,FALSE,"Tickmarks"}</definedName>
    <definedName name="_________rwn1" hidden="1">{#N/A,#N/A,FALSE,"Aging Summary";#N/A,#N/A,FALSE,"Ratio Analysis";#N/A,#N/A,FALSE,"Test 120 Day Accts";#N/A,#N/A,FALSE,"Tickmarks"}</definedName>
    <definedName name="_________rwn10" hidden="1">{#N/A,#N/A,FALSE,"Aging Summary";#N/A,#N/A,FALSE,"Ratio Analysis";#N/A,#N/A,FALSE,"Test 120 Day Accts";#N/A,#N/A,FALSE,"Tickmarks"}</definedName>
    <definedName name="_________rwn3" hidden="1">{"assets",#N/A,FALSE,"historicBS";"liab",#N/A,FALSE,"historicBS";"is",#N/A,FALSE,"historicIS";"ratios",#N/A,FALSE,"ratios"}</definedName>
    <definedName name="_________rwn4" hidden="1">{"assets",#N/A,FALSE,"historicBS";"liab",#N/A,FALSE,"historicBS";"is",#N/A,FALSE,"historicIS";"ratios",#N/A,FALSE,"ratios"}</definedName>
    <definedName name="_________rwn5" hidden="1">{"glcbs",#N/A,FALSE,"GLCBS";"glccsbs",#N/A,FALSE,"GLCCSBS";"glcis",#N/A,FALSE,"GLCIS";"glccsis",#N/A,FALSE,"GLCCSIS";"glcrat1",#N/A,FALSE,"GLC-ratios1"}</definedName>
    <definedName name="_________rwn6" hidden="1">{"glc1",#N/A,FALSE,"GLC";"glc2",#N/A,FALSE,"GLC";"glc3",#N/A,FALSE,"GLC";"glc4",#N/A,FALSE,"GLC";"glc5",#N/A,FALSE,"GLC"}</definedName>
    <definedName name="_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rwn8" hidden="1">{"glc1",#N/A,FALSE,"GLC";"glc2",#N/A,FALSE,"GLC";"glc3",#N/A,FALSE,"GLC";"glc4",#N/A,FALSE,"GLC";"glc5",#N/A,FALSE,"GLC"}</definedName>
    <definedName name="_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_wrn2" hidden="1">{"glc1",#N/A,FALSE,"GLC";"glc2",#N/A,FALSE,"GLC";"glc3",#N/A,FALSE,"GLC";"glc4",#N/A,FALSE,"GLC";"glc5",#N/A,FALSE,"GLC"}</definedName>
    <definedName name="_________wrn222" hidden="1">{"glc1",#N/A,FALSE,"GLC";"glc2",#N/A,FALSE,"GLC";"glc3",#N/A,FALSE,"GLC";"glc4",#N/A,FALSE,"GLC";"glc5",#N/A,FALSE,"GLC"}</definedName>
    <definedName name="_________xlfn.AVERAGEIF" hidden="1">#NAME?</definedName>
    <definedName name="________hkf8" hidden="1">{"glc1",#N/A,FALSE,"GLC";"glc2",#N/A,FALSE,"GLC";"glc3",#N/A,FALSE,"GLC";"glc4",#N/A,FALSE,"GLC";"glc5",#N/A,FALSE,"GLC"}</definedName>
    <definedName name="_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_rwb2" hidden="1">{#N/A,#N/A,FALSE,"Aging Summary";#N/A,#N/A,FALSE,"Ratio Analysis";#N/A,#N/A,FALSE,"Test 120 Day Accts";#N/A,#N/A,FALSE,"Tickmarks"}</definedName>
    <definedName name="________rwn1" hidden="1">{#N/A,#N/A,FALSE,"Aging Summary";#N/A,#N/A,FALSE,"Ratio Analysis";#N/A,#N/A,FALSE,"Test 120 Day Accts";#N/A,#N/A,FALSE,"Tickmarks"}</definedName>
    <definedName name="________rwn10" hidden="1">{#N/A,#N/A,FALSE,"Aging Summary";#N/A,#N/A,FALSE,"Ratio Analysis";#N/A,#N/A,FALSE,"Test 120 Day Accts";#N/A,#N/A,FALSE,"Tickmarks"}</definedName>
    <definedName name="________rwn3" hidden="1">{"assets",#N/A,FALSE,"historicBS";"liab",#N/A,FALSE,"historicBS";"is",#N/A,FALSE,"historicIS";"ratios",#N/A,FALSE,"ratios"}</definedName>
    <definedName name="________rwn4" hidden="1">{"assets",#N/A,FALSE,"historicBS";"liab",#N/A,FALSE,"historicBS";"is",#N/A,FALSE,"historicIS";"ratios",#N/A,FALSE,"ratios"}</definedName>
    <definedName name="________rwn5" hidden="1">{"glcbs",#N/A,FALSE,"GLCBS";"glccsbs",#N/A,FALSE,"GLCCSBS";"glcis",#N/A,FALSE,"GLCIS";"glccsis",#N/A,FALSE,"GLCCSIS";"glcrat1",#N/A,FALSE,"GLC-ratios1"}</definedName>
    <definedName name="________rwn6" hidden="1">{"glc1",#N/A,FALSE,"GLC";"glc2",#N/A,FALSE,"GLC";"glc3",#N/A,FALSE,"GLC";"glc4",#N/A,FALSE,"GLC";"glc5",#N/A,FALSE,"GLC"}</definedName>
    <definedName name="_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rwn8" hidden="1">{"glc1",#N/A,FALSE,"GLC";"glc2",#N/A,FALSE,"GLC";"glc3",#N/A,FALSE,"GLC";"glc4",#N/A,FALSE,"GLC";"glc5",#N/A,FALSE,"GLC"}</definedName>
    <definedName name="_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_wrn2" hidden="1">{"glc1",#N/A,FALSE,"GLC";"glc2",#N/A,FALSE,"GLC";"glc3",#N/A,FALSE,"GLC";"glc4",#N/A,FALSE,"GLC";"glc5",#N/A,FALSE,"GLC"}</definedName>
    <definedName name="________wrn222" hidden="1">{"glc1",#N/A,FALSE,"GLC";"glc2",#N/A,FALSE,"GLC";"glc3",#N/A,FALSE,"GLC";"glc4",#N/A,FALSE,"GLC";"glc5",#N/A,FALSE,"GLC"}</definedName>
    <definedName name="________xlfn.AVERAGEIF" hidden="1">#NAME?</definedName>
    <definedName name="_______fgd2" hidden="1">{"'Северо-Никольское '!$A$6:$J$40"}</definedName>
    <definedName name="_______hkf8" hidden="1">{"glc1",#N/A,FALSE,"GLC";"glc2",#N/A,FALSE,"GLC";"glc3",#N/A,FALSE,"GLC";"glc4",#N/A,FALSE,"GLC";"glc5",#N/A,FALSE,"GLC"}</definedName>
    <definedName name="_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_rwb2" hidden="1">{#N/A,#N/A,FALSE,"Aging Summary";#N/A,#N/A,FALSE,"Ratio Analysis";#N/A,#N/A,FALSE,"Test 120 Day Accts";#N/A,#N/A,FALSE,"Tickmarks"}</definedName>
    <definedName name="_______rwn1" hidden="1">{#N/A,#N/A,FALSE,"Aging Summary";#N/A,#N/A,FALSE,"Ratio Analysis";#N/A,#N/A,FALSE,"Test 120 Day Accts";#N/A,#N/A,FALSE,"Tickmarks"}</definedName>
    <definedName name="_______rwn10" hidden="1">{#N/A,#N/A,FALSE,"Aging Summary";#N/A,#N/A,FALSE,"Ratio Analysis";#N/A,#N/A,FALSE,"Test 120 Day Accts";#N/A,#N/A,FALSE,"Tickmarks"}</definedName>
    <definedName name="_______rwn3" hidden="1">{"assets",#N/A,FALSE,"historicBS";"liab",#N/A,FALSE,"historicBS";"is",#N/A,FALSE,"historicIS";"ratios",#N/A,FALSE,"ratios"}</definedName>
    <definedName name="_______rwn4" hidden="1">{"assets",#N/A,FALSE,"historicBS";"liab",#N/A,FALSE,"historicBS";"is",#N/A,FALSE,"historicIS";"ratios",#N/A,FALSE,"ratios"}</definedName>
    <definedName name="_______rwn5" hidden="1">{"glcbs",#N/A,FALSE,"GLCBS";"glccsbs",#N/A,FALSE,"GLCCSBS";"glcis",#N/A,FALSE,"GLCIS";"glccsis",#N/A,FALSE,"GLCCSIS";"glcrat1",#N/A,FALSE,"GLC-ratios1"}</definedName>
    <definedName name="_______rwn6" hidden="1">{"glc1",#N/A,FALSE,"GLC";"glc2",#N/A,FALSE,"GLC";"glc3",#N/A,FALSE,"GLC";"glc4",#N/A,FALSE,"GLC";"glc5",#N/A,FALSE,"GLC"}</definedName>
    <definedName name="_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rwn8" hidden="1">{"glc1",#N/A,FALSE,"GLC";"glc2",#N/A,FALSE,"GLC";"glc3",#N/A,FALSE,"GLC";"glc4",#N/A,FALSE,"GLC";"glc5",#N/A,FALSE,"GLC"}</definedName>
    <definedName name="_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_wrn2" hidden="1">{"glc1",#N/A,FALSE,"GLC";"glc2",#N/A,FALSE,"GLC";"glc3",#N/A,FALSE,"GLC";"glc4",#N/A,FALSE,"GLC";"glc5",#N/A,FALSE,"GLC"}</definedName>
    <definedName name="_______wrn222" hidden="1">{"glc1",#N/A,FALSE,"GLC";"glc2",#N/A,FALSE,"GLC";"glc3",#N/A,FALSE,"GLC";"glc4",#N/A,FALSE,"GLC";"glc5",#N/A,FALSE,"GLC"}</definedName>
    <definedName name="_______xlfn.AVERAGEIF" hidden="1">#NAME?</definedName>
    <definedName name="_______xlfn.BAHTTEXT" hidden="1">#NAME?</definedName>
    <definedName name="______hkf8" hidden="1">{"glc1",#N/A,FALSE,"GLC";"glc2",#N/A,FALSE,"GLC";"glc3",#N/A,FALSE,"GLC";"glc4",#N/A,FALSE,"GLC";"glc5",#N/A,FALSE,"GLC"}</definedName>
    <definedName name="_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_rwb2" hidden="1">{#N/A,#N/A,FALSE,"Aging Summary";#N/A,#N/A,FALSE,"Ratio Analysis";#N/A,#N/A,FALSE,"Test 120 Day Accts";#N/A,#N/A,FALSE,"Tickmarks"}</definedName>
    <definedName name="______rwn1" hidden="1">{#N/A,#N/A,FALSE,"Aging Summary";#N/A,#N/A,FALSE,"Ratio Analysis";#N/A,#N/A,FALSE,"Test 120 Day Accts";#N/A,#N/A,FALSE,"Tickmarks"}</definedName>
    <definedName name="______rwn10" hidden="1">{#N/A,#N/A,FALSE,"Aging Summary";#N/A,#N/A,FALSE,"Ratio Analysis";#N/A,#N/A,FALSE,"Test 120 Day Accts";#N/A,#N/A,FALSE,"Tickmarks"}</definedName>
    <definedName name="______rwn3" hidden="1">{"assets",#N/A,FALSE,"historicBS";"liab",#N/A,FALSE,"historicBS";"is",#N/A,FALSE,"historicIS";"ratios",#N/A,FALSE,"ratios"}</definedName>
    <definedName name="______rwn4" hidden="1">{"assets",#N/A,FALSE,"historicBS";"liab",#N/A,FALSE,"historicBS";"is",#N/A,FALSE,"historicIS";"ratios",#N/A,FALSE,"ratios"}</definedName>
    <definedName name="______rwn5" hidden="1">{"glcbs",#N/A,FALSE,"GLCBS";"glccsbs",#N/A,FALSE,"GLCCSBS";"glcis",#N/A,FALSE,"GLCIS";"glccsis",#N/A,FALSE,"GLCCSIS";"glcrat1",#N/A,FALSE,"GLC-ratios1"}</definedName>
    <definedName name="______rwn6" hidden="1">{"glc1",#N/A,FALSE,"GLC";"glc2",#N/A,FALSE,"GLC";"glc3",#N/A,FALSE,"GLC";"glc4",#N/A,FALSE,"GLC";"glc5",#N/A,FALSE,"GLC"}</definedName>
    <definedName name="_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rwn8" hidden="1">{"glc1",#N/A,FALSE,"GLC";"glc2",#N/A,FALSE,"GLC";"glc3",#N/A,FALSE,"GLC";"glc4",#N/A,FALSE,"GLC";"glc5",#N/A,FALSE,"GLC"}</definedName>
    <definedName name="_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_xlfn.AVERAGEIF" hidden="1">#NAME?</definedName>
    <definedName name="______xlfn.BAHTTEXT" hidden="1">#NAME?</definedName>
    <definedName name="_____fgd2" hidden="1">{"'Северо-Никольское '!$A$6:$J$40"}</definedName>
    <definedName name="_____hkf8" hidden="1">{"glc1",#N/A,FALSE,"GLC";"glc2",#N/A,FALSE,"GLC";"glc3",#N/A,FALSE,"GLC";"glc4",#N/A,FALSE,"GLC";"glc5",#N/A,FALSE,"GLC"}</definedName>
    <definedName name="_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_rwb2" hidden="1">{#N/A,#N/A,FALSE,"Aging Summary";#N/A,#N/A,FALSE,"Ratio Analysis";#N/A,#N/A,FALSE,"Test 120 Day Accts";#N/A,#N/A,FALSE,"Tickmarks"}</definedName>
    <definedName name="_____rwn1" hidden="1">{#N/A,#N/A,FALSE,"Aging Summary";#N/A,#N/A,FALSE,"Ratio Analysis";#N/A,#N/A,FALSE,"Test 120 Day Accts";#N/A,#N/A,FALSE,"Tickmarks"}</definedName>
    <definedName name="_____rwn10" hidden="1">{#N/A,#N/A,FALSE,"Aging Summary";#N/A,#N/A,FALSE,"Ratio Analysis";#N/A,#N/A,FALSE,"Test 120 Day Accts";#N/A,#N/A,FALSE,"Tickmarks"}</definedName>
    <definedName name="_____rwn3" hidden="1">{"assets",#N/A,FALSE,"historicBS";"liab",#N/A,FALSE,"historicBS";"is",#N/A,FALSE,"historicIS";"ratios",#N/A,FALSE,"ratios"}</definedName>
    <definedName name="_____rwn4" hidden="1">{"assets",#N/A,FALSE,"historicBS";"liab",#N/A,FALSE,"historicBS";"is",#N/A,FALSE,"historicIS";"ratios",#N/A,FALSE,"ratios"}</definedName>
    <definedName name="_____rwn5" hidden="1">{"glcbs",#N/A,FALSE,"GLCBS";"glccsbs",#N/A,FALSE,"GLCCSBS";"glcis",#N/A,FALSE,"GLCIS";"glccsis",#N/A,FALSE,"GLCCSIS";"glcrat1",#N/A,FALSE,"GLC-ratios1"}</definedName>
    <definedName name="_____rwn6" hidden="1">{"glc1",#N/A,FALSE,"GLC";"glc2",#N/A,FALSE,"GLC";"glc3",#N/A,FALSE,"GLC";"glc4",#N/A,FALSE,"GLC";"glc5",#N/A,FALSE,"GLC"}</definedName>
    <definedName name="_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rwn8" hidden="1">{"glc1",#N/A,FALSE,"GLC";"glc2",#N/A,FALSE,"GLC";"glc3",#N/A,FALSE,"GLC";"glc4",#N/A,FALSE,"GLC";"glc5",#N/A,FALSE,"GLC"}</definedName>
    <definedName name="_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_xlfn.AVERAGEIF" hidden="1">#NAME?</definedName>
    <definedName name="_____xlfn.BAHTTEXT" hidden="1">#NAME?</definedName>
    <definedName name="____fgd2" hidden="1">{"'Северо-Никольское '!$A$6:$J$40"}</definedName>
    <definedName name="____hkf8" hidden="1">{"glc1",#N/A,FALSE,"GLC";"glc2",#N/A,FALSE,"GLC";"glc3",#N/A,FALSE,"GLC";"glc4",#N/A,FALSE,"GLC";"glc5",#N/A,FALSE,"GLC"}</definedName>
    <definedName name="____I027611" hidden="1">{#N/A,#N/A,FALSE,"지침";#N/A,#N/A,FALSE,"환경분석";#N/A,#N/A,FALSE,"Sheet16"}</definedName>
    <definedName name="____o1" hidden="1">{"det (May)",#N/A,FALSE,"June";"sum (MAY YTD)",#N/A,FALSE,"June YTD"}</definedName>
    <definedName name="____P0376001" hidden="1">{#N/A,#N/A,FALSE,"지침";#N/A,#N/A,FALSE,"환경분석";#N/A,#N/A,FALSE,"Sheet16"}</definedName>
    <definedName name="_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_rwb2" hidden="1">{#N/A,#N/A,FALSE,"Aging Summary";#N/A,#N/A,FALSE,"Ratio Analysis";#N/A,#N/A,FALSE,"Test 120 Day Accts";#N/A,#N/A,FALSE,"Tickmarks"}</definedName>
    <definedName name="____rwn1" hidden="1">{#N/A,#N/A,FALSE,"Aging Summary";#N/A,#N/A,FALSE,"Ratio Analysis";#N/A,#N/A,FALSE,"Test 120 Day Accts";#N/A,#N/A,FALSE,"Tickmarks"}</definedName>
    <definedName name="____rwn10" hidden="1">{#N/A,#N/A,FALSE,"Aging Summary";#N/A,#N/A,FALSE,"Ratio Analysis";#N/A,#N/A,FALSE,"Test 120 Day Accts";#N/A,#N/A,FALSE,"Tickmarks"}</definedName>
    <definedName name="____rwn3" hidden="1">{"assets",#N/A,FALSE,"historicBS";"liab",#N/A,FALSE,"historicBS";"is",#N/A,FALSE,"historicIS";"ratios",#N/A,FALSE,"ratios"}</definedName>
    <definedName name="____rwn4" hidden="1">{"assets",#N/A,FALSE,"historicBS";"liab",#N/A,FALSE,"historicBS";"is",#N/A,FALSE,"historicIS";"ratios",#N/A,FALSE,"ratios"}</definedName>
    <definedName name="____rwn5" hidden="1">{"glcbs",#N/A,FALSE,"GLCBS";"glccsbs",#N/A,FALSE,"GLCCSBS";"glcis",#N/A,FALSE,"GLCIS";"glccsis",#N/A,FALSE,"GLCCSIS";"glcrat1",#N/A,FALSE,"GLC-ratios1"}</definedName>
    <definedName name="____rwn6" hidden="1">{"glc1",#N/A,FALSE,"GLC";"glc2",#N/A,FALSE,"GLC";"glc3",#N/A,FALSE,"GLC";"glc4",#N/A,FALSE,"GLC";"glc5",#N/A,FALSE,"GLC"}</definedName>
    <definedName name="_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rwn8" hidden="1">{"glc1",#N/A,FALSE,"GLC";"glc2",#N/A,FALSE,"GLC";"glc3",#N/A,FALSE,"GLC";"glc4",#N/A,FALSE,"GLC";"glc5",#N/A,FALSE,"GLC"}</definedName>
    <definedName name="_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_tk2" hidden="1">{#N/A,#N/A,FALSE,"지침";#N/A,#N/A,FALSE,"환경분석";#N/A,#N/A,FALSE,"Sheet16"}</definedName>
    <definedName name="____xlfn.AVERAGEIF" hidden="1">#NAME?</definedName>
    <definedName name="____xlfn.BAHTTEXT" hidden="1">#NAME?</definedName>
    <definedName name="____xlfn.COUNTIFS" hidden="1">#NAME?</definedName>
    <definedName name="___1__123Graph_ACHART_4" hidden="1">#REF!</definedName>
    <definedName name="___123" hidden="1">#REF!</definedName>
    <definedName name="___2__123Graph_XCHART_3" hidden="1">#REF!</definedName>
    <definedName name="___3__123Graph_XCHART_4" hidden="1">#REF!</definedName>
    <definedName name="___fgd2" hidden="1">{"'Северо-Никольское '!$A$6:$J$40"}</definedName>
    <definedName name="___hkf8" hidden="1">{"glc1",#N/A,FALSE,"GLC";"glc2",#N/A,FALSE,"GLC";"glc3",#N/A,FALSE,"GLC";"glc4",#N/A,FALSE,"GLC";"glc5",#N/A,FALSE,"GLC"}</definedName>
    <definedName name="___I027611" hidden="1">{#N/A,#N/A,FALSE,"지침";#N/A,#N/A,FALSE,"환경분석";#N/A,#N/A,FALSE,"Sheet16"}</definedName>
    <definedName name="___o1" hidden="1">{"det (May)",#N/A,FALSE,"June";"sum (MAY YTD)",#N/A,FALSE,"June YTD"}</definedName>
    <definedName name="___P0376001" hidden="1">{#N/A,#N/A,FALSE,"지침";#N/A,#N/A,FALSE,"환경분석";#N/A,#N/A,FALSE,"Sheet16"}</definedName>
    <definedName name="_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_rwb2" hidden="1">{#N/A,#N/A,FALSE,"Aging Summary";#N/A,#N/A,FALSE,"Ratio Analysis";#N/A,#N/A,FALSE,"Test 120 Day Accts";#N/A,#N/A,FALSE,"Tickmarks"}</definedName>
    <definedName name="___rwn1" hidden="1">{#N/A,#N/A,FALSE,"Aging Summary";#N/A,#N/A,FALSE,"Ratio Analysis";#N/A,#N/A,FALSE,"Test 120 Day Accts";#N/A,#N/A,FALSE,"Tickmarks"}</definedName>
    <definedName name="___rwn10" hidden="1">{#N/A,#N/A,FALSE,"Aging Summary";#N/A,#N/A,FALSE,"Ratio Analysis";#N/A,#N/A,FALSE,"Test 120 Day Accts";#N/A,#N/A,FALSE,"Tickmarks"}</definedName>
    <definedName name="___rwn3" hidden="1">{"assets",#N/A,FALSE,"historicBS";"liab",#N/A,FALSE,"historicBS";"is",#N/A,FALSE,"historicIS";"ratios",#N/A,FALSE,"ratios"}</definedName>
    <definedName name="___rwn4" hidden="1">{"assets",#N/A,FALSE,"historicBS";"liab",#N/A,FALSE,"historicBS";"is",#N/A,FALSE,"historicIS";"ratios",#N/A,FALSE,"ratios"}</definedName>
    <definedName name="___rwn5" hidden="1">{"glcbs",#N/A,FALSE,"GLCBS";"glccsbs",#N/A,FALSE,"GLCCSBS";"glcis",#N/A,FALSE,"GLCIS";"glccsis",#N/A,FALSE,"GLCCSIS";"glcrat1",#N/A,FALSE,"GLC-ratios1"}</definedName>
    <definedName name="___rwn6" hidden="1">{"glc1",#N/A,FALSE,"GLC";"glc2",#N/A,FALSE,"GLC";"glc3",#N/A,FALSE,"GLC";"glc4",#N/A,FALSE,"GLC";"glc5",#N/A,FALSE,"GLC"}</definedName>
    <definedName name="_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rwn8" hidden="1">{"glc1",#N/A,FALSE,"GLC";"glc2",#N/A,FALSE,"GLC";"glc3",#N/A,FALSE,"GLC";"glc4",#N/A,FALSE,"GLC";"glc5",#N/A,FALSE,"GLC"}</definedName>
    <definedName name="_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_tk2" hidden="1">{#N/A,#N/A,FALSE,"지침";#N/A,#N/A,FALSE,"환경분석";#N/A,#N/A,FALSE,"Sheet16"}</definedName>
    <definedName name="___xlfn.AVERAGEIF" hidden="1">#NAME?</definedName>
    <definedName name="___xlfn.BAHTTEXT" hidden="1">#NAME?</definedName>
    <definedName name="___xlfn.COUNTIFS" hidden="1">#NAME?</definedName>
    <definedName name="__1__123Graph_ACHART_4" hidden="1">#REF!</definedName>
    <definedName name="__123Graph_ACart" hidden="1">#REF!</definedName>
    <definedName name="__123Graph_AChart" hidden="1">#REF!</definedName>
    <definedName name="__123Graph_AFLOW" hidden="1">#REF!</definedName>
    <definedName name="__123Graph_AMONTH" hidden="1">#REF!</definedName>
    <definedName name="__123Graph_B" hidden="1">#REF!</definedName>
    <definedName name="__123Graph_D" hidden="1">#REF!</definedName>
    <definedName name="__125" hidden="1">#REF!</definedName>
    <definedName name="__2______123Graph_BChart_1A" hidden="1">#REF!</definedName>
    <definedName name="__2___123Graph_BChart_1A" hidden="1">#REF!</definedName>
    <definedName name="__2__123Graph_XCHART_3" hidden="1">#REF!</definedName>
    <definedName name="__3_____123Graph_AChart_1A" hidden="1">#REF!</definedName>
    <definedName name="__3__123Graph_XCHART_4" hidden="1">#REF!</definedName>
    <definedName name="__4_____123Graph_BChart_1A" hidden="1">#REF!</definedName>
    <definedName name="__4aaa" hidden="1">{#N/A,#N/A,FALSE,"Aging Summary";#N/A,#N/A,FALSE,"Ratio Analysis";#N/A,#N/A,FALSE,"Test 120 Day Accts";#N/A,#N/A,FALSE,"Tickmarks"}</definedName>
    <definedName name="__5____123Graph_AChart_1A" hidden="1">#REF!</definedName>
    <definedName name="__6____123Graph_BChart_1A" hidden="1">#REF!</definedName>
    <definedName name="__abc1" hidden="1">#REF!</definedName>
    <definedName name="__FDS_HYPERLINK_TOGGLE_STATE__" hidden="1">"ON"</definedName>
    <definedName name="__fgd2" hidden="1">{"'Северо-Никольское '!$A$6:$J$40"}</definedName>
    <definedName name="__hkf8" hidden="1">{"glc1",#N/A,FALSE,"GLC";"glc2",#N/A,FALSE,"GLC";"glc3",#N/A,FALSE,"GLC";"glc4",#N/A,FALSE,"GLC";"glc5",#N/A,FALSE,"GLC"}</definedName>
    <definedName name="__I027611" hidden="1">{#N/A,#N/A,FALSE,"지침";#N/A,#N/A,FALSE,"환경분석";#N/A,#N/A,FALSE,"Sheet16"}</definedName>
    <definedName name="__IntlFixup" hidden="1">TRUE</definedName>
    <definedName name="__o1" hidden="1">{"det (May)",#N/A,FALSE,"June";"sum (MAY YTD)",#N/A,FALSE,"June YTD"}</definedName>
    <definedName name="__P0376001" hidden="1">{#N/A,#N/A,FALSE,"지침";#N/A,#N/A,FALSE,"환경분석";#N/A,#N/A,FALSE,"Sheet16"}</definedName>
    <definedName name="__PL1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__rwb2" hidden="1">{#N/A,#N/A,FALSE,"Aging Summary";#N/A,#N/A,FALSE,"Ratio Analysis";#N/A,#N/A,FALSE,"Test 120 Day Accts";#N/A,#N/A,FALSE,"Tickmarks"}</definedName>
    <definedName name="__rwn1" hidden="1">{#N/A,#N/A,FALSE,"Aging Summary";#N/A,#N/A,FALSE,"Ratio Analysis";#N/A,#N/A,FALSE,"Test 120 Day Accts";#N/A,#N/A,FALSE,"Tickmarks"}</definedName>
    <definedName name="__rwn10" hidden="1">{#N/A,#N/A,FALSE,"Aging Summary";#N/A,#N/A,FALSE,"Ratio Analysis";#N/A,#N/A,FALSE,"Test 120 Day Accts";#N/A,#N/A,FALSE,"Tickmarks"}</definedName>
    <definedName name="__rwn3" hidden="1">{"assets",#N/A,FALSE,"historicBS";"liab",#N/A,FALSE,"historicBS";"is",#N/A,FALSE,"historicIS";"ratios",#N/A,FALSE,"ratios"}</definedName>
    <definedName name="__rwn4" hidden="1">{"assets",#N/A,FALSE,"historicBS";"liab",#N/A,FALSE,"historicBS";"is",#N/A,FALSE,"historicIS";"ratios",#N/A,FALSE,"ratios"}</definedName>
    <definedName name="__rwn5" hidden="1">{"glcbs",#N/A,FALSE,"GLCBS";"glccsbs",#N/A,FALSE,"GLCCSBS";"glcis",#N/A,FALSE,"GLCIS";"glccsis",#N/A,FALSE,"GLCCSIS";"glcrat1",#N/A,FALSE,"GLC-ratios1"}</definedName>
    <definedName name="__rwn6" hidden="1">{"glc1",#N/A,FALSE,"GLC";"glc2",#N/A,FALSE,"GLC";"glc3",#N/A,FALSE,"GLC";"glc4",#N/A,FALSE,"GLC";"glc5",#N/A,FALSE,"GLC"}</definedName>
    <definedName name="_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rwn8" hidden="1">{"glc1",#N/A,FALSE,"GLC";"glc2",#N/A,FALSE,"GLC";"glc3",#N/A,FALSE,"GLC";"glc4",#N/A,FALSE,"GLC";"glc5",#N/A,FALSE,"GLC"}</definedName>
    <definedName name="_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_tk2" hidden="1">{#N/A,#N/A,FALSE,"지침";#N/A,#N/A,FALSE,"환경분석";#N/A,#N/A,FALSE,"Sheet16"}</definedName>
    <definedName name="__xlchart.v3.0" hidden="1">#REF!</definedName>
    <definedName name="__xlchart.v3.1" hidden="1">#REF!</definedName>
    <definedName name="__xlchart.v3.10" hidden="1">#REF!</definedName>
    <definedName name="__xlchart.v3.11" hidden="1">#REF!</definedName>
    <definedName name="__xlchart.v3.12" hidden="1">#REF!</definedName>
    <definedName name="__xlchart.v3.13" hidden="1">#REF!</definedName>
    <definedName name="__xlchart.v3.14" hidden="1">#REF!</definedName>
    <definedName name="__xlchart.v3.15" hidden="1">#REF!</definedName>
    <definedName name="__xlchart.v3.16" hidden="1">#REF!</definedName>
    <definedName name="__xlchart.v3.17" hidden="1">#REF!</definedName>
    <definedName name="__xlchart.v3.18" hidden="1">#REF!</definedName>
    <definedName name="__xlchart.v3.19" hidden="1">#REF!</definedName>
    <definedName name="__xlchart.v3.2" hidden="1">#REF!</definedName>
    <definedName name="__xlchart.v3.20" hidden="1">#REF!</definedName>
    <definedName name="__xlchart.v3.21" hidden="1">#REF!</definedName>
    <definedName name="__xlchart.v3.22" hidden="1">#REF!</definedName>
    <definedName name="__xlchart.v3.3" hidden="1">#REF!</definedName>
    <definedName name="__xlchart.v3.4" hidden="1">#REF!</definedName>
    <definedName name="__xlchart.v3.5" hidden="1">#REF!</definedName>
    <definedName name="__xlchart.v3.6" hidden="1">#REF!</definedName>
    <definedName name="__xlchart.v3.7" hidden="1">#REF!</definedName>
    <definedName name="__xlchart.v3.8" hidden="1">#REF!</definedName>
    <definedName name="__xlchart.v3.9" hidden="1">#REF!</definedName>
    <definedName name="__xlfn.AVERAGEIF" hidden="1">#NAME?</definedName>
    <definedName name="__xlfn.BAHTTEXT" hidden="1">#NAME?</definedName>
    <definedName name="__xlfn.COUNTIFS" hidden="1">#NAME?</definedName>
    <definedName name="_1" hidden="1">#REF!</definedName>
    <definedName name="_1_________________________________________________123Graph_XCHART_4" hidden="1">#REF!</definedName>
    <definedName name="_1_________________123Graph_XCHART_4" hidden="1">#REF!</definedName>
    <definedName name="_1______123Graph_ACHART_4" hidden="1">#REF!</definedName>
    <definedName name="_1_____123Graph_ACHART_4" hidden="1">#REF!</definedName>
    <definedName name="_1___123Graph_ACHART_4" hidden="1">#REF!</definedName>
    <definedName name="_1___123Graph_XCHART_4" hidden="1">#REF!</definedName>
    <definedName name="_1__123Graph_ACHART_4" hidden="1">#REF!</definedName>
    <definedName name="_10__________________________________________123Graph_ACHART_4" hidden="1">#REF!</definedName>
    <definedName name="_10_____________123Graph_XCHART_3" hidden="1">#REF!</definedName>
    <definedName name="_10___123Graph_ACHART_4" hidden="1">#REF!</definedName>
    <definedName name="_10__123Graph_AChart_1AJ" hidden="1">#REF!</definedName>
    <definedName name="_10__123Graph_ACHART_4" hidden="1">#REF!</definedName>
    <definedName name="_10__123Graph_BChart_1A" hidden="1">#REF!</definedName>
    <definedName name="_100____________123Graph_ACHART_4" hidden="1">#REF!</definedName>
    <definedName name="_100__123Graph_BChart_2D" hidden="1">#REF!</definedName>
    <definedName name="_101____________123Graph_XCHART_3" hidden="1">#REF!</definedName>
    <definedName name="_101__123Graph_BChart_3B" hidden="1">#REF!</definedName>
    <definedName name="_102____________123Graph_XCHART_4" hidden="1">#REF!</definedName>
    <definedName name="_102__123Graph_BChart_3L" hidden="1">#REF!</definedName>
    <definedName name="_103___________123Graph_ACHART_4" hidden="1">#REF!</definedName>
    <definedName name="_103__123Graph_BChart_9C" hidden="1">#REF!</definedName>
    <definedName name="_104___________123Graph_XCHART_3" hidden="1">#REF!</definedName>
    <definedName name="_104__123Graph_CChart_1A" hidden="1">#REF!</definedName>
    <definedName name="_105___________123Graph_XCHART_4" hidden="1">#REF!</definedName>
    <definedName name="_105__123Graph_CChart_1AA" hidden="1">#REF!</definedName>
    <definedName name="_106__________123Graph_ACHART_4" hidden="1">#REF!</definedName>
    <definedName name="_106__123Graph_CChart_1AB" hidden="1">#REF!</definedName>
    <definedName name="_107__________123Graph_XCHART_3" hidden="1">#REF!</definedName>
    <definedName name="_107__123Graph_CChart_1AE" hidden="1">#REF!</definedName>
    <definedName name="_108__________123Graph_XCHART_4" hidden="1">#REF!</definedName>
    <definedName name="_108__123Graph_CChart_1AF" hidden="1">#REF!</definedName>
    <definedName name="_109_________123Graph_ACHART_4" hidden="1">#REF!</definedName>
    <definedName name="_109__123Graph_CChart_1AM" hidden="1">#REF!</definedName>
    <definedName name="_10aaa" hidden="1">{#N/A,#N/A,FALSE,"Aging Summary";#N/A,#N/A,FALSE,"Ratio Analysis";#N/A,#N/A,FALSE,"Test 120 Day Accts";#N/A,#N/A,FALSE,"Tickmarks"}</definedName>
    <definedName name="_11__________________________________________123Graph_XCHART_3" hidden="1">#REF!</definedName>
    <definedName name="_11_____________123Graph_XCHART_4" hidden="1">#REF!</definedName>
    <definedName name="_11___123Graph_XCHART_3" hidden="1">#REF!</definedName>
    <definedName name="_11__123Graph_AChart_1AK" hidden="1">#REF!</definedName>
    <definedName name="_11__123Graph_XCHART_3" hidden="1">#REF!</definedName>
    <definedName name="_110_________123Graph_XCHART_3" hidden="1">#REF!</definedName>
    <definedName name="_110__123Graph_CChart_1B" hidden="1">#REF!</definedName>
    <definedName name="_111_________123Graph_XCHART_4" hidden="1">#REF!</definedName>
    <definedName name="_111__123Graph_CChart_1C" hidden="1">#REF!</definedName>
    <definedName name="_112________123Graph_ACHART_4" hidden="1">#REF!</definedName>
    <definedName name="_112__123Graph_CChart_1CA" hidden="1">#REF!</definedName>
    <definedName name="_113________123Graph_XCHART_3" hidden="1">#REF!</definedName>
    <definedName name="_113__123Graph_CChart_1CD" hidden="1">#REF!</definedName>
    <definedName name="_114________123Graph_XCHART_4" hidden="1">#REF!</definedName>
    <definedName name="_114__123Graph_CChart_1CE" hidden="1">#REF!</definedName>
    <definedName name="_115_______123Graph_ACHART_4" hidden="1">#REF!</definedName>
    <definedName name="_115__123Graph_CChart_1D" hidden="1">#REF!</definedName>
    <definedName name="_116_______123Graph_XCHART_3" hidden="1">#REF!</definedName>
    <definedName name="_116__123Graph_CChart_1E" hidden="1">#REF!</definedName>
    <definedName name="_117_______123Graph_XCHART_4" hidden="1">#REF!</definedName>
    <definedName name="_117__123Graph_CChart_1F" hidden="1">#REF!</definedName>
    <definedName name="_118______123Graph_ACHART_4" hidden="1">#REF!</definedName>
    <definedName name="_118__123Graph_CChart_1G" hidden="1">#REF!</definedName>
    <definedName name="_119______123Graph_XCHART_3" hidden="1">#REF!</definedName>
    <definedName name="_119__123Graph_CChart_1H" hidden="1">#REF!</definedName>
    <definedName name="_12__________________________________________123Graph_XCHART_4" hidden="1">#REF!</definedName>
    <definedName name="_12____________123Graph_ACHART_4" hidden="1">#REF!</definedName>
    <definedName name="_12______123Graph_AChart_1A" hidden="1">#REF!</definedName>
    <definedName name="_12___123Graph_XCHART_4" hidden="1">#REF!</definedName>
    <definedName name="_12__123Graph_AChart_1AL" hidden="1">#REF!</definedName>
    <definedName name="_12__123Graph_XCHART_4" hidden="1">#REF!</definedName>
    <definedName name="_120______123Graph_XCHART_4" hidden="1">#REF!</definedName>
    <definedName name="_120__123Graph_CChart_1I" hidden="1">#REF!</definedName>
    <definedName name="_121_____123Graph_ACHART_4" hidden="1">#REF!</definedName>
    <definedName name="_121__123Graph_CChart_1J" hidden="1">#REF!</definedName>
    <definedName name="_122_____123Graph_XCHART_3" hidden="1">#REF!</definedName>
    <definedName name="_122__123Graph_CChart_1K" hidden="1">#REF!</definedName>
    <definedName name="_123_____123Graph_XCHART_4" hidden="1">#REF!</definedName>
    <definedName name="_123__123Graph_CChart_1L" hidden="1">#REF!</definedName>
    <definedName name="_1234" hidden="1">#REF!</definedName>
    <definedName name="_12345" hidden="1">#REF!</definedName>
    <definedName name="_124____123Graph_ACHART_4" hidden="1">#REF!</definedName>
    <definedName name="_124__123Graph_CChart_1N" hidden="1">#REF!</definedName>
    <definedName name="_124GraphA" hidden="1">#REF!</definedName>
    <definedName name="_125____123Graph_XCHART_3" hidden="1">#REF!</definedName>
    <definedName name="_125__123Graph_CChart_1O" hidden="1">#REF!</definedName>
    <definedName name="_126____123Graph_XCHART_4" hidden="1">#REF!</definedName>
    <definedName name="_126__123Graph_CChart_1P" hidden="1">#REF!</definedName>
    <definedName name="_127___123Graph_ACHART_4" hidden="1">#REF!</definedName>
    <definedName name="_127__123Graph_CChart_1T" hidden="1">#REF!</definedName>
    <definedName name="_128___123Graph_XCHART_3" hidden="1">#REF!</definedName>
    <definedName name="_128__123Graph_CChart_1U" hidden="1">#REF!</definedName>
    <definedName name="_129___123Graph_XCHART_4" hidden="1">#REF!</definedName>
    <definedName name="_129__123Graph_CChart_1W" hidden="1">#REF!</definedName>
    <definedName name="_13_________________________________________123Graph_ACHART_4" hidden="1">#REF!</definedName>
    <definedName name="_13____________123Graph_XCHART_3" hidden="1">#REF!</definedName>
    <definedName name="_13__123Graph_AChart_1AM" hidden="1">#REF!</definedName>
    <definedName name="_13__123Graph_ACHART_4" hidden="1">#REF!</definedName>
    <definedName name="_13__123Graph_XCHART_4" hidden="1">#REF!</definedName>
    <definedName name="_130__123Graph_ACHART_4" hidden="1">#REF!</definedName>
    <definedName name="_130__123Graph_CChart_1Y" hidden="1">#REF!</definedName>
    <definedName name="_131__123Graph_CChart_2AE" hidden="1">#REF!</definedName>
    <definedName name="_131__123Graph_XCHART_3" hidden="1">#REF!</definedName>
    <definedName name="_132__123Graph_CChart_3B" hidden="1">#REF!</definedName>
    <definedName name="_132__123Graph_XCHART_4" hidden="1">#REF!</definedName>
    <definedName name="_133__123Graph_CChart_9C" hidden="1">#REF!</definedName>
    <definedName name="_134__123Graph_DChart_1AB" hidden="1">#REF!</definedName>
    <definedName name="_134aaa" hidden="1">{#N/A,#N/A,FALSE,"Aging Summary";#N/A,#N/A,FALSE,"Ratio Analysis";#N/A,#N/A,FALSE,"Test 120 Day Accts";#N/A,#N/A,FALSE,"Tickmarks"}</definedName>
    <definedName name="_135__123Graph_DChart_1AM" hidden="1">#REF!</definedName>
    <definedName name="_136__123Graph_DChart_1B" hidden="1">#REF!</definedName>
    <definedName name="_137__123Graph_DChart_1C" hidden="1">#REF!</definedName>
    <definedName name="_138__123Graph_DChart_1CE" hidden="1">#REF!</definedName>
    <definedName name="_139__123Graph_DChart_1D" hidden="1">#REF!</definedName>
    <definedName name="_13aaa" hidden="1">{#N/A,#N/A,FALSE,"Aging Summary";#N/A,#N/A,FALSE,"Ratio Analysis";#N/A,#N/A,FALSE,"Test 120 Day Accts";#N/A,#N/A,FALSE,"Tickmarks"}</definedName>
    <definedName name="_14_________________________________________123Graph_XCHART_3" hidden="1">#REF!</definedName>
    <definedName name="_14____________123Graph_XCHART_4" hidden="1">#REF!</definedName>
    <definedName name="_14__123Graph_AChart_1AN" hidden="1">#REF!</definedName>
    <definedName name="_14__123Graph_XCHART_3" hidden="1">#REF!</definedName>
    <definedName name="_140__123Graph_DChart_1E" hidden="1">#REF!</definedName>
    <definedName name="_141__123Graph_DChart_1H" hidden="1">#REF!</definedName>
    <definedName name="_142__123Graph_DChart_1I" hidden="1">#REF!</definedName>
    <definedName name="_143__123Graph_DChart_1J" hidden="1">#REF!</definedName>
    <definedName name="_144__123Graph_DChart_1K" hidden="1">#REF!</definedName>
    <definedName name="_145__123Graph_DChart_1L" hidden="1">#REF!</definedName>
    <definedName name="_146__123Graph_DChart_1O" hidden="1">#REF!</definedName>
    <definedName name="_147__123Graph_DChart_1P" hidden="1">#REF!</definedName>
    <definedName name="_148__123Graph_DChart_3B" hidden="1">#REF!</definedName>
    <definedName name="_149__123Graph_EChart_1AB" hidden="1">#REF!</definedName>
    <definedName name="_15_________________________________________123Graph_XCHART_4" hidden="1">#REF!</definedName>
    <definedName name="_15___________123Graph_ACHART_4" hidden="1">#REF!</definedName>
    <definedName name="_15__123Graph_AChart_1AO" hidden="1">#REF!</definedName>
    <definedName name="_15__123Graph_XCHART_4" hidden="1">#REF!</definedName>
    <definedName name="_150__123Graph_EChart_1B" hidden="1">#REF!</definedName>
    <definedName name="_151__123Graph_EChart_1CE" hidden="1">#REF!</definedName>
    <definedName name="_152__123Graph_EChart_1D" hidden="1">#REF!</definedName>
    <definedName name="_153__123Graph_EChart_1E" hidden="1">#REF!</definedName>
    <definedName name="_154__123Graph_EChart_1H" hidden="1">#REF!</definedName>
    <definedName name="_155__123Graph_EChart_1P" hidden="1">#REF!</definedName>
    <definedName name="_156__123Graph_EChart_3B" hidden="1">#REF!</definedName>
    <definedName name="_157__123Graph_FChart_1B" hidden="1">#REF!</definedName>
    <definedName name="_158__123Graph_FChart_1E" hidden="1">#REF!</definedName>
    <definedName name="_159__123Graph_FChart_1P" hidden="1">#REF!</definedName>
    <definedName name="_15aaa" hidden="1">{#N/A,#N/A,FALSE,"Aging Summary";#N/A,#N/A,FALSE,"Ratio Analysis";#N/A,#N/A,FALSE,"Test 120 Day Accts";#N/A,#N/A,FALSE,"Tickmarks"}</definedName>
    <definedName name="_16________________________________________123Graph_ACHART_4" hidden="1">#REF!</definedName>
    <definedName name="_16___________123Graph_XCHART_3" hidden="1">#REF!</definedName>
    <definedName name="_16__123Graph_AChart_1AP" hidden="1">#REF!</definedName>
    <definedName name="_16__123Graph_XCHART_3" hidden="1">#REF!</definedName>
    <definedName name="_160__123Graph_FChart_3B" hidden="1">#REF!</definedName>
    <definedName name="_161__123Graph_XChart_1A" hidden="1">#REF!</definedName>
    <definedName name="_162__123Graph_XChart_2AC" hidden="1">#REF!</definedName>
    <definedName name="_163__123Graph_XChart_2U" hidden="1">#REF!</definedName>
    <definedName name="_17________________________________________123Graph_XCHART_3" hidden="1">#REF!</definedName>
    <definedName name="_17___________123Graph_XCHART_4" hidden="1">#REF!</definedName>
    <definedName name="_17__123Graph_AChart_1AX" hidden="1">#REF!</definedName>
    <definedName name="_17__123Graph_XCHART_4" hidden="1">#REF!</definedName>
    <definedName name="_18________________________________________123Graph_XCHART_4" hidden="1">#REF!</definedName>
    <definedName name="_18__________123Graph_ACHART_4" hidden="1">#REF!</definedName>
    <definedName name="_18__123Graph_AChart_1B" hidden="1">#REF!</definedName>
    <definedName name="_19_______________________________________123Graph_ACHART_4" hidden="1">#REF!</definedName>
    <definedName name="_19__________123Graph_XCHART_3" hidden="1">#REF!</definedName>
    <definedName name="_19__123Graph_AChart_1C" hidden="1">#REF!</definedName>
    <definedName name="_19aaa" hidden="1">{#N/A,#N/A,FALSE,"Aging Summary";#N/A,#N/A,FALSE,"Ratio Analysis";#N/A,#N/A,FALSE,"Test 120 Day Accts";#N/A,#N/A,FALSE,"Tickmarks"}</definedName>
    <definedName name="_2" hidden="1">#REF!</definedName>
    <definedName name="_2________________________________________________123Graph_XCHART_4" hidden="1">#REF!</definedName>
    <definedName name="_2________________123Graph_XCHART_4" hidden="1">#REF!</definedName>
    <definedName name="_2______123Graph_BChart_1A" hidden="1">#REF!</definedName>
    <definedName name="_2______123Graph_XCHART_3" hidden="1">#REF!</definedName>
    <definedName name="_2_____123Graph_XCHART_3" hidden="1">#REF!</definedName>
    <definedName name="_2___123Graph_BChart_1A" hidden="1">#REF!</definedName>
    <definedName name="_2___123Graph_XCHART_3" hidden="1">#REF!</definedName>
    <definedName name="_2__123Graph_AChart_1A" hidden="1">#REF!</definedName>
    <definedName name="_2__123Graph_AChart_1AA" hidden="1">#REF!</definedName>
    <definedName name="_2__123Graph_BChart_1A" hidden="1">#REF!</definedName>
    <definedName name="_2__123Graph_XCHART_3" hidden="1">#REF!</definedName>
    <definedName name="_20_______________________________________123Graph_XCHART_3" hidden="1">#REF!</definedName>
    <definedName name="_20__________123Graph_XCHART_4" hidden="1">#REF!</definedName>
    <definedName name="_20__123Graph_AChart_1CA" hidden="1">#REF!</definedName>
    <definedName name="_21_______________________________________123Graph_XCHART_4" hidden="1">#REF!</definedName>
    <definedName name="_21_________123Graph_ACHART_4" hidden="1">#REF!</definedName>
    <definedName name="_21__123Graph_AChart_1CD" hidden="1">#REF!</definedName>
    <definedName name="_22______________________________________123Graph_ACHART_4" hidden="1">#REF!</definedName>
    <definedName name="_22_________123Graph_XCHART_3" hidden="1">#REF!</definedName>
    <definedName name="_22__123Graph_AChart_1CE" hidden="1">#REF!</definedName>
    <definedName name="_23______________________________________123Graph_XCHART_3" hidden="1">#REF!</definedName>
    <definedName name="_23_________123Graph_XCHART_4" hidden="1">#REF!</definedName>
    <definedName name="_23__123Graph_AChart_1D" hidden="1">#REF!</definedName>
    <definedName name="_24______________________________________123Graph_XCHART_4" hidden="1">#REF!</definedName>
    <definedName name="_24________123Graph_ACHART_4" hidden="1">#REF!</definedName>
    <definedName name="_24______123Graph_BChart_1A" hidden="1">#REF!</definedName>
    <definedName name="_24__123Graph_AChart_1E" hidden="1">#REF!</definedName>
    <definedName name="_25_____________________________________123Graph_ACHART_4" hidden="1">#REF!</definedName>
    <definedName name="_25________123Graph_XCHART_3" hidden="1">#REF!</definedName>
    <definedName name="_25__123Graph_AChart_1F" hidden="1">#REF!</definedName>
    <definedName name="_26_____________________________________123Graph_XCHART_3" hidden="1">#REF!</definedName>
    <definedName name="_26________123Graph_XCHART_4" hidden="1">#REF!</definedName>
    <definedName name="_26__123Graph_AChart_1G" hidden="1">#REF!</definedName>
    <definedName name="_27_____________________________________123Graph_XCHART_4" hidden="1">#REF!</definedName>
    <definedName name="_27_______123Graph_ACHART_4" hidden="1">#REF!</definedName>
    <definedName name="_27__123Graph_AChart_1H" hidden="1">#REF!</definedName>
    <definedName name="_28____________________________________123Graph_ACHART_4" hidden="1">#REF!</definedName>
    <definedName name="_28_______123Graph_XCHART_3" hidden="1">#REF!</definedName>
    <definedName name="_28__123Graph_AChart_1I" hidden="1">#REF!</definedName>
    <definedName name="_28aaa" hidden="1">{#N/A,#N/A,FALSE,"Aging Summary";#N/A,#N/A,FALSE,"Ratio Analysis";#N/A,#N/A,FALSE,"Test 120 Day Accts";#N/A,#N/A,FALSE,"Tickmarks"}</definedName>
    <definedName name="_29____________________________________123Graph_XCHART_3" hidden="1">#REF!</definedName>
    <definedName name="_29_______123Graph_XCHART_4" hidden="1">#REF!</definedName>
    <definedName name="_29__123Graph_AChart_1J" hidden="1">#REF!</definedName>
    <definedName name="_3" hidden="1">#REF!</definedName>
    <definedName name="_3_______________________________________________123Graph_XCHART_4" hidden="1">#REF!</definedName>
    <definedName name="_3_______________123Graph_ACHART_4" hidden="1">#REF!</definedName>
    <definedName name="_3______123Graph_XCHART_4" hidden="1">#REF!</definedName>
    <definedName name="_3_____123Graph_AChart_1A" hidden="1">#REF!</definedName>
    <definedName name="_3_____123Graph_XCHART_4" hidden="1">#REF!</definedName>
    <definedName name="_3___123Graph_XCHART_4" hidden="1">#REF!</definedName>
    <definedName name="_3__123Graph_AChart_1A" hidden="1">#REF!</definedName>
    <definedName name="_3__123Graph_AChart_1AB" hidden="1">#REF!</definedName>
    <definedName name="_3__123Graph_ACHART_4" hidden="1">#REF!</definedName>
    <definedName name="_3__123Graph_XCHART_3" hidden="1">#REF!</definedName>
    <definedName name="_3__123Graph_XCHART_4" hidden="1">#REF!</definedName>
    <definedName name="_30____________________________________123Graph_XCHART_4" hidden="1">#REF!</definedName>
    <definedName name="_30______123Graph_ACHART_4" hidden="1">#REF!</definedName>
    <definedName name="_30__123Graph_AChart_1K" hidden="1">#REF!</definedName>
    <definedName name="_31___________________________________123Graph_ACHART_4" hidden="1">#REF!</definedName>
    <definedName name="_31______123Graph_XCHART_3" hidden="1">#REF!</definedName>
    <definedName name="_31__123Graph_AChart_1L" hidden="1">#REF!</definedName>
    <definedName name="_32___________________________________123Graph_XCHART_3" hidden="1">#REF!</definedName>
    <definedName name="_32______123Graph_XCHART_4" hidden="1">#REF!</definedName>
    <definedName name="_32__123Graph_AChart_1M" hidden="1">#REF!</definedName>
    <definedName name="_33___________________________________123Graph_XCHART_4" hidden="1">#REF!</definedName>
    <definedName name="_33_____123Graph_ACHART_4" hidden="1">#REF!</definedName>
    <definedName name="_33__123Graph_AChart_1N" hidden="1">#REF!</definedName>
    <definedName name="_34__________________________________123Graph_ACHART_4" hidden="1">#REF!</definedName>
    <definedName name="_34_____123Graph_XCHART_3" hidden="1">#REF!</definedName>
    <definedName name="_34__123Graph_AChart_1O" hidden="1">#REF!</definedName>
    <definedName name="_35__________________________________123Graph_XCHART_3" hidden="1">#REF!</definedName>
    <definedName name="_35_____123Graph_XCHART_4" hidden="1">#REF!</definedName>
    <definedName name="_35__123Graph_AChart_1P" hidden="1">#REF!</definedName>
    <definedName name="_36__________________________________123Graph_XCHART_4" hidden="1">#REF!</definedName>
    <definedName name="_36_____123Graph_AChart_1A" hidden="1">#REF!</definedName>
    <definedName name="_36____123Graph_ACHART_4" hidden="1">#REF!</definedName>
    <definedName name="_36__123Graph_AChart_1Q" hidden="1">#REF!</definedName>
    <definedName name="_37_________________________________123Graph_ACHART_4" hidden="1">#REF!</definedName>
    <definedName name="_37____123Graph_XCHART_3" hidden="1">#REF!</definedName>
    <definedName name="_37__123Graph_AChart_1R" hidden="1">#REF!</definedName>
    <definedName name="_38_________________________________123Graph_XCHART_3" hidden="1">#REF!</definedName>
    <definedName name="_38____123Graph_XCHART_4" hidden="1">#REF!</definedName>
    <definedName name="_38__123Graph_AChart_1S" hidden="1">#REF!</definedName>
    <definedName name="_39_________________________________123Graph_XCHART_4" hidden="1">#REF!</definedName>
    <definedName name="_39___123Graph_ACHART_4" hidden="1">#REF!</definedName>
    <definedName name="_39__123Graph_AChart_1T" hidden="1">#REF!</definedName>
    <definedName name="_39aaa" hidden="1">{#N/A,#N/A,FALSE,"Aging Summary";#N/A,#N/A,FALSE,"Ratio Analysis";#N/A,#N/A,FALSE,"Test 120 Day Accts";#N/A,#N/A,FALSE,"Tickmarks"}</definedName>
    <definedName name="_4______________________________________________123Graph_XCHART_4" hidden="1">#REF!</definedName>
    <definedName name="_4_______________123Graph_XCHART_3" hidden="1">#REF!</definedName>
    <definedName name="_4_____123Graph_ACHART_4" hidden="1">#REF!</definedName>
    <definedName name="_4_____123Graph_BChart_1A" hidden="1">#REF!</definedName>
    <definedName name="_4____123Graph_ACHART_4" hidden="1">#REF!</definedName>
    <definedName name="_4__123Graph_AChart_1A" hidden="1">#REF!</definedName>
    <definedName name="_4__123Graph_AChart_1AC" hidden="1">#REF!</definedName>
    <definedName name="_4__123Graph_ACHART_4" hidden="1">#REF!</definedName>
    <definedName name="_4__123Graph_BChart_1A" hidden="1">#REF!</definedName>
    <definedName name="_4__123Graph_XCHART_4" hidden="1">#REF!</definedName>
    <definedName name="_40________________________________123Graph_ACHART_4" hidden="1">#REF!</definedName>
    <definedName name="_40___123Graph_XCHART_3" hidden="1">#REF!</definedName>
    <definedName name="_40__123Graph_AChart_1U" hidden="1">#REF!</definedName>
    <definedName name="_41________________________________123Graph_XCHART_3" hidden="1">#REF!</definedName>
    <definedName name="_41___123Graph_XCHART_4" hidden="1">#REF!</definedName>
    <definedName name="_41__123Graph_AChart_1V" hidden="1">#REF!</definedName>
    <definedName name="_42________________________________123Graph_XCHART_4" hidden="1">#REF!</definedName>
    <definedName name="_42__123Graph_AChart_1W" hidden="1">#REF!</definedName>
    <definedName name="_42__123Graph_ACHART_4" hidden="1">#REF!</definedName>
    <definedName name="_43_______________________________123Graph_ACHART_4" hidden="1">#REF!</definedName>
    <definedName name="_43__123Graph_AChart_1X" hidden="1">#REF!</definedName>
    <definedName name="_43__123Graph_XCHART_3" hidden="1">#REF!</definedName>
    <definedName name="_44_______________________________123Graph_XCHART_3" hidden="1">#REF!</definedName>
    <definedName name="_44__123Graph_AChart_1Y" hidden="1">#REF!</definedName>
    <definedName name="_44__123Graph_XCHART_4" hidden="1">#REF!</definedName>
    <definedName name="_45_______________________________123Graph_XCHART_4" hidden="1">#REF!</definedName>
    <definedName name="_45__123Graph_AChart_1Z" hidden="1">#REF!</definedName>
    <definedName name="_46______________________________123Graph_ACHART_4" hidden="1">#REF!</definedName>
    <definedName name="_46__123Graph_AChart_2A" hidden="1">#REF!</definedName>
    <definedName name="_47______________________________123Graph_XCHART_3" hidden="1">#REF!</definedName>
    <definedName name="_47__123Graph_AChart_2AC" hidden="1">#REF!</definedName>
    <definedName name="_48______________________________123Graph_XCHART_4" hidden="1">#REF!</definedName>
    <definedName name="_48_____123Graph_BChart_1A" hidden="1">#REF!</definedName>
    <definedName name="_48__123Graph_AChart_2AE" hidden="1">#REF!</definedName>
    <definedName name="_49_____________________________123Graph_ACHART_4" hidden="1">#REF!</definedName>
    <definedName name="_49__123Graph_AChart_2CC" hidden="1">#REF!</definedName>
    <definedName name="_4aaa" hidden="1">{#N/A,#N/A,FALSE,"Aging Summary";#N/A,#N/A,FALSE,"Ratio Analysis";#N/A,#N/A,FALSE,"Test 120 Day Accts";#N/A,#N/A,FALSE,"Tickmarks"}</definedName>
    <definedName name="_5_____________________________________________123Graph_XCHART_4" hidden="1">#REF!</definedName>
    <definedName name="_5_______________123Graph_XCHART_4" hidden="1">#REF!</definedName>
    <definedName name="_5_____123Graph_XCHART_3" hidden="1">#REF!</definedName>
    <definedName name="_5____123Graph_AChart_1A" hidden="1">#REF!</definedName>
    <definedName name="_5____123Graph_XCHART_3" hidden="1">#REF!</definedName>
    <definedName name="_5__123Graph_AChart_1AD" hidden="1">#REF!</definedName>
    <definedName name="_5__123Graph_XCHART_3" hidden="1">#REF!</definedName>
    <definedName name="_50_____________________________123Graph_XCHART_3" hidden="1">#REF!</definedName>
    <definedName name="_50__123Graph_AChart_2D" hidden="1">#REF!</definedName>
    <definedName name="_51_____________________________123Graph_XCHART_4" hidden="1">#REF!</definedName>
    <definedName name="_51__123Graph_AChart_2E" hidden="1">#REF!</definedName>
    <definedName name="_52____________________________123Graph_ACHART_4" hidden="1">#REF!</definedName>
    <definedName name="_52__123Graph_AChart_2J" hidden="1">#REF!</definedName>
    <definedName name="_53____________________________123Graph_XCHART_3" hidden="1">#REF!</definedName>
    <definedName name="_53__123Graph_AChart_2T" hidden="1">#REF!</definedName>
    <definedName name="_54____________________________123Graph_XCHART_4" hidden="1">#REF!</definedName>
    <definedName name="_54__123Graph_AChart_2U" hidden="1">#REF!</definedName>
    <definedName name="_55___________________________123Graph_ACHART_4" hidden="1">#REF!</definedName>
    <definedName name="_55__123Graph_AChart_3B" hidden="1">#REF!</definedName>
    <definedName name="_56___________________________123Graph_XCHART_3" hidden="1">#REF!</definedName>
    <definedName name="_56__123Graph_AChart_3D" hidden="1">#REF!</definedName>
    <definedName name="_57___________________________123Graph_XCHART_4" hidden="1">#REF!</definedName>
    <definedName name="_57__123Graph_AChart_3L" hidden="1">#REF!</definedName>
    <definedName name="_58__________________________123Graph_ACHART_4" hidden="1">#REF!</definedName>
    <definedName name="_58__123Graph_AChart_3X" hidden="1">#REF!</definedName>
    <definedName name="_59__________________________123Graph_XCHART_3" hidden="1">#REF!</definedName>
    <definedName name="_59__123Graph_AChart_9C" hidden="1">#REF!</definedName>
    <definedName name="_5aaa" hidden="1">{#N/A,#N/A,FALSE,"Aging Summary";#N/A,#N/A,FALSE,"Ratio Analysis";#N/A,#N/A,FALSE,"Test 120 Day Accts";#N/A,#N/A,FALSE,"Tickmarks"}</definedName>
    <definedName name="_6____________________________________________123Graph_XCHART_4" hidden="1">#REF!</definedName>
    <definedName name="_6______________123Graph_ACHART_4" hidden="1">#REF!</definedName>
    <definedName name="_6_____123Graph_XCHART_4" hidden="1">#REF!</definedName>
    <definedName name="_6____123Graph_BChart_1A" hidden="1">#REF!</definedName>
    <definedName name="_6____123Graph_XCHART_4" hidden="1">#REF!</definedName>
    <definedName name="_6__123Graph_AChart_1AE" hidden="1">#REF!</definedName>
    <definedName name="_6__123Graph_ACHART_4" hidden="1">#REF!</definedName>
    <definedName name="_6__123Graph_XCHART_3" hidden="1">#REF!</definedName>
    <definedName name="_6__123Graph_XCHART_4" hidden="1">#REF!</definedName>
    <definedName name="_60__________________________123Graph_XCHART_4" hidden="1">#REF!</definedName>
    <definedName name="_60____123Graph_AChart_1A" hidden="1">#REF!</definedName>
    <definedName name="_60__123Graph_BChart_1A" hidden="1">#REF!</definedName>
    <definedName name="_61_________________________123Graph_ACHART_4" hidden="1">#REF!</definedName>
    <definedName name="_61__123Graph_BChart_1AA" hidden="1">#REF!</definedName>
    <definedName name="_62_________________________123Graph_XCHART_3" hidden="1">#REF!</definedName>
    <definedName name="_62__123Graph_BChart_1AB" hidden="1">#REF!</definedName>
    <definedName name="_63_________________________123Graph_XCHART_4" hidden="1">#REF!</definedName>
    <definedName name="_63__123Graph_BChart_1AC" hidden="1">#REF!</definedName>
    <definedName name="_64________________________123Graph_ACHART_4" hidden="1">#REF!</definedName>
    <definedName name="_64__123Graph_BChart_1AD" hidden="1">#REF!</definedName>
    <definedName name="_65________________________123Graph_XCHART_3" hidden="1">#REF!</definedName>
    <definedName name="_65__123Graph_BChart_1AE" hidden="1">#REF!</definedName>
    <definedName name="_66________________________123Graph_XCHART_4" hidden="1">#REF!</definedName>
    <definedName name="_66__123Graph_BChart_1AF" hidden="1">#REF!</definedName>
    <definedName name="_67_______________________123Graph_ACHART_4" hidden="1">#REF!</definedName>
    <definedName name="_67__123Graph_BChart_1AG" hidden="1">#REF!</definedName>
    <definedName name="_68_______________________123Graph_XCHART_3" hidden="1">#REF!</definedName>
    <definedName name="_68__123Graph_BChart_1AM" hidden="1">#REF!</definedName>
    <definedName name="_69_______________________123Graph_XCHART_4" hidden="1">#REF!</definedName>
    <definedName name="_69__123Graph_BChart_1AO" hidden="1">#REF!</definedName>
    <definedName name="_6aaa" hidden="1">{#N/A,#N/A,FALSE,"Aging Summary";#N/A,#N/A,FALSE,"Ratio Analysis";#N/A,#N/A,FALSE,"Test 120 Day Accts";#N/A,#N/A,FALSE,"Tickmarks"}</definedName>
    <definedName name="_7___________________________________________123Graph_ACHART_4" hidden="1">#REF!</definedName>
    <definedName name="_7______________123Graph_XCHART_3" hidden="1">#REF!</definedName>
    <definedName name="_7____123Graph_ACHART_4" hidden="1">#REF!</definedName>
    <definedName name="_7___123Graph_AChart_1A" hidden="1">#REF!</definedName>
    <definedName name="_7___123Graph_ACHART_4" hidden="1">#REF!</definedName>
    <definedName name="_7__123Graph_AChart_1A" hidden="1">#REF!</definedName>
    <definedName name="_7__123Graph_AChart_1AF" hidden="1">#REF!</definedName>
    <definedName name="_7__123Graph_BChart_1A" hidden="1">#REF!</definedName>
    <definedName name="_7__123Graph_XCHART_4" hidden="1">#REF!</definedName>
    <definedName name="_70______________________123Graph_ACHART_4" hidden="1">#REF!</definedName>
    <definedName name="_70__123Graph_BChart_1AX" hidden="1">#REF!</definedName>
    <definedName name="_71______________________123Graph_XCHART_3" hidden="1">#REF!</definedName>
    <definedName name="_71__123Graph_BChart_1B" hidden="1">#REF!</definedName>
    <definedName name="_72______________________123Graph_XCHART_4" hidden="1">#REF!</definedName>
    <definedName name="_72____123Graph_BChart_1A" hidden="1">#REF!</definedName>
    <definedName name="_72__123Graph_BChart_1C" hidden="1">#REF!</definedName>
    <definedName name="_73_____________________123Graph_ACHART_4" hidden="1">#REF!</definedName>
    <definedName name="_73__123Graph_BChart_1CA" hidden="1">#REF!</definedName>
    <definedName name="_74_____________________123Graph_XCHART_3" hidden="1">#REF!</definedName>
    <definedName name="_74___123Graph_AChart_1A" hidden="1">#REF!</definedName>
    <definedName name="_74__123Graph_BChart_1CD" hidden="1">#REF!</definedName>
    <definedName name="_75_____________________123Graph_XCHART_4" hidden="1">#REF!</definedName>
    <definedName name="_75__123Graph_BChart_1CE" hidden="1">#REF!</definedName>
    <definedName name="_76____________________123Graph_ACHART_4" hidden="1">#REF!</definedName>
    <definedName name="_76___123Graph_BChart_1A" hidden="1">#REF!</definedName>
    <definedName name="_76__123Graph_BChart_1D" hidden="1">#REF!</definedName>
    <definedName name="_77____________________123Graph_XCHART_3" hidden="1">#REF!</definedName>
    <definedName name="_77__123Graph_BChart_1E" hidden="1">#REF!</definedName>
    <definedName name="_78____________________123Graph_XCHART_4" hidden="1">#REF!</definedName>
    <definedName name="_78__123Graph_BChart_1F" hidden="1">#REF!</definedName>
    <definedName name="_79___________________123Graph_ACHART_4" hidden="1">#REF!</definedName>
    <definedName name="_79__123Graph_BChart_1G" hidden="1">#REF!</definedName>
    <definedName name="_7aaa" hidden="1">{#N/A,#N/A,FALSE,"Aging Summary";#N/A,#N/A,FALSE,"Ratio Analysis";#N/A,#N/A,FALSE,"Test 120 Day Accts";#N/A,#N/A,FALSE,"Tickmarks"}</definedName>
    <definedName name="_8" hidden="1">#REF!</definedName>
    <definedName name="_8___________________________________________123Graph_XCHART_3" hidden="1">#REF!</definedName>
    <definedName name="_8______________123Graph_XCHART_4" hidden="1">#REF!</definedName>
    <definedName name="_8____123Graph_XCHART_3" hidden="1">#REF!</definedName>
    <definedName name="_8___123Graph_BChart_1A" hidden="1">#REF!</definedName>
    <definedName name="_8___123Graph_XCHART_3" hidden="1">#REF!</definedName>
    <definedName name="_8__123Graph_AChart_1AG" hidden="1">#REF!</definedName>
    <definedName name="_8__123Graph_ACHART_4" hidden="1">#REF!</definedName>
    <definedName name="_8__123Graph_BChart_1A" hidden="1">#REF!</definedName>
    <definedName name="_8__123Graph_XCHART_3" hidden="1">#REF!</definedName>
    <definedName name="_80___________________123Graph_XCHART_3" hidden="1">#REF!</definedName>
    <definedName name="_80__123Graph_BChart_1H" hidden="1">#REF!</definedName>
    <definedName name="_81___________________123Graph_XCHART_4" hidden="1">#REF!</definedName>
    <definedName name="_81__123Graph_BChart_1I" hidden="1">#REF!</definedName>
    <definedName name="_82__________________123Graph_ACHART_4" hidden="1">#REF!</definedName>
    <definedName name="_82__123Graph_BChart_1J" hidden="1">#REF!</definedName>
    <definedName name="_83__________________123Graph_XCHART_3" hidden="1">#REF!</definedName>
    <definedName name="_83__123Graph_BChart_1K" hidden="1">#REF!</definedName>
    <definedName name="_84__________________123Graph_XCHART_4" hidden="1">#REF!</definedName>
    <definedName name="_84__123Graph_BChart_1L" hidden="1">#REF!</definedName>
    <definedName name="_85_________________123Graph_ACHART_4" hidden="1">#REF!</definedName>
    <definedName name="_85__123Graph_BChart_1M" hidden="1">#REF!</definedName>
    <definedName name="_86_________________123Graph_XCHART_3" hidden="1">#REF!</definedName>
    <definedName name="_86__123Graph_BChart_1N" hidden="1">#REF!</definedName>
    <definedName name="_87_________________123Graph_XCHART_4" hidden="1">#REF!</definedName>
    <definedName name="_87__123Graph_AChart_1A" hidden="1">#REF!</definedName>
    <definedName name="_87__123Graph_BChart_1O" hidden="1">#REF!</definedName>
    <definedName name="_88________________123Graph_ACHART_4" hidden="1">#REF!</definedName>
    <definedName name="_88__123Graph_BChart_1P" hidden="1">#REF!</definedName>
    <definedName name="_89________________123Graph_XCHART_3" hidden="1">#REF!</definedName>
    <definedName name="_89__123Graph_BChart_1Q" hidden="1">#REF!</definedName>
    <definedName name="_8aaa" hidden="1">{#N/A,#N/A,FALSE,"Aging Summary";#N/A,#N/A,FALSE,"Ratio Analysis";#N/A,#N/A,FALSE,"Test 120 Day Accts";#N/A,#N/A,FALSE,"Tickmarks"}</definedName>
    <definedName name="_9___________________________________________123Graph_XCHART_4" hidden="1">#REF!</definedName>
    <definedName name="_9_____________123Graph_ACHART_4" hidden="1">#REF!</definedName>
    <definedName name="_9____123Graph_XCHART_4" hidden="1">#REF!</definedName>
    <definedName name="_9___123Graph_XCHART_4" hidden="1">#REF!</definedName>
    <definedName name="_9__123Graph_AChart_1A" hidden="1">#REF!</definedName>
    <definedName name="_9__123Graph_AChart_1AI" hidden="1">#REF!</definedName>
    <definedName name="_9__123Graph_XCHART_4" hidden="1">#REF!</definedName>
    <definedName name="_90________________123Graph_XCHART_4" hidden="1">#REF!</definedName>
    <definedName name="_90__123Graph_BChart_1R" hidden="1">#REF!</definedName>
    <definedName name="_91_______________123Graph_ACHART_4" hidden="1">#REF!</definedName>
    <definedName name="_91__123Graph_BChart_1T" hidden="1">#REF!</definedName>
    <definedName name="_92_______________123Graph_XCHART_3" hidden="1">#REF!</definedName>
    <definedName name="_92__123Graph_BChart_1U" hidden="1">#REF!</definedName>
    <definedName name="_93_______________123Graph_XCHART_4" hidden="1">#REF!</definedName>
    <definedName name="_93__123Graph_BChart_1W" hidden="1">#REF!</definedName>
    <definedName name="_94______________123Graph_ACHART_4" hidden="1">#REF!</definedName>
    <definedName name="_94__123Graph_BChart_1X" hidden="1">#REF!</definedName>
    <definedName name="_95______________123Graph_XCHART_3" hidden="1">#REF!</definedName>
    <definedName name="_95__123Graph_BChart_1Y" hidden="1">#REF!</definedName>
    <definedName name="_96______________123Graph_XCHART_4" hidden="1">#REF!</definedName>
    <definedName name="_96__123Graph_BChart_1Z" hidden="1">#REF!</definedName>
    <definedName name="_97_____________123Graph_ACHART_4" hidden="1">#REF!</definedName>
    <definedName name="_97__123Graph_BChart_2AC" hidden="1">#REF!</definedName>
    <definedName name="_98_____________123Graph_XCHART_3" hidden="1">#REF!</definedName>
    <definedName name="_98__123Graph_BChart_1A" hidden="1">#REF!</definedName>
    <definedName name="_98__123Graph_BChart_2AE" hidden="1">#REF!</definedName>
    <definedName name="_99_____________123Graph_XCHART_4" hidden="1">#REF!</definedName>
    <definedName name="_99__123Graph_BChart_2CC" hidden="1">#REF!</definedName>
    <definedName name="_A" hidden="1">#REF!</definedName>
    <definedName name="_abc1" hidden="1">#REF!</definedName>
    <definedName name="_ad12" hidden="1">{#N/A,#N/A,FALSE,"Aging Summary";#N/A,#N/A,FALSE,"Ratio Analysis";#N/A,#N/A,FALSE,"Test 120 Day Accts";#N/A,#N/A,FALSE,"Tickmarks"}</definedName>
    <definedName name="_ag1" hidden="1">#N/A</definedName>
    <definedName name="_bb1" hidden="1">{"Area1",#N/A,FALSE,"OREWACC";"Area2",#N/A,FALSE,"OREWACC"}</definedName>
    <definedName name="_bbb1" hidden="1">{"Area1",#N/A,FALSE,"OREWACC";"Area2",#N/A,FALSE,"OREWACC"}</definedName>
    <definedName name="_bdm.FastTrackBookmark.2_18_2007_3_14_23_PM.edm" hidden="1">#REF!</definedName>
    <definedName name="_bdm.FastTrackBookmark.2_18_2007_3_14_30_PM.edm" hidden="1">#REF!</definedName>
    <definedName name="_Dist_Values" hidden="1">#REF!</definedName>
    <definedName name="_fgd2" hidden="1">{"'Северо-Никольское '!$A$6:$J$40"}</definedName>
    <definedName name="_xlnm._FilterDatabase" localSheetId="15" hidden="1">Потребности!$A$3:$Y$74</definedName>
    <definedName name="_xlnm._FilterDatabase" hidden="1">#REF!</definedName>
    <definedName name="_hkf8" hidden="1">{"glc1",#N/A,FALSE,"GLC";"glc2",#N/A,FALSE,"GLC";"glc3",#N/A,FALSE,"GLC";"glc4",#N/A,FALSE,"GLC";"glc5",#N/A,FALSE,"GLC"}</definedName>
    <definedName name="_I027611" hidden="1">{#N/A,#N/A,FALSE,"지침";#N/A,#N/A,FALSE,"환경분석";#N/A,#N/A,FALSE,"Sheet16"}</definedName>
    <definedName name="_Key26" hidden="1">#REF!</definedName>
    <definedName name="_o1" hidden="1">{"det (May)",#N/A,FALSE,"June";"sum (MAY YTD)",#N/A,FALSE,"June YTD"}</definedName>
    <definedName name="_Order1" hidden="1">255</definedName>
    <definedName name="_Order2" hidden="1">255</definedName>
    <definedName name="_P0376001" hidden="1">{#N/A,#N/A,FALSE,"지침";#N/A,#N/A,FALSE,"환경분석";#N/A,#N/A,FALSE,"Sheet16"}</definedName>
    <definedName name="_Regression_Int" hidden="1">1</definedName>
    <definedName name="_rwb2" hidden="1">{#N/A,#N/A,FALSE,"Aging Summary";#N/A,#N/A,FALSE,"Ratio Analysis";#N/A,#N/A,FALSE,"Test 120 Day Accts";#N/A,#N/A,FALSE,"Tickmarks"}</definedName>
    <definedName name="_rwn1" hidden="1">{#N/A,#N/A,FALSE,"Aging Summary";#N/A,#N/A,FALSE,"Ratio Analysis";#N/A,#N/A,FALSE,"Test 120 Day Accts";#N/A,#N/A,FALSE,"Tickmarks"}</definedName>
    <definedName name="_rwn10" hidden="1">{#N/A,#N/A,FALSE,"Aging Summary";#N/A,#N/A,FALSE,"Ratio Analysis";#N/A,#N/A,FALSE,"Test 120 Day Accts";#N/A,#N/A,FALSE,"Tickmarks"}</definedName>
    <definedName name="_rwn3" hidden="1">{"assets",#N/A,FALSE,"historicBS";"liab",#N/A,FALSE,"historicBS";"is",#N/A,FALSE,"historicIS";"ratios",#N/A,FALSE,"ratios"}</definedName>
    <definedName name="_rwn4" hidden="1">{"assets",#N/A,FALSE,"historicBS";"liab",#N/A,FALSE,"historicBS";"is",#N/A,FALSE,"historicIS";"ratios",#N/A,FALSE,"ratios"}</definedName>
    <definedName name="_rwn5" hidden="1">{"glcbs",#N/A,FALSE,"GLCBS";"glccsbs",#N/A,FALSE,"GLCCSBS";"glcis",#N/A,FALSE,"GLCIS";"glccsis",#N/A,FALSE,"GLCCSIS";"glcrat1",#N/A,FALSE,"GLC-ratios1"}</definedName>
    <definedName name="_rwn6" hidden="1">{"glc1",#N/A,FALSE,"GLC";"glc2",#N/A,FALSE,"GLC";"glc3",#N/A,FALSE,"GLC";"glc4",#N/A,FALSE,"GLC";"glc5",#N/A,FALSE,"GLC"}</definedName>
    <definedName name="_rwn7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rwn8" hidden="1">{"glc1",#N/A,FALSE,"GLC";"glc2",#N/A,FALSE,"GLC";"glc3",#N/A,FALSE,"GLC";"glc4",#N/A,FALSE,"GLC";"glc5",#N/A,FALSE,"GLC"}</definedName>
    <definedName name="_rwn9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_sort1" hidden="1">#REF!</definedName>
    <definedName name="_sort5" hidden="1">#REF!</definedName>
    <definedName name="_Table2_In1" hidden="1">#REF!</definedName>
    <definedName name="_Table2_In2" hidden="1">#REF!</definedName>
    <definedName name="_Table3_In2" hidden="1">#REF!</definedName>
    <definedName name="_TBL12" hidden="1">{"Table A,pg 1",#N/A,FALSE,"Table A-Prov GUR";"Table A,pg 2",#N/A,FALSE,"Table A-Prov GUR"}</definedName>
    <definedName name="_tk2" hidden="1">{#N/A,#N/A,FALSE,"지침";#N/A,#N/A,FALSE,"환경분석";#N/A,#N/A,FALSE,"Sheet16"}</definedName>
    <definedName name="_x1" hidden="1">#N/A</definedName>
    <definedName name="_zr4" hidden="1">#REF!</definedName>
    <definedName name="_zz2" hidden="1">{0,0,0,0;0,0,0,0;0,0,0,0;0,0,0,0}</definedName>
    <definedName name="_кгш" hidden="1">#REF!</definedName>
    <definedName name="a" hidden="1">{#N/A,#N/A,FALSE,"Aging Summary";#N/A,#N/A,FALSE,"Ratio Analysis";#N/A,#N/A,FALSE,"Test 120 Day Accts";#N/A,#N/A,FALSE,"Tickmarks"}</definedName>
    <definedName name="A.???" hidden="1">{"det (May)",#N/A,FALSE,"June";"sum (MAY YTD)",#N/A,FALSE,"June YTD"}</definedName>
    <definedName name="A.I.AA" hidden="1">{"det (May)",#N/A,FALSE,"June";"sum (MAY YTD)",#N/A,FALSE,"June YTD"}</definedName>
    <definedName name="A.Ⅱ.i2" hidden="1">{"det (May)",#N/A,FALSE,"June";"sum (MAY YTD)",#N/A,FALSE,"June YTD"}</definedName>
    <definedName name="aaa" hidden="1">{#N/A,#N/A,FALSE,"Aging Summary";#N/A,#N/A,FALSE,"Ratio Analysis";#N/A,#N/A,FALSE,"Test 120 Day Accts";#N/A,#N/A,FALSE,"Tickmarks"}</definedName>
    <definedName name="AAA_DOCTOPS" hidden="1">"AAA_SET"</definedName>
    <definedName name="AAA_duser" hidden="1">"OFF"</definedName>
    <definedName name="aaa0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g" hidden="1">{"'Северо-Никольское '!$A$6:$J$40"}</definedName>
    <definedName name="AccessDatabase" hidden="1">"C:\Мои документы\НоваяОборотка.mdb"</definedName>
    <definedName name="ACwvu.CapersView." hidden="1">#REF!</definedName>
    <definedName name="ACwvu.Japan_Capers_Ed_Pub." hidden="1">#REF!</definedName>
    <definedName name="ACwvu.KJP_CC." hidden="1">#REF!</definedName>
    <definedName name="adfhhkj" hidden="1">{#N/A,#N/A,TRUE,"Фин.рез"}</definedName>
    <definedName name="adfhhkj_1" hidden="1">{#N/A,#N/A,TRUE,"Фин.рез"}</definedName>
    <definedName name="adhferhgewar" hidden="1">{#N/A,#N/A,TRUE,"Фин.рез"}</definedName>
    <definedName name="adhferhgewar_1" hidden="1">{#N/A,#N/A,TRUE,"Фин.рез"}</definedName>
    <definedName name="adhy" hidden="1">{#N/A,#N/A,TRUE,"Фин.рез"}</definedName>
    <definedName name="adhy_1" hidden="1">{#N/A,#N/A,TRUE,"Фин.рез"}</definedName>
    <definedName name="adrha" hidden="1">{#N/A,#N/A,TRUE,"Фин.рез"}</definedName>
    <definedName name="adrha_1" hidden="1">{#N/A,#N/A,TRUE,"Фин.рез"}</definedName>
    <definedName name="aerhynbbsy6rt" hidden="1">{#N/A,#N/A,TRUE,"Фин.рез"}</definedName>
    <definedName name="aerhynbbsy6rt_1" hidden="1">{#N/A,#N/A,TRUE,"Фин.рез"}</definedName>
    <definedName name="aestesargt" hidden="1">{#N/A,#N/A,TRUE,"Фин.рез"}</definedName>
    <definedName name="aestesargt_1" hidden="1">{#N/A,#N/A,TRUE,"Фин.рез"}</definedName>
    <definedName name="ag" hidden="1">#N/A</definedName>
    <definedName name="al" hidden="1">{#N/A,#N/A,FALSE,"Aging Summary";#N/A,#N/A,FALSE,"Ratio Analysis";#N/A,#N/A,FALSE,"Test 120 Day Accts";#N/A,#N/A,FALSE,"Tickmarks"}</definedName>
    <definedName name="Alla" hidden="1">{#N/A,#N/A,FALSE,"Aging Summary";#N/A,#N/A,FALSE,"Ratio Analysis";#N/A,#N/A,FALSE,"Test 120 Day Accts";#N/A,#N/A,FALSE,"Tickmarks"}</definedName>
    <definedName name="alla1" hidden="1">{#N/A,#N/A,FALSE,"Aging Summary";#N/A,#N/A,FALSE,"Ratio Analysis";#N/A,#N/A,FALSE,"Test 120 Day Accts";#N/A,#N/A,FALSE,"Tickmarks"}</definedName>
    <definedName name="alt" hidden="1">{"det (May)",#N/A,FALSE,"June";"sum (MAY YTD)",#N/A,FALSE,"June YTD"}</definedName>
    <definedName name="ANNA" hidden="1">{"det (May)",#N/A,FALSE,"June";"sum (MAY YTD)",#N/A,FALSE,"June YTD"}</definedName>
    <definedName name="anscount" hidden="1">4</definedName>
    <definedName name="antonio" hidden="1">{#N/A,"70% Success",FALSE,"Sales Forecast";#N/A,#N/A,FALSE,"Sheet2"}</definedName>
    <definedName name="aqer" hidden="1">{"'Sheet1'!$A$1:$G$85"}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VersionLS" hidden="1">300</definedName>
    <definedName name="asdas" hidden="1">{#N/A,#N/A,TRUE,"Фин.рез"}</definedName>
    <definedName name="asdas_1" hidden="1">{#N/A,#N/A,TRUE,"Фин.рез"}</definedName>
    <definedName name="asdfasg" hidden="1">{"det (May)",#N/A,FALSE,"June";"sum (MAY YTD)",#N/A,FALSE,"June YTD"}</definedName>
    <definedName name="asdfr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asfafq" hidden="1">#N/A</definedName>
    <definedName name="atrat" hidden="1">{"'Prices'!$A$4:$J$27"}</definedName>
    <definedName name="avaaaaav" hidden="1">#N/A</definedName>
    <definedName name="aweteyjf" hidden="1">{#N/A,#N/A,TRUE,"Фин.рез"}</definedName>
    <definedName name="aweteyjf_1" hidden="1">{#N/A,#N/A,TRUE,"Фин.рез"}</definedName>
    <definedName name="b" hidden="1">{#N/A,#N/A,FALSE,"Aging Summary";#N/A,#N/A,FALSE,"Ratio Analysis";#N/A,#N/A,FALSE,"Test 120 Day Accts";#N/A,#N/A,FALSE,"Tickmarks"}</definedName>
    <definedName name="B.IV.r" hidden="1">{"det (May)",#N/A,FALSE,"June";"sum (MAY YTD)",#N/A,FALSE,"June YTD"}</definedName>
    <definedName name="B.IV.r.SBC" hidden="1">{"det (May)",#N/A,FALSE,"June";"sum (MAY YTD)",#N/A,FALSE,"June YTD"}</definedName>
    <definedName name="bb" hidden="1">{#N/A,#N/A,FALSE,"Aging Summary";#N/A,#N/A,FALSE,"Ratio Analysis";#N/A,#N/A,FALSE,"Test 120 Day Accts";#N/A,#N/A,FALSE,"Tickmarks"}</definedName>
    <definedName name="bbbb" hidden="1">{"'Северо-Никольское '!$A$6:$J$40"}</definedName>
    <definedName name="bfb" hidden="1">{"'Северо-Никольское '!$A$6:$J$40"}</definedName>
    <definedName name="BG_Del" hidden="1">15</definedName>
    <definedName name="BG_Ins" hidden="1">4</definedName>
    <definedName name="BG_Mod" hidden="1">6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lb" hidden="1">{"det (May)",#N/A,FALSE,"June";"sum (MAY YTD)",#N/A,FALSE,"June YTD"}</definedName>
    <definedName name="bloomberg" hidden="1">{"glc1",#N/A,FALSE,"GLC";"glc2",#N/A,FALSE,"GLC";"glc3",#N/A,FALSE,"GLC";"glc4",#N/A,FALSE,"GLC";"glc5",#N/A,FALSE,"GLC"}</definedName>
    <definedName name="BLPH_1" hidden="1">#REF!</definedName>
    <definedName name="BLPH_2" hidden="1">#REF!</definedName>
    <definedName name="BLPH1" hidden="1">#REF!</definedName>
    <definedName name="BLPH2" hidden="1">#REF!</definedName>
    <definedName name="bn" hidden="1">{"'Северо-Никольское '!$A$6:$J$40"}</definedName>
    <definedName name="bnju" hidden="1">{"glcbs",#N/A,FALSE,"GLCBS";"glccsbs",#N/A,FALSE,"GLCCSBS";"glcis",#N/A,FALSE,"GLCIS";"glccsis",#N/A,FALSE,"GLCCSIS";"glcrat1",#N/A,FALSE,"GLC-ratios1"}</definedName>
    <definedName name="book" hidden="1">{"det (May)",#N/A,FALSE,"June";"sum (MAY YTD)",#N/A,FALSE,"June YTD"}</definedName>
    <definedName name="CAPTURA2" hidden="1">{"'171'!$A$1:$Z$50"}</definedName>
    <definedName name="carlos" hidden="1">{#N/A,"10% Success",FALSE,"Sales Forecast";#N/A,#N/A,FALSE,"Sheet2"}</definedName>
    <definedName name="cbnyr" hidden="1">{"'Северо-Никольское '!$A$6:$J$40"}</definedName>
    <definedName name="CBWorkbookPriority" hidden="1">-1103212323</definedName>
    <definedName name="ccc" hidden="1">{"'Северо-Никольское '!$A$6:$J$40"}</definedName>
    <definedName name="cccc" hidden="1">{"det (May)",#N/A,FALSE,"June";"sum (MAY YTD)",#N/A,FALSE,"June YTD"}</definedName>
    <definedName name="cch" hidden="1">{"'Северо-Никольское '!$A$6:$J$40"}</definedName>
    <definedName name="ccv" hidden="1">{"'Северо-Никольское '!$A$6:$J$40"}</definedName>
    <definedName name="cgk" hidden="1">{"'Северо-Никольское '!$A$6:$J$40"}</definedName>
    <definedName name="ChangeRange" hidden="1">#N/A</definedName>
    <definedName name="CIP" hidden="1">{"PRINTME",#N/A,FALSE,"FINAL-10"}</definedName>
    <definedName name="CIQWBGuid" hidden="1">"Файл 2_Прототип_001.xlsx"</definedName>
    <definedName name="claudia" hidden="1">{#N/A,"70% Success",FALSE,"Sales Forecast";#N/A,#N/A,FALSE,"Sheet2"}</definedName>
    <definedName name="COMPARE" hidden="1">{"Table A,pg 1",#N/A,FALSE,"Table A-Prov GUR";"Table A,pg 2",#N/A,FALSE,"Table A-Prov GUR"}</definedName>
    <definedName name="ContentsHelp" hidden="1">#N/A</definedName>
    <definedName name="CreateTable" hidden="1">#N/A</definedName>
    <definedName name="cty" hidden="1">{"'Северо-Никольское '!$A$6:$J$40"}</definedName>
    <definedName name="cu00.UserArea" hidden="1">#REF!</definedName>
    <definedName name="CURVA2" hidden="1">{"'171'!$A$1:$Z$50"}</definedName>
    <definedName name="CUSPassword" hidden="1">"MDL238GBWP678SDA16)E^CBC"</definedName>
    <definedName name="cvbn" hidden="1">{"'Северо-Никольское '!$A$6:$J$40"}</definedName>
    <definedName name="cvhsry" hidden="1">{#N/A,#N/A,TRUE,"Фин.рез"}</definedName>
    <definedName name="cvhsry_1" hidden="1">{#N/A,#N/A,TRUE,"Фин.рез"}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D120.05" hidden="1">{#N/A,#N/A,FALSE,"101"}</definedName>
    <definedName name="D120.7" hidden="1">{#N/A,#N/A,FALSE,"101"}</definedName>
    <definedName name="D120.71" hidden="1">{#N/A,#N/A,FALSE,"101"}</definedName>
    <definedName name="dadadwdwda" hidden="1">{"assets",#N/A,FALSE,"historicBS";"liab",#N/A,FALSE,"historicBS";"is",#N/A,FALSE,"historicIS";"ratios",#N/A,FALSE,"ratios"}</definedName>
    <definedName name="dasd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b" hidden="1">{#N/A,#N/A,FALSE,"Aging Summary";#N/A,#N/A,FALSE,"Ratio Analysis";#N/A,#N/A,FALSE,"Test 120 Day Accts";#N/A,#N/A,FALSE,"Tickmarks"}</definedName>
    <definedName name="de" hidden="1">{"программа",#N/A,TRUE,"lessons";"продажа оргтехники",#N/A,TRUE,"образец"}</definedName>
    <definedName name="de_1" hidden="1">{"программа",#N/A,TRUE,"lessons";"продажа оргтехники",#N/A,TRUE,"образец"}</definedName>
    <definedName name="de_1_1" hidden="1">{"программа",#N/A,TRUE,"lessons";"продажа оргтехники",#N/A,TRUE,"образец"}</definedName>
    <definedName name="de_1_2" hidden="1">{"программа",#N/A,TRUE,"lessons";"продажа оргтехники",#N/A,TRUE,"образец"}</definedName>
    <definedName name="de_1_3" hidden="1">{"программа",#N/A,TRUE,"lessons";"продажа оргтехники",#N/A,TRUE,"образец"}</definedName>
    <definedName name="de_1_4" hidden="1">{"программа",#N/A,TRUE,"lessons";"продажа оргтехники",#N/A,TRUE,"образец"}</definedName>
    <definedName name="de_1_5" hidden="1">{"программа",#N/A,TRUE,"lessons";"продажа оргтехники",#N/A,TRUE,"образец"}</definedName>
    <definedName name="de_2" hidden="1">{"программа",#N/A,TRUE,"lessons";"продажа оргтехники",#N/A,TRUE,"образец"}</definedName>
    <definedName name="de_3" hidden="1">{"программа",#N/A,TRUE,"lessons";"продажа оргтехники",#N/A,TRUE,"образец"}</definedName>
    <definedName name="de_4" hidden="1">{"программа",#N/A,TRUE,"lessons";"продажа оргтехники",#N/A,TRUE,"образец"}</definedName>
    <definedName name="de_5" hidden="1">{"программа",#N/A,TRUE,"lessons";"продажа оргтехники",#N/A,TRUE,"образец"}</definedName>
    <definedName name="DeleteRange" hidden="1">#N/A</definedName>
    <definedName name="DeleteTable" hidden="1">#N/A</definedName>
    <definedName name="det" hidden="1">#REF!</definedName>
    <definedName name="df" hidden="1">{"'Северо-Никольское '!$A$6:$J$40"}</definedName>
    <definedName name="dfb" hidden="1">#REF!</definedName>
    <definedName name="dfdfgd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dfer" hidden="1">{"'Северо-Никольское '!$A$6:$J$40"}</definedName>
    <definedName name="dffg" hidden="1">{"'Северо-Никольское '!$A$6:$J$40"}</definedName>
    <definedName name="dfg" hidden="1">{"'Северо-Никольское '!$A$6:$J$40"}</definedName>
    <definedName name="dfg_1" hidden="1">{#N/A,#N/A,TRUE,"Фин.рез"}</definedName>
    <definedName name="dfg_lkj" hidden="1">{"'Северо-Никольское '!$A$6:$J$40"}</definedName>
    <definedName name="dfgd" hidden="1">{"det (May)",#N/A,FALSE,"June";"sum (MAY YTD)",#N/A,FALSE,"June YTD"}</definedName>
    <definedName name="dfgdf" hidden="1">{"glc1",#N/A,FALSE,"GLC";"glc2",#N/A,FALSE,"GLC";"glc3",#N/A,FALSE,"GLC";"glc4",#N/A,FALSE,"GLC";"glc5",#N/A,FALSE,"GLC"}</definedName>
    <definedName name="dfgfhg" hidden="1">{"glc1",#N/A,FALSE,"GLC";"glc2",#N/A,FALSE,"GLC";"glc3",#N/A,FALSE,"GLC";"glc4",#N/A,FALSE,"GLC";"glc5",#N/A,FALSE,"GLC"}</definedName>
    <definedName name="dfgh" hidden="1">#REF!</definedName>
    <definedName name="dfghfg" hidden="1">{"'Sheet1'!$A$1:$G$85"}</definedName>
    <definedName name="dfgmjesytj" hidden="1">{#N/A,#N/A,TRUE,"Фин.рез"}</definedName>
    <definedName name="dfgmjesytj_1" hidden="1">{#N/A,#N/A,TRUE,"Фин.рез"}</definedName>
    <definedName name="dfgs" hidden="1">{"glc1",#N/A,FALSE,"GLC";"glc2",#N/A,FALSE,"GLC";"glc3",#N/A,FALSE,"GLC";"glc4",#N/A,FALSE,"GLC";"glc5",#N/A,FALSE,"GLC"}</definedName>
    <definedName name="dfherutwerh" hidden="1">{#N/A,#N/A,TRUE,"Фин.рез"}</definedName>
    <definedName name="dfherutwerh_1" hidden="1">{#N/A,#N/A,TRUE,"Фин.рез"}</definedName>
    <definedName name="dfrhgzsdhsz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dfs" hidden="1">#N/A</definedName>
    <definedName name="dfyjtjutj" hidden="1">{"det (May)",#N/A,FALSE,"June";"sum (MAY YTD)",#N/A,FALSE,"June YTD"}</definedName>
    <definedName name="dfzb" hidden="1">#REF!</definedName>
    <definedName name="dgdg" hidden="1">{"det (May)",#N/A,FALSE,"June";"sum (MAY YTD)",#N/A,FALSE,"June YTD"}</definedName>
    <definedName name="dgfdg" hidden="1">{"det (May)",#N/A,FALSE,"June";"sum (MAY YTD)",#N/A,FALSE,"June YTD"}</definedName>
    <definedName name="dgs" hidden="1">#REF!</definedName>
    <definedName name="dhdh" hidden="1">{"det (May)",#N/A,FALSE,"June";"sum (MAY YTD)",#N/A,FALSE,"June YTD"}</definedName>
    <definedName name="dhgdfhgf" hidden="1">{"det (May)",#N/A,FALSE,"June";"sum (MAY YTD)",#N/A,FALSE,"June YTD"}</definedName>
    <definedName name="dochka" hidden="1">#N/A</definedName>
    <definedName name="draft53" hidden="1">{"det (May)",#N/A,FALSE,"June";"sum (MAY YTD)",#N/A,FALSE,"June YTD"}</definedName>
    <definedName name="DRAte" hidden="1">#N/A</definedName>
    <definedName name="drftjtyjtyj" hidden="1">{"det (May)",#N/A,FALSE,"June";"sum (MAY YTD)",#N/A,FALSE,"June YTD"}</definedName>
    <definedName name="drtyjtyjuuj" hidden="1">{"det (May)",#N/A,FALSE,"June";"sum (MAY YTD)",#N/A,FALSE,"June YTD"}</definedName>
    <definedName name="dsfd" hidden="1">{#N/A,#N/A,FALSE,"Aging Summary";#N/A,#N/A,FALSE,"Ratio Analysis";#N/A,#N/A,FALSE,"Test 120 Day Accts";#N/A,#N/A,FALSE,"Tickmarks"}</definedName>
    <definedName name="dsgsg" hidden="1">#REF!</definedName>
    <definedName name="dsvbgl" hidden="1">{"det (May)",#N/A,FALSE,"June";"sum (MAY YTD)",#N/A,FALSE,"June YTD"}</definedName>
    <definedName name="dtheth" hidden="1">{"det (May)",#N/A,FALSE,"June";"sum (MAY YTD)",#N/A,FALSE,"June YTD"}</definedName>
    <definedName name="dtj" hidden="1">#REF!</definedName>
    <definedName name="dtjkdujktd" hidden="1">{"det (May)",#N/A,FALSE,"June";"sum (MAY YTD)",#N/A,FALSE,"June YTD"}</definedName>
    <definedName name="dtjtyjyt" hidden="1">{"det (May)",#N/A,FALSE,"June";"sum (MAY YTD)",#N/A,FALSE,"June YTD"}</definedName>
    <definedName name="dtjymndtr" hidden="1">{#N/A,#N/A,TRUE,"Фин.рез"}</definedName>
    <definedName name="dtjymndtr_1" hidden="1">{#N/A,#N/A,TRUE,"Фин.рез"}</definedName>
    <definedName name="dtmjnyt" hidden="1">{#N/A,#N/A,TRUE,"Фин.рез"}</definedName>
    <definedName name="dtmjnyt_1" hidden="1">{#N/A,#N/A,TRUE,"Фин.рез"}</definedName>
    <definedName name="dtyjdj" hidden="1">{"det (May)",#N/A,FALSE,"June";"sum (MAY YTD)",#N/A,FALSE,"June YTD"}</definedName>
    <definedName name="dtyjdtj" hidden="1">{"det (May)",#N/A,FALSE,"June";"sum (MAY YTD)",#N/A,FALSE,"June YTD"}</definedName>
    <definedName name="dtyjdtjt" hidden="1">{"det (May)",#N/A,FALSE,"June";"sum (MAY YTD)",#N/A,FALSE,"June YTD"}</definedName>
    <definedName name="dtyjtj" hidden="1">{"det (May)",#N/A,FALSE,"June";"sum (MAY YTD)",#N/A,FALSE,"June YTD"}</definedName>
    <definedName name="dtyjtjtyd" hidden="1">{"det (May)",#N/A,FALSE,"June";"sum (MAY YTD)",#N/A,FALSE,"June YTD"}</definedName>
    <definedName name="dtyjtjyt" hidden="1">{"det (May)",#N/A,FALSE,"June";"sum (MAY YTD)",#N/A,FALSE,"June YTD"}</definedName>
    <definedName name="dtytdyjtyj" hidden="1">{"det (May)",#N/A,FALSE,"June";"sum (MAY YTD)",#N/A,FALSE,"June YTD"}</definedName>
    <definedName name="dyj" hidden="1">#REF!</definedName>
    <definedName name="dyjdjy" hidden="1">{"det (May)",#N/A,FALSE,"June";"sum (MAY YTD)",#N/A,FALSE,"June YTD"}</definedName>
    <definedName name="dyjdtjd" hidden="1">{"det (May)",#N/A,FALSE,"June";"sum (MAY YTD)",#N/A,FALSE,"June YTD"}</definedName>
    <definedName name="dyjmn" hidden="1">{#N/A,#N/A,TRUE,"Фин.рез"}</definedName>
    <definedName name="dyjmn_1" hidden="1">{#N/A,#N/A,TRUE,"Фин.рез"}</definedName>
    <definedName name="dyjtj" hidden="1">{"det (May)",#N/A,FALSE,"June";"sum (MAY YTD)",#N/A,FALSE,"June YTD"}</definedName>
    <definedName name="dyjtjyt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dyjtyj" hidden="1">{"det (May)",#N/A,FALSE,"June";"sum (MAY YTD)",#N/A,FALSE,"June YTD"}</definedName>
    <definedName name="dyjtyjuju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dyjtyjuykj" hidden="1">{"det (May)",#N/A,FALSE,"June";"sum (MAY YTD)",#N/A,FALSE,"June YTD"}</definedName>
    <definedName name="eew" hidden="1">{#N/A,#N/A,TRUE,"Фин.рез"}</definedName>
    <definedName name="eew_1" hidden="1">{#N/A,#N/A,TRUE,"Фин.рез"}</definedName>
    <definedName name="efkdmf" hidden="1">{#N/A,#N/A,FALSE,"101"}</definedName>
    <definedName name="efsefsefse" hidden="1">{#N/A,#N/A,FALSE,"Aging Summary";#N/A,#N/A,FALSE,"Ratio Analysis";#N/A,#N/A,FALSE,"Test 120 Day Accts";#N/A,#N/A,FALSE,"Tickmarks"}</definedName>
    <definedName name="eirhg" hidden="1">{"det (May)",#N/A,FALSE,"June";"sum (MAY YTD)",#N/A,FALSE,"June YTD"}</definedName>
    <definedName name="eirnf" hidden="1">{"det (May)",#N/A,FALSE,"June";"sum (MAY YTD)",#N/A,FALSE,"June YTD"}</definedName>
    <definedName name="ekcjh" hidden="1">#N/A</definedName>
    <definedName name="EPMWorkbookOptions_1" hidden="1">"dgEAAB+LCAAAAAAABACFkMEKgkAQhu9B77DsPVcLOoTaoS5BYhRU10lHXdJZ2d3aHj8pLKpD12++f4b5w/mtqdkVtZGKIh54PmdImcollRG/2GIUTPk8Hg7Cg9Lnk1LntLWdaliXIzO7GRnxytp2JoRzznMTT+lSjH0/EMdkvcsqbGAkyVigDPkrlf9P8e4qY+EWC42mSiltkeICaoOh+IQPb1Ej6CVYSGkHV+zNb/xw+182WlnMLOa9/Tv4"</definedName>
    <definedName name="EPMWorkbookOptions_2" hidden="1">"9F3OxBOtzB60hFONCeryveGHd9WJr+7iO45h/1l2AQAA"</definedName>
    <definedName name="eroweir" hidden="1">{"det (May)",#N/A,FALSE,"June";"sum (MAY YTD)",#N/A,FALSE,"June YTD"}</definedName>
    <definedName name="ersyyyy" hidden="1">{#N/A,#N/A,TRUE,"Фин.рез"}</definedName>
    <definedName name="ersyyyy_1" hidden="1">{#N/A,#N/A,TRUE,"Фин.рез"}</definedName>
    <definedName name="ert" hidden="1">{#N/A,#N/A,FALSE,"Aging Summary";#N/A,#N/A,FALSE,"Ratio Analysis";#N/A,#N/A,FALSE,"Test 120 Day Accts";#N/A,#N/A,FALSE,"Tickmarks"}</definedName>
    <definedName name="esnrc7c1" hidden="1">#REF!</definedName>
    <definedName name="etyjetje" hidden="1">{"det (May)",#N/A,FALSE,"June";"sum (MAY YTD)",#N/A,FALSE,"June YTD"}</definedName>
    <definedName name="etyjte" hidden="1">{"det (May)",#N/A,FALSE,"June";"sum (MAY YTD)",#N/A,FALSE,"June YTD"}</definedName>
    <definedName name="EV__EVCOM_OPTIONS__" hidden="1">8</definedName>
    <definedName name="EV__EXPOPTIONS__" hidden="1">1</definedName>
    <definedName name="EV__LASTREFTIME__" hidden="1">39898.627974537</definedName>
    <definedName name="EV__MAXEXPCOLS__" hidden="1">100</definedName>
    <definedName name="EV__MAXEXPROWS__" hidden="1">1000</definedName>
    <definedName name="EV__MEMORYCVW__" hidden="1">0</definedName>
    <definedName name="EV__MEMORYCVW__BOOK1" hidden="1">"[GROSSMARGIN"</definedName>
    <definedName name="EV__MEMORYCVW__BOOK1_ACCOUNT" hidden="1">"[A_NONE"</definedName>
    <definedName name="EV__MEMORYCVW__BOOK1_CURRENCY" hidden="1">"[LC"</definedName>
    <definedName name="EV__MEMORYCVW__BOOK1_DATASOURCE" hidden="1">"[MANUAL"</definedName>
    <definedName name="EV__MEMORYCVW__BOOK1_ENTITY" hidden="1">"[EM_CT"</definedName>
    <definedName name="EV__MEMORYCVW__BOOK1_ENTITYGROUPS" hidden="1">"[D_CT"</definedName>
    <definedName name="EV__MEMORYCVW__BOOK1_EXT2" hidden="1">"[EXT2_NONE"</definedName>
    <definedName name="EV__MEMORYCVW__BOOK1_MEASURES" hidden="1">"[PERIODIC"</definedName>
    <definedName name="EV__MEMORYCVW__BOOK1_PRODUCT" hidden="1">"[PD_TOTAL"</definedName>
    <definedName name="EV__MEMORYCVW__BOOK1_SCENARIO" hidden="1">"[PLAN"</definedName>
    <definedName name="EV__MEMORYCVW__BOOK1_SUBFORMAT" hidden="1">"[SF_01"</definedName>
    <definedName name="EV__MEMORYCVW__BOOK1_TIME" hidden="1">"[2012.TOTAL"</definedName>
    <definedName name="EV__MEMORYCVW__BOOK2" hidden="1">"[SALES"</definedName>
    <definedName name="EV__MEMORYCVW__BOOK2_ACCOUNT" hidden="1">"[A_00"</definedName>
    <definedName name="EV__MEMORYCVW__BOOK2_CURRENCY" hidden="1">"[LC"</definedName>
    <definedName name="EV__MEMORYCVW__BOOK2_DATASOURCE" hidden="1">"[FB_FM"</definedName>
    <definedName name="EV__MEMORYCVW__BOOK2_ENTITY" hidden="1">"[X5RG"</definedName>
    <definedName name="EV__MEMORYCVW__BOOK2_ENTITYGROUPS" hidden="1">"[EG_M_D_CH"</definedName>
    <definedName name="EV__MEMORYCVW__BOOK2_EXT2" hidden="1">"[EXT2_NONE"</definedName>
    <definedName name="EV__MEMORYCVW__BOOK2_MEASURES" hidden="1">"[PERIODIC"</definedName>
    <definedName name="EV__MEMORYCVW__BOOK2_PRODUCT" hidden="1">"[PD200"</definedName>
    <definedName name="EV__MEMORYCVW__BOOK2_SCENARIO" hidden="1">"[PLAN"</definedName>
    <definedName name="EV__MEMORYCVW__BOOK2_SUBFORMAT" hidden="1">"[SF_ALL"</definedName>
    <definedName name="EV__MEMORYCVW__BOOK2_TIME" hidden="1">"[2013.TOTAL"</definedName>
    <definedName name="EV__MEMORYCVW__BOOK3" hidden="1">"[GROSSMARGIN"</definedName>
    <definedName name="EV__MEMORYCVW__BOOK3_ACCOUNT" hidden="1">"[A_NONE"</definedName>
    <definedName name="EV__MEMORYCVW__BOOK3_CURRENCY" hidden="1">"[LC"</definedName>
    <definedName name="EV__MEMORYCVW__BOOK3_DATASOURCE" hidden="1">"[MANUAL"</definedName>
    <definedName name="EV__MEMORYCVW__BOOK3_ENTITY" hidden="1">"[EM_CT"</definedName>
    <definedName name="EV__MEMORYCVW__BOOK3_EXT2" hidden="1">"[EXT2_NONE"</definedName>
    <definedName name="EV__MEMORYCVW__BOOK3_MEASURES" hidden="1">"[PERIODIC"</definedName>
    <definedName name="EV__MEMORYCVW__BOOK3_PRODUCT" hidden="1">"[PD_TOTAL"</definedName>
    <definedName name="EV__MEMORYCVW__BOOK3_SCENARIO" hidden="1">"[PLAN"</definedName>
    <definedName name="EV__MEMORYCVW__BOOK3_TIME" hidden="1">"[2012.TOTAL"</definedName>
    <definedName name="EV__MEMORYCVW__BOOK7" hidden="1">"[SALES"</definedName>
    <definedName name="EV__MEMORYCVW__BOOK7_ACCOUNT" hidden="1">"[A_00"</definedName>
    <definedName name="EV__MEMORYCVW__BOOK7_CURRENCY" hidden="1">"[LC"</definedName>
    <definedName name="EV__MEMORYCVW__BOOK7_DATASOURCE" hidden="1">"[FB_FM"</definedName>
    <definedName name="EV__MEMORYCVW__BOOK7_ENTITY" hidden="1">"[EO_RG"</definedName>
    <definedName name="EV__MEMORYCVW__BOOK7_ENTITYGROUPS" hidden="1">"[EG_M_H_SZ"</definedName>
    <definedName name="EV__MEMORYCVW__BOOK7_EXT2" hidden="1">"[EXT2_NONE"</definedName>
    <definedName name="EV__MEMORYCVW__BOOK7_MEASURES" hidden="1">"[PERIODIC"</definedName>
    <definedName name="EV__MEMORYCVW__BOOK7_PRODUCT" hidden="1">"[PD200"</definedName>
    <definedName name="EV__MEMORYCVW__BOOK7_SCENARIO" hidden="1">"[PLAN"</definedName>
    <definedName name="EV__MEMORYCVW__BOOK7_SUBFORMAT" hidden="1">"[SF_ALL"</definedName>
    <definedName name="EV__MEMORYCVW__BOOK7_TIME" hidden="1">"[2013.TOTAL"</definedName>
    <definedName name="EV__MEMORYCVW__BOOK8" hidden="1">"[SALES"</definedName>
    <definedName name="EV__MEMORYCVW__BOOK8_ACCOUNT" hidden="1">"[A_00"</definedName>
    <definedName name="EV__MEMORYCVW__BOOK8_CURRENCY" hidden="1">"[LC"</definedName>
    <definedName name="EV__MEMORYCVW__BOOK8_DATASOURCE" hidden="1">"[FB_FM"</definedName>
    <definedName name="EV__MEMORYCVW__BOOK8_ENTITY" hidden="1">"[EO_RG"</definedName>
    <definedName name="EV__MEMORYCVW__BOOK8_ENTITYGROUPS" hidden="1">"[EG_M_D"</definedName>
    <definedName name="EV__MEMORYCVW__BOOK8_EXT2" hidden="1">"[EXT2_NONE"</definedName>
    <definedName name="EV__MEMORYCVW__BOOK8_MEASURES" hidden="1">"[PERIODIC"</definedName>
    <definedName name="EV__MEMORYCVW__BOOK8_PRODUCT" hidden="1">"[PD200"</definedName>
    <definedName name="EV__MEMORYCVW__BOOK8_SCENARIO" hidden="1">"[PLAN"</definedName>
    <definedName name="EV__MEMORYCVW__BOOK8_SUBFORMAT" hidden="1">"[SF_ALL"</definedName>
    <definedName name="EV__MEMORYCVW__BOOK8_TIME" hidden="1">"[2013.TOTAL"</definedName>
    <definedName name="EV__MEMORYCVW__FALSE.XLSX" hidden="1">"[GROSSMARGIN"</definedName>
    <definedName name="EV__MEMORYCVW__FALSE.XLSX_ACCOUNT" hidden="1">"[A_NONE"</definedName>
    <definedName name="EV__MEMORYCVW__FALSE.XLSX_CURRENCY" hidden="1">"[LC"</definedName>
    <definedName name="EV__MEMORYCVW__FALSE.XLSX_DATASOURCE" hidden="1">"[FB_99"</definedName>
    <definedName name="EV__MEMORYCVW__FALSE.XLSX_ENTITY" hidden="1">"[12SZ1024"</definedName>
    <definedName name="EV__MEMORYCVW__FALSE.XLSX_ENTITYGROUPS" hidden="1">"[H_SZ"</definedName>
    <definedName name="EV__MEMORYCVW__FALSE.XLSX_EXT2" hidden="1">"[EXT2_NONE"</definedName>
    <definedName name="EV__MEMORYCVW__FALSE.XLSX_MEASURES" hidden="1">"[QTD"</definedName>
    <definedName name="EV__MEMORYCVW__FALSE.XLSX_PRODUCT" hidden="1">"[PD200"</definedName>
    <definedName name="EV__MEMORYCVW__FALSE.XLSX_SCENARIO" hidden="1">"[PLAN"</definedName>
    <definedName name="EV__MEMORYCVW__FALSE.XLSX_SUBFORMAT" hidden="1">"[SF_ALL"</definedName>
    <definedName name="EV__MEMORYCVW__FALSE.XLSX_TIME" hidden="1">"[2011.TOTAL"</definedName>
    <definedName name="EV__MEMORYCVW__LFL_DATA.XLSX" hidden="1">"[SALES"</definedName>
    <definedName name="EV__MEMORYCVW__LFL_DATA.XLSX_ACCOUNT" hidden="1">"[A_PL_04"</definedName>
    <definedName name="EV__MEMORYCVW__LFL_DATA.XLSX_CURRENCY" hidden="1">"[LC"</definedName>
    <definedName name="EV__MEMORYCVW__LFL_DATA.XLSX_DATASOURCE" hidden="1">"[FB_SP"</definedName>
    <definedName name="EV__MEMORYCVW__LFL_DATA.XLSX_ENTITY" hidden="1">"[13CHAAA0"</definedName>
    <definedName name="EV__MEMORYCVW__LFL_DATA.XLSX_ENTITYGROUPS" hidden="1">"[EG_F_D_UR"</definedName>
    <definedName name="EV__MEMORYCVW__LFL_DATA.XLSX_EXT2" hidden="1">"[EXT2_NONE"</definedName>
    <definedName name="EV__MEMORYCVW__LFL_DATA.XLSX_MEASURES" hidden="1">"[PERIODIC"</definedName>
    <definedName name="EV__MEMORYCVW__LFL_DATA.XLSX_PRODUCT" hidden="1">"[PD200"</definedName>
    <definedName name="EV__MEMORYCVW__LFL_DATA.XLSX_SCENARIO" hidden="1">"[PLAN_06_06"</definedName>
    <definedName name="EV__MEMORYCVW__LFL_DATA.XLSX_SUBFORMAT" hidden="1">"[SF_ALL"</definedName>
    <definedName name="EV__MEMORYCVW__LFL_DATA.XLSX_TIME" hidden="1">"[2013.TOTAL"</definedName>
    <definedName name="EV__MEMORYCVW__БЮДЖЕТ_ПРОДАЖ_1.XLTX" hidden="1">"[GROSSMARGIN"</definedName>
    <definedName name="EV__MEMORYCVW__БЮДЖЕТ_ПРОДАЖ_МОДЕЛЬНЫХ_ОБЪЕКТОВ.XLSM" hidden="1">"[GROSSMARGIN"</definedName>
    <definedName name="EV__MEMORYCVW__БЮДЖЕТ_ПРОДАЖ_МОДЕЛЬНЫХ_ОБЪЕКТОВ2.XLSM" hidden="1">"[GROSSMARGIN"</definedName>
    <definedName name="EV__MEMORYCVW__БЮДЖЕТ_ПРОДАЖ.XLSM" hidden="1">"[GROSSMARGIN"</definedName>
    <definedName name="EV__MEMORYCVW__БЮДЖЕТ_ПРОДАЖ11.XLSM" hidden="1">"[GROSSMARGIN"</definedName>
    <definedName name="EV__MEMORYCVW__БЮДЖЕТ_ПРОДАЖ12.XLSM" hidden="1">"[GROSSMARGIN"</definedName>
    <definedName name="EV__MEMORYCVW__БЮДЖЕТ_ПРОДАЖ13.XLSM" hidden="1">"[GROSSMARGIN"</definedName>
    <definedName name="EV__MEMORYCVW__БЮДЖЕТ_ПРОДАЖ14.XLSM" hidden="1">"[GROSSMARGIN"</definedName>
    <definedName name="EV__MEMORYCVW__БЮДЖЕТ_ПРОДАЖ15.XLSM" hidden="1">"[GROSSMARGIN"</definedName>
    <definedName name="EV__MEMORYCVW__БЮДЖЕТ_ПРОДАЖ16.XLSM" hidden="1">"[GROSSMARGIN"</definedName>
    <definedName name="EV__MEMORYCVW__БЮДЖЕТ_ПРОДАЖ2.XLSM" hidden="1">"[GROSSMARGIN"</definedName>
    <definedName name="EV__MEMORYCVW__БЮДЖЕТ_ПРОДАЖ3.XLSM" hidden="1">"[GROSSMARGIN"</definedName>
    <definedName name="EV__MEMORYCVW__БЮДЖЕТ_ПРОДАЖ5.XLSM" hidden="1">"[GROSSMARGIN"</definedName>
    <definedName name="EV__MEMORYCVW__БЮДЖЕТ_ПРОДАЖ6.XLSM" hidden="1">"[GROSSMARGIN"</definedName>
    <definedName name="EV__MEMORYCVW__БЮДЖЕТ_ПРОДАЖ7.XLSM" hidden="1">"[GROSSMARGIN"</definedName>
    <definedName name="EV__MEMORYCVW__БЮДЖЕТ_ПРОДАЖ8.XLSM" hidden="1">"[GROSSMARGIN"</definedName>
    <definedName name="EV__MEMORYCVW__БЮДЖЕТ_ПРОДАЖ9.XLSM" hidden="1">"[GROSSMARGIN"</definedName>
    <definedName name="EV__MEMORYCVW__ВВОД_МАТРИЦЫ_ТОВАРОВ2.XLSM" hidden="1">"[GROSSMARGIN"</definedName>
    <definedName name="EV__MEMORYCVW__ВВОД_МАТРИЦЫ_ТОВАРОВ2.XLSM_ACCOUNT" hidden="1">"[A_NONE"</definedName>
    <definedName name="EV__MEMORYCVW__ВВОД_МАТРИЦЫ_ТОВАРОВ2.XLSM_CURRENCY" hidden="1">"[LC"</definedName>
    <definedName name="EV__MEMORYCVW__ВВОД_МАТРИЦЫ_ТОВАРОВ2.XLSM_DATASOURCE" hidden="1">"[MANUAL"</definedName>
    <definedName name="EV__MEMORYCVW__ВВОД_МАТРИЦЫ_ТОВАРОВ2.XLSM_ENTITY" hidden="1">"[EM_CT"</definedName>
    <definedName name="EV__MEMORYCVW__ВВОД_МАТРИЦЫ_ТОВАРОВ2.XLSM_ENTITYGROUPS" hidden="1">"[D_CT"</definedName>
    <definedName name="EV__MEMORYCVW__ВВОД_МАТРИЦЫ_ТОВАРОВ2.XLSM_EXT2" hidden="1">"[EXT2_NONE"</definedName>
    <definedName name="EV__MEMORYCVW__ВВОД_МАТРИЦЫ_ТОВАРОВ2.XLSM_MEASURES" hidden="1">"[PERIODIC"</definedName>
    <definedName name="EV__MEMORYCVW__ВВОД_МАТРИЦЫ_ТОВАРОВ2.XLSM_PRODUCT" hidden="1">"[PD200"</definedName>
    <definedName name="EV__MEMORYCVW__ВВОД_МАТРИЦЫ_ТОВАРОВ2.XLSM_SCENARIO" hidden="1">"[PLAN"</definedName>
    <definedName name="EV__MEMORYCVW__ВВОД_МАТРИЦЫ_ТОВАРОВ2.XLSM_SUBFORMAT" hidden="1">"[SF_01"</definedName>
    <definedName name="EV__MEMORYCVW__ВВОД_МАТРИЦЫ_ТОВАРОВ2.XLSM_TIME" hidden="1">"[2012.TOTAL"</definedName>
    <definedName name="EV__MEMORYCVW__ВВОД_СТРУКТУРЫ_ПРОДАЖ1" hidden="1">"[GROSSMARGIN"</definedName>
    <definedName name="EV__MEMORYCVW__ВВОД_ТАРИФА_И_ДРАЙВЕРА2.XLTX" hidden="1">"[GROSSMARGIN"</definedName>
    <definedName name="EV__MEMORYCVW__ВВОД_ТАРИФА_И_ДРАЙВЕРА21" hidden="1">"[GROSSMARGIN"</definedName>
    <definedName name="EV__MEMORYCVW__ВВОД_ТАРИФА_И_ДРАЙВЕРА31" hidden="1">"[GROSSMARGIN"</definedName>
    <definedName name="EV__MEMORYCVW__ВВОД_ТАРИФА_И_ДРАЙВЕРА4.XLTM" hidden="1">"[GROSSMARGIN"</definedName>
    <definedName name="EV__MEMORYCVW__ВВОД_ТАРИФА_И_ДРАЙВЕРА41" hidden="1">"[GROSSMARGIN"</definedName>
    <definedName name="EV__MEMORYCVW__ВВОД_ФАКТОРОВ.XLSM" hidden="1">"[GROSSMARGIN"</definedName>
    <definedName name="EV__MEMORYCVW__ВВОД_ФАКТОРОВ.XLSM_ACCOUNT" hidden="1">"[A_NONE"</definedName>
    <definedName name="EV__MEMORYCVW__ВВОД_ФАКТОРОВ.XLSM_CURRENCY" hidden="1">"[LC"</definedName>
    <definedName name="EV__MEMORYCVW__ВВОД_ФАКТОРОВ.XLSM_DATASOURCE" hidden="1">"[MANUAL"</definedName>
    <definedName name="EV__MEMORYCVW__ВВОД_ФАКТОРОВ.XLSM_ENTITY" hidden="1">"[EM_CT"</definedName>
    <definedName name="EV__MEMORYCVW__ВВОД_ФАКТОРОВ.XLSM_EXT2" hidden="1">"[EXT2_NONE"</definedName>
    <definedName name="EV__MEMORYCVW__ВВОД_ФАКТОРОВ.XLSM_MEASURES" hidden="1">"[PERIODIC"</definedName>
    <definedName name="EV__MEMORYCVW__ВВОД_ФАКТОРОВ.XLSM_PRODUCT" hidden="1">"[PD_TOTAL"</definedName>
    <definedName name="EV__MEMORYCVW__ВВОД_ФАКТОРОВ.XLSM_SCENARIO" hidden="1">"[PLAN"</definedName>
    <definedName name="EV__MEMORYCVW__ВВОД_ФАКТОРОВ.XLSM_TIME" hidden="1">"[2012.TOTAL"</definedName>
    <definedName name="EV__MEMORYCVW__ВВОД_ФАКТОРОВ2.XLSM" hidden="1">"[GROSSMARGIN"</definedName>
    <definedName name="EV__MEMORYCVW__ВВОД_ФАКТОРОВ2.XLSM_ACCOUNT" hidden="1">"[A_NONE"</definedName>
    <definedName name="EV__MEMORYCVW__ВВОД_ФАКТОРОВ2.XLSM_CURRENCY" hidden="1">"[LC"</definedName>
    <definedName name="EV__MEMORYCVW__ВВОД_ФАКТОРОВ2.XLSM_DATASOURCE" hidden="1">"[MANUAL"</definedName>
    <definedName name="EV__MEMORYCVW__ВВОД_ФАКТОРОВ2.XLSM_ENTITY" hidden="1">"[EM_CT"</definedName>
    <definedName name="EV__MEMORYCVW__ВВОД_ФАКТОРОВ2.XLSM_ENTITYGROUPS" hidden="1">"[D_CT"</definedName>
    <definedName name="EV__MEMORYCVW__ВВОД_ФАКТОРОВ2.XLSM_EXT2" hidden="1">"[EXT2_NONE"</definedName>
    <definedName name="EV__MEMORYCVW__ВВОД_ФАКТОРОВ2.XLSM_MEASURES" hidden="1">"[PERIODIC"</definedName>
    <definedName name="EV__MEMORYCVW__ВВОД_ФАКТОРОВ2.XLSM_PRODUCT" hidden="1">"[PD200"</definedName>
    <definedName name="EV__MEMORYCVW__ВВОД_ФАКТОРОВ2.XLSM_SCENARIO" hidden="1">"[PLAN"</definedName>
    <definedName name="EV__MEMORYCVW__ВВОД_ФАКТОРОВ2.XLSM_SUBFORMAT" hidden="1">"[SF_01"</definedName>
    <definedName name="EV__MEMORYCVW__ВВОД_ФАКТОРОВ2.XLSM_TIME" hidden="1">"[2012.TOTAL"</definedName>
    <definedName name="EV__MEMORYCVW__КНИГА1" hidden="1">"[SALES"</definedName>
    <definedName name="EV__MEMORYCVW__КНИГА1_ACCOUNT" hidden="1">"[A_SP_I0_001"</definedName>
    <definedName name="EV__MEMORYCVW__КНИГА1_CURRENCY" hidden="1">"[LC"</definedName>
    <definedName name="EV__MEMORYCVW__КНИГА1_DATASOURCE" hidden="1">"[TOTALBUDGET"</definedName>
    <definedName name="EV__MEMORYCVW__КНИГА1_ENTITY" hidden="1">"[EO_UR"</definedName>
    <definedName name="EV__MEMORYCVW__КНИГА1_ENTITYGROUPS" hidden="1">"[F_ALL"</definedName>
    <definedName name="EV__MEMORYCVW__КНИГА1_EXT2" hidden="1">"[EXT1_SP_013"</definedName>
    <definedName name="EV__MEMORYCVW__КНИГА1_MEASURES" hidden="1">"[PERIODIC"</definedName>
    <definedName name="EV__MEMORYCVW__КНИГА1_PRODUCT" hidden="1">"[PD45"</definedName>
    <definedName name="EV__MEMORYCVW__КНИГА1_SCENARIO" hidden="1">"[PLAN"</definedName>
    <definedName name="EV__MEMORYCVW__КНИГА1_SUBFORMAT" hidden="1">"[SF_ALL"</definedName>
    <definedName name="EV__MEMORYCVW__КНИГА1_TIME" hidden="1">"[2013.TOTAL"</definedName>
    <definedName name="EV__MEMORYCVW__КНИГА2" hidden="1">"[SALES"</definedName>
    <definedName name="EV__MEMORYCVW__КНИГА2_ACCOUNT" hidden="1">"[A_00"</definedName>
    <definedName name="EV__MEMORYCVW__КНИГА2_CURRENCY" hidden="1">"[LC"</definedName>
    <definedName name="EV__MEMORYCVW__КНИГА2_DATASOURCE" hidden="1">"[FB_SP"</definedName>
    <definedName name="EV__MEMORYCVW__КНИГА2_ENTITY" hidden="1">"[X5RG"</definedName>
    <definedName name="EV__MEMORYCVW__КНИГА2_ENTITYGROUPS" hidden="1">"[EG_F_D_CT"</definedName>
    <definedName name="EV__MEMORYCVW__КНИГА2_EXT2" hidden="1">"[EXT2_NONE"</definedName>
    <definedName name="EV__MEMORYCVW__КНИГА2_FLOW" hidden="1">"[FL_C"</definedName>
    <definedName name="EV__MEMORYCVW__КНИГА2_GLOBE" hidden="1">"[G_D"</definedName>
    <definedName name="EV__MEMORYCVW__КНИГА2_HRPOSITION" hidden="1">"[HRP_TOTAL"</definedName>
    <definedName name="EV__MEMORYCVW__КНИГА2_LIBENTITY" hidden="1">"[LE_NONE"</definedName>
    <definedName name="EV__MEMORYCVW__КНИГА2_MEASURES" hidden="1">"[PERIODIC"</definedName>
    <definedName name="EV__MEMORYCVW__КНИГА2_PRODUCT" hidden="1">"[PD200"</definedName>
    <definedName name="EV__MEMORYCVW__КНИГА2_PROJECT" hidden="1">"[H3_All"</definedName>
    <definedName name="EV__MEMORYCVW__КНИГА2_SCENARIO" hidden="1">"[PLAN_06_06"</definedName>
    <definedName name="EV__MEMORYCVW__КНИГА2_SUBFORMAT" hidden="1">"[SF_ALL"</definedName>
    <definedName name="EV__MEMORYCVW__КНИГА2_TIME" hidden="1">"[2013.TOTAL"</definedName>
    <definedName name="EV__MEMORYCVW__КНИГА3" hidden="1">"[SALES"</definedName>
    <definedName name="EV__MEMORYCVW__КНИГА3_ACCOUNT" hidden="1">"[A_00"</definedName>
    <definedName name="EV__MEMORYCVW__КНИГА3_CURRENCY" hidden="1">"[LC"</definedName>
    <definedName name="EV__MEMORYCVW__КНИГА3_DATASOURCE" hidden="1">"[TOTALBUDGET"</definedName>
    <definedName name="EV__MEMORYCVW__КНИГА3_ENTITY" hidden="1">"[EN_HO"</definedName>
    <definedName name="EV__MEMORYCVW__КНИГА3_ENTITYGROUPS" hidden="1">"[EG_F_H_UR"</definedName>
    <definedName name="EV__MEMORYCVW__КНИГА3_EXT2" hidden="1">"[EXT1_SP_013"</definedName>
    <definedName name="EV__MEMORYCVW__КНИГА3_FLOW" hidden="1">"[FL_TOT"</definedName>
    <definedName name="EV__MEMORYCVW__КНИГА3_PRODUCT" hidden="1">"[PD45"</definedName>
    <definedName name="EV__MEMORYCVW__КНИГА3_SUBFORMAT" hidden="1">"[SF_NONE"</definedName>
    <definedName name="EV__MEMORYCVW__ОТЧЕТ_ПО_БЮДЖЕТУ_ПРОДАЖ_ПО_КАТЕГОРИЯМ2.XLSM" hidden="1">"[GROSSMARGIN"</definedName>
    <definedName name="EV__MEMORYCVW__ОТЧЕТ_ПО_БЮДЖЕТУ_ПРОДАЖ_ПО_КАТЕГОРИЯМ2.XLSM_ACCOUNT" hidden="1">"[A_NONE"</definedName>
    <definedName name="EV__MEMORYCVW__ОТЧЕТ_ПО_БЮДЖЕТУ_ПРОДАЖ_ПО_КАТЕГОРИЯМ2.XLSM_CURRENCY" hidden="1">"[LC"</definedName>
    <definedName name="EV__MEMORYCVW__ОТЧЕТ_ПО_БЮДЖЕТУ_ПРОДАЖ_ПО_КАТЕГОРИЯМ2.XLSM_DATASOURCE" hidden="1">"[MANUAL"</definedName>
    <definedName name="EV__MEMORYCVW__ОТЧЕТ_ПО_БЮДЖЕТУ_ПРОДАЖ_ПО_КАТЕГОРИЯМ2.XLSM_ENTITY" hidden="1">"[EM_CT_00001"</definedName>
    <definedName name="EV__MEMORYCVW__ОТЧЕТ_ПО_БЮДЖЕТУ_ПРОДАЖ_ПО_КАТЕГОРИЯМ2.XLSM_ENTITYGROUPS" hidden="1">"[D_CT"</definedName>
    <definedName name="EV__MEMORYCVW__ОТЧЕТ_ПО_БЮДЖЕТУ_ПРОДАЖ_ПО_КАТЕГОРИЯМ2.XLSM_EXT2" hidden="1">"[EXT2_NONE"</definedName>
    <definedName name="EV__MEMORYCVW__ОТЧЕТ_ПО_БЮДЖЕТУ_ПРОДАЖ_ПО_КАТЕГОРИЯМ2.XLSM_MEASURES" hidden="1">"[PERIODIC"</definedName>
    <definedName name="EV__MEMORYCVW__ОТЧЕТ_ПО_БЮДЖЕТУ_ПРОДАЖ_ПО_КАТЕГОРИЯМ2.XLSM_PRODUCT" hidden="1">"[PD200"</definedName>
    <definedName name="EV__MEMORYCVW__ОТЧЕТ_ПО_БЮДЖЕТУ_ПРОДАЖ_ПО_КАТЕГОРИЯМ2.XLSM_SCENARIO" hidden="1">"[PLAN"</definedName>
    <definedName name="EV__MEMORYCVW__ОТЧЕТ_ПО_БЮДЖЕТУ_ПРОДАЖ_ПО_КАТЕГОРИЯМ2.XLSM_SUBFORMAT" hidden="1">"[SF_02"</definedName>
    <definedName name="EV__MEMORYCVW__ОТЧЕТ_ПО_БЮДЖЕТУ_ПРОДАЖ_ПО_КАТЕГОРИЯМ2.XLSM_TIME" hidden="1">"[2012.TOTAL"</definedName>
    <definedName name="EV__MEMORYCVW__ОТЧЕТ_ПО_БЮДЖЕТУ_ПРОДАЖ_ПО_ОБЪЕКТАМ.XLSM" hidden="1">"[GROSSMARGIN"</definedName>
    <definedName name="EV__MEMORYCVW__ПЛАН_ПРОДАЖ_ОТЧЕТНЫЕ_ФОРМЫ_070711.XLSX" hidden="1">"[GROSSMARGIN"</definedName>
    <definedName name="EV__MEMORYCVW__ПЛАН_ПРОДАЖ_ОТЧЕТНЫЕ_ФОРМЫ_070711.XLSX_ACCOUNT" hidden="1">"[A_NONE"</definedName>
    <definedName name="EV__MEMORYCVW__ПЛАН_ПРОДАЖ_ОТЧЕТНЫЕ_ФОРМЫ_070711.XLSX_CURRENCY" hidden="1">"[LC"</definedName>
    <definedName name="EV__MEMORYCVW__ПЛАН_ПРОДАЖ_ОТЧЕТНЫЕ_ФОРМЫ_070711.XLSX_DATASOURCE" hidden="1">"[MANUAL"</definedName>
    <definedName name="EV__MEMORYCVW__ПЛАН_ПРОДАЖ_ОТЧЕТНЫЕ_ФОРМЫ_070711.XLSX_ENTITY" hidden="1">"[EM"</definedName>
    <definedName name="EV__MEMORYCVW__ПЛАН_ПРОДАЖ_ОТЧЕТНЫЕ_ФОРМЫ_070711.XLSX_EXT2" hidden="1">"[EXT2_NONE"</definedName>
    <definedName name="EV__MEMORYCVW__ПЛАН_ПРОДАЖ_ОТЧЕТНЫЕ_ФОРМЫ_070711.XLSX_MEASURES" hidden="1">"[PERIODIC"</definedName>
    <definedName name="EV__MEMORYCVW__ПЛАН_ПРОДАЖ_ОТЧЕТНЫЕ_ФОРМЫ_070711.XLSX_PRODUCT" hidden="1">"[PD_TOTAL"</definedName>
    <definedName name="EV__MEMORYCVW__ПЛАН_ПРОДАЖ_ОТЧЕТНЫЕ_ФОРМЫ_070711.XLSX_SCENARIO" hidden="1">"[PLAN"</definedName>
    <definedName name="EV__MEMORYCVW__ПЛАН_ПРОДАЖ_ОТЧЕТНЫЕ_ФОРМЫ_070711.XLSX_TIME" hidden="1">"[2012.TOTAL"</definedName>
    <definedName name="EV__MEMORYCVW__СРАВНЕНИЕ.XLSX" hidden="1">"[MASTER"</definedName>
    <definedName name="EV__MEMORYCVW__СРАВНЕНИЕ.XLSX_ACCOUNT" hidden="1">"[A_PL_01"</definedName>
    <definedName name="EV__MEMORYCVW__СРАВНЕНИЕ.XLSX_CURRENCY" hidden="1">"[LC"</definedName>
    <definedName name="EV__MEMORYCVW__СРАВНЕНИЕ.XLSX_DATASOURCE" hidden="1">"[FB_SP"</definedName>
    <definedName name="EV__MEMORYCVW__СРАВНЕНИЕ.XLSX_ENTITY" hidden="1">"[13UGAAA0"</definedName>
    <definedName name="EV__MEMORYCVW__СРАВНЕНИЕ.XLSX_ENTITYGROUPS" hidden="1">"[EG_F_D_UR"</definedName>
    <definedName name="EV__MEMORYCVW__СРАВНЕНИЕ.XLSX_EXT2" hidden="1">"[EXT2_NONE"</definedName>
    <definedName name="EV__MEMORYCVW__СРАВНЕНИЕ.XLSX_FLOW" hidden="1">"[FL_C"</definedName>
    <definedName name="EV__MEMORYCVW__СРАВНЕНИЕ.XLSX_MEASURES" hidden="1">"[PERIODIC"</definedName>
    <definedName name="EV__MEMORYCVW__СРАВНЕНИЕ.XLSX_PRODUCT" hidden="1">"[PD200"</definedName>
    <definedName name="EV__MEMORYCVW__СРАВНЕНИЕ.XLSX_PROJECT" hidden="1">"[PJ_NONE"</definedName>
    <definedName name="EV__MEMORYCVW__СРАВНЕНИЕ.XLSX_SCENARIO" hidden="1">"[PLAN_06_06"</definedName>
    <definedName name="EV__MEMORYCVW__СРАВНЕНИЕ.XLSX_SUBFORMAT" hidden="1">"[SF_ALL"</definedName>
    <definedName name="EV__MEMORYCVW__СРАВНЕНИЕ.XLSX_TIME" hidden="1">"[2013.TOTAL"</definedName>
    <definedName name="EV__WBEVMODE__" hidden="1">0</definedName>
    <definedName name="EV__WBREFOPTIONS__" hidden="1">134217735</definedName>
    <definedName name="EV__WBVERSION__" hidden="1">0</definedName>
    <definedName name="ev.Calculation" hidden="1">2</definedName>
    <definedName name="ev.Initialized" hidden="1">FALSE</definedName>
    <definedName name="EXCEL__REPORT__FIELDS" hidden="1">#REF!</definedName>
    <definedName name="EXCEL__REPORT__INFO" hidden="1">#REF!</definedName>
    <definedName name="ey" hidden="1">#REF!</definedName>
    <definedName name="fad" hidden="1">{#N/A,"70% Success",FALSE,"Sales Forecast";#N/A,#N/A,FALSE,"Sheet2"}</definedName>
    <definedName name="fasdf" hidden="1">#N/A</definedName>
    <definedName name="fdjgrtjw" hidden="1">{#N/A,#N/A,TRUE,"Фин.рез"}</definedName>
    <definedName name="fdjgrtjw_1" hidden="1">{#N/A,#N/A,TRUE,"Фин.рез"}</definedName>
    <definedName name="fdsg" hidden="1">#REF!</definedName>
    <definedName name="fdv" hidden="1">{"quarterly",#N/A,FALSE,"Income Statement";#N/A,#N/A,FALSE,"print segment";#N/A,#N/A,FALSE,"Balance Sheet";#N/A,#N/A,FALSE,"Annl Inc";#N/A,#N/A,FALSE,"Cash Flow"}</definedName>
    <definedName name="ferwf3ef" hidden="1">#REF!</definedName>
    <definedName name="fewfwehgh" hidden="1">#REF!</definedName>
    <definedName name="ffggh" hidden="1">{"'Северо-Никольское '!$A$6:$J$40"}</definedName>
    <definedName name="fg" hidden="1">{"'Sheet1'!$A$1:$G$85"}</definedName>
    <definedName name="fgfds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fgh" hidden="1">{"'Северо-Никольское '!$A$6:$J$40"}</definedName>
    <definedName name="fghfg" hidden="1">{"det (May)",#N/A,FALSE,"June";"sum (MAY YTD)",#N/A,FALSE,"June YTD"}</definedName>
    <definedName name="fghfgh" hidden="1">#REF!</definedName>
    <definedName name="fghfghf" hidden="1">{"det (May)",#N/A,FALSE,"June";"sum (MAY YTD)",#N/A,FALSE,"June YTD"}</definedName>
    <definedName name="fgjhfg" hidden="1">{#N/A,#N/A,TRUE,"Фин.рез"}</definedName>
    <definedName name="fgjhfg_1" hidden="1">{#N/A,#N/A,TRUE,"Фин.рез"}</definedName>
    <definedName name="fgjrtsjwrtj" hidden="1">{#N/A,#N/A,TRUE,"Фин.рез"}</definedName>
    <definedName name="fgjrtsjwrtj_1" hidden="1">{#N/A,#N/A,TRUE,"Фин.рез"}</definedName>
    <definedName name="fgnfgnf" hidden="1">{"det (May)",#N/A,FALSE,"June";"sum (MAY YTD)",#N/A,FALSE,"June YTD"}</definedName>
    <definedName name="fgnfxgnxfg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fgnmfnfg" hidden="1">{"det (May)",#N/A,FALSE,"June";"sum (MAY YTD)",#N/A,FALSE,"June YTD"}</definedName>
    <definedName name="fhfghf" hidden="1">{"det (May)",#N/A,FALSE,"June";"sum (MAY YTD)",#N/A,FALSE,"June YTD"}</definedName>
    <definedName name="fhgd" hidden="1">{"'Северо-Никольское '!$A$6:$J$40"}</definedName>
    <definedName name="fhgfhx" hidden="1">{"det (May)",#N/A,FALSE,"June";"sum (MAY YTD)",#N/A,FALSE,"June YTD"}</definedName>
    <definedName name="fhjfghf" hidden="1">{"det (May)",#N/A,FALSE,"June";"sum (MAY YTD)",#N/A,FALSE,"June YTD"}</definedName>
    <definedName name="fhmghmg" hidden="1">{"det (May)",#N/A,FALSE,"June";"sum (MAY YTD)",#N/A,FALSE,"June YTD"}</definedName>
    <definedName name="fhmhgmh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fhshsf" hidden="1">{"det (May)",#N/A,FALSE,"June";"sum (MAY YTD)",#N/A,FALSE,"June YTD"}</definedName>
    <definedName name="Fig" hidden="1">{"det (May)",#N/A,FALSE,"June";"sum (MAY YTD)",#N/A,FALSE,"June YTD"}</definedName>
    <definedName name="fjhgd" hidden="1">{"'Sheet1'!$A$1:$G$85"}</definedName>
    <definedName name="fjhjgj" hidden="1">{"det (May)",#N/A,FALSE,"June";"sum (MAY YTD)",#N/A,FALSE,"June YTD"}</definedName>
    <definedName name="frgy" hidden="1">{"'Северо-Никольское '!$A$6:$J$40"}</definedName>
    <definedName name="frtgh" hidden="1">#REF!</definedName>
    <definedName name="fsgmnsftjer" hidden="1">{#N/A,#N/A,TRUE,"Фин.рез"}</definedName>
    <definedName name="fsgmnsftjer_1" hidden="1">{#N/A,#N/A,TRUE,"Фин.рез"}</definedName>
    <definedName name="fthj" hidden="1">{"'Северо-Никольское '!$A$6:$J$40"}</definedName>
    <definedName name="fvfbgfh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fw" hidden="1">{#N/A,#N/A,FALSE,"New Depr Sch-150% DB";#N/A,#N/A,FALSE,"Cash Flows RLP";#N/A,#N/A,FALSE,"IRR";#N/A,#N/A,FALSE,"Proforma IS";#N/A,#N/A,FALSE,"Assumptions"}</definedName>
    <definedName name="GD" hidden="1">{#N/A,#N/A,FALSE,"지침";#N/A,#N/A,FALSE,"환경분석";#N/A,#N/A,FALSE,"Sheet16"}</definedName>
    <definedName name="gdsg" localSheetId="1" hidden="1">ФактическийПериод*(#REF!&gt;0)</definedName>
    <definedName name="gdsg" localSheetId="3" hidden="1">ФактическийПериод*(#REF!&gt;0)</definedName>
    <definedName name="gdsg" localSheetId="13" hidden="1">ФактическийПериод*(#REF!&gt;0)</definedName>
    <definedName name="gdsg" hidden="1">ФактическийПериод*(#REF!&gt;0)</definedName>
    <definedName name="general_exp." hidden="1">{#N/A,"100% Success",TRUE,"Sales Forecast";#N/A,#N/A,TRUE,"Sheet2"}</definedName>
    <definedName name="gfdy" hidden="1">{#N/A,#N/A,FALSE,"지침";#N/A,#N/A,FALSE,"환경분석";#N/A,#N/A,FALSE,"Sheet16"}</definedName>
    <definedName name="gfhf" hidden="1">{#N/A,#N/A,TRUE,"Фин.рез"}</definedName>
    <definedName name="gfhf_1" hidden="1">{#N/A,#N/A,TRUE,"Фин.рез"}</definedName>
    <definedName name="gfmstyjuwe" hidden="1">{#N/A,#N/A,TRUE,"Фин.рез"}</definedName>
    <definedName name="gfmstyjuwe_1" hidden="1">{#N/A,#N/A,TRUE,"Фин.рез"}</definedName>
    <definedName name="gg" hidden="1">{#N/A,#N/A,FALSE,"101"}</definedName>
    <definedName name="gggg" hidden="1">{#N/A,#N/A,FALSE,"101"}</definedName>
    <definedName name="gh" hidden="1">{"'Prices'!$A$4:$J$27"}</definedName>
    <definedName name="ghd" hidden="1">{#N/A,#N/A,FALSE,"Aging Summary";#N/A,#N/A,FALSE,"Ratio Analysis";#N/A,#N/A,FALSE,"Test 120 Day Accts";#N/A,#N/A,FALSE,"Tickmarks"}</definedName>
    <definedName name="ghh" hidden="1">{"'Северо-Никольское '!$A$6:$J$40"}</definedName>
    <definedName name="ghjgh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ghjghjg" hidden="1">{"det (May)",#N/A,FALSE,"June";"sum (MAY YTD)",#N/A,FALSE,"June YTD"}</definedName>
    <definedName name="ghjgjgh" hidden="1">{"det (May)",#N/A,FALSE,"June";"sum (MAY YTD)",#N/A,FALSE,"June YTD"}</definedName>
    <definedName name="ghjj" hidden="1">{"'Северо-Никольское '!$A$6:$J$40"}</definedName>
    <definedName name="ghmghm" hidden="1">{"det (May)",#N/A,FALSE,"June";"sum (MAY YTD)",#N/A,FALSE,"June YTD"}</definedName>
    <definedName name="ghmghmg" hidden="1">{"det (May)",#N/A,FALSE,"June";"sum (MAY YTD)",#N/A,FALSE,"June YTD"}</definedName>
    <definedName name="gjgh" hidden="1">{"'Prices'!$A$4:$J$27"}</definedName>
    <definedName name="gjghjgh" hidden="1">{"det (May)",#N/A,FALSE,"June";"sum (MAY YTD)",#N/A,FALSE,"June YTD"}</definedName>
    <definedName name="Grahp" hidden="1">#REF!</definedName>
    <definedName name="gsdfsd" hidden="1">#REF!</definedName>
    <definedName name="gsdg" hidden="1">#REF!,#REF!,#REF!,#REF!,#REF!,#REF!,#REF!,#REF!,#REF!,#REF!,#REF!,#REF!,#REF!,#REF!,#REF!,#REF!,#REF!,#REF!,#REF!,#REF!</definedName>
    <definedName name="guggygi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gweujgf" hidden="1">{#N/A,#N/A,FALSE,"New Depr Sch-150% DB";#N/A,#N/A,FALSE,"Cash Flows RLP";#N/A,#N/A,FALSE,"IRR";#N/A,#N/A,FALSE,"Proforma IS";#N/A,#N/A,FALSE,"Assumptions"}</definedName>
    <definedName name="hg" hidden="1">{#N/A,#N/A,FALSE,"101"}</definedName>
    <definedName name="hgkujhk" hidden="1">{"det (May)",#N/A,FALSE,"June";"sum (MAY YTD)",#N/A,FALSE,"June YTD"}</definedName>
    <definedName name="hgnb" hidden="1">#REF!</definedName>
    <definedName name="hgnb1" hidden="1">#REF!</definedName>
    <definedName name="hgnb5" hidden="1">#REF!</definedName>
    <definedName name="hh" hidden="1">{#N/A,#N/A,TRUE,"План продаж";#N/A,#N/A,TRUE,"Склад гот.прод";#N/A,#N/A,TRUE,"План отгрузки"}</definedName>
    <definedName name="hhhh" hidden="1">{"'Северо-Никольское '!$A$6:$J$40"}</definedName>
    <definedName name="hjgj" hidden="1">{"det (May)",#N/A,FALSE,"June";"sum (MAY YTD)",#N/A,FALSE,"June YTD"}</definedName>
    <definedName name="hjhkjh" hidden="1">{"det (May)",#N/A,FALSE,"June";"sum (MAY YTD)",#N/A,FALSE,"June YTD"}</definedName>
    <definedName name="hjj" hidden="1">{"glc1",#N/A,FALSE,"GLC";"glc2",#N/A,FALSE,"GLC";"glc3",#N/A,FALSE,"GLC";"glc4",#N/A,FALSE,"GLC";"glc5",#N/A,FALSE,"GLC"}</definedName>
    <definedName name="hjk" hidden="1">{"'Северо-Никольское '!$A$6:$J$40"}</definedName>
    <definedName name="hjkhk" hidden="1">{"det (May)",#N/A,FALSE,"June";"sum (MAY YTD)",#N/A,FALSE,"June YTD"}</definedName>
    <definedName name="hjkjh" hidden="1">{"det (May)",#N/A,FALSE,"June";"sum (MAY YTD)",#N/A,FALSE,"June YTD"}</definedName>
    <definedName name="hkmb" hidden="1">{#N/A,#N/A,TRUE,"Фин.рез"}</definedName>
    <definedName name="hkmb_1" hidden="1">{#N/A,#N/A,TRUE,"Фин.рез"}</definedName>
    <definedName name="hmghj" hidden="1">{"det (May)",#N/A,FALSE,"June";"sum (MAY YTD)",#N/A,FALSE,"June YTD"}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OLA" hidden="1">{"AR",#N/A,FALSE,"ASMGTSUM";"INV",#N/A,FALSE,"ASMGTSUM";"HCCOMP",#N/A,FALSE,"ASMGTSUM";"cap.depr",#N/A,FALSE,"ASMGTSUM"}</definedName>
    <definedName name="htdfjty" hidden="1">{"det (May)",#N/A,FALSE,"June";"sum (MAY YTD)",#N/A,FALSE,"June YTD"}</definedName>
    <definedName name="HTLM" hidden="1">{"'РП (2)'!$A$5:$S$150"}</definedName>
    <definedName name="HTML_C" hidden="1">{"'Sheet1'!$A$12:$K$107"}</definedName>
    <definedName name="HTML_CodePage" hidden="1">1251</definedName>
    <definedName name="HTML_Control" hidden="1">{"'Prices'!$A$4:$J$27"}</definedName>
    <definedName name="HTML_Control2" hidden="1">{"'171'!$A$1:$Z$50"}</definedName>
    <definedName name="HTML_Description" hidden="1">""</definedName>
    <definedName name="HTML_Email" hidden="1">""</definedName>
    <definedName name="HTML_Header" hidden="1">""</definedName>
    <definedName name="HTML_LastUpdate" hidden="1">"19.08.98"</definedName>
    <definedName name="HTML_LineAfter" hidden="1">FALSE</definedName>
    <definedName name="HTML_LineBefore" hidden="1">FALSE</definedName>
    <definedName name="HTML_Name" hidden="1">"Алесенко"</definedName>
    <definedName name="HTML_OBDlg2" hidden="1">TRUE</definedName>
    <definedName name="HTML_OBDlg4" hidden="1">TRUE</definedName>
    <definedName name="HTML_OS" hidden="1">0</definedName>
    <definedName name="HTML_PathFile" hidden="1">"L:\WWW\ECONOMIC\541-rsk.htm"</definedName>
    <definedName name="HTML_PathFileMac" hidden="1">"Macintosh HD:HomePageStuff:New_Home_Page:datafile:histret.html"</definedName>
    <definedName name="HTML_Title" hidden="1">"DIAG_RSK"</definedName>
    <definedName name="HTML1_1" hidden="1">"[ReturnsHistorical]Sheet1!$A$1:$D$77"</definedName>
    <definedName name="HTML1_10" hidden="1">""</definedName>
    <definedName name="HTML1_11" hidden="1">1</definedName>
    <definedName name="HTML1_12" hidden="1">"Zip 100:New_Home_Page:datafile:histret.html"</definedName>
    <definedName name="HTML1_2" hidden="1">1</definedName>
    <definedName name="HTML1_3" hidden="1">"ReturnsHistorical"</definedName>
    <definedName name="HTML1_4" hidden="1">"Historical Returns on Stocks, Bonds and Bills"</definedName>
    <definedName name="HTML1_5" hidden="1">"Ibbotson Data"</definedName>
    <definedName name="HTML1_6" hidden="1">-4146</definedName>
    <definedName name="HTML1_7" hidden="1">-4146</definedName>
    <definedName name="HTML1_8" hidden="1">"3/17/97"</definedName>
    <definedName name="HTML1_9" hidden="1">"Aswath Damodaran"</definedName>
    <definedName name="HTML2" hidden="1">{"'Prices'!$A$4:$J$27"}</definedName>
    <definedName name="HTML2_1" hidden="1">"[histret.xls]Sheet1!$A$1:$G$85"</definedName>
    <definedName name="HTML2_10" hidden="1">""</definedName>
    <definedName name="HTML2_11" hidden="1">1</definedName>
    <definedName name="HTML2_12" hidden="1">"Macintosh HD:New_Home_Page:datafile:histret.html"</definedName>
    <definedName name="HTML2_2" hidden="1">1</definedName>
    <definedName name="HTML2_3" hidden="1">"Historical Returns"</definedName>
    <definedName name="HTML2_4" hidden="1">"Historical Returns on Stocks, Bonds and Bills"</definedName>
    <definedName name="HTML2_5" hidden="1">""</definedName>
    <definedName name="HTML2_6" hidden="1">1</definedName>
    <definedName name="HTML2_7" hidden="1">1</definedName>
    <definedName name="HTML2_8" hidden="1">"2/3/98"</definedName>
    <definedName name="HTML2_9" hidden="1">"Aswath Damodaran"</definedName>
    <definedName name="HTMLCount" hidden="1">2</definedName>
    <definedName name="hujl" hidden="1">{#N/A,#N/A,TRUE,"Фин.рез"}</definedName>
    <definedName name="hujl_1" hidden="1">{#N/A,#N/A,TRUE,"Фин.рез"}</definedName>
    <definedName name="ic" hidden="1">{#N/A,#N/A,FALSE,"지침";#N/A,#N/A,FALSE,"환경분석";#N/A,#N/A,FALSE,"Sheet16"}</definedName>
    <definedName name="INRGR" hidden="1">{#N/A,#N/A,TRUE,"COY TOTAL";#N/A,#N/A,TRUE,"3RD TRAIN EXP SUM";#N/A,#N/A,TRUE,"1173-LAGOS CO-ORD 3RD TRAIN EXP";#N/A,#N/A,TRUE,"3301-RET 3RD TRAIN EXP";#N/A,#N/A,TRUE,"3302-CONTEAM 3RD TRAIN EXP ";#N/A,#N/A,TRUE,"3303-PD 3RD TRAIN EXP";#N/A,#N/A,TRUE,"3304-START-UP-TEAM-3RD TRAIN ";#N/A,#N/A,TRUE,"1171-ECO";#N/A,#N/A,TRUE,"Fin Team-1174";#N/A,#N/A,TRUE,"HO TOTAL";#N/A,#N/A,TRUE,"1100-MD-SUM";#N/A,#N/A,TRUE,"1131-MD";#N/A,#N/A,TRUE,"1141-LG";#N/A,#N/A,TRUE,"1151-CPL";#N/A,#N/A,TRUE,"1161-LONDON OFFICE";#N/A,#N/A,TRUE,"1181-IAU";#N/A,#N/A,TRUE,"1400-DD SUM";#N/A,#N/A,TRUE,"1401-DD's OFFICE";#N/A,#N/A,TRUE,"1411-TAU";#N/A,#N/A,TRUE,"1421-ABUJA OFFICE";#N/A,#N/A,TRUE,"1500-CM-SUM";#N/A,#N/A,TRUE,"1501-CM's OFFICE";#N/A,#N/A,TRUE,"1502-CMM";#N/A,#N/A,TRUE,"1503-CMS";#N/A,#N/A,TRUE,"2100-HR SUM";#N/A,#N/A,TRUE,"2101-HR's OFFICE";#N/A,#N/A,TRUE,"2111-HRP";#N/A,#N/A,TRUE,"2121-HRA";#N/A,#N/A,TRUE,"2131-HRD";#N/A,#N/A,TRUE,"2300-FN-SUM";#N/A,#N/A,TRUE,"2301-FN's OFFICE";#N/A,#N/A,TRUE,"2311-FNC";#N/A,#N/A,TRUE,"2321-FNT";#N/A,#N/A,TRUE,"2331-FNI";#N/A,#N/A,TRUE,"2500-PAG-SUM";#N/A,#N/A,TRUE,"2501-GM's OFFICE";#N/A,#N/A,TRUE,"2511-PR";#N/A,#N/A,TRUE,"4000-PD SUM";#N/A,#N/A,TRUE,"GM PROD SUM";#N/A,#N/A,TRUE,"4001-GMPD's OFFICE";#N/A,#N/A,TRUE,"4011-PQM";#N/A,#N/A,TRUE,"4021-PFS";#N/A,#N/A,TRUE,"4031-PAF";#N/A,#N/A,TRUE,"4041-PC";#N/A,#N/A,TRUE,"4051-CR";#N/A,#N/A,TRUE,"4100-OP-SUM";#N/A,#N/A,TRUE,"4101-PO";#N/A,#N/A,TRUE,"4111-POL";#N/A,#N/A,TRUE,"4121-POU";#N/A,#N/A,TRUE,"4131-POT";#N/A,#N/A,TRUE,"4141-POM";#N/A,#N/A,TRUE,"4151-POG";#N/A,#N/A,TRUE,"4200-PE-SUM";#N/A,#N/A,TRUE,"4201-PE";#N/A,#N/A,TRUE,"4211-PEM";#N/A,#N/A,TRUE,"4221-PEQ";#N/A,#N/A,TRUE,"4231-PEE";#N/A,#N/A,TRUE,"4241-PEC";#N/A,#N/A,TRUE,"4251-PEO";#N/A,#N/A,TRUE,"4261-PEP";#N/A,#N/A,TRUE,"4271-PEI";#N/A,#N/A,TRUE,"4281-PES";#N/A,#N/A,TRUE,"4301-PT";#N/A,#N/A,TRUE,"4400-PS-SUM";#N/A,#N/A,TRUE,"4401-PS";#N/A,#N/A,TRUE,"4431-PSE";#N/A,#N/A,TRUE,"4441-PSS";#N/A,#N/A,TRUE,"4451-PST";#N/A,#N/A,TRUE,"4461-PSL";#N/A,#N/A,TRUE,"4471-PSM"}</definedName>
    <definedName name="iogfrio" hidden="1">{"det (May)",#N/A,FALSE,"June";"sum (MAY YTD)",#N/A,FALSE,"June YTD"}</definedName>
    <definedName name="ioy" hidden="1">{"'Северо-Никольское '!$A$6:$J$40"}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REUT" hidden="1">"c12135"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REUT" hidden="1">"c12758"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NO" hidden="1">"c4454"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UNUSED" hidden="1">"c7473"</definedName>
    <definedName name="IQ_BALANCE_GOODS_FC_UNUSED" hidden="1">"c7693"</definedName>
    <definedName name="IQ_BALANCE_GOODS_POP_FC_UNUSED" hidden="1">"c7913"</definedName>
    <definedName name="IQ_BALANCE_GOODS_POP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UNUSED" hidden="1">"c7253"</definedName>
    <definedName name="IQ_BALANCE_SERV_APR_FC_UNUSED" hidden="1">"c8355"</definedName>
    <definedName name="IQ_BALANCE_SERV_APR_UNUSED" hidden="1">"c7475"</definedName>
    <definedName name="IQ_BALANCE_SERV_FC_UNUSED" hidden="1">"c7695"</definedName>
    <definedName name="IQ_BALANCE_SERV_POP_FC_UNUSED" hidden="1">"c7915"</definedName>
    <definedName name="IQ_BALANCE_SERV_POP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UNUSED" hidden="1">"c7477"</definedName>
    <definedName name="IQ_BALANCE_TRADE_FC_UNUSED" hidden="1">"c7697"</definedName>
    <definedName name="IQ_BALANCE_TRADE_POP_FC_UNUSED" hidden="1">"c7917"</definedName>
    <definedName name="IQ_BALANCE_TRADE_POP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SP" hidden="1">"IQ_BONDRATING_SP"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UNUSED" hidden="1">"c7479"</definedName>
    <definedName name="IQ_BUDGET_BALANCE_FC_UNUSED" hidden="1">"c7699"</definedName>
    <definedName name="IQ_BUDGET_BALANCE_POP_FC_UNUSED" hidden="1">"c7919"</definedName>
    <definedName name="IQ_BUDGET_BALANCE_POP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YOY_FC_UNUSED" hidden="1">"c8139"</definedName>
    <definedName name="IQ_BUDGET_BALANCE_YOY_UNUSED" hidden="1">"c7259"</definedName>
    <definedName name="IQ_BUDGET_RECEIPTS_APR_FC_UNUSED" hidden="1">"c8361"</definedName>
    <definedName name="IQ_BUDGET_RECEIPTS_APR_UNUSED" hidden="1">"c7481"</definedName>
    <definedName name="IQ_BUDGET_RECEIPTS_FC_UNUSED" hidden="1">"c7701"</definedName>
    <definedName name="IQ_BUDGET_RECEIPTS_POP_FC_UNUSED" hidden="1">"c7921"</definedName>
    <definedName name="IQ_BUDGET_RECEIPTS_POP_UNUSED" hidden="1">"c7041"</definedName>
    <definedName name="IQ_BUDGET_RECEIPTS_UNUSED" hidden="1">"c6821"</definedName>
    <definedName name="IQ_BUDGET_RECEIPTS_YOY_FC_UNUSED" hidden="1">"c8141"</definedName>
    <definedName name="IQ_BUDGET_RECEIPTS_YOY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REUT" hidden="1">"c12524"</definedName>
    <definedName name="IQ_BV_SHARE_DET_EST_CURRENCY_THOM" hidden="1">"c12476"</definedName>
    <definedName name="IQ_BV_SHARE_DET_EST_DATE" hidden="1">"c12200"</definedName>
    <definedName name="IQ_BV_SHARE_DET_EST_DATE_REUT" hidden="1">"c12281"</definedName>
    <definedName name="IQ_BV_SHARE_DET_EST_DATE_THOM" hidden="1">"c12225"</definedName>
    <definedName name="IQ_BV_SHARE_DET_EST_INCL" hidden="1">"c12339"</definedName>
    <definedName name="IQ_BV_SHARE_DET_EST_INCL_REUT" hidden="1">"c12407"</definedName>
    <definedName name="IQ_BV_SHARE_DET_EST_INCL_THOM" hidden="1">"c12359"</definedName>
    <definedName name="IQ_BV_SHARE_DET_EST_ORIGIN" hidden="1">"c12573"</definedName>
    <definedName name="IQ_BV_SHARE_DET_EST_ORIGIN_REUT" hidden="1">"c12649"</definedName>
    <definedName name="IQ_BV_SHARE_DET_EST_ORIGIN_THOM" hidden="1">"c12595"</definedName>
    <definedName name="IQ_BV_SHARE_DET_EST_REUT" hidden="1">"c12139"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REUT" hidden="1">"c12525"</definedName>
    <definedName name="IQ_CAPEX_DET_EST_CURRENCY_THOM" hidden="1">"c12477"</definedName>
    <definedName name="IQ_CAPEX_DET_EST_DATE" hidden="1">"c12201"</definedName>
    <definedName name="IQ_CAPEX_DET_EST_DATE_REUT" hidden="1">"c12282"</definedName>
    <definedName name="IQ_CAPEX_DET_EST_DATE_THOM" hidden="1">"c12226"</definedName>
    <definedName name="IQ_CAPEX_DET_EST_INCL" hidden="1">"c12340"</definedName>
    <definedName name="IQ_CAPEX_DET_EST_INCL_REUT" hidden="1">"c12408"</definedName>
    <definedName name="IQ_CAPEX_DET_EST_INCL_THOM" hidden="1">"c12360"</definedName>
    <definedName name="IQ_CAPEX_DET_EST_ORIGIN" hidden="1">"c12765"</definedName>
    <definedName name="IQ_CAPEX_DET_EST_ORIGIN_REUT" hidden="1">"c12768"</definedName>
    <definedName name="IQ_CAPEX_DET_EST_ORIGIN_THOM" hidden="1">"c12596"</definedName>
    <definedName name="IQ_CAPEX_DET_EST_REUT" hidden="1">"c12140"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REUT" hidden="1">"c12283"</definedName>
    <definedName name="IQ_CFPS_DET_EST_DATE_THOM" hidden="1">"c12228"</definedName>
    <definedName name="IQ_CFPS_DET_EST_INCL" hidden="1">"c12341"</definedName>
    <definedName name="IQ_CFPS_DET_EST_INCL_REUT" hidden="1">"c12409"</definedName>
    <definedName name="IQ_CFPS_DET_EST_INCL_THOM" hidden="1">"c12362"</definedName>
    <definedName name="IQ_CFPS_DET_EST_ORIGIN" hidden="1">"c12575"</definedName>
    <definedName name="IQ_CFPS_DET_EST_ORIGIN_REUT" hidden="1">"c12651"</definedName>
    <definedName name="IQ_CFPS_DET_EST_ORIGIN_THOM" hidden="1">"c12598"</definedName>
    <definedName name="IQ_CFPS_DET_EST_REUT" hidden="1">"c12141"</definedName>
    <definedName name="IQ_CFPS_DET_EST_REUT_CURRENCY_CURRENCY_REUT" hidden="1">"c12526"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UNUSED" hidden="1">"c7620"</definedName>
    <definedName name="IQ_CHANGE_INVENT_REAL_FC_UNUSED" hidden="1">"c7840"</definedName>
    <definedName name="IQ_CHANGE_INVENT_REAL_POP_FC_UNUSED" hidden="1">"c8060"</definedName>
    <definedName name="IQ_CHANGE_INVENT_REAL_POP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DET_EST" hidden="1">"c13610"</definedName>
    <definedName name="IQ_COM_TARGET_PRICE_DET_EST_CIQ" hidden="1">"c13603"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_FDIC" hidden="1">"c6522"</definedName>
    <definedName name="IQ_CONTRIB_ID_DET_EST" hidden="1">"c12045"</definedName>
    <definedName name="IQ_CONTRIB_ID_DET_EST_REUT" hidden="1">"c12137"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REUT" hidden="1">"c12138"</definedName>
    <definedName name="IQ_CONTRIB_NAME_DET_EST_THOM" hidden="1">"c12074"</definedName>
    <definedName name="IQ_CONTRIB_NAME_NON_PER_DET_EST" hidden="1">"c12760"</definedName>
    <definedName name="IQ_CONTRIB_NAME_NON_PER_DET_EST_REUT" hidden="1">"c12763"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REUT" hidden="1">"c12285"</definedName>
    <definedName name="IQ_CONTRIB_REC_DET_EST_DATE_THOM" hidden="1">"c12230"</definedName>
    <definedName name="IQ_CONTRIB_REC_DET_EST_ORIGIN" hidden="1">"c12577"</definedName>
    <definedName name="IQ_CONTRIB_REC_DET_EST_ORIGIN_REUT" hidden="1">"c12653"</definedName>
    <definedName name="IQ_CONTRIB_REC_DET_EST_ORIGIN_THOM" hidden="1">"c12600"</definedName>
    <definedName name="IQ_CONTRIB_REC_DET_EST_REUT" hidden="1">"c12143"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UNUSED" hidden="1">"c7501"</definedName>
    <definedName name="IQ_CORP_GOODS_PRICE_INDEX_FC_UNUSED" hidden="1">"c7721"</definedName>
    <definedName name="IQ_CORP_GOODS_PRICE_INDEX_POP_FC_UNUSED" hidden="1">"c7941"</definedName>
    <definedName name="IQ_CORP_GOODS_PRICE_INDEX_POP_UNUSED" hidden="1">"c7061"</definedName>
    <definedName name="IQ_CORP_GOODS_PRICE_INDEX_UNUSED" hidden="1">"c6841"</definedName>
    <definedName name="IQ_CORP_GOODS_PRICE_INDEX_YOY_FC_UNUSED" hidden="1">"c8161"</definedName>
    <definedName name="IQ_CORP_GOODS_PRICE_INDEX_YOY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UNUSED" hidden="1">"c7507"</definedName>
    <definedName name="IQ_CURR_ACCT_BALANCE_FC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REUT" hidden="1">"c12527"</definedName>
    <definedName name="IQ_DPS_DET_EST_CURRENCY_THOM" hidden="1">"c12480"</definedName>
    <definedName name="IQ_DPS_DET_EST_DATE" hidden="1">"c12205"</definedName>
    <definedName name="IQ_DPS_DET_EST_DATE_REUT" hidden="1">"c12286"</definedName>
    <definedName name="IQ_DPS_DET_EST_DATE_THOM" hidden="1">"c12231"</definedName>
    <definedName name="IQ_DPS_DET_EST_INCL" hidden="1">"c12342"</definedName>
    <definedName name="IQ_DPS_DET_EST_INCL_REUT" hidden="1">"c12410"</definedName>
    <definedName name="IQ_DPS_DET_EST_INCL_THOM" hidden="1">"c12363"</definedName>
    <definedName name="IQ_DPS_DET_EST_ORIGIN" hidden="1">"c12578"</definedName>
    <definedName name="IQ_DPS_DET_EST_ORIGIN_REUT" hidden="1">"c12654"</definedName>
    <definedName name="IQ_DPS_DET_EST_ORIGIN_THOM" hidden="1">"c12601"</definedName>
    <definedName name="IQ_DPS_DET_EST_REUT" hidden="1">"c12144"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REUT" hidden="1">"c12528"</definedName>
    <definedName name="IQ_EBIT_DET_EST_CURRENCY_THOM" hidden="1">"c12481"</definedName>
    <definedName name="IQ_EBIT_DET_EST_DATE" hidden="1">"c12206"</definedName>
    <definedName name="IQ_EBIT_DET_EST_DATE_REUT" hidden="1">"c12287"</definedName>
    <definedName name="IQ_EBIT_DET_EST_DATE_THOM" hidden="1">"c12232"</definedName>
    <definedName name="IQ_EBIT_DET_EST_INCL" hidden="1">"c12343"</definedName>
    <definedName name="IQ_EBIT_DET_EST_INCL_REUT" hidden="1">"c12411"</definedName>
    <definedName name="IQ_EBIT_DET_EST_INCL_THOM" hidden="1">"c12364"</definedName>
    <definedName name="IQ_EBIT_DET_EST_ORIGIN" hidden="1">"c12579"</definedName>
    <definedName name="IQ_EBIT_DET_EST_ORIGIN_REUT" hidden="1">"c12655"</definedName>
    <definedName name="IQ_EBIT_DET_EST_ORIGIN_THOM" hidden="1">"c12602"</definedName>
    <definedName name="IQ_EBIT_DET_EST_REUT" hidden="1">"c12145"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REUT" hidden="1">"c5462"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REUT" hidden="1">"c12288"</definedName>
    <definedName name="IQ_EBITDA_DET_EST_DATE_THOM" hidden="1">"c12233"</definedName>
    <definedName name="IQ_EBITDA_DET_EST_INCL" hidden="1">"c12344"</definedName>
    <definedName name="IQ_EBITDA_DET_EST_INCL_REUT" hidden="1">"c12412"</definedName>
    <definedName name="IQ_EBITDA_DET_EST_INCL_THOM" hidden="1">"c12365"</definedName>
    <definedName name="IQ_EBITDA_DET_EST_ORIGIN" hidden="1">"c12580"</definedName>
    <definedName name="IQ_EBITDA_DET_EST_ORIGIN_REUT" hidden="1">"c12656"</definedName>
    <definedName name="IQ_EBITDA_DET_EST_ORIGIN_THOM" hidden="1">"c12603"</definedName>
    <definedName name="IQ_EBITDA_DET_EST_REUT" hidden="1">"c12146"</definedName>
    <definedName name="IQ_EBITDA_DET_EST_REUT_CURRENCY_CURRENCY_REUT" hidden="1">"c12529"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39_UNUSED" hidden="1">"c6839"</definedName>
    <definedName name="IQ_ECO_METRIC_6896_UNUSED" hidden="1">"c6896"</definedName>
    <definedName name="IQ_ECO_METRIC_6897_UNUSED" hidden="1">"c6897"</definedName>
    <definedName name="IQ_ECO_METRIC_6927" hidden="1">"c6927"</definedName>
    <definedName name="IQ_ECO_METRIC_6988_UNUSED" hidden="1">"c6988"</definedName>
    <definedName name="IQ_ECO_METRIC_7045_UNUSED" hidden="1">"c7045"</definedName>
    <definedName name="IQ_ECO_METRIC_7059_UNUSED" hidden="1">"c7059"</definedName>
    <definedName name="IQ_ECO_METRIC_7116_UNUSED" hidden="1">"c7116"</definedName>
    <definedName name="IQ_ECO_METRIC_7117_UNUSED" hidden="1">"c7117"</definedName>
    <definedName name="IQ_ECO_METRIC_7147" hidden="1">"c7147"</definedName>
    <definedName name="IQ_ECO_METRIC_7208_UNUSED" hidden="1">"c7208"</definedName>
    <definedName name="IQ_ECO_METRIC_7265_UNUSED" hidden="1">"c7265"</definedName>
    <definedName name="IQ_ECO_METRIC_7279_UNUSED" hidden="1">"c7279"</definedName>
    <definedName name="IQ_ECO_METRIC_7336_UNUSED" hidden="1">"c7336"</definedName>
    <definedName name="IQ_ECO_METRIC_7337_UNUSED" hidden="1">"c7337"</definedName>
    <definedName name="IQ_ECO_METRIC_7367" hidden="1">"c7367"</definedName>
    <definedName name="IQ_ECO_METRIC_7428_UNUSED" hidden="1">"c7428"</definedName>
    <definedName name="IQ_ECO_METRIC_7556_UNUSED" hidden="1">"c7556"</definedName>
    <definedName name="IQ_ECO_METRIC_7557_UNUSED" hidden="1">"c7557"</definedName>
    <definedName name="IQ_ECO_METRIC_7587" hidden="1">"c7587"</definedName>
    <definedName name="IQ_ECO_METRIC_7648_UNUSED" hidden="1">"c7648"</definedName>
    <definedName name="IQ_ECO_METRIC_7704" hidden="1">"c7704"</definedName>
    <definedName name="IQ_ECO_METRIC_7705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76_UNUSED" hidden="1">"c7776"</definedName>
    <definedName name="IQ_ECO_METRIC_7777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96_UNUSED" hidden="1">"c7996"</definedName>
    <definedName name="IQ_ECO_METRIC_7997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216_UNUSED" hidden="1">"c8216"</definedName>
    <definedName name="IQ_ECO_METRIC_8217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7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OTHER" hidden="1">"c15615"</definedName>
    <definedName name="IQ_ECS_NUM_SHAREHOLDERS_OTHER_ABS" hidden="1">"c15632"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REUT" hidden="1">"c12136"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REUT" hidden="1">"c13584"</definedName>
    <definedName name="IQ_EPS_DET_EST_CURRENCY_THOM" hidden="1">"c12484"</definedName>
    <definedName name="IQ_EPS_DET_EST_DATE" hidden="1">"c13575"</definedName>
    <definedName name="IQ_EPS_DET_EST_DATE_REUT" hidden="1">"c13576"</definedName>
    <definedName name="IQ_EPS_DET_EST_DATE_THOM" hidden="1">"c12235"</definedName>
    <definedName name="IQ_EPS_DET_EST_INCL" hidden="1">"c13587"</definedName>
    <definedName name="IQ_EPS_DET_EST_INCL_REUT" hidden="1">"c13588"</definedName>
    <definedName name="IQ_EPS_DET_EST_INCL_THOM" hidden="1">"c12367"</definedName>
    <definedName name="IQ_EPS_DET_EST_ORIGIN" hidden="1">"c13579"</definedName>
    <definedName name="IQ_EPS_DET_EST_ORIGIN_REUT" hidden="1">"c13580"</definedName>
    <definedName name="IQ_EPS_DET_EST_ORIGIN_THOM" hidden="1">"c12605"</definedName>
    <definedName name="IQ_EPS_DET_EST_REUT" hidden="1">"c13572"</definedName>
    <definedName name="IQ_EPS_DET_EST_THOM" hidden="1">"c12085"</definedName>
    <definedName name="IQ_EPS_EST" hidden="1">"c399"</definedName>
    <definedName name="IQ_EPS_EST_1" hidden="1">"IQ_EPS_EST_1"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REUT" hidden="1">"c12292"</definedName>
    <definedName name="IQ_EPS_GW_DET_EST_DATE_THOM" hidden="1">"c12236"</definedName>
    <definedName name="IQ_EPS_GW_DET_EST_INCL" hidden="1">"c12346"</definedName>
    <definedName name="IQ_EPS_GW_DET_EST_INCL_REUT" hidden="1">"c12416"</definedName>
    <definedName name="IQ_EPS_GW_DET_EST_INCL_THOM" hidden="1">"c12368"</definedName>
    <definedName name="IQ_EPS_GW_DET_EST_ORIGIN" hidden="1">"c12582"</definedName>
    <definedName name="IQ_EPS_GW_DET_EST_ORIGIN_REUT" hidden="1">"c12660"</definedName>
    <definedName name="IQ_EPS_GW_DET_EST_ORIGIN_THOM" hidden="1">"c12606"</definedName>
    <definedName name="IQ_EPS_GW_DET_EST_REUT" hidden="1">"c12150"</definedName>
    <definedName name="IQ_EPS_GW_DET_EST_REUT_CURRENCY_CURRENCY_REUT" hidden="1">"c12533"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CURRENCY_REUT" hidden="1">"c12535"</definedName>
    <definedName name="IQ_EPS_NORM_DET_EST_DATE" hidden="1">"c12211"</definedName>
    <definedName name="IQ_EPS_NORM_DET_EST_DATE_REUT" hidden="1">"c12294"</definedName>
    <definedName name="IQ_EPS_NORM_DET_EST_INCL" hidden="1">"c12348"</definedName>
    <definedName name="IQ_EPS_NORM_DET_EST_INCL_REUT" hidden="1">"c12418"</definedName>
    <definedName name="IQ_EPS_NORM_DET_EST_ORIGIN" hidden="1">"c12583"</definedName>
    <definedName name="IQ_EPS_NORM_DET_EST_ORIGIN_REUT" hidden="1">"c12662"</definedName>
    <definedName name="IQ_EPS_NORM_DET_EST_ORIGIN_THOM" hidden="1">"c12607"</definedName>
    <definedName name="IQ_EPS_NORM_DET_EST_REUT" hidden="1">"c12152"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REUT" hidden="1">"c12534"</definedName>
    <definedName name="IQ_EPS_REPORTED_DET_EST_CURRENCY_THOM" hidden="1">"c12486"</definedName>
    <definedName name="IQ_EPS_REPORTED_DET_EST_DATE" hidden="1">"c12210"</definedName>
    <definedName name="IQ_EPS_REPORTED_DET_EST_DATE_REUT" hidden="1">"c12293"</definedName>
    <definedName name="IQ_EPS_REPORTED_DET_EST_DATE_THOM" hidden="1">"c12237"</definedName>
    <definedName name="IQ_EPS_REPORTED_DET_EST_INCL" hidden="1">"c12347"</definedName>
    <definedName name="IQ_EPS_REPORTED_DET_EST_INCL_REUT" hidden="1">"c12417"</definedName>
    <definedName name="IQ_EPS_REPORTED_DET_EST_INCL_THOM" hidden="1">"c12369"</definedName>
    <definedName name="IQ_EPS_REPORTED_DET_EST_ORIGIN" hidden="1">"c12772"</definedName>
    <definedName name="IQ_EPS_REPORTED_DET_EST_ORIGIN_REUT" hidden="1">"c12661"</definedName>
    <definedName name="IQ_EPS_REPORTED_DET_EST_ORIGIN_THOM" hidden="1">"c13511"</definedName>
    <definedName name="IQ_EPS_REPORTED_DET_EST_REUT" hidden="1">"c12151"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REUT" hidden="1">"c3843"</definedName>
    <definedName name="IQ_EST_ACT_FFO_SHARE" hidden="1">"c1666"</definedName>
    <definedName name="IQ_EST_ACT_FFO_SHARE_SHARE_REUT" hidden="1">"c3843"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SURPRISE_PERCENT" hidden="1">"c4344"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 hidden="1">"c4444"</definedName>
    <definedName name="IQ_EST_FFO_DIFF_REUT" hidden="1">"c3890"</definedName>
    <definedName name="IQ_EST_FFO_DIFF_THOM" hidden="1">"c5186"</definedName>
    <definedName name="IQ_EST_FFO_GROWTH_1YR" hidden="1">"c4425"</definedName>
    <definedName name="IQ_EST_FFO_GROWTH_1YR_REUT" hidden="1">"c3874"</definedName>
    <definedName name="IQ_EST_FFO_GROWTH_1YR_THOM" hidden="1">"c5170"</definedName>
    <definedName name="IQ_EST_FFO_GROWTH_2YR" hidden="1">"c4426"</definedName>
    <definedName name="IQ_EST_FFO_GROWTH_2YR_REUT" hidden="1">"c3875"</definedName>
    <definedName name="IQ_EST_FFO_GROWTH_2YR_THOM" hidden="1">"c5171"</definedName>
    <definedName name="IQ_EST_FFO_GROWTH_Q_1YR" hidden="1">"c4427"</definedName>
    <definedName name="IQ_EST_FFO_GROWTH_Q_1YR_REUT" hidden="1">"c3876"</definedName>
    <definedName name="IQ_EST_FFO_GROWTH_Q_1YR_THOM" hidden="1">"c5172"</definedName>
    <definedName name="IQ_EST_FFO_SEQ_GROWTH_Q" hidden="1">"c4428"</definedName>
    <definedName name="IQ_EST_FFO_SEQ_GROWTH_Q_REUT" hidden="1">"c3877"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REUT" hidden="1">"c3890"</definedName>
    <definedName name="IQ_EST_FFO_SHARE_SHARE_DIFF_THOM" hidden="1">"c5186"</definedName>
    <definedName name="IQ_EST_FFO_SHARE_SHARE_SURPRISE_PERCENT_REUT" hidden="1">"c3891"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SURPRISE_PERCENT" hidden="1">"c4515"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UNUSED" hidden="1">"c7632"</definedName>
    <definedName name="IQ_EXPORTS_GOODS_REAL_SAAR_FC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UNUSED" hidden="1">"c7192"</definedName>
    <definedName name="IQ_EXPORTS_GOODS_REAL_SAAR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UNUSED" hidden="1">"c7636"</definedName>
    <definedName name="IQ_EXPORTS_SERVICES_REAL_SAAR_FC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UNUSED" hidden="1">"c7196"</definedName>
    <definedName name="IQ_EXPORTS_SERVICES_REAL_SAAR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DET_EST" hidden="1">"c12059"</definedName>
    <definedName name="IQ_FFO_EST_DET_EST_CURRENCY" hidden="1">"c12466"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REUT" hidden="1">"c3838"</definedName>
    <definedName name="IQ_FFO_MEDIAN_EST_THOM" hidden="1">"c4000"</definedName>
    <definedName name="IQ_FFO_NUM_EST" hidden="1">"c4451"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REUT" hidden="1">"c12536"</definedName>
    <definedName name="IQ_FFO_SHARE_SHARE_EST_DET_EST_CURRENCY_THOM" hidden="1">"c12487"</definedName>
    <definedName name="IQ_FFO_SHARE_SHARE_EST_DET_EST_DATE" hidden="1">"c12212"</definedName>
    <definedName name="IQ_FFO_SHARE_SHARE_EST_DET_EST_DATE_REUT" hidden="1">"c12295"</definedName>
    <definedName name="IQ_FFO_SHARE_SHARE_EST_DET_EST_DATE_THOM" hidden="1">"c12238"</definedName>
    <definedName name="IQ_FFO_SHARE_SHARE_EST_DET_EST_INCL" hidden="1">"c12349"</definedName>
    <definedName name="IQ_FFO_SHARE_SHARE_EST_DET_EST_INCL_REUT" hidden="1">"c12419"</definedName>
    <definedName name="IQ_FFO_SHARE_SHARE_EST_DET_EST_INCL_THOM" hidden="1">"c12370"</definedName>
    <definedName name="IQ_FFO_SHARE_SHARE_EST_DET_EST_ORIGIN" hidden="1">"c12722"</definedName>
    <definedName name="IQ_FFO_SHARE_SHARE_EST_DET_EST_ORIGIN_REUT" hidden="1">"c12724"</definedName>
    <definedName name="IQ_FFO_SHARE_SHARE_EST_DET_EST_ORIGIN_THOM" hidden="1">"c12608"</definedName>
    <definedName name="IQ_FFO_SHARE_SHARE_EST_DET_EST_REUT" hidden="1">"c12153"</definedName>
    <definedName name="IQ_FFO_SHARE_SHARE_EST_DET_EST_THOM" hidden="1">"c12088"</definedName>
    <definedName name="IQ_FFO_SHARE_SHARE_EST_REUT" hidden="1">"c3837"</definedName>
    <definedName name="IQ_FFO_SHARE_SHARE_EST_THOM" hidden="1">"c3999"</definedName>
    <definedName name="IQ_FFO_SHARE_SHARE_HIGH_EST_REUT" hidden="1">"c3839"</definedName>
    <definedName name="IQ_FFO_SHARE_SHARE_HIGH_EST_THOM" hidden="1">"c4001"</definedName>
    <definedName name="IQ_FFO_SHARE_SHARE_LOW_EST_REUT" hidden="1">"c3840"</definedName>
    <definedName name="IQ_FFO_SHARE_SHARE_LOW_EST_THOM" hidden="1">"c4002"</definedName>
    <definedName name="IQ_FFO_SHARE_SHARE_MEDIAN_EST_REUT" hidden="1">"c3838"</definedName>
    <definedName name="IQ_FFO_SHARE_SHARE_MEDIAN_EST_THOM" hidden="1">"c4000"</definedName>
    <definedName name="IQ_FFO_SHARE_SHARE_NUM_EST_REUT" hidden="1">"c3841"</definedName>
    <definedName name="IQ_FFO_SHARE_SHARE_NUM_EST_THOM" hidden="1">"c4003"</definedName>
    <definedName name="IQ_FFO_SHARE_SHARE_STDDEV_EST_REUT" hidden="1">"c3842"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REUT" hidden="1">"c3842"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UNUSED" hidden="1">"c7530"</definedName>
    <definedName name="IQ_FIXED_INVEST_FC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UNUSED" hidden="1">"c7090"</definedName>
    <definedName name="IQ_FIXED_INVEST_REAL_APR_FC_UNUSED" hidden="1">"c8518"</definedName>
    <definedName name="IQ_FIXED_INVEST_REAL_APR_UNUSED" hidden="1">"c7638"</definedName>
    <definedName name="IQ_FIXED_INVEST_REAL_FC_UNUSED" hidden="1">"c7858"</definedName>
    <definedName name="IQ_FIXED_INVEST_REAL_POP_FC_UNUSED" hidden="1">"c8078"</definedName>
    <definedName name="IQ_FIXED_INVEST_REAL_POP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_PRIMARY_ADVISOR" hidden="1">"c19091"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UNUSED" hidden="1">"c7542"</definedName>
    <definedName name="IQ_HOUSING_COMPLETIONS_SINGLE_FAM_FC_UNUSED" hidden="1">"c7762"</definedName>
    <definedName name="IQ_HOUSING_COMPLETIONS_SINGLE_FAM_POP_FC_UNUSED" hidden="1">"c7982"</definedName>
    <definedName name="IQ_HOUSING_COMPLETIONS_SINGLE_FAM_POP_UNUSED" hidden="1">"c7102"</definedName>
    <definedName name="IQ_HOUSING_COMPLETIONS_SINGLE_FAM_UNUSED" hidden="1">"c6882"</definedName>
    <definedName name="IQ_HOUSING_COMPLETIONS_SINGLE_FAM_YOY_FC_UNUSED" hidden="1">"c8202"</definedName>
    <definedName name="IQ_HOUSING_COMPLETIONS_SINGLE_FAM_YOY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UNUSED" hidden="1">"c7643"</definedName>
    <definedName name="IQ_IMPORTS_GOODS_REAL_SAAR_FC_UNUSED" hidden="1">"c7863"</definedName>
    <definedName name="IQ_IMPORTS_GOODS_REAL_SAAR_POP_FC_UNUSED" hidden="1">"c8083"</definedName>
    <definedName name="IQ_IMPORTS_GOODS_REAL_SAAR_POP_UNUSED" hidden="1">"c7203"</definedName>
    <definedName name="IQ_IMPORTS_GOODS_REAL_SAAR_UNUSED" hidden="1">"c6983"</definedName>
    <definedName name="IQ_IMPORTS_GOODS_REAL_SAAR_YOY_FC_UNUSED" hidden="1">"c8303"</definedName>
    <definedName name="IQ_IMPORTS_GOODS_REAL_SAAR_YOY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UNUSED" hidden="1">"c7549"</definedName>
    <definedName name="IQ_IMPORTS_GOODS_SERVICES_FC_UNUSED" hidden="1">"c7769"</definedName>
    <definedName name="IQ_IMPORTS_GOODS_SERVICES_POP_FC_UNUSED" hidden="1">"c7989"</definedName>
    <definedName name="IQ_IMPORTS_GOODS_SERVICES_POP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UNUSED" hidden="1">"c7644"</definedName>
    <definedName name="IQ_IMPORTS_GOODS_SERVICES_REAL_SAAR_FC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UNUSED" hidden="1">"c7204"</definedName>
    <definedName name="IQ_IMPORTS_GOODS_SERVICES_REAL_SAAR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UNUSED" hidden="1">"c7563"</definedName>
    <definedName name="IQ_ISM_SERVICES_FC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UNUSED" hidden="1">"c7123"</definedName>
    <definedName name="IQ_ISM_SERVICES_UNUSED" hidden="1">"c6903"</definedName>
    <definedName name="IQ_ISM_SERVICES_YOY_FC_UNUSED" hidden="1">"c8223"</definedName>
    <definedName name="IQ_ISM_SERVICES_YOY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REUT" hidden="1">"c12296"</definedName>
    <definedName name="IQ_LT_GROWTH_DET_EST_DATE_THOM" hidden="1">"c12240"</definedName>
    <definedName name="IQ_LT_GROWTH_DET_EST_INCL" hidden="1">"c12350"</definedName>
    <definedName name="IQ_LT_GROWTH_DET_EST_INCL_REUT" hidden="1">"c12420"</definedName>
    <definedName name="IQ_LT_GROWTH_DET_EST_INCL_THOM" hidden="1">"c12372"</definedName>
    <definedName name="IQ_LT_GROWTH_DET_EST_ORIGIN" hidden="1">"c12725"</definedName>
    <definedName name="IQ_LT_GROWTH_DET_EST_ORIGIN_REUT" hidden="1">"c12728"</definedName>
    <definedName name="IQ_LT_GROWTH_DET_EST_ORIGIN_THOM" hidden="1">"c12610"</definedName>
    <definedName name="IQ_LT_GROWTH_DET_EST_REUT" hidden="1">"c12154"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UNUSED" hidden="1">"c7580"</definedName>
    <definedName name="IQ_MEDIAN_NEW_HOME_SALES_FC_UNUSED" hidden="1">"c7800"</definedName>
    <definedName name="IQ_MEDIAN_NEW_HOME_SALES_POP_FC_UNUSED" hidden="1">"c8020"</definedName>
    <definedName name="IQ_MEDIAN_NEW_HOME_SALES_POP_UNUSED" hidden="1">"c7140"</definedName>
    <definedName name="IQ_MEDIAN_NEW_HOME_SALES_UNUSED" hidden="1">"c6920"</definedName>
    <definedName name="IQ_MEDIAN_NEW_HOME_SALES_YOY_FC_UNUSED" hidden="1">"c8240"</definedName>
    <definedName name="IQ_MEDIAN_NEW_HOME_SALES_YOY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ODYS_ACTION_LT" hidden="1">"c5660"</definedName>
    <definedName name="IQ_MOODYS_ACTION_ST" hidden="1">"c5663"</definedName>
    <definedName name="IQ_MOODYS_BANK_FIN_STRENGTH_ACTION_LT" hidden="1">"c5669"</definedName>
    <definedName name="IQ_MOODYS_BANK_FIN_STRENGTH_DATE_LT" hidden="1">"c5668"</definedName>
    <definedName name="IQ_MOODYS_BANK_FIN_STRENGTH_LT" hidden="1">"c5670"</definedName>
    <definedName name="IQ_MOODYS_CORP_FAMILY_ACTION_LT" hidden="1">"c5666"</definedName>
    <definedName name="IQ_MOODYS_CORP_FAMILY_DATE_LT" hidden="1">"c5665"</definedName>
    <definedName name="IQ_MOODYS_CORP_FAMILY_LT" hidden="1">"c5667"</definedName>
    <definedName name="IQ_MOODYS_DATE_LT" hidden="1">"c5659"</definedName>
    <definedName name="IQ_MOODYS_DATE_ST" hidden="1">"c5662"</definedName>
    <definedName name="IQ_MOODYS_INS_FIN_STRENGTH_ACTION_LT" hidden="1">"c5672"</definedName>
    <definedName name="IQ_MOODYS_INS_FIN_STRENGTH_ACTION_ST" hidden="1">"c5675"</definedName>
    <definedName name="IQ_MOODYS_INS_FIN_STRENGTH_DATE_LT" hidden="1">"c5671"</definedName>
    <definedName name="IQ_MOODYS_INS_FIN_STRENGTH_DATE_ST" hidden="1">"c5674"</definedName>
    <definedName name="IQ_MOODYS_INS_FIN_STRENGTH_LT" hidden="1">"c5673"</definedName>
    <definedName name="IQ_MOODYS_INS_FIN_STRENGTH_ST" hidden="1">"c5676"</definedName>
    <definedName name="IQ_MOODYS_ISSUE_ACTION_LT" hidden="1">"c5683"</definedName>
    <definedName name="IQ_MOODYS_ISSUE_ACTION_ST" hidden="1">"c6784"</definedName>
    <definedName name="IQ_MOODYS_ISSUE_DATE_LT" hidden="1">"c5682"</definedName>
    <definedName name="IQ_MOODYS_ISSUE_DATE_ST" hidden="1">"c6783"</definedName>
    <definedName name="IQ_MOODYS_ISSUE_LT" hidden="1">"c5684"</definedName>
    <definedName name="IQ_MOODYS_ISSUE_ST" hidden="1">"c6785"</definedName>
    <definedName name="IQ_MOODYS_ISSUE_WATCHLIST_DATE" hidden="1">"c5685"</definedName>
    <definedName name="IQ_MOODYS_ISSUE_WATCHLIST_INDICATOR" hidden="1">"c5687"</definedName>
    <definedName name="IQ_MOODYS_ISSUE_WATCHLIST_REASON" hidden="1">"c5686"</definedName>
    <definedName name="IQ_MOODYS_JR_SUB_ACTION_LT" hidden="1">"c13537"</definedName>
    <definedName name="IQ_MOODYS_JR_SUB_DATE_LT" hidden="1">"c13536"</definedName>
    <definedName name="IQ_MOODYS_JR_SUB_LT" hidden="1">"c13535"</definedName>
    <definedName name="IQ_MOODYS_JR_SUB_TYPE_LT" hidden="1">"c13538"</definedName>
    <definedName name="IQ_MOODYS_LATEST_DATE_LT" hidden="1">"c12711"</definedName>
    <definedName name="IQ_MOODYS_LATEST_DATE_ST" hidden="1">"c12715"</definedName>
    <definedName name="IQ_MOODYS_LATEST_LT" hidden="1">"c12710"</definedName>
    <definedName name="IQ_MOODYS_LATEST_ST" hidden="1">"c12714"</definedName>
    <definedName name="IQ_MOODYS_LATEST_TYPE_LT" hidden="1">"c12713"</definedName>
    <definedName name="IQ_MOODYS_LATEST_TYPE_ST" hidden="1">"c12717"</definedName>
    <definedName name="IQ_MOODYS_LT" hidden="1">"c5661"</definedName>
    <definedName name="IQ_MOODYS_OTHER_ACTION_LT" hidden="1">"c13545"</definedName>
    <definedName name="IQ_MOODYS_OTHER_ACTION_ST" hidden="1">"c13569"</definedName>
    <definedName name="IQ_MOODYS_OTHER_DATE_LT" hidden="1">"c13544"</definedName>
    <definedName name="IQ_MOODYS_OTHER_DATE_ST" hidden="1">"c13568"</definedName>
    <definedName name="IQ_MOODYS_OTHER_LT" hidden="1">"c13543"</definedName>
    <definedName name="IQ_MOODYS_OTHER_ST" hidden="1">"c13567"</definedName>
    <definedName name="IQ_MOODYS_OTHER_TYPE_LT" hidden="1">"c13546"</definedName>
    <definedName name="IQ_MOODYS_OTHER_TYPE_ST" hidden="1">"c13570"</definedName>
    <definedName name="IQ_MOODYS_OUTLOOK" hidden="1">"c5678"</definedName>
    <definedName name="IQ_MOODYS_OUTLOOK_DATE" hidden="1">"c5677"</definedName>
    <definedName name="IQ_MOODYS_PREF_ACTION_LT" hidden="1">"c13541"</definedName>
    <definedName name="IQ_MOODYS_PREF_DATE_LT" hidden="1">"c13540"</definedName>
    <definedName name="IQ_MOODYS_PREF_LT" hidden="1">"c13539"</definedName>
    <definedName name="IQ_MOODYS_PREF_TYPE_LT" hidden="1">"c13542"</definedName>
    <definedName name="IQ_MOODYS_SERVICER_QUALITY_ACTION_LT" hidden="1">"c13549"</definedName>
    <definedName name="IQ_MOODYS_SERVICER_QUALITY_DATE_LT" hidden="1">"c13548"</definedName>
    <definedName name="IQ_MOODYS_SERVICER_QUALITY_LT" hidden="1">"c13547"</definedName>
    <definedName name="IQ_MOODYS_SERVICER_QUALITY_TYPE_LT" hidden="1">"c13550"</definedName>
    <definedName name="IQ_MOODYS_SR_SECURED_ACTION_LT" hidden="1">"c13521"</definedName>
    <definedName name="IQ_MOODYS_SR_SECURED_ACTION_ST" hidden="1">"c13553"</definedName>
    <definedName name="IQ_MOODYS_SR_SECURED_DATE_LT" hidden="1">"c13520"</definedName>
    <definedName name="IQ_MOODYS_SR_SECURED_DATE_ST" hidden="1">"c13552"</definedName>
    <definedName name="IQ_MOODYS_SR_SECURED_LT" hidden="1">"c13519"</definedName>
    <definedName name="IQ_MOODYS_SR_SECURED_ST" hidden="1">"c13551"</definedName>
    <definedName name="IQ_MOODYS_SR_SECURED_TYPE_LT" hidden="1">"c13522"</definedName>
    <definedName name="IQ_MOODYS_SR_SECURED_TYPE_ST" hidden="1">"c13554"</definedName>
    <definedName name="IQ_MOODYS_SR_SUB_ACTION_LT" hidden="1">"c13529"</definedName>
    <definedName name="IQ_MOODYS_SR_SUB_ACTION_ST" hidden="1">"c13561"</definedName>
    <definedName name="IQ_MOODYS_SR_SUB_DATE_LT" hidden="1">"c13528"</definedName>
    <definedName name="IQ_MOODYS_SR_SUB_DATE_ST" hidden="1">"c13560"</definedName>
    <definedName name="IQ_MOODYS_SR_SUB_LT" hidden="1">"c13527"</definedName>
    <definedName name="IQ_MOODYS_SR_SUB_ST" hidden="1">"c13559"</definedName>
    <definedName name="IQ_MOODYS_SR_SUB_TYPE_LT" hidden="1">"c13530"</definedName>
    <definedName name="IQ_MOODYS_SR_SUB_TYPE_ST" hidden="1">"c13562"</definedName>
    <definedName name="IQ_MOODYS_SR_UNSECURED_ACTION_LT" hidden="1">"c13525"</definedName>
    <definedName name="IQ_MOODYS_SR_UNSECURED_ACTION_ST" hidden="1">"c13557"</definedName>
    <definedName name="IQ_MOODYS_SR_UNSECURED_DATE_LT" hidden="1">"c13524"</definedName>
    <definedName name="IQ_MOODYS_SR_UNSECURED_DATE_ST" hidden="1">"c13556"</definedName>
    <definedName name="IQ_MOODYS_SR_UNSECURED_LT" hidden="1">"c13523"</definedName>
    <definedName name="IQ_MOODYS_SR_UNSECURED_ST" hidden="1">"c13555"</definedName>
    <definedName name="IQ_MOODYS_SR_UNSECURED_TYPE_LT" hidden="1">"c13526"</definedName>
    <definedName name="IQ_MOODYS_SR_UNSECURED_TYPE_ST" hidden="1">"c13558"</definedName>
    <definedName name="IQ_MOODYS_ST" hidden="1">"c5664"</definedName>
    <definedName name="IQ_MOODYS_SUB_ACTION_LT" hidden="1">"c13533"</definedName>
    <definedName name="IQ_MOODYS_SUB_ACTION_ST" hidden="1">"c13565"</definedName>
    <definedName name="IQ_MOODYS_SUB_DATE_LT" hidden="1">"c13532"</definedName>
    <definedName name="IQ_MOODYS_SUB_DATE_ST" hidden="1">"c13564"</definedName>
    <definedName name="IQ_MOODYS_SUB_LT" hidden="1">"c13531"</definedName>
    <definedName name="IQ_MOODYS_SUB_ST" hidden="1">"c13563"</definedName>
    <definedName name="IQ_MOODYS_SUB_TYPE_LT" hidden="1">"c13534"</definedName>
    <definedName name="IQ_MOODYS_SUB_TYPE_ST" hidden="1">"c13566"</definedName>
    <definedName name="IQ_MOODYS_WATCHLIST_DATE" hidden="1">"c5679"</definedName>
    <definedName name="IQ_MOODYS_WATCHLIST_INDICATOR" hidden="1">"c5681"</definedName>
    <definedName name="IQ_MOODYS_WATCHLIST_REASON" hidden="1">"c5680"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MES_REVISION_DATE_" hidden="1">42380.6333217593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ACT_OR_EST_REUT" hidden="1">"c5623"</definedName>
    <definedName name="IQ_NAV_SHARE_DET_EST_CURRENCY_REUT" hidden="1">"c12538"</definedName>
    <definedName name="IQ_NAV_SHARE_DET_EST_DATE_REUT" hidden="1">"c12297"</definedName>
    <definedName name="IQ_NAV_SHARE_DET_EST_INCL_REUT" hidden="1">"c12421"</definedName>
    <definedName name="IQ_NAV_SHARE_DET_EST_ORIGIN" hidden="1">"c12585"</definedName>
    <definedName name="IQ_NAV_SHARE_DET_EST_ORIGIN_REUT" hidden="1">"c12665"</definedName>
    <definedName name="IQ_NAV_SHARE_DET_EST_ORIGIN_THOM" hidden="1">"c12611"</definedName>
    <definedName name="IQ_NAV_SHARE_DET_EST_REUT" hidden="1">"c12155"</definedName>
    <definedName name="IQ_NAV_SHARE_EST" hidden="1">"c5609"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 hidden="1">"c16011"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REUT" hidden="1">"c12539"</definedName>
    <definedName name="IQ_NET_DEBT_DET_EST_CURRENCY_THOM" hidden="1">"c12491"</definedName>
    <definedName name="IQ_NET_DEBT_DET_EST_DATE" hidden="1">"c12214"</definedName>
    <definedName name="IQ_NET_DEBT_DET_EST_DATE_REUT" hidden="1">"c12298"</definedName>
    <definedName name="IQ_NET_DEBT_DET_EST_DATE_THOM" hidden="1">"c12242"</definedName>
    <definedName name="IQ_NET_DEBT_DET_EST_INCL" hidden="1">"c12351"</definedName>
    <definedName name="IQ_NET_DEBT_DET_EST_INCL_REUT" hidden="1">"c12422"</definedName>
    <definedName name="IQ_NET_DEBT_DET_EST_INCL_THOM" hidden="1">"c12374"</definedName>
    <definedName name="IQ_NET_DEBT_DET_EST_ORIGIN" hidden="1">"c12586"</definedName>
    <definedName name="IQ_NET_DEBT_DET_EST_ORIGIN_REUT" hidden="1">"c12666"</definedName>
    <definedName name="IQ_NET_DEBT_DET_EST_ORIGIN_THOM" hidden="1">"c12612"</definedName>
    <definedName name="IQ_NET_DEBT_DET_EST_REUT" hidden="1">"c12156"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"IQ_NET_INC_GROWTH_1"</definedName>
    <definedName name="IQ_NET_INC_GROWTH_2" hidden="1">"IQ_NET_INC_GROWTH_2"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REUT" hidden="1">"c12540"</definedName>
    <definedName name="IQ_NI_DET_EST_CURRENCY_THOM" hidden="1">"c12492"</definedName>
    <definedName name="IQ_NI_DET_EST_DATE" hidden="1">"c12215"</definedName>
    <definedName name="IQ_NI_DET_EST_DATE_REUT" hidden="1">"c12299"</definedName>
    <definedName name="IQ_NI_DET_EST_DATE_THOM" hidden="1">"c12243"</definedName>
    <definedName name="IQ_NI_DET_EST_INCL" hidden="1">"c12352"</definedName>
    <definedName name="IQ_NI_DET_EST_INCL_REUT" hidden="1">"c12423"</definedName>
    <definedName name="IQ_NI_DET_EST_INCL_THOM" hidden="1">"c12375"</definedName>
    <definedName name="IQ_NI_DET_EST_ORIGIN" hidden="1">"c12587"</definedName>
    <definedName name="IQ_NI_DET_EST_ORIGIN_REUT" hidden="1">"c12667"</definedName>
    <definedName name="IQ_NI_DET_EST_ORIGIN_THOM" hidden="1">"c12613"</definedName>
    <definedName name="IQ_NI_DET_EST_REUT" hidden="1">"c12157"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CURRENCY_REUT" hidden="1">"c12541"</definedName>
    <definedName name="IQ_NI_GW_DET_EST_DATE" hidden="1">"c12216"</definedName>
    <definedName name="IQ_NI_GW_DET_EST_DATE_REUT" hidden="1">"c12300"</definedName>
    <definedName name="IQ_NI_GW_DET_EST_INCL" hidden="1">"c12353"</definedName>
    <definedName name="IQ_NI_GW_DET_EST_INCL_REUT" hidden="1">"c12424"</definedName>
    <definedName name="IQ_NI_GW_DET_EST_ORIGIN_REUT" hidden="1">"c12668"</definedName>
    <definedName name="IQ_NI_GW_DET_EST_REUT" hidden="1">"c12158"</definedName>
    <definedName name="IQ_NI_GW_EST" hidden="1">"c1723"</definedName>
    <definedName name="IQ_NI_GW_EST_REUT" hidden="1">"c5375"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CURRENCY_REUT" hidden="1">"c12542"</definedName>
    <definedName name="IQ_NI_REPORTED_DET_EST_DATE_REUT" hidden="1">"c12301"</definedName>
    <definedName name="IQ_NI_REPORTED_DET_EST_INCL_REUT" hidden="1">"c12425"</definedName>
    <definedName name="IQ_NI_REPORTED_DET_EST_ORIGIN" hidden="1">"c12588"</definedName>
    <definedName name="IQ_NI_REPORTED_DET_EST_ORIGIN_REUT" hidden="1">"c12669"</definedName>
    <definedName name="IQ_NI_REPORTED_DET_EST_REUT" hidden="1">"c12159"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UNUSED" hidden="1">"c7588"</definedName>
    <definedName name="IQ_NONRES_FIXED_INVEST_PRIV_FC_UNUSED" hidden="1">"c7808"</definedName>
    <definedName name="IQ_NONRES_FIXED_INVEST_PRIV_POP_FC_UNUSED" hidden="1">"c8028"</definedName>
    <definedName name="IQ_NONRES_FIXED_INVEST_PRIV_POP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REUT" hidden="1">"c12543"</definedName>
    <definedName name="IQ_OPER_INC_DET_EST_CURRENCY_THOM" hidden="1">"c12494"</definedName>
    <definedName name="IQ_OPER_INC_DET_EST_DATE" hidden="1">"c12217"</definedName>
    <definedName name="IQ_OPER_INC_DET_EST_DATE_REUT" hidden="1">"c12302"</definedName>
    <definedName name="IQ_OPER_INC_DET_EST_DATE_THOM" hidden="1">"c12245"</definedName>
    <definedName name="IQ_OPER_INC_DET_EST_INCL" hidden="1">"c12354"</definedName>
    <definedName name="IQ_OPER_INC_DET_EST_INCL_REUT" hidden="1">"c12426"</definedName>
    <definedName name="IQ_OPER_INC_DET_EST_INCL_THOM" hidden="1">"c12377"</definedName>
    <definedName name="IQ_OPER_INC_DET_EST_ORIGIN" hidden="1">"c12589"</definedName>
    <definedName name="IQ_OPER_INC_DET_EST_ORIGIN_REUT" hidden="1">"c12670"</definedName>
    <definedName name="IQ_OPER_INC_DET_EST_ORIGIN_THOM" hidden="1">"c12615"</definedName>
    <definedName name="IQ_OPER_INC_DET_EST_REUT" hidden="1">"c12160"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REUT" hidden="1">"c3934"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REUT" hidden="1">"c3938"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REUT" hidden="1">"c3939"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REUT" hidden="1">"c3935"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REUT" hidden="1">"c3936"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REUT" hidden="1">"c3937"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REUT" hidden="1">"c3933"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REUT" hidden="1">"c3934"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REUT" hidden="1">"c3964"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DET_EST_CURRENCY_REUT" hidden="1">"c12531"</definedName>
    <definedName name="IQ_PRETAX_GW_INC_DET_EST_DATE_REUT" hidden="1">"c12290"</definedName>
    <definedName name="IQ_PRETAX_GW_INC_DET_EST_INCL_REUT" hidden="1">"c12414"</definedName>
    <definedName name="IQ_PRETAX_GW_INC_DET_EST_ORIGIN_REUT" hidden="1">"c12658"</definedName>
    <definedName name="IQ_PRETAX_GW_INC_DET_EST_REUT" hidden="1">"c12148"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REUT" hidden="1">"c12530"</definedName>
    <definedName name="IQ_PRETAX_INC_DET_EST_CURRENCY_THOM" hidden="1">"c12483"</definedName>
    <definedName name="IQ_PRETAX_INC_DET_EST_DATE" hidden="1">"c12208"</definedName>
    <definedName name="IQ_PRETAX_INC_DET_EST_DATE_REUT" hidden="1">"c12289"</definedName>
    <definedName name="IQ_PRETAX_INC_DET_EST_DATE_THOM" hidden="1">"c12234"</definedName>
    <definedName name="IQ_PRETAX_INC_DET_EST_INCL" hidden="1">"c12345"</definedName>
    <definedName name="IQ_PRETAX_INC_DET_EST_INCL_REUT" hidden="1">"c12413"</definedName>
    <definedName name="IQ_PRETAX_INC_DET_EST_INCL_THOM" hidden="1">"c12366"</definedName>
    <definedName name="IQ_PRETAX_INC_DET_EST_ORIGIN" hidden="1">"c12771"</definedName>
    <definedName name="IQ_PRETAX_INC_DET_EST_ORIGIN_REUT" hidden="1">"c12657"</definedName>
    <definedName name="IQ_PRETAX_INC_DET_EST_ORIGIN_THOM" hidden="1">"c12604"</definedName>
    <definedName name="IQ_PRETAX_INC_DET_EST_REUT" hidden="1">"c12147"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 hidden="1">"c13365"</definedName>
    <definedName name="IQ_PRETAX_REPORT_INC_DET_EST_CURRENCY_REUT" hidden="1">"c12532"</definedName>
    <definedName name="IQ_PRETAX_REPORT_INC_DET_EST_DATE_REUT" hidden="1">"c12291"</definedName>
    <definedName name="IQ_PRETAX_REPORT_INC_DET_EST_INCL_REUT" hidden="1">"c12415"</definedName>
    <definedName name="IQ_PRETAX_REPORT_INC_DET_EST_ORIGIN_REUT" hidden="1">"c12769"</definedName>
    <definedName name="IQ_PRETAX_REPORT_INC_DET_EST_REUT" hidden="1">"c12149"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"IQ_PRICE_OVER_EPS_EST"</definedName>
    <definedName name="IQ_PRICE_OVER_EPS_EST_1" hidden="1">"IQ_PRICE_OVER_EPS_EST_1"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UNUSED" hidden="1">"c7679"</definedName>
    <definedName name="IQ_PRIVATE_CONST_TOTAL_FC_UNUSED" hidden="1">"c7899"</definedName>
    <definedName name="IQ_PRIVATE_CONST_TOTAL_POP_FC_UNUSED" hidden="1">"c8119"</definedName>
    <definedName name="IQ_PRIVATE_CONST_TOTAL_POP_UNUSED" hidden="1">"c7239"</definedName>
    <definedName name="IQ_PRIVATE_CONST_TOTAL_UNUSED" hidden="1">"c7019"</definedName>
    <definedName name="IQ_PRIVATE_CONST_TOTAL_YOY_FC_UNUSED" hidden="1">"c8339"</definedName>
    <definedName name="IQ_PRIVATE_CONST_TOTAL_YOY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UNUSED" hidden="1">"c7655"</definedName>
    <definedName name="IQ_PRIVATE_RES_CONST_REAL_FC_UNUSED" hidden="1">"c7875"</definedName>
    <definedName name="IQ_PRIVATE_RES_CONST_REAL_POP_FC_UNUSED" hidden="1">"c8095"</definedName>
    <definedName name="IQ_PRIVATE_RES_CONST_REAL_POP_UNUSED" hidden="1">"c7215"</definedName>
    <definedName name="IQ_PRIVATE_RES_CONST_REAL_UNUSED" hidden="1">"c6995"</definedName>
    <definedName name="IQ_PRIVATE_RES_CONST_REAL_YOY_FC_UNUSED" hidden="1">"c8315"</definedName>
    <definedName name="IQ_PRIVATE_RES_CONST_REAL_YOY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UNUSED" hidden="1">"c7611"</definedName>
    <definedName name="IQ_PURCHASES_EQUIP_NONRES_SAAR_FC_UNUSED" hidden="1">"c7831"</definedName>
    <definedName name="IQ_PURCHASES_EQUIP_NONRES_SAAR_POP_FC_UNUSED" hidden="1">"c8051"</definedName>
    <definedName name="IQ_PURCHASES_EQUIP_NONRES_SAAR_POP_UNUSED" hidden="1">"c7171"</definedName>
    <definedName name="IQ_PURCHASES_EQUIP_NONRES_SAAR_UNUSED" hidden="1">"c6951"</definedName>
    <definedName name="IQ_PURCHASES_EQUIP_NONRES_SAAR_YOY_FC_UNUSED" hidden="1">"c8271"</definedName>
    <definedName name="IQ_PURCHASES_EQUIP_NONRES_SAAR_YOY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UNUSED" hidden="1">"c7656"</definedName>
    <definedName name="IQ_RES_CONST_REAL_FC_UNUSED" hidden="1">"c7876"</definedName>
    <definedName name="IQ_RES_CONST_REAL_POP_FC_UNUSED" hidden="1">"c8096"</definedName>
    <definedName name="IQ_RES_CONST_REAL_POP_UNUSED" hidden="1">"c7216"</definedName>
    <definedName name="IQ_RES_CONST_REAL_SAAR_APR_FC_UNUSED" hidden="1">"c8537"</definedName>
    <definedName name="IQ_RES_CONST_REAL_SAAR_APR_UNUSED" hidden="1">"c7657"</definedName>
    <definedName name="IQ_RES_CONST_REAL_SAAR_FC_UNUSED" hidden="1">"c7877"</definedName>
    <definedName name="IQ_RES_CONST_REAL_SAAR_POP_FC_UNUSED" hidden="1">"c8097"</definedName>
    <definedName name="IQ_RES_CONST_REAL_SAAR_POP_UNUSED" hidden="1">"c7217"</definedName>
    <definedName name="IQ_RES_CONST_REAL_SAAR_UNUSED" hidden="1">"c6997"</definedName>
    <definedName name="IQ_RES_CONST_REAL_SAAR_YOY_FC_UNUSED" hidden="1">"c8317"</definedName>
    <definedName name="IQ_RES_CONST_REAL_SAAR_YOY_UNUSED" hidden="1">"c7437"</definedName>
    <definedName name="IQ_RES_CONST_REAL_UNUSED" hidden="1">"c6996"</definedName>
    <definedName name="IQ_RES_CONST_REAL_YOY_FC_UNUSED" hidden="1">"c8316"</definedName>
    <definedName name="IQ_RES_CONST_REAL_YOY_UNUSED" hidden="1">"c7436"</definedName>
    <definedName name="IQ_RES_CONST_SAAR_APR_FC_UNUSED" hidden="1">"c8540"</definedName>
    <definedName name="IQ_RES_CONST_SAAR_APR_UNUSED" hidden="1">"c7660"</definedName>
    <definedName name="IQ_RES_CONST_SAAR_FC_UNUSED" hidden="1">"c7880"</definedName>
    <definedName name="IQ_RES_CONST_SAAR_POP_FC_UNUSED" hidden="1">"c8100"</definedName>
    <definedName name="IQ_RES_CONST_SAAR_POP_UNUSED" hidden="1">"c7220"</definedName>
    <definedName name="IQ_RES_CONST_SAAR_UNUSED" hidden="1">"c7000"</definedName>
    <definedName name="IQ_RES_CONST_SAAR_YOY_FC_UNUSED" hidden="1">"c8320"</definedName>
    <definedName name="IQ_RES_CONST_SAAR_YOY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REUT" hidden="1">"c12304"</definedName>
    <definedName name="IQ_RETURN_ASSETS_DET_EST_DATE_THOM" hidden="1">"c12247"</definedName>
    <definedName name="IQ_RETURN_ASSETS_DET_EST_INCL" hidden="1">"c12356"</definedName>
    <definedName name="IQ_RETURN_ASSETS_DET_EST_INCL_REUT" hidden="1">"c12428"</definedName>
    <definedName name="IQ_RETURN_ASSETS_DET_EST_INCL_THOM" hidden="1">"c12379"</definedName>
    <definedName name="IQ_RETURN_ASSETS_DET_EST_ORIGIN" hidden="1">"c12591"</definedName>
    <definedName name="IQ_RETURN_ASSETS_DET_EST_ORIGIN_REUT" hidden="1">"c12672"</definedName>
    <definedName name="IQ_RETURN_ASSETS_DET_EST_ORIGIN_THOM" hidden="1">"c12617"</definedName>
    <definedName name="IQ_RETURN_ASSETS_DET_EST_REUT" hidden="1">"c12162"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REUT" hidden="1">"c12305"</definedName>
    <definedName name="IQ_RETURN_EQUITY_DET_EST_DATE_THOM" hidden="1">"c12248"</definedName>
    <definedName name="IQ_RETURN_EQUITY_DET_EST_INCL" hidden="1">"c12357"</definedName>
    <definedName name="IQ_RETURN_EQUITY_DET_EST_INCL_REUT" hidden="1">"c12429"</definedName>
    <definedName name="IQ_RETURN_EQUITY_DET_EST_INCL_THOM" hidden="1">"c12380"</definedName>
    <definedName name="IQ_RETURN_EQUITY_DET_EST_ORIGIN" hidden="1">"c12592"</definedName>
    <definedName name="IQ_RETURN_EQUITY_DET_EST_ORIGIN_REUT" hidden="1">"c12673"</definedName>
    <definedName name="IQ_RETURN_EQUITY_DET_EST_ORIGIN_THOM" hidden="1">"c12618"</definedName>
    <definedName name="IQ_RETURN_EQUITY_DET_EST_REUT" hidden="1">"c12163"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REUT" hidden="1">"c12544"</definedName>
    <definedName name="IQ_REV_DET_EST_CURRENCY_THOM" hidden="1">"c12495"</definedName>
    <definedName name="IQ_REV_DET_EST_DATE" hidden="1">"c12218"</definedName>
    <definedName name="IQ_REV_DET_EST_DATE_REUT" hidden="1">"c12303"</definedName>
    <definedName name="IQ_REV_DET_EST_DATE_THOM" hidden="1">"c12246"</definedName>
    <definedName name="IQ_REV_DET_EST_INCL" hidden="1">"c12355"</definedName>
    <definedName name="IQ_REV_DET_EST_INCL_REUT" hidden="1">"c12427"</definedName>
    <definedName name="IQ_REV_DET_EST_INCL_THOM" hidden="1">"c12378"</definedName>
    <definedName name="IQ_REV_DET_EST_ORIGIN" hidden="1">"c12590"</definedName>
    <definedName name="IQ_REV_DET_EST_ORIGIN_REUT" hidden="1">"c12671"</definedName>
    <definedName name="IQ_REV_DET_EST_ORIGIN_THOM" hidden="1">"c12616"</definedName>
    <definedName name="IQ_REV_DET_EST_REUT" hidden="1">"c12161"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REUT" hidden="1">"c5461"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1" hidden="1">"IQ_REVENUE_EST_1"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ROWTH_1" hidden="1">"IQ_REVENUE_GROWTH_1"</definedName>
    <definedName name="IQ_REVENUE_GROWTH_2" hidden="1">"IQ_REVENUE_GROWTH_2"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39996.5952546296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REUT" hidden="1">"c12307"</definedName>
    <definedName name="IQ_STAND_REC_DET_EST_DATE_THOM" hidden="1">"c12250"</definedName>
    <definedName name="IQ_STAND_REC_DET_EST_ORIGIN" hidden="1">"c12594"</definedName>
    <definedName name="IQ_STAND_REC_DET_EST_ORIGIN_REUT" hidden="1">"c12675"</definedName>
    <definedName name="IQ_STAND_REC_DET_EST_ORIGIN_THOM" hidden="1">"c12620"</definedName>
    <definedName name="IQ_STAND_REC_DET_EST_REUT" hidden="1">"c12165"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REUT" hidden="1">"c12306"</definedName>
    <definedName name="IQ_STAND_REC_NUM_DET_EST_DATE_THOM" hidden="1">"c12249"</definedName>
    <definedName name="IQ_STAND_REC_NUM_DET_EST_ORIGIN" hidden="1">"c12593"</definedName>
    <definedName name="IQ_STAND_REC_NUM_DET_EST_ORIGIN_REUT" hidden="1">"c12674"</definedName>
    <definedName name="IQ_STAND_REC_NUM_DET_EST_ORIGIN_THOM" hidden="1">"c12619"</definedName>
    <definedName name="IQ_STAND_REC_NUM_DET_EST_REUT" hidden="1">"c12164"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REUT" hidden="1">"c12547"</definedName>
    <definedName name="IQ_TARGET_PRICE_DET_EST_CURRENCY_THOM" hidden="1">"c12498"</definedName>
    <definedName name="IQ_TARGET_PRICE_DET_EST_DATE" hidden="1">"c12223"</definedName>
    <definedName name="IQ_TARGET_PRICE_DET_EST_DATE_REUT" hidden="1">"c12308"</definedName>
    <definedName name="IQ_TARGET_PRICE_DET_EST_DATE_THOM" hidden="1">"c12251"</definedName>
    <definedName name="IQ_TARGET_PRICE_DET_EST_INCL" hidden="1">"c12358"</definedName>
    <definedName name="IQ_TARGET_PRICE_DET_EST_INCL_REUT" hidden="1">"c12430"</definedName>
    <definedName name="IQ_TARGET_PRICE_DET_EST_INCL_THOM" hidden="1">"c12381"</definedName>
    <definedName name="IQ_TARGET_PRICE_DET_EST_ORIGIN" hidden="1">"c12729"</definedName>
    <definedName name="IQ_TARGET_PRICE_DET_EST_ORIGIN_REUT" hidden="1">"c12731"</definedName>
    <definedName name="IQ_TARGET_PRICE_DET_EST_ORIGIN_THOM" hidden="1">"c12621"</definedName>
    <definedName name="IQ_TARGET_PRICE_DET_EST_REUT" hidden="1">"c12166"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ColHidden" hidden="1">FALSE</definedName>
    <definedName name="IsLTMColHidden" hidden="1">FALSE</definedName>
    <definedName name="iy" hidden="1">#REF!</definedName>
    <definedName name="iyuko" hidden="1">{"'Северо-Никольское '!$A$6:$J$40"}</definedName>
    <definedName name="jad" hidden="1">{#N/A,"30% Success",TRUE,"Sales Forecast";#N/A,#N/A,TRUE,"Sheet2"}</definedName>
    <definedName name="jdfjewf" hidden="1">{#N/A,#N/A,FALSE,"지침";#N/A,#N/A,FALSE,"환경분석";#N/A,#N/A,FALSE,"Sheet16"}</definedName>
    <definedName name="jdjytdj" hidden="1">{"det (May)",#N/A,FALSE,"June";"sum (MAY YTD)",#N/A,FALSE,"June YTD"}</definedName>
    <definedName name="jgjgh" hidden="1">{#N/A,#N/A,TRUE,"Фин.рез"}</definedName>
    <definedName name="jgjgh_1" hidden="1">{#N/A,#N/A,TRUE,"Фин.рез"}</definedName>
    <definedName name="jgjhg" hidden="1">#REF!</definedName>
    <definedName name="jhgjhg" hidden="1">{"det (May)",#N/A,FALSE,"June";"sum (MAY YTD)",#N/A,FALSE,"June YTD"}</definedName>
    <definedName name="jhh" hidden="1">{#N/A,#N/A,TRUE,"План продаж";#N/A,#N/A,TRUE,"Склад гот.прод";#N/A,#N/A,TRUE,"План отгрузки"}</definedName>
    <definedName name="jhkhjk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iop" hidden="1">{0,#N/A,FALSE,0;0,#N/A,FALSE,0;0,#N/A,FALSE,0;0,#N/A,FALSE,0;0,#N/A,FALSE,0;0,#N/A,FALSE,0;0,#N/A,FALSE,0;0,#N/A,FALSE,0}</definedName>
    <definedName name="jkgjkgh" hidden="1">{"det (May)",#N/A,FALSE,"June";"sum (MAY YTD)",#N/A,FALSE,"June YTD"}</definedName>
    <definedName name="jkljlk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ljl" hidden="1">{"det (May)",#N/A,FALSE,"June";"sum (MAY YTD)",#N/A,FALSE,"June YTD"}</definedName>
    <definedName name="jljljljl" hidden="1">{"det (May)",#N/A,FALSE,"June";"sum (MAY YTD)",#N/A,FALSE,"June YTD"}</definedName>
    <definedName name="jljlx" hidden="1">{"det (May)",#N/A,FALSE,"June";"sum (MAY YTD)",#N/A,FALSE,"June YTD"}</definedName>
    <definedName name="jmy" hidden="1">#N/A</definedName>
    <definedName name="joaquim" hidden="1">{#N/A,"100% Success",TRUE,"Sales Forecast";#N/A,#N/A,TRUE,"Sheet2"}</definedName>
    <definedName name="k" hidden="1">{"det (May)",#N/A,FALSE,"June";"sum (MAY YTD)",#N/A,FALSE,"June YTD"}</definedName>
    <definedName name="k764u6jfgth" hidden="1">{#N/A,#N/A,TRUE,"Фин.рез"}</definedName>
    <definedName name="k764u6jfgth_1" hidden="1">{#N/A,#N/A,TRUE,"Фин.рез"}</definedName>
    <definedName name="kBNT" hidden="1">{"'РП (2)'!$A$5:$S$150"}</definedName>
    <definedName name="kegs" hidden="1">{"det (May)",#N/A,FALSE,"June";"sum (MAY YTD)",#N/A,FALSE,"June YTD"}</definedName>
    <definedName name="kegsx" hidden="1">{"det (May)",#N/A,FALSE,"June";"sum (MAY YTD)",#N/A,FALSE,"June YTD"}</definedName>
    <definedName name="khj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KJ" hidden="1">{#N/A,#N/A,FALSE,"지침";#N/A,#N/A,FALSE,"환경분석";#N/A,#N/A,FALSE,"Sheet16"}</definedName>
    <definedName name="kjhfg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kkkk" hidden="1">{"'Северо-Никольское '!$A$6:$J$40"}</definedName>
    <definedName name="kljlklj" hidden="1">{"det (May)",#N/A,FALSE,"June";"sum (MAY YTD)",#N/A,FALSE,"June YTD"}</definedName>
    <definedName name="krd" hidden="1">{"'Северо-Никольское '!$A$6:$J$40"}</definedName>
    <definedName name="ktzuk" hidden="1">{#N/A,#N/A,FALSE,"Aging Summary";#N/A,#N/A,FALSE,"Ratio Analysis";#N/A,#N/A,FALSE,"Test 120 Day Accts";#N/A,#N/A,FALSE,"Tickmarks"}</definedName>
    <definedName name="kueuytmsw" hidden="1">{#N/A,#N/A,TRUE,"Фин.рез"}</definedName>
    <definedName name="kueuytmsw_1" hidden="1">{#N/A,#N/A,TRUE,"Фин.рез"}</definedName>
    <definedName name="kx" hidden="1">{"det (May)",#N/A,FALSE,"June";"sum (MAY YTD)",#N/A,FALSE,"June YTD"}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aura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o" hidden="1">{"'Северо-Никольское '!$A$6:$J$40"}</definedName>
    <definedName name="LEE" hidden="1">{"det (May)",#N/A,FALSE,"June";"sum (MAY YTD)",#N/A,FALSE,"June YTD"}</definedName>
    <definedName name="limcount" hidden="1">1</definedName>
    <definedName name="ListOffset" hidden="1">1</definedName>
    <definedName name="lj" hidden="1">#REF!</definedName>
    <definedName name="ljl" hidden="1">{"'Северо-Никольское '!$A$6:$J$40"}</definedName>
    <definedName name="lkj" hidden="1">{#N/A,#N/A,FALSE,"Aging Summary";#N/A,#N/A,FALSE,"Ratio Analysis";#N/A,#N/A,FALSE,"Test 120 Day Accts";#N/A,#N/A,FALSE,"Tickmarks"}</definedName>
    <definedName name="lkjhg" hidden="1">{"'Северо-Никольское '!$A$6:$J$40"}</definedName>
    <definedName name="lll" hidden="1">{"'Северо-Никольское '!$A$6:$J$40"}</definedName>
    <definedName name="lwl" hidden="1">{"'Северо-Никольское '!$A$6:$J$40"}</definedName>
    <definedName name="lye" hidden="1">{"'Северо-Никольское '!$A$6:$J$40"}</definedName>
    <definedName name="market" hidden="1">{#N/A,"70% Success",FALSE,"Sales Forecast";#N/A,#N/A,FALSE,"Sheet2"}</definedName>
    <definedName name="MerrillPrintIt" hidden="1">#N/A</definedName>
    <definedName name="MEWarning" hidden="1">1</definedName>
    <definedName name="mjbmj" hidden="1">#N/A</definedName>
    <definedName name="mktg" hidden="1">{#N/A,#N/A,FALSE,"지침";#N/A,#N/A,FALSE,"환경분석";#N/A,#N/A,FALSE,"Sheet16"}</definedName>
    <definedName name="mlq" hidden="1">{"'Северо-Никольское '!$A$6:$J$40"}</definedName>
    <definedName name="mmmmm" hidden="1">{"'Северо-Никольское '!$A$6:$J$40"}</definedName>
    <definedName name="mnnb" hidden="1">{"'Северо-Никольское '!$A$6:$J$40"}</definedName>
    <definedName name="name2" hidden="1">{#N/A,#N/A,FALSE,"Info";#N/A,#N/A,FALSE,"Op I";#N/A,#N/A,FALSE,"Op O";#N/A,#N/A,FALSE,"LBO I";#N/A,#N/A,FALSE,"LBO O";#N/A,#N/A,FALSE,"Taxes"}</definedName>
    <definedName name="name3" hidden="1">{"Summary",#N/A,FALSE,"Covenants";"Detailed summary",#N/A,FALSE,"Covenants"}</definedName>
    <definedName name="newname" hidden="1">{#N/A,#N/A,FALSE,"Info";#N/A,#N/A,FALSE,"Op I";#N/A,#N/A,FALSE,"Op O";#N/A,#N/A,FALSE,"LBO I";#N/A,#N/A,FALSE,"LBO O";#N/A,#N/A,FALSE,"Taxes"}</definedName>
    <definedName name="NewRange" hidden="1">#N/A</definedName>
    <definedName name="NewSheet" hidden="1">{"Table A,pg 1",#N/A,FALSE,"Table A-Prov GUR";"Table A,pg 2",#N/A,FALSE,"Table A-Prov GUR"}</definedName>
    <definedName name="nhf" hidden="1">{"'Северо-Никольское '!$A$6:$J$40"}</definedName>
    <definedName name="NN" hidden="1">{"glcbs",#N/A,FALSE,"GLCBS";"glccsbs",#N/A,FALSE,"GLCCSBS";"glcis",#N/A,FALSE,"GLCIS";"glccsis",#N/A,FALSE,"GLCCSIS";"glcrat1",#N/A,FALSE,"GLC-ratios1"}</definedName>
    <definedName name="noName" hidden="1">{"Table A,pg 1",#N/A,FALSE,"Table A-Prov GUR";"Table A,pg 2",#N/A,FALSE,"Table A-Prov GUR"}</definedName>
    <definedName name="ns" hidden="1">#REF!</definedName>
    <definedName name="o1x" hidden="1">{"det (May)",#N/A,FALSE,"June";"sum (MAY YTD)",#N/A,FALSE,"June YTD"}</definedName>
    <definedName name="oiuyt" hidden="1">{"'Северо-Никольское '!$A$6:$J$40"}</definedName>
    <definedName name="okbari" hidden="1">{"det (May)",#N/A,FALSE,"June";"sum (MAY YTD)",#N/A,FALSE,"June YTD"}</definedName>
    <definedName name="okbaria" hidden="1">{"det (May)",#N/A,FALSE,"June";"sum (MAY YTD)",#N/A,FALSE,"June YTD"}</definedName>
    <definedName name="okbaric" hidden="1">{"det (May)",#N/A,FALSE,"June";"sum (MAY YTD)",#N/A,FALSE,"June YTD"}</definedName>
    <definedName name="opo" hidden="1">{#N/A,#N/A,FALSE,"지침";#N/A,#N/A,FALSE,"환경분석";#N/A,#N/A,FALSE,"Sheet16"}</definedName>
    <definedName name="oq." hidden="1">{"'Северо-Никольское '!$A$6:$J$40"}</definedName>
    <definedName name="ou" hidden="1">#REF!</definedName>
    <definedName name="ox" hidden="1">{"det (May)",#N/A,FALSE,"June";"sum (MAY YTD)",#N/A,FALSE,"June YTD"}</definedName>
    <definedName name="Params_VALUE" hidden="1">#REF!</definedName>
    <definedName name="pedro" hidden="1">{#N/A,"30% Success",TRUE,"Sales Forecast";#N/A,#N/A,TRUE,"Sheet2"}</definedName>
    <definedName name="POA" hidden="1">{"det (May)",#N/A,FALSE,"June";"sum (MAY YTD)",#N/A,FALSE,"June YTD"}</definedName>
    <definedName name="port" hidden="1">{#N/A,#N/A,FALSE,"DCF";#N/A,#N/A,FALSE,"WACC";#N/A,#N/A,FALSE,"Sales_EBIT";#N/A,#N/A,FALSE,"Capex_Depreciation";#N/A,#N/A,FALSE,"WC";#N/A,#N/A,FALSE,"Interest";#N/A,#N/A,FALSE,"Assumptions"}</definedName>
    <definedName name="PRO" hidden="1">{"det (May)",#N/A,FALSE,"June";"sum (MAY YTD)",#N/A,FALSE,"June YTD"}</definedName>
    <definedName name="ptvkz" hidden="1">{"'Sheet1'!$A$1:$G$85"}</definedName>
    <definedName name="PUB_FileID" hidden="1">"L10003363.xls"</definedName>
    <definedName name="PUB_UserID" hidden="1">"MAYERX"</definedName>
    <definedName name="qgq" hidden="1">#N/A</definedName>
    <definedName name="qqqqqq" hidden="1">#REF!</definedName>
    <definedName name="qqqqqqq" hidden="1">#REF!</definedName>
    <definedName name="Query1_DDD" hidden="1">#REF!</definedName>
    <definedName name="Query1_FULLNAME" hidden="1">#REF!</definedName>
    <definedName name="Query1_STRUCTPODR" hidden="1">#REF!</definedName>
    <definedName name="Query1_WENAME" hidden="1">#REF!</definedName>
    <definedName name="Query2_DATA2" hidden="1">#REF!</definedName>
    <definedName name="Query2_DIRECTOR" hidden="1">#REF!</definedName>
    <definedName name="Query2_FULLNAME1" hidden="1">#REF!</definedName>
    <definedName name="Query2_GLBUH" hidden="1">#REF!</definedName>
    <definedName name="Query2_INT2" hidden="1">#REF!</definedName>
    <definedName name="Query2_ITOG" hidden="1">#REF!</definedName>
    <definedName name="Query2_ORGDIRECTOR" hidden="1">#REF!</definedName>
    <definedName name="Query2_ORGGLBUH" hidden="1">#REF!</definedName>
    <definedName name="Query2_ORGNAME" hidden="1">#REF!</definedName>
    <definedName name="Query2_R1" hidden="1">#REF!</definedName>
    <definedName name="Query2_R2" hidden="1">#REF!</definedName>
    <definedName name="Query2_R3" hidden="1">#REF!</definedName>
    <definedName name="Query2_R4" hidden="1">#REF!</definedName>
    <definedName name="Query2_R5" hidden="1">#REF!</definedName>
    <definedName name="Query2_R6" hidden="1">#REF!</definedName>
    <definedName name="Query2_R7" hidden="1">#REF!</definedName>
    <definedName name="Query2_SHAPKA" hidden="1">#REF!</definedName>
    <definedName name="Query2_SHAPKA1" hidden="1">#REF!</definedName>
    <definedName name="Query2_SHAPKA2" hidden="1">#REF!</definedName>
    <definedName name="Query2_SHAPKA3" hidden="1">#REF!</definedName>
    <definedName name="Query2_SHAPKA4" hidden="1">#REF!</definedName>
    <definedName name="Query2_V1" hidden="1">#REF!</definedName>
    <definedName name="Query2_V2" hidden="1">#REF!</definedName>
    <definedName name="Query2_V3" hidden="1">#REF!</definedName>
    <definedName name="Query2_V4" hidden="1">#REF!</definedName>
    <definedName name="Query2_V5" hidden="1">#REF!</definedName>
    <definedName name="Query2_V6" hidden="1">#REF!</definedName>
    <definedName name="Query2_V7" hidden="1">#REF!</definedName>
    <definedName name="Query2_WENAME" hidden="1">#REF!</definedName>
    <definedName name="Query3_DAT" hidden="1">#REF!</definedName>
    <definedName name="Query3_DATE" hidden="1">#REF!</definedName>
    <definedName name="Query3_DOLG" hidden="1">#REF!</definedName>
    <definedName name="Query3_FIO" hidden="1">#REF!</definedName>
    <definedName name="Query3_FULLNAME" hidden="1">#REF!</definedName>
    <definedName name="Query3_PODPIS1" hidden="1">#REF!</definedName>
    <definedName name="Query3_PODPIS1_FIO" hidden="1">#REF!</definedName>
    <definedName name="Query3_R1" hidden="1">#REF!</definedName>
    <definedName name="Query3_R2" hidden="1">#REF!</definedName>
    <definedName name="Query3_R3" hidden="1">#REF!</definedName>
    <definedName name="Query3_R4" hidden="1">#REF!</definedName>
    <definedName name="Query3_R5" hidden="1">#REF!</definedName>
    <definedName name="Query3_R6" hidden="1">#REF!</definedName>
    <definedName name="Query3_R7" hidden="1">#REF!</definedName>
    <definedName name="Query3_TEL" hidden="1">#REF!</definedName>
    <definedName name="Query3_TITLE" hidden="1">#REF!</definedName>
    <definedName name="Query3_TITLE5" hidden="1">#REF!</definedName>
    <definedName name="Query3_USERNAME" hidden="1">#REF!</definedName>
    <definedName name="Query3_V1" hidden="1">#REF!</definedName>
    <definedName name="Query3_V2" hidden="1">#REF!</definedName>
    <definedName name="Query3_V3" hidden="1">#REF!</definedName>
    <definedName name="Query3_V4" hidden="1">#REF!</definedName>
    <definedName name="Query3_V5" hidden="1">#REF!</definedName>
    <definedName name="Query3_V6" hidden="1">#REF!</definedName>
    <definedName name="Query3_V7" hidden="1">#REF!</definedName>
    <definedName name="Query4_DAT1" hidden="1">#REF!</definedName>
    <definedName name="Query4_DAT2" hidden="1">#REF!</definedName>
    <definedName name="Query4_DOLG" hidden="1">#REF!</definedName>
    <definedName name="Query4_FIO" hidden="1">#REF!</definedName>
    <definedName name="Query4_KOD" hidden="1">#REF!</definedName>
    <definedName name="Query4_LEV" hidden="1">#REF!</definedName>
    <definedName name="Query4_NAME" hidden="1">#REF!</definedName>
    <definedName name="Query5_DOLG" hidden="1">#REF!</definedName>
    <definedName name="Query5_FIO" hidden="1">#REF!</definedName>
    <definedName name="Query6_COLUMN1" hidden="1">#REF!</definedName>
    <definedName name="Query7_DAT" hidden="1">#REF!</definedName>
    <definedName name="Query8_DAT_NOM" hidden="1">#REF!</definedName>
    <definedName name="rdyaerhysdfh" hidden="1">{#N/A,#N/A,TRUE,"Фин.рез"}</definedName>
    <definedName name="rdyaerhysdfh_1" hidden="1">{#N/A,#N/A,TRUE,"Фин.рез"}</definedName>
    <definedName name="RedefinePrintTableRange" hidden="1">#N/A</definedName>
    <definedName name="rere" hidden="1">{"'Sheet1'!$A$1:$G$85"}</definedName>
    <definedName name="rfiuogft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ieifr" hidden="1">{"det (May)",#N/A,FALSE,"June";"sum (MAY YTD)",#N/A,FALSE,"June YTD"}</definedName>
    <definedName name="rieis" hidden="1">{"det (May)",#N/A,FALSE,"June";"sum (MAY YTD)",#N/A,FALSE,"June YTD"}</definedName>
    <definedName name="roic" hidden="1">{#N/A,#N/A,FALSE,"model"}</definedName>
    <definedName name="rrrrr" hidden="1">{"NWN_Q1810",#N/A,FALSE,"Q1810_1.V";"NWN_Q1412",#N/A,FALSE,"Q1412_1"}</definedName>
    <definedName name="rstyud" hidden="1">{"assets",#N/A,FALSE,"historicBS";"liab",#N/A,FALSE,"historicBS";"is",#N/A,FALSE,"historicIS";"ratios",#N/A,FALSE,"ratios"}</definedName>
    <definedName name="rt" hidden="1">#REF!</definedName>
    <definedName name="rth56uh56ju" hidden="1">{"glc1",#N/A,FALSE,"GLC";"glc2",#N/A,FALSE,"GLC";"glc3",#N/A,FALSE,"GLC";"glc4",#N/A,FALSE,"GLC";"glc5",#N/A,FALSE,"GLC"}</definedName>
    <definedName name="rthrfth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thrghrt" hidden="1">{"det (May)",#N/A,FALSE,"June";"sum (MAY YTD)",#N/A,FALSE,"June YTD"}</definedName>
    <definedName name="rtjtyjn" hidden="1">{#N/A,#N/A,TRUE,"Фин.рез"}</definedName>
    <definedName name="rtjtyjn_1" hidden="1">{#N/A,#N/A,TRUE,"Фин.рез"}</definedName>
    <definedName name="rtrtnhtrhrr" hidden="1">#REF!</definedName>
    <definedName name="rtujhde45" hidden="1">{#N/A,#N/A,TRUE,"Фин.рез"}</definedName>
    <definedName name="rtujhde45_1" hidden="1">{#N/A,#N/A,TRUE,"Фин.рез"}</definedName>
    <definedName name="rty" hidden="1">{#N/A,#N/A,FALSE,"Aging Summary";#N/A,#N/A,FALSE,"Ratio Analysis";#N/A,#N/A,FALSE,"Test 120 Day Accts";#N/A,#N/A,FALSE,"Tickmarks"}</definedName>
    <definedName name="RV" hidden="1">{"NWN_Q1810",#N/A,FALSE,"Q1810_1.V";"NWN_Q1412",#N/A,FALSE,"Q1412_1"}</definedName>
    <definedName name="rvv" hidden="1">{"NWN_Q1810",#N/A,FALSE,"Q1810_1.V";"NWN_Q1412",#N/A,FALSE,"Q1412_1"}</definedName>
    <definedName name="rwn" hidden="1">{"glc1",#N/A,FALSE,"GLC";"glc2",#N/A,FALSE,"GLC";"glc3",#N/A,FALSE,"GLC";"glc4",#N/A,FALSE,"GLC";"glc5",#N/A,FALSE,"GLC"}</definedName>
    <definedName name="Rwvu.CapersView." hidden="1">#REF!</definedName>
    <definedName name="Rwvu.Japan_Capers_Ed_Pub." hidden="1">#REF!</definedName>
    <definedName name="Rwvu.KJP_CC." hidden="1">#REF!</definedName>
    <definedName name="r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xi" hidden="1">{"det (May)",#N/A,FALSE,"June";"sum (MAY YTD)",#N/A,FALSE,"June YTD"}</definedName>
    <definedName name="SAPBEXhrIndnt" hidden="1">"Wide"</definedName>
    <definedName name="SAPBEXrevision" hidden="1">15</definedName>
    <definedName name="SAPBEXsysID" hidden="1">"SI1"</definedName>
    <definedName name="SAPBEXwbID" hidden="1">"3ZT8FKTL53ZUBDMEL2VPAO8QR"</definedName>
    <definedName name="SAPFuncF4" localSheetId="1" hidden="1">Main.SAPF4Help()</definedName>
    <definedName name="SAPFuncF4" localSheetId="3" hidden="1">Main.SAPF4Help()</definedName>
    <definedName name="SAPFuncF4" localSheetId="13" hidden="1">Main.SAPF4Help()</definedName>
    <definedName name="SAPFuncF4" hidden="1">Main.SAPF4Help()</definedName>
    <definedName name="SAPFuncF4Help" localSheetId="1" hidden="1">Main.SAPF4Help()</definedName>
    <definedName name="SAPFuncF4Help" localSheetId="3" hidden="1">Main.SAPF4Help()</definedName>
    <definedName name="SAPFuncF4Help" localSheetId="13" hidden="1">Main.SAPF4Help()</definedName>
    <definedName name="SAPFuncF4Help" hidden="1">Main.SAPF4Help()</definedName>
    <definedName name="SAPsysID" hidden="1">"708C5W7SBKP804JT78WJ0JNKI"</definedName>
    <definedName name="SAPwbID" hidden="1">"ARS"</definedName>
    <definedName name="savings" hidden="1">{#N/A,#N/A,FALSE,"지침";#N/A,#N/A,FALSE,"환경분석";#N/A,#N/A,FALSE,"Sheet16"}</definedName>
    <definedName name="Scaba" hidden="1">{#N/A,#N/A,FALSE,"지침";#N/A,#N/A,FALSE,"환경분석";#N/A,#N/A,FALSE,"Sheet16"}</definedName>
    <definedName name="sdfh" hidden="1">{"'Sheet1'!$A$1:$G$85"}</definedName>
    <definedName name="sdfhdfxh" hidden="1">{#N/A,#N/A,TRUE,"Фин.рез"}</definedName>
    <definedName name="sdfhdfxh_1" hidden="1">{#N/A,#N/A,TRUE,"Фин.рез"}</definedName>
    <definedName name="sdfsd" hidden="1">{"Table A,pg 1",#N/A,FALSE,"Table A-Prov GUR";"Table A,pg 2",#N/A,FALSE,"Table A-Prov GUR"}</definedName>
    <definedName name="sdfsdf" hidden="1">#REF!</definedName>
    <definedName name="sdfsg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dg" hidden="1">{#N/A,#N/A,FALSE,"지침";#N/A,#N/A,FALSE,"환경분석";#N/A,#N/A,FALSE,"Sheet16"}</definedName>
    <definedName name="sdk" hidden="1">{"'Северо-Никольское '!$A$6:$J$40"}</definedName>
    <definedName name="sds" hidden="1">#N/A</definedName>
    <definedName name="sdsss" hidden="1">#REF!</definedName>
    <definedName name="sencount" hidden="1">1</definedName>
    <definedName name="sfghd" hidden="1">{"det (May)",#N/A,FALSE,"June";"sum (MAY YTD)",#N/A,FALSE,"June YTD"}</definedName>
    <definedName name="sfghdf" hidden="1">{#N/A,#N/A,TRUE,"Фин.рез"}</definedName>
    <definedName name="sfghdf_1" hidden="1">{#N/A,#N/A,TRUE,"Фин.рез"}</definedName>
    <definedName name="sfjgrwtjwr" hidden="1">{#N/A,#N/A,TRUE,"Фин.рез"}</definedName>
    <definedName name="sfjgrwtjwr_1" hidden="1">{#N/A,#N/A,TRUE,"Фин.рез"}</definedName>
    <definedName name="sfjgrwtjwtr" hidden="1">{#N/A,#N/A,TRUE,"Фин.рез"}</definedName>
    <definedName name="sfjgrwtjwtr_1" hidden="1">{#N/A,#N/A,TRUE,"Фин.рез"}</definedName>
    <definedName name="sfjgrwtw" hidden="1">{#N/A,#N/A,TRUE,"Фин.рез"}</definedName>
    <definedName name="sfjgrwtw_1" hidden="1">{#N/A,#N/A,TRUE,"Фин.рез"}</definedName>
    <definedName name="sgdgs" hidden="1">#REF!</definedName>
    <definedName name="sgsd" hidden="1">#REF!</definedName>
    <definedName name="Sheet5bvhjvgkghk" hidden="1">{"det (May)",#N/A,FALSE,"June";"sum (MAY YTD)",#N/A,FALSE,"June YTD"}</definedName>
    <definedName name="shshryhasyhj" hidden="1">#N/A</definedName>
    <definedName name="shss" hidden="1">#N/A</definedName>
    <definedName name="sici" hidden="1">{"det (May)",#N/A,FALSE,"June";"sum (MAY YTD)",#N/A,FALSE,"June YTD"}</definedName>
    <definedName name="sjjsrtjwret" hidden="1">{#N/A,#N/A,TRUE,"Фин.рез"}</definedName>
    <definedName name="sjjsrtjwret_1" hidden="1">{#N/A,#N/A,TRUE,"Фин.рез"}</definedName>
    <definedName name="sjtrdsjyt" hidden="1">{#N/A,#N/A,TRUE,"Фин.рез"}</definedName>
    <definedName name="sjtrdsjyt_1" hidden="1">{#N/A,#N/A,TRUE,"Фин.рез"}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lov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o" hidden="1">{#N/A,#N/A,FALSE,"지침";#N/A,#N/A,FALSE,"환경분석";#N/A,#N/A,FALSE,"Sheet16"}</definedName>
    <definedName name="Soft" hidden="1">{"det (May)",#N/A,FALSE,"June";"sum (MAY YTD)",#N/A,FALSE,"June YTD"}</definedName>
    <definedName name="soft2" hidden="1">#REF!</definedName>
    <definedName name="softx" hidden="1">{"det (May)",#N/A,FALSE,"June";"sum (MAY YTD)",#N/A,FALSE,"June YTD"}</definedName>
    <definedName name="solver_adj" hidden="1">#REF!</definedName>
    <definedName name="solver_cvg" hidden="1">0.0001</definedName>
    <definedName name="solver_drv" hidden="1">1</definedName>
    <definedName name="solver_est" hidden="1">1</definedName>
    <definedName name="solver_itr" hidden="1">100</definedName>
    <definedName name="solver_lhs1" hidden="1">#REF!</definedName>
    <definedName name="solver_lhs2" hidden="1">#REF!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2</definedName>
    <definedName name="solver_rel2" hidden="1">1</definedName>
    <definedName name="solver_rhs1" hidden="1">#REF!/#REF!</definedName>
    <definedName name="solver_rhs2" hidden="1">240000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lver11" hidden="1">#REF!</definedName>
    <definedName name="srthrhrt" hidden="1">{"det (May)",#N/A,FALSE,"June";"sum (MAY YTD)",#N/A,FALSE,"June YTD"}</definedName>
    <definedName name="srthtrhjytj" hidden="1">{"det (May)",#N/A,FALSE,"June";"sum (MAY YTD)",#N/A,FALSE,"June YTD"}</definedName>
    <definedName name="srtjnmt" hidden="1">{#N/A,#N/A,TRUE,"Фин.рез"}</definedName>
    <definedName name="srtjnmt_1" hidden="1">{#N/A,#N/A,TRUE,"Фин.рез"}</definedName>
    <definedName name="srtjrswj" hidden="1">{#N/A,#N/A,TRUE,"Фин.рез"}</definedName>
    <definedName name="srtjrswj_1" hidden="1">{#N/A,#N/A,TRUE,"Фин.рез"}</definedName>
    <definedName name="srtjsrd" hidden="1">{#N/A,#N/A,TRUE,"Фин.рез"}</definedName>
    <definedName name="srtjsrd_1" hidden="1">{#N/A,#N/A,TRUE,"Фин.рез"}</definedName>
    <definedName name="srtjstjytj" hidden="1">{"det (May)",#N/A,FALSE,"June";"sum (MAY YTD)",#N/A,FALSE,"June YTD"}</definedName>
    <definedName name="srtjtyjtyj" hidden="1">{"det (May)",#N/A,FALSE,"June";"sum (MAY YTD)",#N/A,FALSE,"June YTD"}</definedName>
    <definedName name="srtjwrtj" hidden="1">{#N/A,#N/A,TRUE,"Фин.рез"}</definedName>
    <definedName name="srtjwrtj_1" hidden="1">{#N/A,#N/A,TRUE,"Фин.рез"}</definedName>
    <definedName name="srtyjtyjty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sy" hidden="1">#N/A</definedName>
    <definedName name="st" hidden="1">#REF!</definedName>
    <definedName name="stella" hidden="1">{"det (May)",#N/A,FALSE,"June";"sum (MAY YTD)",#N/A,FALSE,"June YTD"}</definedName>
    <definedName name="stellax" hidden="1">{"det (May)",#N/A,FALSE,"June";"sum (MAY YTD)",#N/A,FALSE,"June YTD"}</definedName>
    <definedName name="sthstghr" hidden="1">{"det (May)",#N/A,FALSE,"June";"sum (MAY YTD)",#N/A,FALSE,"June YTD"}</definedName>
    <definedName name="str" hidden="1">#REF!</definedName>
    <definedName name="summary2" hidden="1">{#N/A,#N/A,FALSE,"Aging Summary";#N/A,#N/A,FALSE,"Ratio Analysis";#N/A,#N/A,FALSE,"Test 120 Day Accts";#N/A,#N/A,FALSE,"Tickmarks"}</definedName>
    <definedName name="Swvu.CapersView." hidden="1">#REF!</definedName>
    <definedName name="Swvu.Japan_Capers_Ed_Pub." hidden="1">#REF!</definedName>
    <definedName name="Swvu.KJP_CC." hidden="1">#REF!</definedName>
    <definedName name="t" hidden="1">#REF!</definedName>
    <definedName name="tabla12" hidden="1">{"Table A1,pg 1",#N/A,FALSE,"Table A1-Net Prov Res";"Table A1,pg 2",#N/A,FALSE,"Table A1-Net Prov Res"}</definedName>
    <definedName name="table12" hidden="1">{"Table A,pg 1",#N/A,FALSE,"Table A-Prov GUR";"Table A,pg 2",#N/A,FALSE,"Table A-Prov GUR"}</definedName>
    <definedName name="Table3" hidden="1">#REF!</definedName>
    <definedName name="Table9" hidden="1">{"Table A,pg 1",#N/A,FALSE,"Table A-Prov GUR";"Table A,pg 2",#N/A,FALSE,"Table A-Prov GUR"}</definedName>
    <definedName name="Table9A" hidden="1">{"Table A1,pg 1",#N/A,FALSE,"Table A1-Net Prov Res";"Table A1,pg 2",#N/A,FALSE,"Table A1-Net Prov Res"}</definedName>
    <definedName name="tanya" hidden="1">{#N/A,#N/A,FALSE,"Aging Summary";#N/A,#N/A,FALSE,"Ratio Analysis";#N/A,#N/A,FALSE,"Test 120 Day Accts";#N/A,#N/A,FALSE,"Tickmarks"}</definedName>
    <definedName name="TBL_12" hidden="1">{"Table A1,pg 1",#N/A,FALSE,"Table A1-Net Prov Res";"Table A1,pg 2",#N/A,FALSE,"Table A1-Net Prov Res"}</definedName>
    <definedName name="Tbl14a" hidden="1">{"Table A1,pg 1",#N/A,FALSE,"Table A1-Net Prov Res";"Table A1,pg 2",#N/A,FALSE,"Table A1-Net Prov Res"}</definedName>
    <definedName name="tdjytjd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dyu356u" hidden="1">{#N/A,#N/A,TRUE,"Фин.рез"}</definedName>
    <definedName name="tdyu356u_1" hidden="1">{#N/A,#N/A,TRUE,"Фин.рез"}</definedName>
    <definedName name="Template" hidden="1">#REF!</definedName>
    <definedName name="tertw" hidden="1">{#N/A,#N/A,FALSE,"Aging Summary";#N/A,#N/A,FALSE,"Ratio Analysis";#N/A,#N/A,FALSE,"Test 120 Day Accts";#N/A,#N/A,FALSE,"Tickmarks"}</definedName>
    <definedName name="test3" hidden="1">{#N/A,#N/A,FALSE,"FA_1";#N/A,#N/A,FALSE,"Dep'n SE";#N/A,#N/A,FALSE,"Dep'n FC"}</definedName>
    <definedName name="TextRefCopyRangeCount" hidden="1">67</definedName>
    <definedName name="Teya1" hidden="1">#REF!</definedName>
    <definedName name="Teya2" hidden="1">#REF!</definedName>
    <definedName name="Teya3" hidden="1">#REF!</definedName>
    <definedName name="Teya4" hidden="1">#REF!</definedName>
    <definedName name="Teya5" hidden="1">#REF!</definedName>
    <definedName name="Teya6" hidden="1">#REF!</definedName>
    <definedName name="Teya7" hidden="1">#REF!</definedName>
    <definedName name="tjdtjytg" hidden="1">{"det (May)",#N/A,FALSE,"June";"sum (MAY YTD)",#N/A,FALSE,"June YTD"}</definedName>
    <definedName name="tjymn" hidden="1">{#N/A,#N/A,TRUE,"Фин.рез"}</definedName>
    <definedName name="tjymn_1" hidden="1">{#N/A,#N/A,TRUE,"Фин.рез"}</definedName>
    <definedName name="tkuku" hidden="1">{"det (May)",#N/A,FALSE,"June";"sum (MAY YTD)",#N/A,FALSE,"June YTD"}</definedName>
    <definedName name="tlo" hidden="1">{"'Северо-Никольское '!$A$6:$J$40"}</definedName>
    <definedName name="trjty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rrt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trurtgf" hidden="1">{#N/A,#N/A,FALSE,"Aging Summary";#N/A,#N/A,FALSE,"Ratio Analysis";#N/A,#N/A,FALSE,"Test 120 Day Accts";#N/A,#N/A,FALSE,"Tickmarks"}</definedName>
    <definedName name="ttttt" hidden="1">{#N/A,#N/A,FALSE,"지침";#N/A,#N/A,FALSE,"환경분석";#N/A,#N/A,FALSE,"Sheet16"}</definedName>
    <definedName name="tyiukkj" hidden="1">{#N/A,#N/A,TRUE,"Фин.рез"}</definedName>
    <definedName name="tyiukkj_1" hidden="1">{#N/A,#N/A,TRUE,"Фин.рез"}</definedName>
    <definedName name="tyjdyj" hidden="1">{"det (May)",#N/A,FALSE,"June";"sum (MAY YTD)",#N/A,FALSE,"June YTD"}</definedName>
    <definedName name="tyjtjd" hidden="1">{"det (May)",#N/A,FALSE,"June";"sum (MAY YTD)",#N/A,FALSE,"June YTD"}</definedName>
    <definedName name="tyjtyhfrth" hidden="1">{"det (May)",#N/A,FALSE,"June";"sum (MAY YTD)",#N/A,FALSE,"June YTD"}</definedName>
    <definedName name="tyktykdt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ykukyu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yujtujt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iy" hidden="1">{"'Северо-Никольское '!$A$6:$J$40"}</definedName>
    <definedName name="ukdtuykfk" hidden="1">{"det (May)",#N/A,FALSE,"June";"sum (MAY YTD)",#N/A,FALSE,"June YTD"}</definedName>
    <definedName name="ukh" hidden="1">{"'Северо-Никольское '!$A$6:$J$40"}</definedName>
    <definedName name="uliygu" hidden="1">{"'Северо-Никольское '!$A$6:$J$40"}</definedName>
    <definedName name="uoi" hidden="1">{"'Северо-Никольское '!$A$6:$J$40"}</definedName>
    <definedName name="utluilu" hidden="1">{"det (May)",#N/A,FALSE,"June";"sum (MAY YTD)",#N/A,FALSE,"June YTD"}</definedName>
    <definedName name="uuu" hidden="1">#REF!</definedName>
    <definedName name="v" hidden="1">{"'Северо-Никольское '!$A$6:$J$40"}</definedName>
    <definedName name="vaaaaaavavv" hidden="1">#N/A</definedName>
    <definedName name="VARI" hidden="1">{#N/A,#N/A,FALSE,"지침";#N/A,#N/A,FALSE,"환경분석";#N/A,#N/A,FALSE,"Sheet16"}</definedName>
    <definedName name="VARIA" hidden="1">{#N/A,#N/A,FALSE,"지침";#N/A,#N/A,FALSE,"환경분석";#N/A,#N/A,FALSE,"Sheet16"}</definedName>
    <definedName name="vbnm" hidden="1">{"'Северо-Никольское '!$A$6:$J$40"}</definedName>
    <definedName name="vby" hidden="1">{"'Северо-Никольское '!$A$6:$J$40"}</definedName>
    <definedName name="vertex42_copyright" hidden="1">"© 2015 Vertex42 LLC"</definedName>
    <definedName name="vertex42_id" hidden="1">"waterfall-chart.xlsx"</definedName>
    <definedName name="vertex42_title" hidden="1">"Waterfall Chart Template"</definedName>
    <definedName name="vvv" hidden="1">{"Area1",#N/A,FALSE,"OREWACC";"Area2",#N/A,FALSE,"OREWACC"}</definedName>
    <definedName name="w.forecast" hidden="1">{#N/A,#N/A,FALSE,"model"}</definedName>
    <definedName name="w.forecast2" hidden="1">{#N/A,#N/A,FALSE,"model"}</definedName>
    <definedName name="w2.forecast" hidden="1">{#N/A,#N/A,FALSE,"model"}</definedName>
    <definedName name="w45thu4y45wtyt4e5" hidden="1">{#N/A,#N/A,TRUE,"Фин.рез"}</definedName>
    <definedName name="w45thu4y45wtyt4e5_1" hidden="1">{#N/A,#N/A,TRUE,"Фин.рез"}</definedName>
    <definedName name="w45uhyb54tyhb" hidden="1">{#N/A,#N/A,TRUE,"Фин.рез"}</definedName>
    <definedName name="w45uhyb54tyhb_1" hidden="1">{#N/A,#N/A,TRUE,"Фин.рез"}</definedName>
    <definedName name="w45yuh45we" hidden="1">{#N/A,#N/A,TRUE,"Фин.рез"}</definedName>
    <definedName name="w45yuh45we_1" hidden="1">{#N/A,#N/A,TRUE,"Фин.рез"}</definedName>
    <definedName name="w4q5y7uh45b4w5e" hidden="1">{#N/A,#N/A,TRUE,"Фин.рез"}</definedName>
    <definedName name="w4q5y7uh45b4w5e_1" hidden="1">{#N/A,#N/A,TRUE,"Фин.рез"}</definedName>
    <definedName name="Warlos" hidden="1">#REF!</definedName>
    <definedName name="werftdsfgdfg" hidden="1">{"det (May)",#N/A,FALSE,"June";"sum (MAY YTD)",#N/A,FALSE,"June YTD"}</definedName>
    <definedName name="wergqerrgqwergr" hidden="1">#N/A</definedName>
    <definedName name="werwer" hidden="1">#REF!</definedName>
    <definedName name="west" hidden="1">{"data",#N/A,FALSE,"INPUT"}</definedName>
    <definedName name="weyw" hidden="1">#REF!</definedName>
    <definedName name="wgyerhy" hidden="1">{#N/A,#N/A,FALSE,"지침";#N/A,#N/A,FALSE,"환경분석";#N/A,#N/A,FALSE,"Sheet16"}</definedName>
    <definedName name="wqe" hidden="1">#REF!</definedName>
    <definedName name="wqrrrrrrrr" hidden="1">{#N/A,#N/A,TRUE,"Фин.рез"}</definedName>
    <definedName name="wqrrrrrrrr_1" hidden="1">{#N/A,#N/A,TRUE,"Фин.рез"}</definedName>
    <definedName name="wreywr" hidden="1">#REF!</definedName>
    <definedName name="wrg.aug" hidden="1">{"det (May)",#N/A,FALSE,"June";"sum (MAY YTD)",#N/A,FALSE,"June YTD"}</definedName>
    <definedName name="wrn_all" hidden="1">{#N/A,#N/A,FALSE,"DCF";#N/A,#N/A,FALSE,"WACC";#N/A,#N/A,FALSE,"Sales_EBIT";#N/A,#N/A,FALSE,"Capex_Depreciation";#N/A,#N/A,FALSE,"WC";#N/A,#N/A,FALSE,"Interest";#N/A,#N/A,FALSE,"Assumptions"}</definedName>
    <definedName name="wrn.10._.Per._.Cent._.Success." hidden="1">{#N/A,"10% Success",FALSE,"Sales Forecast";#N/A,#N/A,FALSE,"Sheet2"}</definedName>
    <definedName name="wrn.100._.Per._.Cent._.Success." hidden="1">{#N/A,"100% Success",TRUE,"Sales Forecast";#N/A,#N/A,TRUE,"Sheet2"}</definedName>
    <definedName name="wrn.111." hidden="1">{#N/A,#N/A,TRUE,"Фин.рез"}</definedName>
    <definedName name="wrn.111._1" hidden="1">{#N/A,#N/A,TRUE,"Фин.рез"}</definedName>
    <definedName name="wrn.112." hidden="1">{#N/A,#N/A,TRUE,"Фин.рез"}</definedName>
    <definedName name="wrn.112._1" hidden="1">{#N/A,#N/A,TRUE,"Фин.рез"}</definedName>
    <definedName name="wrn.30._.Per._.Cent." hidden="1">{#N/A,"30% Success",TRUE,"Sales Forecast";#N/A,#N/A,TRUE,"Sheet2"}</definedName>
    <definedName name="wrn.70._.Per._.Cent._.Success." hidden="1">{#N/A,"70% Success",FALSE,"Sales Forecast";#N/A,#N/A,FALSE,"Sheet2"}</definedName>
    <definedName name="wrn.97." hidden="1">{#N/A,#N/A,FALSE,"지침";#N/A,#N/A,FALSE,"환경분석";#N/A,#N/A,FALSE,"Sheet16"}</definedName>
    <definedName name="wrn.aaa." hidden="1">{"a",#N/A,FALSE,"Report2"}</definedName>
    <definedName name="wrn.ALL." hidden="1">{"AR",#N/A,FALSE,"ASMGTSUM";"INV",#N/A,FALSE,"ASMGTSUM";"HCCOMP",#N/A,FALSE,"ASMGTSUM";"cap.depr",#N/A,FALSE,"ASMGTSUM"}</definedName>
    <definedName name="wrn.All._.Sheets._.One._.by._.One." hidden="1">{#N/A,#N/A,FALSE,"Info";#N/A,#N/A,FALSE,"Op I";#N/A,#N/A,FALSE,"Op O";#N/A,#N/A,FALSE,"LBO I";#N/A,#N/A,FALSE,"LBO O";#N/A,#N/A,FALSE,"Taxes"}</definedName>
    <definedName name="wrn.aug" hidden="1">{"det (May)",#N/A,FALSE,"June";"sum (MAY YTD)",#N/A,FALSE,"June YTD"}</definedName>
    <definedName name="wrn.augyt" hidden="1">{"det (May)",#N/A,FALSE,"June";"sum (MAY YTD)",#N/A,FALSE,"June YTD"}</definedName>
    <definedName name="wrn.augYTD" hidden="1">{"det (May)",#N/A,FALSE,"June";"sum (MAY YTD)",#N/A,FALSE,"June YTD"}</definedName>
    <definedName name="wrn.augYTDx" hidden="1">{"det (May)",#N/A,FALSE,"June";"sum (MAY YTD)",#N/A,FALSE,"June YTD"}</definedName>
    <definedName name="wrn.augytx" hidden="1">{"det (May)",#N/A,FALSE,"June";"sum (MAY YTD)",#N/A,FALSE,"June YTD"}</definedName>
    <definedName name="wrn.Basic._.Report." hidden="1">{#N/A,#N/A,FALSE,"New Depr Sch-150% DB";#N/A,#N/A,FALSE,"Cash Flows RLP";#N/A,#N/A,FALSE,"IRR";#N/A,#N/A,FALSE,"Proforma IS";#N/A,#N/A,FALSE,"Assumptions"}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C1000BAS." hidden="1">{#N/A,"BRÅNEMARK",FALSE,"C1000BAS";#N/A,"PROCERA",FALSE,"C1000BAS"}</definedName>
    <definedName name="wrn.CapersPlotter." hidden="1">{#N/A,#N/A,FALSE,"DI 2 YEAR MASTER SCHEDULE"}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ded._.IAS._.FS." hidden="1">{"IASTrail",#N/A,FALSE,"IAS"}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venants." hidden="1">{"Summary",#N/A,FALSE,"Covenants";"Detailed summary",#N/A,FALSE,"Covenants"}</definedName>
    <definedName name="wrn.data." hidden="1">{"data",#N/A,FALSE,"INPUT"}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dutainment._.Priority._.List." hidden="1">{#N/A,#N/A,FALSE,"DI 2 YEAR MASTER SCHEDULE"}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xed._.Assets._.Note._.and._.Depreciation." hidden="1">{#N/A,#N/A,FALSE,"FA_1";#N/A,#N/A,FALSE,"Dep'n SE";#N/A,#N/A,FALSE,"Dep'n FC"}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report._.excl._.detailed._.schedules." hidden="1">{"Cover",#N/A,TRUE,"Cover";"Structure",#N/A,TRUE,"STRUCTURE";"Returns",#N/A,TRUE,"RETURNS";"Financing",#N/A,TRUE,"FINANCING";"Exit valuation",#N/A,TRUE,"EXIT VALUATION";"Adjustments",#N/A,TRUE,"Adjustments";"Maintainable earnings",#N/A,TRUE,"Maintainable earnings";"Input sheet",#N/A,TRUE,"Inputs";"Redundancy plan",#N/A,TRUE,"Restructuring Plan";"Taxes",#N/A,TRUE,"Tax Schedule"}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handout." hidden="1">{"quarterly",#N/A,FALSE,"Income Statement New CPB";"annual",#N/A,FALSE,"Income Statement New CPB";"cash flow",#N/A,FALSE,"Cash Flow";"balance",#N/A,FALSE,"Balance Sheet";"seg",#N/A,FALSE,"New Segment Breakout"}</definedName>
    <definedName name="wrn.Help." hidden="1">{#N/A,#N/A,TRUE,"MAP";#N/A,#N/A,TRUE,"STEPS";#N/A,#N/A,TRUE,"RULES"}</definedName>
    <definedName name="wrn.history." hidden="1">{#N/A,#N/A,FALSE,"model"}</definedName>
    <definedName name="wrn.histROIC." hidden="1">{#N/A,#N/A,FALSE,"model"}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Japan_Capers_Ed._.Pub." hidden="1">{"Japan_Capers_Ed_Pub",#N/A,FALSE,"DI 2 YEAR MASTER SCHEDULE"}</definedName>
    <definedName name="wrn.June." hidden="1">{"det (May)",#N/A,FALSE,"June";"sum (MAY YTD)",#N/A,FALSE,"June YTD"}</definedName>
    <definedName name="wrn.Komplett." hidden="1">{#N/A,#N/A,TRUE,"Sida1";#N/A,#N/A,TRUE,"Sida2";#N/A,#N/A,TRUE,"Värdebed";#N/A,#N/A,TRUE,"Likviditet";#N/A,#N/A,TRUE,"Avk_värde"}</definedName>
    <definedName name="wrn.list" hidden="1">{#N/A,#N/A,FALSE,"101"}</definedName>
    <definedName name="wrn.list." hidden="1">{#N/A,#N/A,FALSE,"101"}</definedName>
    <definedName name="wrn.Manpower." hidden="1">{#N/A,#N/A,TRUE,"COY TOTAL";#N/A,#N/A,TRUE,"3RD TRAIN EXP SUM";#N/A,#N/A,TRUE,"1173-LAGOS CO-ORD 3RD TRAIN EXP";#N/A,#N/A,TRUE,"3301-RET 3RD TRAIN EXP";#N/A,#N/A,TRUE,"3302-CONTEAM 3RD TRAIN EXP ";#N/A,#N/A,TRUE,"3303-PD 3RD TRAIN EXP";#N/A,#N/A,TRUE,"3304-START-UP-TEAM-3RD TRAIN ";#N/A,#N/A,TRUE,"1171-ECO";#N/A,#N/A,TRUE,"Fin Team-1174";#N/A,#N/A,TRUE,"HO TOTAL";#N/A,#N/A,TRUE,"1100-MD-SUM";#N/A,#N/A,TRUE,"1131-MD";#N/A,#N/A,TRUE,"1141-LG";#N/A,#N/A,TRUE,"1151-CPL";#N/A,#N/A,TRUE,"1161-LONDON OFFICE";#N/A,#N/A,TRUE,"1181-IAU";#N/A,#N/A,TRUE,"1400-DD SUM";#N/A,#N/A,TRUE,"1401-DD's OFFICE";#N/A,#N/A,TRUE,"1411-TAU";#N/A,#N/A,TRUE,"1421-ABUJA OFFICE";#N/A,#N/A,TRUE,"1500-CM-SUM";#N/A,#N/A,TRUE,"1501-CM's OFFICE";#N/A,#N/A,TRUE,"1502-CMM";#N/A,#N/A,TRUE,"1503-CMS";#N/A,#N/A,TRUE,"2100-HR SUM";#N/A,#N/A,TRUE,"2101-HR's OFFICE";#N/A,#N/A,TRUE,"2111-HRP";#N/A,#N/A,TRUE,"2121-HRA";#N/A,#N/A,TRUE,"2131-HRD";#N/A,#N/A,TRUE,"2300-FN-SUM";#N/A,#N/A,TRUE,"2301-FN's OFFICE";#N/A,#N/A,TRUE,"2311-FNC";#N/A,#N/A,TRUE,"2321-FNT";#N/A,#N/A,TRUE,"2331-FNI";#N/A,#N/A,TRUE,"2500-PAG-SUM";#N/A,#N/A,TRUE,"2501-GM's OFFICE";#N/A,#N/A,TRUE,"2511-PR";#N/A,#N/A,TRUE,"4000-PD SUM";#N/A,#N/A,TRUE,"GM PROD SUM";#N/A,#N/A,TRUE,"4001-GMPD's OFFICE";#N/A,#N/A,TRUE,"4011-PQM";#N/A,#N/A,TRUE,"4021-PFS";#N/A,#N/A,TRUE,"4031-PAF";#N/A,#N/A,TRUE,"4041-PC";#N/A,#N/A,TRUE,"4051-CR";#N/A,#N/A,TRUE,"4100-OP-SUM";#N/A,#N/A,TRUE,"4101-PO";#N/A,#N/A,TRUE,"4111-POL";#N/A,#N/A,TRUE,"4121-POU";#N/A,#N/A,TRUE,"4131-POT";#N/A,#N/A,TRUE,"4141-POM";#N/A,#N/A,TRUE,"4151-POG";#N/A,#N/A,TRUE,"4200-PE-SUM";#N/A,#N/A,TRUE,"4201-PE";#N/A,#N/A,TRUE,"4211-PEM";#N/A,#N/A,TRUE,"4221-PEQ";#N/A,#N/A,TRUE,"4231-PEE";#N/A,#N/A,TRUE,"4241-PEC";#N/A,#N/A,TRUE,"4251-PEO";#N/A,#N/A,TRUE,"4261-PEP";#N/A,#N/A,TRUE,"4271-PEI";#N/A,#N/A,TRUE,"4281-PES";#N/A,#N/A,TRUE,"4301-PT";#N/A,#N/A,TRUE,"4400-PS-SUM";#N/A,#N/A,TRUE,"4401-PS";#N/A,#N/A,TRUE,"4431-PSE";#N/A,#N/A,TRUE,"4441-PSS";#N/A,#N/A,TRUE,"4451-PST";#N/A,#N/A,TRUE,"4461-PSL";#N/A,#N/A,TRUE,"4471-PSM"}</definedName>
    <definedName name="wrn.market._.share." hidden="1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NWN_QUOTES." hidden="1">{"NWN_Q1810",#N/A,FALSE,"Q1810_1.V";"NWN_Q1412",#N/A,FALSE,"Q1412_1"}</definedName>
    <definedName name="wrn.Obaly." hidden="1">{#N/A,#N/A,FALSE,"Obaly celkové"}</definedName>
    <definedName name="wrn.one." hidden="1">{"page1",#N/A,FALSE,"A";"page2",#N/A,FALSE,"A"}</definedName>
    <definedName name="wrn.opex.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wrn.opex._.latest.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wrn.PL._.Analysis." hidden="1">{"AnalRSA",#N/A,TRUE,"PL-Anal";"AnalIAS",#N/A,TRUE,"PL-Anal"}</definedName>
    <definedName name="wrn.PL._.Report." hidden="1">{"Page1",#N/A,TRUE,"P&amp;LREP";"PAge 2",#N/A,TRUE,"P&amp;LREP";"Page3",#N/A,TRUE,"P&amp;LREP";"Page4",#N/A,TRUE,"P&amp;LREP"}</definedName>
    <definedName name="wrn.Pokus._.1." hidden="1">{#N/A,#N/A,FALSE,"Kalkulace"}</definedName>
    <definedName name="wrn.pokus._.2." hidden="1">{#N/A,#N/A,FALSE,"Kalkulace"}</definedName>
    <definedName name="wrn.print95and96." hidden="1">{"print95",#N/A,FALSE,"1995E.XLS";"print96",#N/A,FALSE,"1996E.XLS"}</definedName>
    <definedName name="wrn.Priority._.list." hidden="1">{#N/A,#N/A,FALSE,"DI 2 YEAR MASTER SCHEDULE"}</definedName>
    <definedName name="wrn.Prjcted._.Mnthly._.Qtys." hidden="1">{#N/A,#N/A,FALSE,"PRJCTED MNTHLY QTY's"}</definedName>
    <definedName name="wrn.Prjcted._.Qtrly._.Dollars." hidden="1">{#N/A,#N/A,FALSE,"PRJCTED QTRLY $'s"}</definedName>
    <definedName name="wrn.Prjcted._.Qtrly._.Qtys." hidden="1">{#N/A,#N/A,FALSE,"PRJCTED QTRLY QTY's"}</definedName>
    <definedName name="wrn.ptp." hidden="1">{#N/A,#N/A,FALSE,"RELATÓRIO";#N/A,#N/A,FALSE,"RELATÓRIO"}</definedName>
    <definedName name="wrn.QUARTERLY._.VIEW." hidden="1">{"QUARTERLY VIEW",#N/A,FALSE,"YEAR TOTAL"}</definedName>
    <definedName name="wrn.REPORT1." hidden="1">{"PRINTME",#N/A,FALSE,"FINAL-10"}</definedName>
    <definedName name="wrn.RESULTS.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wrn.RSA._.BS._.and._.PL." hidden="1">{"BS1",#N/A,TRUE,"RSA_FS";"BS2",#N/A,TRUE,"RSA_FS";"BS3",#N/A,TRUE,"RSA_FS"}</definedName>
    <definedName name="wrn.SEC._.QUARTERLY._.PROJ." hidden="1">{"Cover Sheet",#N/A,FALSE,"Cover Sheet";"SEC QTRLY INC STMT",#N/A,FALSE,"SEC Quarterlies";"SEC QTRLY BAL SHEET",#N/A,FALSE,"SEC Quarterlies";"SEC QTRLY CASH FLOW",#N/A,FALSE,"SEC Quarterlies";"SEC QTRLY ASSUMPTIONS",#N/A,FALSE,"SEC Quarterlies"}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Table._.A." hidden="1">{"Table A,pg 1",#N/A,FALSE,"Table A-Prov GUR";"Table A,pg 2",#N/A,FALSE,"Table A-Prov GUR"}</definedName>
    <definedName name="wrn.Table._.A1." hidden="1">{"Table A1,pg 1",#N/A,FALSE,"Table A1-Net Prov Res";"Table A1,pg 2",#N/A,FALSE,"Table A1-Net Prov Res"}</definedName>
    <definedName name="wrn.Table._.A1RU." hidden="1">{"Table A1,pg 1",#N/A,FALSE,"Table A1-Net Prov Res";"Table A1,pg 2",#N/A,FALSE,"Table A1-Net Prov Res"}</definedName>
    <definedName name="wrn.test." hidden="1">{"Valuation_Common",#N/A,FALSE,"Valuation"}</definedName>
    <definedName name="wrn.Wacc." hidden="1">{"Area1",#N/A,FALSE,"OREWACC";"Area2",#N/A,FALSE,"OREWACC"}</definedName>
    <definedName name="wrn.Wacc.1" hidden="1">{"Area1",#N/A,FALSE,"OREWACC";"Area2",#N/A,FALSE,"OREWACC"}</definedName>
    <definedName name="wrn.xrates." hidden="1">{#N/A,#N/A,FALSE,"1996";#N/A,#N/A,FALSE,"1995";#N/A,#N/A,FALSE,"1994"}</definedName>
    <definedName name="wrn.YEAR._.VIEW." hidden="1">{#N/A,#N/A,FALSE,"YEAR TOTAL"}</definedName>
    <definedName name="wrn.Баланс." hidden="1">{#N/A,#N/A,FALSE,"БАЛАНС"}</definedName>
    <definedName name="wrn.Курсовой._.проект." hidden="1">{#N/A,#N/A,TRUE,"План продаж";#N/A,#N/A,TRUE,"Склад гот.прод";#N/A,#N/A,TRUE,"План отгрузки"}</definedName>
    <definedName name="wrn.отчет._.по._.курсу." hidden="1">{"программа",#N/A,TRUE,"lessons";"продажа оргтехники",#N/A,TRUE,"образец"}</definedName>
    <definedName name="wrn.отчет._.по._.курсу._1" hidden="1">{"программа",#N/A,TRUE,"lessons";"продажа оргтехники",#N/A,TRUE,"образец"}</definedName>
    <definedName name="wrn.отчет._.по._.курсу._1_1" hidden="1">{"программа",#N/A,TRUE,"lessons";"продажа оргтехники",#N/A,TRUE,"образец"}</definedName>
    <definedName name="wrn.отчет._.по._.курсу._1_2" hidden="1">{"программа",#N/A,TRUE,"lessons";"продажа оргтехники",#N/A,TRUE,"образец"}</definedName>
    <definedName name="wrn.отчет._.по._.курсу._1_3" hidden="1">{"программа",#N/A,TRUE,"lessons";"продажа оргтехники",#N/A,TRUE,"образец"}</definedName>
    <definedName name="wrn.отчет._.по._.курсу._1_4" hidden="1">{"программа",#N/A,TRUE,"lessons";"продажа оргтехники",#N/A,TRUE,"образец"}</definedName>
    <definedName name="wrn.отчет._.по._.курсу._1_5" hidden="1">{"программа",#N/A,TRUE,"lessons";"продажа оргтехники",#N/A,TRUE,"образец"}</definedName>
    <definedName name="wrn.отчет._.по._.курсу._2" hidden="1">{"программа",#N/A,TRUE,"lessons";"продажа оргтехники",#N/A,TRUE,"образец"}</definedName>
    <definedName name="wrn.отчет._.по._.курсу._3" hidden="1">{"программа",#N/A,TRUE,"lessons";"продажа оргтехники",#N/A,TRUE,"образец"}</definedName>
    <definedName name="wrn.отчет._.по._.курсу._4" hidden="1">{"программа",#N/A,TRUE,"lessons";"продажа оргтехники",#N/A,TRUE,"образец"}</definedName>
    <definedName name="wrn.отчет._.по._.курсу._5" hidden="1">{"программа",#N/A,TRUE,"lessons";"продажа оргтехники",#N/A,TRUE,"образец"}</definedName>
    <definedName name="wrn.Печать._.всех._.форм." hidden="1">{"осн2",#N/A,FALSE,"Оснрасчет";"осн3",#N/A,FALSE,"Оснрасчет";#N/A,#N/A,FALSE,"кальк эн";#N/A,#N/A,FALSE,"накл ц";#N/A,#N/A,FALSE,"накл котельной";#N/A,#N/A,FALSE,"НАКЛ ЭНЕРГ";#N/A,#N/A,FALSE,"НАКЛ ВОДЫ"}</definedName>
    <definedName name="wrn.Прибыль._.дерев." hidden="1">{"Прибыль дерев",#N/A,FALSE,"Дерев"}</definedName>
    <definedName name="wrn.Прибыль._.ЗАП." hidden="1">{"Прибыль ЗАП",#N/A,FALSE,"ЗАП"}</definedName>
    <definedName name="wrn.Прибыль._.инстр." hidden="1">{"Прибыль инстр",#N/A,FALSE,"Инстр"}</definedName>
    <definedName name="wrn.Прибыль._.литейн." hidden="1">{"Прибыль",#N/A,FALSE,"Литейн"}</definedName>
    <definedName name="wrn.Прибыль._.механ." hidden="1">{"Прибыль механ",#N/A,FALSE,"Механ"}</definedName>
    <definedName name="wrn.Прибыль._.прессов." hidden="1">{"Прибыль пресс",#N/A,FALSE,"Прессов"}</definedName>
    <definedName name="wrn.Прибыль._.прокатн." hidden="1">{"Прибыль прокатн",#N/A,FALSE,"Прокатн"}</definedName>
    <definedName name="wrn.Прибыль._.СаМеКо." hidden="1">{"Прибыль СаМеКо",#N/A,FALSE,"Итог СаМеКо"}</definedName>
    <definedName name="wrn.Прибыль._.СМЗ." hidden="1">{"Прибыль СМЗ",#N/A,FALSE,"СМЗ"}</definedName>
    <definedName name="wrn.Прибыль._.энерг." hidden="1">{"Приибыль энерг",#N/A,FALSE,"Энерг"}</definedName>
    <definedName name="wrn1.aug" hidden="1">{"det (May)",#N/A,FALSE,"June";"sum (MAY YTD)",#N/A,FALSE,"June YTD"}</definedName>
    <definedName name="wrn1.augtyd" hidden="1">{"det (May)",#N/A,FALSE,"June";"sum (MAY YTD)",#N/A,FALSE,"June YTD"}</definedName>
    <definedName name="wrn1.augyt" hidden="1">{"det (May)",#N/A,FALSE,"June";"sum (MAY YTD)",#N/A,FALSE,"June YTD"}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june" hidden="1">{"det (May)",#N/A,FALSE,"June";"sum (MAY YTD)",#N/A,FALSE,"June YTD"}</definedName>
    <definedName name="wrn1.list" hidden="1">{#N/A,#N/A,FALSE,"101"}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hidden="1">{"det (May)",#N/A,FALSE,"June";"",#N/A,FALSE,"June YTD"}</definedName>
    <definedName name="wrt6jundde56" hidden="1">{#N/A,#N/A,TRUE,"Фин.рез"}</definedName>
    <definedName name="wrt6jundde56_1" hidden="1">{#N/A,#N/A,TRUE,"Фин.рез"}</definedName>
    <definedName name="ws" hidden="1">{#N/A,#N/A,FALSE,"Aging Summary";#N/A,#N/A,FALSE,"Ratio Analysis";#N/A,#N/A,FALSE,"Test 120 Day Accts";#N/A,#N/A,FALSE,"Tickmarks"}</definedName>
    <definedName name="wtre" hidden="1">{#N/A,#N/A,FALSE,"Aging Summary";#N/A,#N/A,FALSE,"Ratio Analysis";#N/A,#N/A,FALSE,"Test 120 Day Accts";#N/A,#N/A,FALSE,"Tickmarks"}</definedName>
    <definedName name="wvu.CapersView." hidden="1">{TRUE,TRUE,-2.75,-17,772.5,449.25,FALSE,TRUE,TRUE,TRUE,0,19,#N/A,30,#N/A,7.04065040650407,10.9795918367347,1,FALSE,FALSE,3,FALSE,1,FALSE,100,"Swvu.CapersView.","ACwvu.CapersView.",#N/A,FALSE,FALSE,0,0,0,0,2,"","&amp;R&amp;""Arial,Bold Italic""&amp;8&amp;F&amp;A&amp;D",TRUE,TRUE,FALSE,FALSE,1,#N/A,1,1,"=R1C1:R123C107",FALSE,"Rwvu.CapersView.","Cwvu.CapersView.",FALSE,FALSE,FALSE,262,600,600,FALSE,FALSE,TRUE,TRUE,TRUE}</definedName>
    <definedName name="wvu.Japan_Capers_Ed_Pub." hidden="1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wvu.KJP_CC." hidden="1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wwr" hidden="1">{#N/A,#N/A,FALSE,"101"}</definedName>
    <definedName name="wywe" hidden="1">#REF!</definedName>
    <definedName name="x" hidden="1">{"Area1",#N/A,FALSE,"OREWACC";"Area2",#N/A,FALSE,"OREWACC"}</definedName>
    <definedName name="xcfgg" hidden="1">{#N/A,#N/A,TRUE,"Фин.рез"}</definedName>
    <definedName name="xcfgg_1" hidden="1">{#N/A,#N/A,TRUE,"Фин.рез"}</definedName>
    <definedName name="xcv" hidden="1">{"'Северо-Никольское '!$A$6:$J$40"}</definedName>
    <definedName name="xfhs" hidden="1">#N/A</definedName>
    <definedName name="xfjvsftjh" hidden="1">{#N/A,#N/A,TRUE,"Фин.рез"}</definedName>
    <definedName name="xfjvsftjh_1" hidden="1">{#N/A,#N/A,TRUE,"Фин.рез"}</definedName>
    <definedName name="xfjxfgj" hidden="1">{"det (May)",#N/A,FALSE,"June";"sum (MAY YTD)",#N/A,FALSE,"June YTD"}</definedName>
    <definedName name="xfjxfj" hidden="1">{"det (May)",#N/A,FALSE,"June";"sum (MAY YTD)",#N/A,FALSE,"June YTD"}</definedName>
    <definedName name="xgfngfnf" hidden="1">{"det (May)",#N/A,FALSE,"June";"sum (MAY YTD)",#N/A,FALSE,"June YTD"}</definedName>
    <definedName name="xiei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xir" hidden="1">{"det (May)",#N/A,FALSE,"June";"sum (MAY YTD)",#N/A,FALSE,"June YTD"}</definedName>
    <definedName name="xkdirhj" hidden="1">{"det (May)",#N/A,FALSE,"June";"sum (MAY YTD)",#N/A,FALSE,"June YTD"}</definedName>
    <definedName name="xkei0ori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XLRPARAMS_Bank" hidden="1">#REF!</definedName>
    <definedName name="XLRPARAMS_Category" hidden="1">#REF!</definedName>
    <definedName name="XLRPARAMS_DateRest" hidden="1">#REF!</definedName>
    <definedName name="XLRPARAMS_DBeg" hidden="1">#REF!</definedName>
    <definedName name="XLRPARAMS_DEnd" hidden="1">#REF!</definedName>
    <definedName name="XLRPARAMS_NameReport" hidden="1">#REF!</definedName>
    <definedName name="XLRPARAMS_Param1" hidden="1">#REF!</definedName>
    <definedName name="XLRPARAMS_Param2" hidden="1">#REF!</definedName>
    <definedName name="XLRPARAMS_Period" hidden="1">#REF!</definedName>
    <definedName name="XLRPARAMS_Plan" hidden="1">#REF!</definedName>
    <definedName name="XLRPARAMS_PlanName" hidden="1">#REF!</definedName>
    <definedName name="xpr" hidden="1">{"Area1",#N/A,FALSE,"OREWACC";"Area2",#N/A,FALSE,"OREWACC"}</definedName>
    <definedName name="XREF_COLUMN_1" hidden="1">#REF!</definedName>
    <definedName name="XREF_COLUMN_10" hidden="1">#REF!</definedName>
    <definedName name="XREF_COLUMN_3" hidden="1">#REF!</definedName>
    <definedName name="XREF_COLUMN_4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1</definedName>
    <definedName name="XRefCopyRangeCount" hidden="1">1</definedName>
    <definedName name="XRefPaste10Row" hidden="1">#REF!</definedName>
    <definedName name="XRefPaste11" hidden="1">#REF!</definedName>
    <definedName name="XRefPaste11Row" hidden="1">#REF!</definedName>
    <definedName name="XRefPaste12Row" hidden="1">#REF!</definedName>
    <definedName name="XRefPaste13" hidden="1">#REF!</definedName>
    <definedName name="XRefPaste13Row" hidden="1">#REF!</definedName>
    <definedName name="XRefPaste21" hidden="1">#REF!</definedName>
    <definedName name="XRefPaste23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Row" hidden="1">#REF!</definedName>
    <definedName name="XRefPaste6Row" hidden="1">#REF!</definedName>
    <definedName name="XRefPaste7Row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4</definedName>
    <definedName name="xxx" hidden="1">{"Area1",#N/A,FALSE,"OREWACC";"Area2",#N/A,FALSE,"OREWACC"}</definedName>
    <definedName name="yeukmd" hidden="1">{#N/A,#N/A,TRUE,"Фин.рез"}</definedName>
    <definedName name="yeukmd_1" hidden="1">{#N/A,#N/A,TRUE,"Фин.рез"}</definedName>
    <definedName name="ygkj" hidden="1">{#N/A,#N/A,TRUE,"Фин.рез"}</definedName>
    <definedName name="ygkj_1" hidden="1">{#N/A,#N/A,TRUE,"Фин.рез"}</definedName>
    <definedName name="yjdjt" hidden="1">#REF!</definedName>
    <definedName name="yrjytjtyjd" hidden="1">{"det (May)",#N/A,FALSE,"June";"sum (MAY YTD)",#N/A,FALSE,"June YTD"}</definedName>
    <definedName name="yrkyuky" hidden="1">{"det (May)",#N/A,FALSE,"June";"sum (MAY YTD)",#N/A,FALSE,"June YTD"}</definedName>
    <definedName name="yrliulu" hidden="1">{"det (May)",#N/A,FALSE,"June";"sum (MAY YTD)",#N/A,FALSE,"June YTD"}</definedName>
    <definedName name="ytiu56uj" hidden="1">{#N/A,#N/A,TRUE,"Фин.рез"}</definedName>
    <definedName name="ytiu56uj_1" hidden="1">{#N/A,#N/A,TRUE,"Фин.рез"}</definedName>
    <definedName name="ytjtyjtyj" hidden="1">{"det (May)",#N/A,FALSE,"June";"sum (MAY YTD)",#N/A,FALSE,"June YTD"}</definedName>
    <definedName name="ytjyj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ytr" hidden="1">{"'Северо-Никольское '!$A$6:$J$40"}</definedName>
    <definedName name="ytuir" hidden="1">{#N/A,#N/A,TRUE,"Фин.рез"}</definedName>
    <definedName name="ytuir_1" hidden="1">{#N/A,#N/A,TRUE,"Фин.рез"}</definedName>
    <definedName name="yuog" hidden="1">{#N/A,#N/A,TRUE,"Фин.рез"}</definedName>
    <definedName name="yuog_1" hidden="1">{#N/A,#N/A,TRUE,"Фин.рез"}</definedName>
    <definedName name="yusdruirsu" hidden="1">{#N/A,#N/A,TRUE,"Фин.рез"}</definedName>
    <definedName name="yusdruirsu_1" hidden="1">{#N/A,#N/A,TRUE,"Фин.рез"}</definedName>
    <definedName name="yyy" hidden="1">{#N/A,#N/A,FALSE,"지침";#N/A,#N/A,FALSE,"환경분석";#N/A,#N/A,FALSE,"Sheet16"}</definedName>
    <definedName name="Z_0AABF412_F7D5_4BB1_B12B_7B40F8B9C95D_.wvu.Cols" hidden="1">#REF!</definedName>
    <definedName name="Z_0AABF412_F7D5_4BB1_B12B_7B40F8B9C95D_.wvu.FilterData" hidden="1">#REF!</definedName>
    <definedName name="Z_0AABF412_F7D5_4BB1_B12B_7B40F8B9C95D_.wvu.PrintArea" hidden="1">#REF!</definedName>
    <definedName name="Z_0AABF412_F7D5_4BB1_B12B_7B40F8B9C95D_.wvu.PrintTitles" hidden="1">#REF!</definedName>
    <definedName name="Z_0AABF412_F7D5_4BB1_B12B_7B40F8B9C95D_.wvu.Rows" hidden="1">#REF!</definedName>
    <definedName name="Z_1C3AD0CD_BF0C_4C4E_9071_158A2F5215E2_.wvu.Rows" hidden="1">#REF!,#REF!,#REF!</definedName>
    <definedName name="Z_2185FC51_7502_43A8_900A_0000B7F738F9_.wvu.Rows" hidden="1">#REF!,#REF!,#REF!,#REF!,#REF!,#REF!,#REF!,#REF!,#REF!,#REF!,#REF!,#REF!,#REF!,#REF!,#REF!,#REF!</definedName>
    <definedName name="Z_26901781_AE15_11D3_8896_00C0DFEF98F1_.wvu.PrintArea" hidden="1">#REF!</definedName>
    <definedName name="Z_270BB401_5236_11D4_BB54_0050044E0CFA_.wvu.Cols" hidden="1">#REF!,#REF!,#REF!,#REF!</definedName>
    <definedName name="Z_270BB401_5236_11D4_BB54_0050044E0CFA_.wvu.FilterData" hidden="1">#REF!</definedName>
    <definedName name="Z_270BB401_5236_11D4_BB54_0050044E0CFA_.wvu.PrintArea" hidden="1">#REF!</definedName>
    <definedName name="Z_270BB401_5236_11D4_BB54_0050044E0CFA_.wvu.PrintTitles" hidden="1">#REF!</definedName>
    <definedName name="Z_270BB401_5236_11D4_BB54_0050044E0CFA_.wvu.Rows" hidden="1">#REF!,#REF!</definedName>
    <definedName name="Z_30FEE15E_D26F_11D4_A6F7_00508B6A7686_.wvu.FilterData" hidden="1">#REF!</definedName>
    <definedName name="Z_37A59B27_C76D_4E84_8164_B3D5C7AFADBB_.wvu.Cols" hidden="1">#REF!</definedName>
    <definedName name="Z_567F6202_70FA_11D3_B82E_00E09800249C_.wvu.Cols" hidden="1">#REF!</definedName>
    <definedName name="Z_8730C1A1_E63D_11D4_8D95_0050BA8310F8_.wvu.Cols" hidden="1">#REF!</definedName>
    <definedName name="Z_94CB185F_509A_11D3_B82B_00E09800249C_.wvu.Rows" hidden="1">#REF!,#REF!</definedName>
    <definedName name="Z_99D15F62_90C4_405A_985F_7C185F19F985_.wvu.Rows" hidden="1">#REF!,#REF!,#REF!,#REF!,#REF!,#REF!,#REF!,#REF!,#REF!,#REF!,#REF!,#REF!,#REF!,#REF!,#REF!,#REF!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F4E9141_41FC_4B2C_AC1F_EC647474A564_.wvu.PrintArea" hidden="1">#REF!</definedName>
    <definedName name="Z_9F4E9141_41FC_4B2C_AC1F_EC647474A564_.wvu.Rows" hidden="1">#REF!</definedName>
    <definedName name="Z_A0AC4B42_5259_11D4_B5FE_00C04FC949BF_.wvu.Cols" hidden="1">#REF!,#REF!,#REF!,#REF!</definedName>
    <definedName name="Z_A0AC4B42_5259_11D4_B5FE_00C04FC949BF_.wvu.FilterData" hidden="1">#REF!</definedName>
    <definedName name="Z_A0AC4B42_5259_11D4_B5FE_00C04FC949BF_.wvu.PrintArea" hidden="1">#REF!</definedName>
    <definedName name="Z_A0AC4B42_5259_11D4_B5FE_00C04FC949BF_.wvu.PrintTitles" hidden="1">#REF!</definedName>
    <definedName name="Z_A0AC4B42_5259_11D4_B5FE_00C04FC949BF_.wvu.Rows" hidden="1">#REF!,#REF!,#REF!,#REF!,#REF!,#REF!,#REF!</definedName>
    <definedName name="Z_A6168485_6886_4592_BB13_07B9E683E6FB_.wvu.Cols" hidden="1">#REF!</definedName>
    <definedName name="Z_A6168485_6886_4592_BB13_07B9E683E6FB_.wvu.FilterData" hidden="1">#REF!</definedName>
    <definedName name="Z_A6168485_6886_4592_BB13_07B9E683E6FB_.wvu.PrintArea" hidden="1">#REF!</definedName>
    <definedName name="Z_A6168485_6886_4592_BB13_07B9E683E6FB_.wvu.PrintTitles" hidden="1">#REF!</definedName>
    <definedName name="Z_A6168485_6886_4592_BB13_07B9E683E6FB_.wvu.Rows" hidden="1">#REF!,#REF!,#REF!,#REF!,#REF!</definedName>
    <definedName name="Z_BA328375_936C_11D3_9E74_00062992D5D9_.wvu.Rows" hidden="1">#REF!,#REF!</definedName>
    <definedName name="Z_D0FC81D9_872A_11D6_B808_0010DC239F6A_.wvu.Cols" hidden="1">#REF!</definedName>
    <definedName name="Z_D0FC81D9_872A_11D6_B808_0010DC239F6A_.wvu.FilterData" hidden="1">#REF!</definedName>
    <definedName name="Z_D0FC81D9_872A_11D6_B808_0010DC239F6A_.wvu.PrintArea" hidden="1">#REF!</definedName>
    <definedName name="Z_D0FC81D9_872A_11D6_B808_0010DC239F6A_.wvu.PrintTitles" hidden="1">#REF!</definedName>
    <definedName name="Z_D0FC81D9_872A_11D6_B808_0010DC239F6A_.wvu.Rows" hidden="1">#REF!,#REF!,#REF!,#REF!,#REF!</definedName>
    <definedName name="Z_FA0D2A17_1C02_11D8_848D_00021BF19BDB_.wvu.FilterData" hidden="1">#REF!</definedName>
    <definedName name="zdfb" hidden="1">#REF!</definedName>
    <definedName name="zdfg" hidden="1">{"det (May)",#N/A,FALSE,"June";"sum (MAY YTD)",#N/A,FALSE,"June YTD"}</definedName>
    <definedName name="zdfheryaqyg" hidden="1">{#N/A,#N/A,TRUE,"Фин.рез"}</definedName>
    <definedName name="zdfheryaqyg_1" hidden="1">{#N/A,#N/A,TRUE,"Фин.рез"}</definedName>
    <definedName name="zdfhsaerhjsasdrh" hidden="1">{#N/A,#N/A,TRUE,"Фин.рез"}</definedName>
    <definedName name="zdfhsaerhjsasdrh_1" hidden="1">{#N/A,#N/A,TRUE,"Фин.рез"}</definedName>
    <definedName name="zeljka" hidden="1">{"det (May)",#N/A,FALSE,"June";"sum (MAY YTD)",#N/A,FALSE,"June YTD"}</definedName>
    <definedName name="zeljka1" hidden="1">{"det (May)",#N/A,FALSE,"June";"sum (MAY YTD)",#N/A,FALSE,"June YTD"}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hidden="1">{"det (May)",#N/A,FALSE,"June";"sum (MAY YTD)",#N/A,FALSE,"June YTD"}</definedName>
    <definedName name="zgjl" hidden="1">{"'Северо-Никольское '!$A$6:$J$40"}</definedName>
    <definedName name="zsd" hidden="1">{#N/A,#N/A,FALSE,"Aging Summary";#N/A,#N/A,FALSE,"Ratio Analysis";#N/A,#N/A,FALSE,"Test 120 Day Accts";#N/A,#N/A,FALSE,"Tickmarks"}</definedName>
    <definedName name="zxy" hidden="1">{"'Северо-Никольское '!$A$6:$J$40"}</definedName>
    <definedName name="ZZZ" hidden="1">{"AR",#N/A,FALSE,"ASMGTSUM";"INV",#N/A,FALSE,"ASMGTSUM";"HCCOMP",#N/A,FALSE,"ASMGTSUM";"cap.depr",#N/A,FALSE,"ASMGTSUM"}</definedName>
    <definedName name="zzzz" hidden="1">{"'Северо-Никольское '!$A$6:$J$40"}</definedName>
    <definedName name="zzzzzzzzzzzz" hidden="1">{#N/A,#N/A,FALSE,"Aging Summary";#N/A,#N/A,FALSE,"Ratio Analysis";#N/A,#N/A,FALSE,"Test 120 Day Accts";#N/A,#N/A,FALSE,"Tickmarks"}</definedName>
    <definedName name="ааа" hidden="1">{"'Prices'!$A$4:$J$27"}</definedName>
    <definedName name="ааа_1" hidden="1">{#N/A,#N/A,TRUE,"Фин.рез"}</definedName>
    <definedName name="аааа" hidden="1">{#N/A,#N/A,TRUE,"Фин.рез"}</definedName>
    <definedName name="аааа_1" hidden="1">{#N/A,#N/A,TRUE,"Фин.рез"}</definedName>
    <definedName name="аааааа" hidden="1">{#N/A,#N/A,TRUE,"Фин.рез"}</definedName>
    <definedName name="аааааа_1" hidden="1">{#N/A,#N/A,TRUE,"Фин.рез"}</definedName>
    <definedName name="ааааааа" hidden="1">{"'Sheet1'!$A$1:$G$85"}</definedName>
    <definedName name="ааааааааа" hidden="1">{"'Sheet1'!$A$1:$G$85"}</definedName>
    <definedName name="аап" hidden="1">{#N/A,#N/A,TRUE,"Фин.рез"}</definedName>
    <definedName name="аап_1" hidden="1">{#N/A,#N/A,TRUE,"Фин.рез"}</definedName>
    <definedName name="авопавопавоп" hidden="1">#REF!</definedName>
    <definedName name="авпа" hidden="1">#REF!,#REF!,#REF!,#REF!</definedName>
    <definedName name="авпвап" hidden="1">#REF!</definedName>
    <definedName name="аврваыр" hidden="1">{"glcbs",#N/A,FALSE,"GLCBS";"glccsbs",#N/A,FALSE,"GLCCSBS";"glcis",#N/A,FALSE,"GLCIS";"glccsis",#N/A,FALSE,"GLCCSIS";"glcrat1",#N/A,FALSE,"GLC-ratios1"}</definedName>
    <definedName name="АВС" hidden="1">#REF!</definedName>
    <definedName name="авыа" hidden="1">{#N/A,#N/A,FALSE,"101"}</definedName>
    <definedName name="авыпвап" hidden="1">#REF!</definedName>
    <definedName name="агсь" hidden="1">{"'Северо-Никольское '!$A$6:$J$40"}</definedName>
    <definedName name="аег" hidden="1">{#N/A,#N/A,FALSE,"Aging Summary";#N/A,#N/A,FALSE,"Ratio Analysis";#N/A,#N/A,FALSE,"Test 120 Day Accts";#N/A,#N/A,FALSE,"Tickmarks"}</definedName>
    <definedName name="анал.баланс" hidden="1">{#N/A,#N/A,TRUE,"План продаж";#N/A,#N/A,TRUE,"Склад гот.прод";#N/A,#N/A,TRUE,"План отгрузки"}</definedName>
    <definedName name="Анализ2" hidden="1">{#N/A,#N/A,TRUE,"План продаж";#N/A,#N/A,TRUE,"Склад гот.прод";#N/A,#N/A,TRUE,"План отгрузки"}</definedName>
    <definedName name="аоонегуу56" hidden="1">{#N/A,#N/A,TRUE,"Фин.рез"}</definedName>
    <definedName name="аоонегуу56_1" hidden="1">{#N/A,#N/A,TRUE,"Фин.рез"}</definedName>
    <definedName name="апав" hidden="1">{"'Северо-Никольское '!$A$6:$J$40"}</definedName>
    <definedName name="апап" hidden="1">{"AnalRSA",#N/A,TRUE,"PL-Anal";"AnalIAS",#N/A,TRUE,"PL-Anal"}</definedName>
    <definedName name="апглшданшдангд" hidden="1">#REF!</definedName>
    <definedName name="апог" hidden="1">#REF!</definedName>
    <definedName name="апор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апппппппппппп" hidden="1">{"'Sheet1'!$A$1:$G$85"}</definedName>
    <definedName name="апрв" hidden="1">{#N/A,#N/A,TRUE,"Фин.рез"}</definedName>
    <definedName name="апрв_1" hidden="1">{#N/A,#N/A,TRUE,"Фин.рез"}</definedName>
    <definedName name="апрц45" hidden="1">{#N/A,#N/A,TRUE,"Фин.рез"}</definedName>
    <definedName name="апрц45_1" hidden="1">{#N/A,#N/A,TRUE,"Фин.рез"}</definedName>
    <definedName name="апы" hidden="1">{#N/A,#N/A,TRUE,"Фин.рез"}</definedName>
    <definedName name="апы_1" hidden="1">{#N/A,#N/A,TRUE,"Фин.рез"}</definedName>
    <definedName name="аррап" hidden="1">{#N/A,#N/A,FALSE,"Aging Summary";#N/A,#N/A,FALSE,"Ratio Analysis";#N/A,#N/A,FALSE,"Test 120 Day Accts";#N/A,#N/A,FALSE,"Tickmarks"}</definedName>
    <definedName name="аыи" hidden="1">{"'Prices'!$A$4:$J$27"}</definedName>
    <definedName name="б" hidden="1">{"'Северо-Никольское '!$A$6:$J$40"}</definedName>
    <definedName name="ббло" hidden="1">{#N/A,#N/A,TRUE,"Фин.рез"}</definedName>
    <definedName name="ббло_1" hidden="1">{#N/A,#N/A,TRUE,"Фин.рез"}</definedName>
    <definedName name="бва" hidden="1">#REF!</definedName>
    <definedName name="бвк6" hidden="1">#REF!</definedName>
    <definedName name="бвк6е" hidden="1">#REF!</definedName>
    <definedName name="БД" hidden="1">{#N/A,#N/A,TRUE,"Фин.рез"}</definedName>
    <definedName name="БД_1" hidden="1">{#N/A,#N/A,TRUE,"Фин.рез"}</definedName>
    <definedName name="бдр" hidden="1">{"'РП (2)'!$A$5:$S$150"}</definedName>
    <definedName name="бьие" hidden="1">{"'Северо-Никольское '!$A$6:$J$40"}</definedName>
    <definedName name="В654" hidden="1">#REF!</definedName>
    <definedName name="ва_1" hidden="1">{#N/A,#N/A,TRUE,"Фин.рез"}</definedName>
    <definedName name="вавыа" hidden="1">{#N/A,#N/A,TRUE,"Фин.рез"}</definedName>
    <definedName name="вавыа_1" hidden="1">{#N/A,#N/A,TRUE,"Фин.рез"}</definedName>
    <definedName name="валор" hidden="1">{"'Sheet1'!$A$1:$G$85"}</definedName>
    <definedName name="ваолуогн" hidden="1">{#N/A,#N/A,TRUE,"Фин.рез"}</definedName>
    <definedName name="ваолуогн_1" hidden="1">{#N/A,#N/A,TRUE,"Фин.рез"}</definedName>
    <definedName name="вап" hidden="1">#REF!</definedName>
    <definedName name="вапав" hidden="1">#REF!</definedName>
    <definedName name="вапап" hidden="1">#REF!</definedName>
    <definedName name="вапроп" hidden="1">{"'Sheet1'!$A$1:$G$85"}</definedName>
    <definedName name="вар" hidden="1">#REF!</definedName>
    <definedName name="варр4ц5н342й" hidden="1">{#N/A,#N/A,TRUE,"Фин.рез"}</definedName>
    <definedName name="варр4ц5н342й_1" hidden="1">{#N/A,#N/A,TRUE,"Фин.рез"}</definedName>
    <definedName name="варрйц344444е65" hidden="1">{#N/A,#N/A,TRUE,"Фин.рез"}</definedName>
    <definedName name="варрйц344444е65_1" hidden="1">{#N/A,#N/A,TRUE,"Фин.рез"}</definedName>
    <definedName name="васм" hidden="1">{"'Северо-Никольское '!$A$6:$J$40"}</definedName>
    <definedName name="ваф" hidden="1">{"'РП (2)'!$A$5:$S$150"}</definedName>
    <definedName name="вв" hidden="1">{"программа",#N/A,TRUE,"lessons";"продажа оргтехники",#N/A,TRUE,"образец"}</definedName>
    <definedName name="вв_1" hidden="1">{#N/A,#N/A,TRUE,"Фин.рез"}</definedName>
    <definedName name="вваыв" hidden="1">#REF!</definedName>
    <definedName name="ввв" hidden="1">{"'Северо-Никольское '!$A$6:$J$40"}</definedName>
    <definedName name="вввв" hidden="1">{"'Северо-Никольское '!$A$6:$J$40"}</definedName>
    <definedName name="ввввввввввввв" hidden="1">{"'Sheet1'!$A$1:$G$85"}</definedName>
    <definedName name="вёёё" hidden="1">{#N/A,#N/A,TRUE,"Фин.рез"}</definedName>
    <definedName name="вёёё_1" hidden="1">{#N/A,#N/A,TRUE,"Фин.рез"}</definedName>
    <definedName name="веьг" hidden="1">#REF!</definedName>
    <definedName name="взд" hidden="1">{"NWN_Q1810",#N/A,FALSE,"Q1810_1.V";"NWN_Q1412",#N/A,FALSE,"Q1412_1"}</definedName>
    <definedName name="вика" hidden="1">{"'Северо-Никольское '!$A$6:$J$40"}</definedName>
    <definedName name="Виктор" hidden="1">#REF!</definedName>
    <definedName name="вке" hidden="1">#REF!</definedName>
    <definedName name="вкиег" hidden="1">#REF!</definedName>
    <definedName name="вкчннек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вла" hidden="1">{#N/A,#N/A,FALSE,"Aging Summary";#N/A,#N/A,FALSE,"Ratio Analysis";#N/A,#N/A,FALSE,"Test 120 Day Accts";#N/A,#N/A,FALSE,"Tickmarks"}</definedName>
    <definedName name="воавп" hidden="1">{"AnalRSA",#N/A,TRUE,"PL-Anal";"AnalIAS",#N/A,TRUE,"PL-Anal"}</definedName>
    <definedName name="вп" hidden="1">#REF!</definedName>
    <definedName name="впап" hidden="1">{#N/A,#N/A,TRUE,"Фин.рез"}</definedName>
    <definedName name="впап_1" hidden="1">{#N/A,#N/A,TRUE,"Фин.рез"}</definedName>
    <definedName name="впо" hidden="1">{"'Северо-Никольское '!$A$6:$J$40"}</definedName>
    <definedName name="впыы" hidden="1">{"glc1",#N/A,FALSE,"GLC";"glc2",#N/A,FALSE,"GLC";"glc3",#N/A,FALSE,"GLC";"glc4",#N/A,FALSE,"GLC";"glc5",#N/A,FALSE,"GLC"}</definedName>
    <definedName name="втыавит" hidden="1">#REF!</definedName>
    <definedName name="вчкнн" hidden="1">{"IAS Mapping",#N/A,FALSE,"RSA_FS";#N/A,#N/A,FALSE,"CHECK!";#N/A,#N/A,FALSE,"Recon";#N/A,#N/A,FALSE,"NMG";#N/A,#N/A,FALSE,"Journals";"AnalRSA",#N/A,FALSE,"PL-Anal";"AnalIAS",#N/A,FALSE,"PL-Anal";#N/A,#N/A,FALSE,"COS"}</definedName>
    <definedName name="выадлр" hidden="1">{"glc1",#N/A,FALSE,"GLC";"glc2",#N/A,FALSE,"GLC";"glc3",#N/A,FALSE,"GLC";"glc4",#N/A,FALSE,"GLC";"glc5",#N/A,FALSE,"GLC"}</definedName>
    <definedName name="выбранный_период" hidden="1">#REF!</definedName>
    <definedName name="вывывывы" hidden="1">{"glc1",#N/A,FALSE,"GLC";"glc2",#N/A,FALSE,"GLC";"glc3",#N/A,FALSE,"GLC";"glc4",#N/A,FALSE,"GLC";"glc5",#N/A,FALSE,"GLC"}</definedName>
    <definedName name="генгуу56" hidden="1">{#N/A,#N/A,TRUE,"Фин.рез"}</definedName>
    <definedName name="генгуу56_1" hidden="1">{#N/A,#N/A,TRUE,"Фин.рез"}</definedName>
    <definedName name="гнл" hidden="1">{"'Северо-Никольское '!$A$6:$J$40"}</definedName>
    <definedName name="гнрр45ен45" hidden="1">{#N/A,#N/A,TRUE,"Фин.рез"}</definedName>
    <definedName name="гнрр45ен45_1" hidden="1">{#N/A,#N/A,TRUE,"Фин.рез"}</definedName>
    <definedName name="гнш" hidden="1">{#N/A,#N/A,FALSE,"Aging Summary";#N/A,#N/A,FALSE,"Ratio Analysis";#N/A,#N/A,FALSE,"Test 120 Day Accts";#N/A,#N/A,FALSE,"Tickmarks"}</definedName>
    <definedName name="гншшен" hidden="1">{#N/A,"100% Success",TRUE,"Sales Forecast";#N/A,#N/A,TRUE,"Sheet2"}</definedName>
    <definedName name="гншщ" hidden="1">{#N/A,#N/A,FALSE,"Aging Summary";#N/A,#N/A,FALSE,"Ratio Analysis";#N/A,#N/A,FALSE,"Test 120 Day Accts";#N/A,#N/A,FALSE,"Tickmarks"}</definedName>
    <definedName name="гогог" hidden="1">#REF!</definedName>
    <definedName name="граф2" hidden="1">#REF!</definedName>
    <definedName name="гукегг456г4" hidden="1">{#N/A,#N/A,TRUE,"Фин.рез"}</definedName>
    <definedName name="гукегг456г4_1" hidden="1">{#N/A,#N/A,TRUE,"Фин.рез"}</definedName>
    <definedName name="Д99" hidden="1">#REF!</definedName>
    <definedName name="дбдбд" hidden="1">#REF!</definedName>
    <definedName name="двыставыты" hidden="1">{#N/A,#N/A,TRUE,"Фин.рез"}</definedName>
    <definedName name="двыставыты_1" hidden="1">{#N/A,#N/A,TRUE,"Фин.рез"}</definedName>
    <definedName name="дгн" hidden="1">{"'Северо-Никольское '!$A$6:$J$40"}</definedName>
    <definedName name="дж" hidden="1">#REF!</definedName>
    <definedName name="джл" hidden="1">{"assets",#N/A,FALSE,"historicBS";"liab",#N/A,FALSE,"historicBS";"is",#N/A,FALSE,"historicIS";"ratios",#N/A,FALSE,"ratios"}</definedName>
    <definedName name="ДЗ_1" hidden="1">{#N/A,#N/A,FALSE,"Aging Summary";#N/A,#N/A,FALSE,"Ratio Analysis";#N/A,#N/A,FALSE,"Test 120 Day Accts";#N/A,#N/A,FALSE,"Tickmarks"}</definedName>
    <definedName name="ДЗЩЛЗХ" hidden="1">{#N/A,#N/A,FALSE,"Aging Summary";#N/A,#N/A,FALSE,"Ratio Analysis";#N/A,#N/A,FALSE,"Test 120 Day Accts";#N/A,#N/A,FALSE,"Tickmarks"}</definedName>
    <definedName name="длднгш" hidden="1">#REF!</definedName>
    <definedName name="дло" hidden="1">{"'Prices'!$A$4:$J$27"}</definedName>
    <definedName name="дозо" hidden="1">{#N/A,#N/A,FALSE,"Aging Summary";#N/A,#N/A,FALSE,"Ratio Analysis";#N/A,#N/A,FALSE,"Test 120 Day Accts";#N/A,#N/A,FALSE,"Tickmarks"}</definedName>
    <definedName name="дпв" hidden="1">{"'Северо-Никольское '!$A$6:$J$40"}</definedName>
    <definedName name="Дподр09" hidden="1">#REF!</definedName>
    <definedName name="дшн" hidden="1">{"'Северо-Никольское '!$A$6:$J$40"}</definedName>
    <definedName name="е4е" hidden="1">{"glc1",#N/A,FALSE,"GLC";"glc2",#N/A,FALSE,"GLC";"glc3",#N/A,FALSE,"GLC";"glc4",#N/A,FALSE,"GLC";"glc5",#N/A,FALSE,"GLC"}</definedName>
    <definedName name="еееееее" hidden="1">{#N/A,"30% Success",TRUE,"Sales Forecast";#N/A,#N/A,TRUE,"Sheet2"}</definedName>
    <definedName name="екгуу465555" hidden="1">{#N/A,#N/A,TRUE,"Фин.рез"}</definedName>
    <definedName name="екгуу465555_1" hidden="1">{#N/A,#N/A,TRUE,"Фин.рез"}</definedName>
    <definedName name="екн" hidden="1">{#N/A,#N/A,FALSE,"Aging Summary";#N/A,#N/A,FALSE,"Ratio Analysis";#N/A,#N/A,FALSE,"Test 120 Day Accts";#N/A,#N/A,FALSE,"Tickmarks"}</definedName>
    <definedName name="екп" hidden="1">#REF!</definedName>
    <definedName name="екпр" hidden="1">{"glc1",#N/A,FALSE,"GLC";"glc2",#N/A,FALSE,"GLC";"glc3",#N/A,FALSE,"GLC";"glc4",#N/A,FALSE,"GLC";"glc5",#N/A,FALSE,"GLC"}</definedName>
    <definedName name="екр5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енг" hidden="1">{"'Северо-Никольское '!$A$6:$J$40"}</definedName>
    <definedName name="енгг" hidden="1">{"'Sheet1'!$A$1:$G$85"}</definedName>
    <definedName name="енггенггу456" hidden="1">{#N/A,#N/A,TRUE,"Фин.рез"}</definedName>
    <definedName name="енггенггу456_1" hidden="1">{#N/A,#N/A,TRUE,"Фин.рез"}</definedName>
    <definedName name="енгпра" hidden="1">{#N/A,#N/A,FALSE,"Aging Summary";#N/A,#N/A,FALSE,"Ratio Analysis";#N/A,#N/A,FALSE,"Test 120 Day Accts";#N/A,#N/A,FALSE,"Tickmarks"}</definedName>
    <definedName name="енлу5566" hidden="1">{#N/A,#N/A,TRUE,"Фин.рез"}</definedName>
    <definedName name="енлу5566_1" hidden="1">{#N/A,#N/A,TRUE,"Фин.рез"}</definedName>
    <definedName name="енлу56н" hidden="1">{#N/A,#N/A,TRUE,"Фин.рез"}</definedName>
    <definedName name="енлу56н_1" hidden="1">{#N/A,#N/A,TRUE,"Фин.рез"}</definedName>
    <definedName name="еноегук" hidden="1">{#N/A,#N/A,TRUE,"Фин.рез"}</definedName>
    <definedName name="еноегук_1" hidden="1">{#N/A,#N/A,TRUE,"Фин.рез"}</definedName>
    <definedName name="енрнро" hidden="1">{"'Prices'!$A$4:$J$27"}</definedName>
    <definedName name="еншег456г" hidden="1">{#N/A,#N/A,TRUE,"Фин.рез"}</definedName>
    <definedName name="еншег456г_1" hidden="1">{#N/A,#N/A,TRUE,"Фин.рез"}</definedName>
    <definedName name="еншн" hidden="1">{"IASTrail",#N/A,FALSE,"IAS"}</definedName>
    <definedName name="еоооавпоуке" hidden="1">{#N/A,#N/A,TRUE,"Фин.рез"}</definedName>
    <definedName name="еоооавпоуке_1" hidden="1">{#N/A,#N/A,TRUE,"Фин.рез"}</definedName>
    <definedName name="еоргне" hidden="1">{#N/A,#N/A,FALSE,"Aging Summary";#N/A,#N/A,FALSE,"Ratio Analysis";#N/A,#N/A,FALSE,"Test 120 Day Accts";#N/A,#N/A,FALSE,"Tickmarks"}</definedName>
    <definedName name="епрыкепр" hidden="1">{"assets",#N/A,FALSE,"historicBS";"liab",#N/A,FALSE,"historicBS";"is",#N/A,FALSE,"historicIS";"ratios",#N/A,FALSE,"ratios"}</definedName>
    <definedName name="еркер" hidden="1">{"'Prices'!$A$4:$J$27"}</definedName>
    <definedName name="еррц45н4" hidden="1">{#N/A,#N/A,TRUE,"Фин.рез"}</definedName>
    <definedName name="еррц45н4_1" hidden="1">{#N/A,#N/A,TRUE,"Фин.рез"}</definedName>
    <definedName name="етнть" hidden="1">#N/A</definedName>
    <definedName name="еьнувенот" hidden="1">{#N/A,#N/A,TRUE,"Фин.рез"}</definedName>
    <definedName name="еьнувенот_1" hidden="1">{#N/A,#N/A,TRUE,"Фин.рез"}</definedName>
    <definedName name="ж\" hidden="1">{"'Prices'!$A$4:$J$27"}</definedName>
    <definedName name="жддж" hidden="1">#REF!</definedName>
    <definedName name="ждджэ" hidden="1">#REF!</definedName>
    <definedName name="ждл" hidden="1">#REF!</definedName>
    <definedName name="жжж" hidden="1">{"'Северо-Никольское '!$A$6:$J$40"}</definedName>
    <definedName name="жощз0" hidden="1">{"'Северо-Никольское '!$A$6:$J$40"}</definedName>
    <definedName name="жую" hidden="1">{"'Северо-Никольское '!$A$6:$J$40"}</definedName>
    <definedName name="жфлп" hidden="1">{"'Северо-Никольское '!$A$6:$J$40"}</definedName>
    <definedName name="ззз" hidden="1">{"'Северо-Никольское '!$A$6:$J$40"}</definedName>
    <definedName name="иии_1" hidden="1">{#N/A,#N/A,TRUE,"Фин.рез"}</definedName>
    <definedName name="ииииии" hidden="1">{#N/A,#N/A,FALSE,"Aging Summary";#N/A,#N/A,FALSE,"Ratio Analysis";#N/A,#N/A,FALSE,"Test 120 Day Accts";#N/A,#N/A,FALSE,"Tickmarks"}</definedName>
    <definedName name="иииииии" hidden="1">{"data",#N/A,FALSE,"INPUT"}</definedName>
    <definedName name="иицу" hidden="1">{#N/A,#N/A,TRUE,"MAP";#N/A,#N/A,TRUE,"STEPS";#N/A,#N/A,TRUE,"RULES"}</definedName>
    <definedName name="ИСХ20191" hidden="1">#REF!</definedName>
    <definedName name="итбь" hidden="1">{"'Северо-Никольское '!$A$6:$J$40"}</definedName>
    <definedName name="иык" hidden="1">#REF!</definedName>
    <definedName name="йуц" hidden="1">#REF!</definedName>
    <definedName name="йфффф" hidden="1">#REF!</definedName>
    <definedName name="йц" hidden="1">{"'Северо-Никольское '!$A$6:$J$40"}</definedName>
    <definedName name="йцк" hidden="1">#REF!</definedName>
    <definedName name="йцкк" hidden="1">#REF!</definedName>
    <definedName name="йцуу" hidden="1">#REF!</definedName>
    <definedName name="какак" hidden="1">#REF!</definedName>
    <definedName name="кап" hidden="1">{"glc1",#N/A,FALSE,"GLC";"glc2",#N/A,FALSE,"GLC";"glc3",#N/A,FALSE,"GLC";"glc4",#N/A,FALSE,"GLC";"glc5",#N/A,FALSE,"GLC"}</definedName>
    <definedName name="кау" hidden="1">{"assets",#N/A,FALSE,"historicBS";"liab",#N/A,FALSE,"historicBS";"is",#N/A,FALSE,"historicIS";"ratios",#N/A,FALSE,"ratios"}</definedName>
    <definedName name="кв" hidden="1">{#N/A,#N/A,TRUE,"План продаж";#N/A,#N/A,TRUE,"Склад гот.прод";#N/A,#N/A,TRUE,"План отгрузки"}</definedName>
    <definedName name="квновенлвепнлвел" hidden="1">#REF!,#REF!,#REF!,#REF!,#REF!,#REF!,#REF!,#REF!,#REF!,#REF!,#REF!,#REF!,#REF!,#REF!,#REF!,#REF!,#REF!,#REF!,#REF!,#REF!</definedName>
    <definedName name="квог" hidden="1">{"glc1",#N/A,FALSE,"GLC";"glc2",#N/A,FALSE,"GLC";"glc3",#N/A,FALSE,"GLC";"glc4",#N/A,FALSE,"GLC";"glc5",#N/A,FALSE,"GLC"}</definedName>
    <definedName name="кгнн" hidden="1">{"'Sheet1'!$A$1:$G$85"}</definedName>
    <definedName name="кег" hidden="1">#REF!</definedName>
    <definedName name="кегггапог56" hidden="1">{#N/A,#N/A,TRUE,"Фин.рез"}</definedName>
    <definedName name="кегггапог56_1" hidden="1">{#N/A,#N/A,TRUE,"Фин.рез"}</definedName>
    <definedName name="кегкуегг54" hidden="1">{#N/A,#N/A,TRUE,"Фин.рез"}</definedName>
    <definedName name="кегкуегг54_1" hidden="1">{#N/A,#N/A,TRUE,"Фин.рез"}</definedName>
    <definedName name="кегнц45г" hidden="1">{#N/A,#N/A,TRUE,"Фин.рез"}</definedName>
    <definedName name="кегнц45г_1" hidden="1">{#N/A,#N/A,TRUE,"Фин.рез"}</definedName>
    <definedName name="кеп" hidden="1">{"'Северо-Никольское '!$A$6:$J$40"}</definedName>
    <definedName name="керкер" hidden="1">{"'Prices'!$A$4:$J$27"}</definedName>
    <definedName name="керо657нг43" hidden="1">{#N/A,#N/A,TRUE,"Фин.рез"}</definedName>
    <definedName name="керо657нг43_1" hidden="1">{#N/A,#N/A,TRUE,"Фин.рез"}</definedName>
    <definedName name="керруц4576н43" hidden="1">{#N/A,#N/A,TRUE,"Фин.рез"}</definedName>
    <definedName name="керруц4576н43_1" hidden="1">{#N/A,#N/A,TRUE,"Фин.рез"}</definedName>
    <definedName name="кеу" hidden="1">{"'Северо-Никольское '!$A$6:$J$40"}</definedName>
    <definedName name="Кипр" hidden="1">#REF!</definedName>
    <definedName name="кккк" hidden="1">{"'Северо-Никольское '!$A$6:$J$40"}</definedName>
    <definedName name="кнн" hidden="1">{#N/A,#N/A,FALSE,"Aging Summary";#N/A,#N/A,FALSE,"Ratio Analysis";#N/A,#N/A,FALSE,"Test 120 Day Accts";#N/A,#N/A,FALSE,"Tickmarks"}</definedName>
    <definedName name="кну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Код_БК" hidden="1">#REF!</definedName>
    <definedName name="Контракт2" hidden="1">{"glc1",#N/A,FALSE,"GLC";"glc2",#N/A,FALSE,"GLC";"glc3",#N/A,FALSE,"GLC";"glc4",#N/A,FALSE,"GLC";"glc5",#N/A,FALSE,"GLC"}</definedName>
    <definedName name="конф" hidden="1">{"'РП (2)'!$A$5:$S$150"}</definedName>
    <definedName name="кор" hidden="1">{"PRINTME",#N/A,FALSE,"FINAL-10"}</definedName>
    <definedName name="Корр_сост" hidden="1">{#N/A,#N/A,FALSE,"Aging Summary";#N/A,#N/A,FALSE,"Ratio Analysis";#N/A,#N/A,FALSE,"Test 120 Day Accts";#N/A,#N/A,FALSE,"Tickmarks"}</definedName>
    <definedName name="коэф." hidden="1">{#N/A,#N/A,TRUE,"План продаж";#N/A,#N/A,TRUE,"Склад гот.прод";#N/A,#N/A,TRUE,"План отгрузки"}</definedName>
    <definedName name="коэф.эффект." hidden="1">{#N/A,#N/A,TRUE,"План продаж";#N/A,#N/A,TRUE,"Склад гот.прод";#N/A,#N/A,TRUE,"План отгрузки"}</definedName>
    <definedName name="коэфициенты" hidden="1">{#N/A,#N/A,TRUE,"План продаж";#N/A,#N/A,TRUE,"Склад гот.прод";#N/A,#N/A,TRUE,"План отгрузки"}</definedName>
    <definedName name="куеор5цу6н432" hidden="1">{#N/A,#N/A,TRUE,"Фин.рез"}</definedName>
    <definedName name="куеор5цу6н432_1" hidden="1">{#N/A,#N/A,TRUE,"Фин.рез"}</definedName>
    <definedName name="курнана" hidden="1">{"assets",#N/A,FALSE,"historicBS";"liab",#N/A,FALSE,"historicBS";"is",#N/A,FALSE,"historicIS";"ratios",#N/A,FALSE,"ratios"}</definedName>
    <definedName name="куу" hidden="1">{#N/A,#N/A,FALSE,"1996";#N/A,#N/A,FALSE,"1995";#N/A,#N/A,FALSE,"1994"}</definedName>
    <definedName name="кшт" hidden="1">#REF!</definedName>
    <definedName name="КЮ" hidden="1">OFFSET(#REF!,MATCH(#REF!,#REF!,0)-1,-2,COUNTIF(#REF!,#REF!),1)</definedName>
    <definedName name="л657ш35у" hidden="1">{#N/A,#N/A,TRUE,"Фин.рез"}</definedName>
    <definedName name="л657ш35у_1" hidden="1">{#N/A,#N/A,TRUE,"Фин.рез"}</definedName>
    <definedName name="лбпдщюж" hidden="1">{#N/A,#N/A,TRUE,"Фин.рез"}</definedName>
    <definedName name="лбпдщюж_1" hidden="1">{#N/A,#N/A,TRUE,"Фин.рез"}</definedName>
    <definedName name="лдор" hidden="1">{"glc1",#N/A,FALSE,"GLC";"glc2",#N/A,FALSE,"GLC";"glc3",#N/A,FALSE,"GLC";"glc4",#N/A,FALSE,"GLC";"glc5",#N/A,FALSE,"GLC"}</definedName>
    <definedName name="лдт" hidden="1">{"assets",#N/A,FALSE,"historicBS";"liab",#N/A,FALSE,"historicBS";"is",#N/A,FALSE,"historicIS";"ratios",#N/A,FALSE,"ratios"}</definedName>
    <definedName name="лера" hidden="1">{"'Северо-Никольское '!$A$6:$J$40"}</definedName>
    <definedName name="ликвидность" hidden="1">{#N/A,#N/A,TRUE,"План продаж";#N/A,#N/A,TRUE,"Склад гот.прод";#N/A,#N/A,TRUE,"План отгрузки"}</definedName>
    <definedName name="ллл_1" hidden="1">{#N/A,#N/A,TRUE,"Фин.рез"}</definedName>
    <definedName name="лолол" hidden="1">#REF!</definedName>
    <definedName name="лололльд" hidden="1">{#N/A,#N/A,TRUE,"Фин.рез"}</definedName>
    <definedName name="лололльд_1" hidden="1">{#N/A,#N/A,TRUE,"Фин.рез"}</definedName>
    <definedName name="лпа" hidden="1">#REF!</definedName>
    <definedName name="лпрап" hidden="1">{"'Sheet1'!$A$1:$G$85"}</definedName>
    <definedName name="лрпро" hidden="1">{"'Sheet1'!$A$1:$G$85"}</definedName>
    <definedName name="лцу" hidden="1">{"'Северо-Никольское '!$A$6:$J$40"}</definedName>
    <definedName name="лчсп" hidden="1">#REF!</definedName>
    <definedName name="лшшш76ш" hidden="1">{#N/A,#N/A,TRUE,"Фин.рез"}</definedName>
    <definedName name="лшшш76ш_1" hidden="1">{#N/A,#N/A,TRUE,"Фин.рез"}</definedName>
    <definedName name="май" hidden="1">{#N/A,#N/A,TRUE,"Фин.рез"}</definedName>
    <definedName name="май_1" hidden="1">{#N/A,#N/A,TRUE,"Фин.рез"}</definedName>
    <definedName name="мапор" hidden="1">{"'Sheet1'!$A$1:$G$85"}</definedName>
    <definedName name="март" hidden="1">{#N/A,#N/A,TRUE,"Фин.рез"}</definedName>
    <definedName name="март_1" hidden="1">{#N/A,#N/A,TRUE,"Фин.рез"}</definedName>
    <definedName name="мит" hidden="1">{"assets",#N/A,FALSE,"historicBS";"liab",#N/A,FALSE,"historicBS";"is",#N/A,FALSE,"historicIS";"ratios",#N/A,FALSE,"ratios"}</definedName>
    <definedName name="мммм" hidden="1">{"'Северо-Никольское '!$A$6:$J$40"}</definedName>
    <definedName name="ммммммм" hidden="1">{#N/A,#N/A,TRUE,"Фин.рез"}</definedName>
    <definedName name="ммммммм_1" hidden="1">{#N/A,#N/A,TRUE,"Фин.рез"}</definedName>
    <definedName name="мммммммм" hidden="1">{"'РП (2)'!$A$5:$S$150"}</definedName>
    <definedName name="ммт" hidden="1">{"'Северо-Никольское '!$A$6:$J$40"}</definedName>
    <definedName name="мпро" hidden="1">{"IASTrail",#N/A,FALSE,"IAS"}</definedName>
    <definedName name="мрмр" hidden="1">{#N/A,#N/A,FALSE,"Aging Summary";#N/A,#N/A,FALSE,"Ratio Analysis";#N/A,#N/A,FALSE,"Test 120 Day Accts";#N/A,#N/A,FALSE,"Tickmarks"}</definedName>
    <definedName name="мча" hidden="1">#REF!</definedName>
    <definedName name="нак" hidden="1">{"'Sheet1'!$A$1:$G$85"}</definedName>
    <definedName name="нгшг" hidden="1">{"'Северо-Никольское '!$A$6:$J$40"}</definedName>
    <definedName name="неоеунорнеу" hidden="1">{#N/A,#N/A,TRUE,"Фин.рез"}</definedName>
    <definedName name="неоеунорнеу_1" hidden="1">{#N/A,#N/A,TRUE,"Фин.рез"}</definedName>
    <definedName name="ннн" hidden="1">{#N/A,#N/A,TRUE,"Фин.рез"}</definedName>
    <definedName name="ннн_1" hidden="1">{#N/A,#N/A,TRUE,"Фин.рез"}</definedName>
    <definedName name="новая" hidden="1">{"'Северо-Никольское '!$A$6:$J$40"}</definedName>
    <definedName name="ноо" hidden="1">#N/A</definedName>
    <definedName name="ноя" hidden="1">{#N/A,#N/A,TRUE,"Фин.рез"}</definedName>
    <definedName name="ноя_1" hidden="1">{#N/A,#N/A,TRUE,"Фин.рез"}</definedName>
    <definedName name="нр4ц5нгр45у" hidden="1">{#N/A,#N/A,TRUE,"Фин.рез"}</definedName>
    <definedName name="нр4ц5нгр45у_1" hidden="1">{#N/A,#N/A,TRUE,"Фин.рез"}</definedName>
    <definedName name="нрнрн" hidden="1">#REF!</definedName>
    <definedName name="нрр" hidden="1">{#N/A,#N/A,TRUE,"Фин.рез"}</definedName>
    <definedName name="нрр_1" hidden="1">{#N/A,#N/A,TRUE,"Фин.рез"}</definedName>
    <definedName name="нш" hidden="1">#REF!</definedName>
    <definedName name="о61005" hidden="1">{"print95",#N/A,FALSE,"1995E.XLS";"print96",#N/A,FALSE,"1996E.XLS"}</definedName>
    <definedName name="ожид.ТО" hidden="1">{#N/A,#N/A,TRUE,"Фин.рез"}</definedName>
    <definedName name="ожид.ТО_1" hidden="1">{#N/A,#N/A,TRUE,"Фин.рез"}</definedName>
    <definedName name="океоокуаыа" hidden="1">{"'Sheet1'!$A$1:$G$85"}</definedName>
    <definedName name="октябрь" hidden="1">{#N/A,#N/A,TRUE,"План продаж";#N/A,#N/A,TRUE,"Склад гот.прод";#N/A,#N/A,TRUE,"План отгрузки"}</definedName>
    <definedName name="окцщ8" hidden="1">{"'Северо-Никольское '!$A$6:$J$40"}</definedName>
    <definedName name="олдж" hidden="1">{"'Северо-Никольское '!$A$6:$J$40"}</definedName>
    <definedName name="олол" hidden="1">#REF!</definedName>
    <definedName name="олр" hidden="1">{#N/A,#N/A,TRUE,"Фин.рез"}</definedName>
    <definedName name="олр_1" hidden="1">{#N/A,#N/A,TRUE,"Фин.рез"}</definedName>
    <definedName name="онгвыкег" hidden="1">{#N/A,#N/A,TRUE,"Фин.рез"}</definedName>
    <definedName name="онгвыкег_1" hidden="1">{#N/A,#N/A,TRUE,"Фин.рез"}</definedName>
    <definedName name="онлгл" hidden="1">{"IASBS",#N/A,TRUE,"IAS";"IASPL",#N/A,TRUE,"IAS";"IASNotes",#N/A,TRUE,"IAS";"CFDir - expanded",#N/A,TRUE,"CF DIR"}</definedName>
    <definedName name="оо" hidden="1">{#N/A,#N/A,FALSE,"101"}</definedName>
    <definedName name="оолдг" hidden="1">{#N/A,"10% Success",FALSE,"Sales Forecast";#N/A,#N/A,FALSE,"Sheet2"}</definedName>
    <definedName name="оооо_1" hidden="1">{#N/A,#N/A,TRUE,"Фин.рез"}</definedName>
    <definedName name="ооооооо" hidden="1">{#N/A,"30% Success",TRUE,"Sales Forecast";#N/A,#N/A,TRUE,"Sheet2"}</definedName>
    <definedName name="оооооооо" hidden="1">{"'Sheet1'!$A$1:$G$85"}</definedName>
    <definedName name="оопаорапорпр" hidden="1">{"'Северо-Никольское '!$A$6:$J$40"}</definedName>
    <definedName name="опоыо" hidden="1">#REF!</definedName>
    <definedName name="опыоо" hidden="1">#REF!</definedName>
    <definedName name="ор" hidden="1">{#N/A,#N/A,TRUE,"План продаж";#N/A,#N/A,TRUE,"Склад гот.прод";#N/A,#N/A,TRUE,"План отгрузки"}</definedName>
    <definedName name="ор76к45го" hidden="1">{#N/A,#N/A,TRUE,"Фин.рез"}</definedName>
    <definedName name="ор76к45го_1" hidden="1">{#N/A,#N/A,TRUE,"Фин.рез"}</definedName>
    <definedName name="отгрузка1" hidden="1">{#N/A,#N/A,TRUE,"План продаж";#N/A,#N/A,TRUE,"Склад гот.прод";#N/A,#N/A,TRUE,"План отгрузки"}</definedName>
    <definedName name="отменить" hidden="1">{"'Описания'!$A$2:$H$114"}</definedName>
    <definedName name="ошибка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паап" hidden="1">#REF!</definedName>
    <definedName name="павап" hidden="1">#REF!</definedName>
    <definedName name="панлуе65" hidden="1">{#N/A,#N/A,TRUE,"Фин.рез"}</definedName>
    <definedName name="панлуе65_1" hidden="1">{#N/A,#N/A,TRUE,"Фин.рез"}</definedName>
    <definedName name="паопв" hidden="1">{"assets",#N/A,FALSE,"historicBS";"liab",#N/A,FALSE,"historicBS";"is",#N/A,FALSE,"historicIS";"ratios",#N/A,FALSE,"ratios"}</definedName>
    <definedName name="пар" hidden="1">#REF!</definedName>
    <definedName name="парваопво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паыел" hidden="1">{"'Северо-Никольское '!$A$6:$J$40"}</definedName>
    <definedName name="пвап" hidden="1">#REF!</definedName>
    <definedName name="пеп" hidden="1">{#N/A,#N/A,TRUE,"Фин.рез"}</definedName>
    <definedName name="пеп_1" hidden="1">{#N/A,#N/A,TRUE,"Фин.рез"}</definedName>
    <definedName name="пй" hidden="1">{#N/A,#N/A,FALSE,"Aging Summary";#N/A,#N/A,FALSE,"Ratio Analysis";#N/A,#N/A,FALSE,"Test 120 Day Accts";#N/A,#N/A,FALSE,"Tickmarks"}</definedName>
    <definedName name="плн" hidden="1">{#N/A,"70% Success",FALSE,"Sales Forecast";#N/A,#N/A,FALSE,"Sheet2"}</definedName>
    <definedName name="пн" hidden="1">{#N/A,#N/A,TRUE,"План продаж";#N/A,#N/A,TRUE,"Склад гот.прод";#N/A,#N/A,TRUE,"План отгрузки"}</definedName>
    <definedName name="пнл" hidden="1">{"assets",#N/A,FALSE,"historicBS";"liab",#N/A,FALSE,"historicBS";"is",#N/A,FALSE,"historicIS";"ratios",#N/A,FALSE,"ratios"}</definedName>
    <definedName name="подразделения" hidden="1">{"PRINTME",#N/A,FALSE,"FINAL-10"}</definedName>
    <definedName name="Подстатья" hidden="1">OFFSET(#REF!,MATCH(#REF!,#REF!,0)-1,5,COUNTIF(#REF!,#REF!),1)</definedName>
    <definedName name="пон" hidden="1">{#N/A,"30% Success",TRUE,"Sales Forecast";#N/A,#N/A,TRUE,"Sheet2"}</definedName>
    <definedName name="поонег365" hidden="1">{#N/A,#N/A,TRUE,"Фин.рез"}</definedName>
    <definedName name="поонег365_1" hidden="1">{#N/A,#N/A,TRUE,"Фин.рез"}</definedName>
    <definedName name="попопр" hidden="1">{#N/A,#N/A,FALSE,"Kalkulace"}</definedName>
    <definedName name="ппол" hidden="1">{#N/A,#N/A,FALSE,"Aging Summary";#N/A,#N/A,FALSE,"Ratio Analysis";#N/A,#N/A,FALSE,"Test 120 Day Accts";#N/A,#N/A,FALSE,"Tickmarks"}</definedName>
    <definedName name="пппппп" localSheetId="1" hidden="1">Main.SAPF4Help()</definedName>
    <definedName name="пппппп" localSheetId="3" hidden="1">Main.SAPF4Help()</definedName>
    <definedName name="пппппп" localSheetId="13" hidden="1">Main.SAPF4Help()</definedName>
    <definedName name="пппппп" hidden="1">Main.SAPF4Help()</definedName>
    <definedName name="ппппппп" hidden="1">{#N/A,"100% Success",TRUE,"Sales Forecast";#N/A,#N/A,TRUE,"Sheet2"}</definedName>
    <definedName name="пппппппп" hidden="1">{#N/A,"70% Success",FALSE,"Sales Forecast";#N/A,#N/A,FALSE,"Sheet2"}</definedName>
    <definedName name="првопд" hidden="1">{#N/A,#N/A,FALSE,"Infl_fact"}</definedName>
    <definedName name="привет" hidden="1">{"'Описания'!$A$2:$H$114"}</definedName>
    <definedName name="прил19" hidden="1">#REF!</definedName>
    <definedName name="проав" hidden="1">{"glc1",#N/A,FALSE,"GLC";"glc2",#N/A,FALSE,"GLC";"glc3",#N/A,FALSE,"GLC";"glc4",#N/A,FALSE,"GLC";"glc5",#N/A,FALSE,"GLC"}</definedName>
    <definedName name="проба" hidden="1">{"NWN_Q1810",#N/A,FALSE,"Q1810_1.V";"NWN_Q1412",#N/A,FALSE,"Q1412_1"}</definedName>
    <definedName name="проба1" hidden="1">{"NWN_Q1810",#N/A,FALSE,"Q1810_1.V";"NWN_Q1412",#N/A,FALSE,"Q1412_1"}</definedName>
    <definedName name="прорплорп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ПроцентЗавершенияВБудущем" hidden="1">(#REF!=MEDIAN(#REF!,#REF!,#REF!+#REF!)*(#REF!&gt;0))*((#REF!&lt;(INT(#REF!+#REF!*#REF!)))+(#REF!=#REF!))*(#REF!&gt;0)</definedName>
    <definedName name="прпол" hidden="1">{"'Северо-Никольское '!$A$6:$J$40"}</definedName>
    <definedName name="прроовопрвсо" hidden="1">#REF!</definedName>
    <definedName name="прьь" hidden="1">{"'Prices'!$A$4:$J$27"}</definedName>
    <definedName name="птг" hidden="1">#REF!</definedName>
    <definedName name="птш" hidden="1">#REF!</definedName>
    <definedName name="пук" hidden="1">{"'Северо-Никольское '!$A$6:$J$40"}</definedName>
    <definedName name="пфыукп" hidden="1">#REF!</definedName>
    <definedName name="рап" hidden="1">{#N/A,#N/A,TRUE,"Фин.рез"}</definedName>
    <definedName name="рап_1" hidden="1">{#N/A,#N/A,TRUE,"Фин.рез"}</definedName>
    <definedName name="рас" hidden="1">{#N/A,#N/A,TRUE,"Фин.рез"}</definedName>
    <definedName name="рас_1" hidden="1">{#N/A,#N/A,TRUE,"Фин.рез"}</definedName>
    <definedName name="расходы_07" hidden="1">{#N/A,#N/A,TRUE,"Фин.рез"}</definedName>
    <definedName name="расходы_07_1" hidden="1">{#N/A,#N/A,TRUE,"Фин.рез"}</definedName>
    <definedName name="расходы07" hidden="1">{#N/A,#N/A,TRUE,"Фин.рез"}</definedName>
    <definedName name="расходы07_1" hidden="1">{#N/A,#N/A,TRUE,"Фин.рез"}</definedName>
    <definedName name="раяыорч" hidden="1">{#N/A,#N/A,FALSE,"Aging Summary";#N/A,#N/A,FALSE,"Ratio Analysis";#N/A,#N/A,FALSE,"Test 120 Day Accts";#N/A,#N/A,FALSE,"Tickmarks"}</definedName>
    <definedName name="рз" hidden="1">{"'Sheet1'!$A$1:$G$85"}</definedName>
    <definedName name="рол_1" hidden="1">{#N/A,#N/A,TRUE,"Фин.рез"}</definedName>
    <definedName name="ророп" hidden="1">{"AnalRSA",#N/A,TRUE,"PL-Anal";"AnalIAS",#N/A,TRUE,"PL-Anal"}</definedName>
    <definedName name="рпл" hidden="1">{#N/A,#N/A,FALSE,"FA_1";#N/A,#N/A,FALSE,"Dep'n SE";#N/A,#N/A,FALSE,"Dep'n FC"}</definedName>
    <definedName name="рпло" hidden="1">{"'Северо-Никольское '!$A$6:$J$40"}</definedName>
    <definedName name="рпоыо" hidden="1">#REF!</definedName>
    <definedName name="рпра" hidden="1">#REF!</definedName>
    <definedName name="рр" hidden="1">{#N/A,#N/A,TRUE,"Фин.рез"}</definedName>
    <definedName name="рр_1" hidden="1">{#N/A,#N/A,TRUE,"Фин.рез"}</definedName>
    <definedName name="ррр" hidden="1">{#N/A,#N/A,TRUE,"Фин.рез"}</definedName>
    <definedName name="ррр_1" hidden="1">{#N/A,#N/A,TRUE,"Фин.рез"}</definedName>
    <definedName name="РРУ" hidden="1">#REF!</definedName>
    <definedName name="рунер34у5" hidden="1">{#N/A,#N/A,TRUE,"Фин.рез"}</definedName>
    <definedName name="рунер34у5_1" hidden="1">{#N/A,#N/A,TRUE,"Фин.рез"}</definedName>
    <definedName name="рьрь" hidden="1">{"'Prices'!$A$4:$J$27"}</definedName>
    <definedName name="с6" hidden="1">{#N/A,#N/A,FALSE,"101"}</definedName>
    <definedName name="сао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саша" hidden="1">#REF!</definedName>
    <definedName name="СВА" hidden="1">#REF!</definedName>
    <definedName name="Свод1" hidden="1">{"'Описания'!$A$2:$H$114"}</definedName>
    <definedName name="Свод2" hidden="1">{"'Описания'!$A$2:$H$114"}</definedName>
    <definedName name="свод9" hidden="1">{"'Описания'!$A$2:$H$114"}</definedName>
    <definedName name="сгб" hidden="1">{"NWN_Q1810",#N/A,FALSE,"Q1810_1.V";"NWN_Q1412",#N/A,FALSE,"Q1412_1"}</definedName>
    <definedName name="сен" hidden="1">{#N/A,#N/A,TRUE,"Фин.рез"}</definedName>
    <definedName name="сен_1" hidden="1">{#N/A,#N/A,TRUE,"Фин.рез"}</definedName>
    <definedName name="СКР1" hidden="1">#REF!,#REF!,#REF!,#REF!</definedName>
    <definedName name="Смета" hidden="1">{"NWN_Q1810",#N/A,FALSE,"Q1810_1.V";"NWN_Q1412",#N/A,FALSE,"Q1412_1"}</definedName>
    <definedName name="Смета_2" hidden="1">{"NWN_Q1810",#N/A,FALSE,"Q1810_1.V";"NWN_Q1412",#N/A,FALSE,"Q1412_1"}</definedName>
    <definedName name="Смета_21" hidden="1">{"NWN_Q1810",#N/A,FALSE,"Q1810_1.V";"NWN_Q1412",#N/A,FALSE,"Q1412_1"}</definedName>
    <definedName name="смни" hidden="1">{"'Северо-Никольское '!$A$6:$J$40"}</definedName>
    <definedName name="СостаВЫП" hidden="1">OFFSET(#REF!,MATCH(#REF!,#REF!,0)-1,5,COUNTIF(#REF!,#REF!),1)</definedName>
    <definedName name="сп" hidden="1">{#N/A,#N/A,FALSE,"Aging Summary";#N/A,#N/A,FALSE,"Ratio Analysis";#N/A,#N/A,FALSE,"Test 120 Day Accts";#N/A,#N/A,FALSE,"Tickmarks"}</definedName>
    <definedName name="Сравн" hidden="1">{"assets",#N/A,FALSE,"historicBS";"liab",#N/A,FALSE,"historicBS";"is",#N/A,FALSE,"historicIS";"ratios",#N/A,FALSE,"ratios"}</definedName>
    <definedName name="ссс" hidden="1">{"'Северо-Никольское '!$A$6:$J$40"}</definedName>
    <definedName name="сссс" hidden="1">{"'Северо-Никольское '!$A$6:$J$40"}</definedName>
    <definedName name="ссссссссссс" hidden="1">{#N/A,#N/A,FALSE,"Aging Summary";#N/A,#N/A,FALSE,"Ratio Analysis";#N/A,#N/A,FALSE,"Test 120 Day Accts";#N/A,#N/A,FALSE,"Tickmarks"}</definedName>
    <definedName name="СтатьяБК" hidden="1">#REF!</definedName>
    <definedName name="стройрегионинвест" hidden="1">{#N/A,#N/A,FALSE,"HMF";#N/A,#N/A,FALSE,"FACIL";#N/A,#N/A,FALSE,"HMFINANCE";#N/A,#N/A,FALSE,"HMEUROPE";#N/A,#N/A,FALSE,"HHAB CONSO";#N/A,#N/A,FALSE,"PAB";#N/A,#N/A,FALSE,"MMC";#N/A,#N/A,FALSE,"THAI";#N/A,#N/A,FALSE,"SINPA";#N/A,#N/A,FALSE,"POLAND"}</definedName>
    <definedName name="сыч" hidden="1">#REF!</definedName>
    <definedName name="сячсяч" hidden="1">#REF!</definedName>
    <definedName name="Т5" hidden="1">{#N/A,#N/A,FALSE,"101"}</definedName>
    <definedName name="Т5." hidden="1">{#N/A,#N/A,FALSE,"101"}</definedName>
    <definedName name="т7нш" hidden="1">#REF!</definedName>
    <definedName name="Тайм" hidden="1">{"PRINTME",#N/A,FALSE,"FINAL-10"}</definedName>
    <definedName name="тг" hidden="1">#REF!</definedName>
    <definedName name="тга" hidden="1">#REF!</definedName>
    <definedName name="тетт" hidden="1">#N/A</definedName>
    <definedName name="Тип_бюджета" hidden="1">#REF!</definedName>
    <definedName name="Типогр" hidden="1">{"NWN_Q1810",#N/A,FALSE,"Q1810_1.V";"NWN_Q1412",#N/A,FALSE,"Q1412_1"}</definedName>
    <definedName name="тм" hidden="1">{#N/A,#N/A,TRUE,"План продаж";#N/A,#N/A,TRUE,"Склад гот.прод";#N/A,#N/A,TRUE,"План отгрузки"}</definedName>
    <definedName name="тнеш" hidden="1">#REF!</definedName>
    <definedName name="ТЭО" hidden="1">{"'Prices'!$A$4:$J$27"}</definedName>
    <definedName name="тю" hidden="1">{"toc",#N/A,FALSE,"TOC";"summ",#N/A,FALSE,"summ";"histbs1",#N/A,FALSE,"histBS";"histbs2",#N/A,FALSE,"histBS";"histis",#N/A,FALSE,"histIS";"ratios",#N/A,FALSE,"ratios";"foris",#N/A,FALSE,"forIS";"forbs1",#N/A,FALSE,"forBS";"forbs2",#N/A,FALSE,"forBS";"cf",#N/A,FALSE,"CF";"wc",#N/A,FALSE,"wc";"own.str",#N/A,FALSE,"own.str";"fcf",#N/A,FALSE,"FCF";"wacc",#N/A,FALSE,"wacc";"r(f)",#N/A,FALSE,"r(f)";"glc",#N/A,FALSE,"GLC";"glcbs",#N/A,FALSE,"glcBS";"glccsbs",#N/A,FALSE,"glcCSBS";"glcis",#N/A,FALSE,"glcIS";"glccsis",#N/A,FALSE,"glcCSIS";"glcrat1",#N/A,FALSE,"glcrat1";"glcrat2",#N/A,FALSE,"glcrat2";"norm",#N/A,FALSE,"norm";"control",#N/A,FALSE,"control"}</definedName>
    <definedName name="у56огавпо" hidden="1">{#N/A,#N/A,TRUE,"Фин.рез"}</definedName>
    <definedName name="у56огавпо_1" hidden="1">{#N/A,#N/A,TRUE,"Фин.рез"}</definedName>
    <definedName name="увуву" hidden="1">#REF!</definedName>
    <definedName name="увчм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уеееекн" hidden="1">{#N/A,#N/A,TRUE,"COY TOTAL";#N/A,#N/A,TRUE,"3RD TRAIN EXP SUM";#N/A,#N/A,TRUE,"1173-LAGOS CO-ORD 3RD TRAIN EXP";#N/A,#N/A,TRUE,"3301-RET 3RD TRAIN EXP";#N/A,#N/A,TRUE,"3302-CONTEAM 3RD TRAIN EXP ";#N/A,#N/A,TRUE,"3303-PD 3RD TRAIN EXP";#N/A,#N/A,TRUE,"3304-START-UP-TEAM-3RD TRAIN ";#N/A,#N/A,TRUE,"1171-ECO";#N/A,#N/A,TRUE,"Fin Team-1174";#N/A,#N/A,TRUE,"HO TOTAL";#N/A,#N/A,TRUE,"1100-MD-SUM";#N/A,#N/A,TRUE,"1131-MD";#N/A,#N/A,TRUE,"1141-LG";#N/A,#N/A,TRUE,"1151-CPL";#N/A,#N/A,TRUE,"1161-LONDON OFFICE";#N/A,#N/A,TRUE,"1181-IAU";#N/A,#N/A,TRUE,"1400-DD SUM";#N/A,#N/A,TRUE,"1401-DD's OFFICE";#N/A,#N/A,TRUE,"1411-TAU";#N/A,#N/A,TRUE,"1421-ABUJA OFFICE";#N/A,#N/A,TRUE,"1500-CM-SUM";#N/A,#N/A,TRUE,"1501-CM's OFFICE";#N/A,#N/A,TRUE,"1502-CMM";#N/A,#N/A,TRUE,"1503-CMS";#N/A,#N/A,TRUE,"2100-HR SUM";#N/A,#N/A,TRUE,"2101-HR's OFFICE";#N/A,#N/A,TRUE,"2111-HRP";#N/A,#N/A,TRUE,"2121-HRA";#N/A,#N/A,TRUE,"2131-HRD";#N/A,#N/A,TRUE,"2300-FN-SUM";#N/A,#N/A,TRUE,"2301-FN's OFFICE";#N/A,#N/A,TRUE,"2311-FNC";#N/A,#N/A,TRUE,"2321-FNT";#N/A,#N/A,TRUE,"2331-FNI";#N/A,#N/A,TRUE,"2500-PAG-SUM";#N/A,#N/A,TRUE,"2501-GM's OFFICE";#N/A,#N/A,TRUE,"2511-PR";#N/A,#N/A,TRUE,"4000-PD SUM";#N/A,#N/A,TRUE,"GM PROD SUM";#N/A,#N/A,TRUE,"4001-GMPD's OFFICE";#N/A,#N/A,TRUE,"4011-PQM";#N/A,#N/A,TRUE,"4021-PFS";#N/A,#N/A,TRUE,"4031-PAF";#N/A,#N/A,TRUE,"4041-PC";#N/A,#N/A,TRUE,"4051-CR";#N/A,#N/A,TRUE,"4100-OP-SUM";#N/A,#N/A,TRUE,"4101-PO";#N/A,#N/A,TRUE,"4111-POL";#N/A,#N/A,TRUE,"4121-POU";#N/A,#N/A,TRUE,"4131-POT";#N/A,#N/A,TRUE,"4141-POM";#N/A,#N/A,TRUE,"4151-POG";#N/A,#N/A,TRUE,"4200-PE-SUM";#N/A,#N/A,TRUE,"4201-PE";#N/A,#N/A,TRUE,"4211-PEM";#N/A,#N/A,TRUE,"4221-PEQ";#N/A,#N/A,TRUE,"4231-PEE";#N/A,#N/A,TRUE,"4241-PEC";#N/A,#N/A,TRUE,"4251-PEO";#N/A,#N/A,TRUE,"4261-PEP";#N/A,#N/A,TRUE,"4271-PEI";#N/A,#N/A,TRUE,"4281-PES";#N/A,#N/A,TRUE,"4301-PT";#N/A,#N/A,TRUE,"4400-PS-SUM";#N/A,#N/A,TRUE,"4401-PS";#N/A,#N/A,TRUE,"4431-PSE";#N/A,#N/A,TRUE,"4441-PSS";#N/A,#N/A,TRUE,"4451-PST";#N/A,#N/A,TRUE,"4461-PSL";#N/A,#N/A,TRUE,"4471-PSM"}</definedName>
    <definedName name="уеке" hidden="1">#REF!</definedName>
    <definedName name="уекн" hidden="1">{"'Северо-Никольское '!$A$6:$J$40"}</definedName>
    <definedName name="уекцу" hidden="1">{#N/A,#N/A,FALSE,"Aging Summary";#N/A,#N/A,FALSE,"Ratio Analysis";#N/A,#N/A,FALSE,"Test 120 Day Accts";#N/A,#N/A,FALSE,"Tickmarks"}</definedName>
    <definedName name="уеп" hidden="1">#REF!</definedName>
    <definedName name="уеуке4е" hidden="1">#REF!</definedName>
    <definedName name="ук" hidden="1">#REF!</definedName>
    <definedName name="укв" hidden="1">{"'Северо-Никольское '!$A$6:$J$40"}</definedName>
    <definedName name="укее" hidden="1">{#N/A,#N/A,FALSE,"Aging Summary";#N/A,#N/A,FALSE,"Ratio Analysis";#N/A,#N/A,FALSE,"Test 120 Day Accts";#N/A,#N/A,FALSE,"Tickmarks"}</definedName>
    <definedName name="укеку" hidden="1">#REF!</definedName>
    <definedName name="укеуке" hidden="1">#REF!</definedName>
    <definedName name="укме" hidden="1">#REF!</definedName>
    <definedName name="укпукп" hidden="1">{"'Prices'!$A$4:$J$27"}</definedName>
    <definedName name="укрр" hidden="1">{"'Prices'!$A$4:$J$27"}</definedName>
    <definedName name="укц" localSheetId="1" hidden="1">Main.SAPF4Help()</definedName>
    <definedName name="укц" localSheetId="3" hidden="1">Main.SAPF4Help()</definedName>
    <definedName name="укц" localSheetId="13" hidden="1">Main.SAPF4Help()</definedName>
    <definedName name="укц" hidden="1">Main.SAPF4Help()</definedName>
    <definedName name="укыер" hidden="1">{"'Sheet1'!$A$1:$G$85"}</definedName>
    <definedName name="ун" hidden="1">#REF!</definedName>
    <definedName name="ункук" hidden="1">{"glcbs",#N/A,FALSE,"GLCBS";"glccsbs",#N/A,FALSE,"GLCCSBS";"glcis",#N/A,FALSE,"GLCIS";"glccsis",#N/A,FALSE,"GLCCSIS";"glcrat1",#N/A,FALSE,"GLC-ratios1"}</definedName>
    <definedName name="уо5уго56" hidden="1">{#N/A,#N/A,TRUE,"Фин.рез"}</definedName>
    <definedName name="уо5уго56_1" hidden="1">{#N/A,#N/A,TRUE,"Фин.рез"}</definedName>
    <definedName name="уотео65цу" hidden="1">{#N/A,#N/A,TRUE,"Фин.рез"}</definedName>
    <definedName name="уотео65цу_1" hidden="1">{#N/A,#N/A,TRUE,"Фин.рез"}</definedName>
    <definedName name="уу" hidden="1">{#N/A,#N/A,FALSE,"Aging Summary";#N/A,#N/A,FALSE,"Ratio Analysis";#N/A,#N/A,FALSE,"Test 120 Day Accts";#N/A,#N/A,FALSE,"Tickmarks"}</definedName>
    <definedName name="уце" hidden="1">{#N/A,"100% Success",TRUE,"Sales Forecast";#N/A,#N/A,TRUE,"Sheet2"}</definedName>
    <definedName name="уцка3" hidden="1">{"glc1",#N/A,FALSE,"GLC";"glc2",#N/A,FALSE,"GLC";"glc3",#N/A,FALSE,"GLC";"glc4",#N/A,FALSE,"GLC";"glc5",#N/A,FALSE,"GLC"}</definedName>
    <definedName name="уцкпцуирцим" hidden="1">#REF!,#REF!</definedName>
    <definedName name="уцннв" hidden="1">{"glc1",#N/A,FALSE,"GLC";"glc2",#N/A,FALSE,"GLC";"glc3",#N/A,FALSE,"GLC";"glc4",#N/A,FALSE,"GLC";"glc5",#N/A,FALSE,"GLC"}</definedName>
    <definedName name="уцпек" hidden="1">{#N/A,#N/A,FALSE,"Aging Summary";#N/A,#N/A,FALSE,"Ratio Analysis";#N/A,#N/A,FALSE,"Test 120 Day Accts";#N/A,#N/A,FALSE,"Tickmarks"}</definedName>
    <definedName name="уцукц" hidden="1">#REF!</definedName>
    <definedName name="ФактическиеДатыВБудущем" localSheetId="1" hidden="1">ФактическийПериод*(#REF!&gt;0)</definedName>
    <definedName name="ФактическиеДатыВБудущем" localSheetId="3" hidden="1">ФактическийПериод*(#REF!&gt;0)</definedName>
    <definedName name="ФактическиеДатыВБудущем" localSheetId="13" hidden="1">ФактическийПериод*(#REF!&gt;0)</definedName>
    <definedName name="ФактическиеДатыВБудущем" hidden="1">ФактическийПериод*(#REF!&gt;0)</definedName>
    <definedName name="фаыр" hidden="1">{#N/A,#N/A,FALSE,"Aging Summary";#N/A,#N/A,FALSE,"Ratio Analysis";#N/A,#N/A,FALSE,"Test 120 Day Accts";#N/A,#N/A,FALSE,"Tickmarks"}</definedName>
    <definedName name="фва" hidden="1">{#N/A,#N/A,FALSE,"Aging Summary";#N/A,#N/A,FALSE,"Ratio Analysis";#N/A,#N/A,FALSE,"Test 120 Day Accts";#N/A,#N/A,FALSE,"Tickmarks"}</definedName>
    <definedName name="фвв" hidden="1">#N/A</definedName>
    <definedName name="фвввц" hidden="1">{#N/A,#N/A,FALSE,"Aging Summary";#N/A,#N/A,FALSE,"Ratio Analysis";#N/A,#N/A,FALSE,"Test 120 Day Accts";#N/A,#N/A,FALSE,"Tickmarks"}</definedName>
    <definedName name="фвк" hidden="1">#REF!</definedName>
    <definedName name="фвп" hidden="1">{#N/A,#N/A,FALSE,"Aging Summary";#N/A,#N/A,FALSE,"Ratio Analysis";#N/A,#N/A,FALSE,"Test 120 Day Accts";#N/A,#N/A,FALSE,"Tickmarks"}</definedName>
    <definedName name="фвуц" hidden="1">{"AnalRSA",#N/A,TRUE,"PL-Anal";"AnalIAS",#N/A,TRUE,"PL-Anal"}</definedName>
    <definedName name="фвыфыв" hidden="1">#REF!</definedName>
    <definedName name="фев" hidden="1">{#N/A,#N/A,TRUE,"Фин.рез"}</definedName>
    <definedName name="фев_1" hidden="1">{#N/A,#N/A,TRUE,"Фин.рез"}</definedName>
    <definedName name="ФНП" hidden="1">{"'Северо-Никольское '!$A$6:$J$40"}</definedName>
    <definedName name="фпи" hidden="1">{"'Sheet1'!$A$1:$G$85"}</definedName>
    <definedName name="фукн" hidden="1">#REF!</definedName>
    <definedName name="ффф" hidden="1">{#N/A,#N/A,TRUE,"Фин.рез"}</definedName>
    <definedName name="ффф_1" hidden="1">{#N/A,#N/A,TRUE,"Фин.рез"}</definedName>
    <definedName name="фффф" hidden="1">{"'Северо-Никольское '!$A$6:$J$40"}</definedName>
    <definedName name="ффыыа" hidden="1">{#N/A,"10% Success",FALSE,"Sales Forecast";#N/A,#N/A,FALSE,"Sheet2"}</definedName>
    <definedName name="фц" hidden="1">{"'РП (2)'!$A$5:$S$150"}</definedName>
    <definedName name="фцпу" hidden="1">#REF!</definedName>
    <definedName name="фцуе" hidden="1">{#N/A,#N/A,FALSE,"Aging Summary";#N/A,#N/A,FALSE,"Ratio Analysis";#N/A,#N/A,FALSE,"Test 120 Day Accts";#N/A,#N/A,FALSE,"Tickmarks"}</definedName>
    <definedName name="фцуеп" hidden="1">{"data",#N/A,FALSE,"INPUT"}</definedName>
    <definedName name="фцукнец43гнр" hidden="1">{#N/A,#N/A,TRUE,"Фин.рез"}</definedName>
    <definedName name="фцукнец43гнр_1" hidden="1">{#N/A,#N/A,TRUE,"Фин.рез"}</definedName>
    <definedName name="фчяяф" hidden="1">{#N/A,"70% Success",FALSE,"Sales Forecast";#N/A,#N/A,FALSE,"Sheet2"}</definedName>
    <definedName name="фыа" hidden="1">#REF!</definedName>
    <definedName name="фыв" hidden="1">{#N/A,#N/A,TRUE,"Фин.рез"}</definedName>
    <definedName name="фыв_1" hidden="1">{#N/A,#N/A,TRUE,"Фин.рез"}</definedName>
    <definedName name="фыва" hidden="1">{"'Северо-Никольское '!$A$6:$J$40"}</definedName>
    <definedName name="фыпек" hidden="1">{#N/A,"70% Success",FALSE,"Sales Forecast";#N/A,#N/A,FALSE,"Sheet2"}</definedName>
    <definedName name="фыыпв" hidden="1">{#N/A,#N/A,FALSE,"Aging Summary";#N/A,#N/A,FALSE,"Ratio Analysis";#N/A,#N/A,FALSE,"Test 120 Day Accts";#N/A,#N/A,FALSE,"Tickmarks"}</definedName>
    <definedName name="ххх" hidden="1">{"print95",#N/A,FALSE,"1995E.XLS";"print96",#N/A,FALSE,"1996E.XLS"}</definedName>
    <definedName name="цбоп" hidden="1">{"'Северо-Никольское '!$A$6:$J$40"}</definedName>
    <definedName name="цвцвцвц" hidden="1">#REF!</definedName>
    <definedName name="цйук" hidden="1">{#N/A,#N/A,FALSE,"Aging Summary";#N/A,#N/A,FALSE,"Ratio Analysis";#N/A,#N/A,FALSE,"Test 120 Day Accts";#N/A,#N/A,FALSE,"Tickmarks"}</definedName>
    <definedName name="цйцй" hidden="1">{#N/A,#N/A,FALSE,"Aging Summary";#N/A,#N/A,FALSE,"Ratio Analysis";#N/A,#N/A,FALSE,"Test 120 Day Accts";#N/A,#N/A,FALSE,"Tickmarks"}</definedName>
    <definedName name="цк" hidden="1">#REF!</definedName>
    <definedName name="цлонеортвы" hidden="1">{#N/A,#N/A,TRUE,"Фин.рез"}</definedName>
    <definedName name="цлонеортвы_1" hidden="1">{#N/A,#N/A,TRUE,"Фин.рез"}</definedName>
    <definedName name="цмавмвмавмвма" hidden="1">#REF!</definedName>
    <definedName name="цпимцуицкумчвмв" hidden="1">#REF!</definedName>
    <definedName name="цпмцукимпуцицу" hidden="1">#REF!</definedName>
    <definedName name="цпуцупцупимимцук" hidden="1">#REF!,#REF!,#REF!,#REF!</definedName>
    <definedName name="цу" localSheetId="1" hidden="1">Main.SAPF4Help()</definedName>
    <definedName name="цу" localSheetId="3" hidden="1">Main.SAPF4Help()</definedName>
    <definedName name="цу" localSheetId="13" hidden="1">Main.SAPF4Help()</definedName>
    <definedName name="цу" hidden="1">Main.SAPF4Help()</definedName>
    <definedName name="цуее" hidden="1">#REF!</definedName>
    <definedName name="цуеекн" hidden="1">{#N/A,#N/A,FALSE,"Aging Summary";#N/A,#N/A,FALSE,"Ratio Analysis";#N/A,#N/A,FALSE,"Test 120 Day Accts";#N/A,#N/A,FALSE,"Tickmarks"}</definedName>
    <definedName name="цуек" hidden="1">{#N/A,#N/A,FALSE,"Aging Summary";#N/A,#N/A,FALSE,"Ratio Analysis";#N/A,#N/A,FALSE,"Test 120 Day Accts";#N/A,#N/A,FALSE,"Tickmarks"}</definedName>
    <definedName name="цуекуцек" hidden="1">#REF!</definedName>
    <definedName name="цуен" hidden="1">{"'РП (2)'!$A$5:$S$150"}</definedName>
    <definedName name="цуец" hidden="1">{"data",#N/A,FALSE,"INPUT"}</definedName>
    <definedName name="цуеце" hidden="1">#REF!</definedName>
    <definedName name="цук" hidden="1">{"'Северо-Никольское '!$A$6:$J$40"}</definedName>
    <definedName name="цуке" hidden="1">{#N/A,#N/A,TRUE,"План продаж";#N/A,#N/A,TRUE,"Склад гот.прод";#N/A,#N/A,TRUE,"План отгрузки"}</definedName>
    <definedName name="цукпикепипц" hidden="1">#REF!</definedName>
    <definedName name="цукпимцмкуцмцукм" hidden="1">#REF!,#REF!,#REF!,#REF!</definedName>
    <definedName name="цфуее" hidden="1">{#N/A,#N/A,FALSE,"Aging Summary";#N/A,#N/A,FALSE,"Ratio Analysis";#N/A,#N/A,FALSE,"Test 120 Day Accts";#N/A,#N/A,FALSE,"Tickmarks"}</definedName>
    <definedName name="чвкнвк" hidden="1">{#N/A,#N/A,FALSE,"Infl_fact"}</definedName>
    <definedName name="чвп" hidden="1">{"data",#N/A,FALSE,"INPUT"}</definedName>
    <definedName name="чврннне" hidden="1">{"IAS Mapping",#N/A,TRUE,"RSA_FS"}</definedName>
    <definedName name="чмси" hidden="1">#REF!</definedName>
    <definedName name="чпава" hidden="1">{"'Sheet1'!$A$1:$G$85"}</definedName>
    <definedName name="чпкн" hidden="1">{#N/A,#N/A,TRUE,"COY TOTAL";#N/A,#N/A,TRUE,"3RD TRAIN EXP SUM";#N/A,#N/A,TRUE,"1173-LAGOS CO-ORD 3RD TRAIN EXP";#N/A,#N/A,TRUE,"3301-RET 3RD TRAIN EXP";#N/A,#N/A,TRUE,"3302-CONTEAM 3RD TRAIN EXP ";#N/A,#N/A,TRUE,"3303-PD 3RD TRAIN EXP";#N/A,#N/A,TRUE,"3304-START-UP-TEAM-3RD TRAIN ";#N/A,#N/A,TRUE,"1171-ECO";#N/A,#N/A,TRUE,"Fin Team-1174";#N/A,#N/A,TRUE,"HO TOTAL";#N/A,#N/A,TRUE,"1100-MD-SUM";#N/A,#N/A,TRUE,"1131-MD";#N/A,#N/A,TRUE,"1141-LG";#N/A,#N/A,TRUE,"1151-CPL";#N/A,#N/A,TRUE,"1161-LONDON OFFICE";#N/A,#N/A,TRUE,"1181-IAU";#N/A,#N/A,TRUE,"1400-DD SUM";#N/A,#N/A,TRUE,"1401-DD's OFFICE";#N/A,#N/A,TRUE,"1411-TAU";#N/A,#N/A,TRUE,"1421-ABUJA OFFICE";#N/A,#N/A,TRUE,"1500-CM-SUM";#N/A,#N/A,TRUE,"1501-CM's OFFICE";#N/A,#N/A,TRUE,"1502-CMM";#N/A,#N/A,TRUE,"1503-CMS";#N/A,#N/A,TRUE,"2100-HR SUM";#N/A,#N/A,TRUE,"2101-HR's OFFICE";#N/A,#N/A,TRUE,"2111-HRP";#N/A,#N/A,TRUE,"2121-HRA";#N/A,#N/A,TRUE,"2131-HRD";#N/A,#N/A,TRUE,"2300-FN-SUM";#N/A,#N/A,TRUE,"2301-FN's OFFICE";#N/A,#N/A,TRUE,"2311-FNC";#N/A,#N/A,TRUE,"2321-FNT";#N/A,#N/A,TRUE,"2331-FNI";#N/A,#N/A,TRUE,"2500-PAG-SUM";#N/A,#N/A,TRUE,"2501-GM's OFFICE";#N/A,#N/A,TRUE,"2511-PR";#N/A,#N/A,TRUE,"4000-PD SUM";#N/A,#N/A,TRUE,"GM PROD SUM";#N/A,#N/A,TRUE,"4001-GMPD's OFFICE";#N/A,#N/A,TRUE,"4011-PQM";#N/A,#N/A,TRUE,"4021-PFS";#N/A,#N/A,TRUE,"4031-PAF";#N/A,#N/A,TRUE,"4041-PC";#N/A,#N/A,TRUE,"4051-CR";#N/A,#N/A,TRUE,"4100-OP-SUM";#N/A,#N/A,TRUE,"4101-PO";#N/A,#N/A,TRUE,"4111-POL";#N/A,#N/A,TRUE,"4121-POU";#N/A,#N/A,TRUE,"4131-POT";#N/A,#N/A,TRUE,"4141-POM";#N/A,#N/A,TRUE,"4151-POG";#N/A,#N/A,TRUE,"4200-PE-SUM";#N/A,#N/A,TRUE,"4201-PE";#N/A,#N/A,TRUE,"4211-PEM";#N/A,#N/A,TRUE,"4221-PEQ";#N/A,#N/A,TRUE,"4231-PEE";#N/A,#N/A,TRUE,"4241-PEC";#N/A,#N/A,TRUE,"4251-PEO";#N/A,#N/A,TRUE,"4261-PEP";#N/A,#N/A,TRUE,"4271-PEI";#N/A,#N/A,TRUE,"4281-PES";#N/A,#N/A,TRUE,"4301-PT";#N/A,#N/A,TRUE,"4400-PS-SUM";#N/A,#N/A,TRUE,"4401-PS";#N/A,#N/A,TRUE,"4431-PSE";#N/A,#N/A,TRUE,"4441-PSS";#N/A,#N/A,TRUE,"4451-PST";#N/A,#N/A,TRUE,"4461-PSL";#N/A,#N/A,TRUE,"4471-PSM"}</definedName>
    <definedName name="чсвыаы" hidden="1">#N/A</definedName>
    <definedName name="чсм" hidden="1">{"'Северо-Никольское '!$A$6:$J$40"}</definedName>
    <definedName name="чсми" hidden="1">{"'Северо-Никольское '!$A$6:$J$40"}</definedName>
    <definedName name="ччч" hidden="1">{"'Северо-Никольское '!$A$6:$J$40"}</definedName>
    <definedName name="шдл" hidden="1">{"'Северо-Никольское '!$A$6:$J$40"}</definedName>
    <definedName name="шйю" hidden="1">{"'Северо-Никольское '!$A$6:$J$40"}</definedName>
    <definedName name="шоенг56" hidden="1">{#N/A,#N/A,TRUE,"Фин.рез"}</definedName>
    <definedName name="шоенг56_1" hidden="1">{#N/A,#N/A,TRUE,"Фин.рез"}</definedName>
    <definedName name="шшшш" hidden="1">{"'Северо-Никольское '!$A$6:$J$40"}</definedName>
    <definedName name="що" hidden="1">{"'Северо-Никольское '!$A$6:$J$40"}</definedName>
    <definedName name="Щука2" hidden="1">#REF!</definedName>
    <definedName name="щшз" hidden="1">#REF!</definedName>
    <definedName name="ЫАиА" hidden="1">{"'Prices'!$A$4:$J$27"}</definedName>
    <definedName name="ыауауа" hidden="1">#N/A</definedName>
    <definedName name="ывав" hidden="1">#REF!</definedName>
    <definedName name="ываждло" hidden="1">{"glc1",#N/A,FALSE,"GLC";"glc2",#N/A,FALSE,"GLC";"glc3",#N/A,FALSE,"GLC";"glc4",#N/A,FALSE,"GLC";"glc5",#N/A,FALSE,"GLC"}</definedName>
    <definedName name="ывапра" hidden="1">{"'Sheet1'!$A$1:$G$85"}</definedName>
    <definedName name="ываыва" hidden="1">#REF!</definedName>
    <definedName name="ЫВВЫВЫВ" hidden="1">#REF!</definedName>
    <definedName name="Ывмыцкп" hidden="1">{"'Prices'!$A$4:$J$27"}</definedName>
    <definedName name="Ыгь" hidden="1">{#N/A,#N/A,FALSE,"Aging Summary";#N/A,#N/A,FALSE,"Ratio Analysis";#N/A,#N/A,FALSE,"Test 120 Day Accts";#N/A,#N/A,FALSE,"Tickmarks"}</definedName>
    <definedName name="ыерот" hidden="1">{"'Prices'!$A$4:$J$27"}</definedName>
    <definedName name="ыка" hidden="1">{"glc1",#N/A,FALSE,"GLC";"glc2",#N/A,FALSE,"GLC";"glc3",#N/A,FALSE,"GLC";"glc4",#N/A,FALSE,"GLC";"glc5",#N/A,FALSE,"GLC"}</definedName>
    <definedName name="ыкиег" hidden="1">#REF!</definedName>
    <definedName name="ымп" hidden="1">{"'Prices'!$A$4:$J$27"}</definedName>
    <definedName name="ыуееук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ыууу" hidden="1">#REF!</definedName>
    <definedName name="ыфва" hidden="1">{#N/A,#N/A,FALSE,"101"}</definedName>
    <definedName name="ыы" hidden="1">{#N/A,#N/A,FALSE,"101"}</definedName>
    <definedName name="ыыыцй" hidden="1">{#N/A,#N/A,FALSE,"Aging Summary";#N/A,#N/A,FALSE,"Ratio Analysis";#N/A,#N/A,FALSE,"Test 120 Day Accts";#N/A,#N/A,FALSE,"Tickmarks"}</definedName>
    <definedName name="ыыыыыыыыы" hidden="1">{"'Sheet1'!$A$1:$G$85"}</definedName>
    <definedName name="ь" hidden="1">{"'Северо-Никольское '!$A$6:$J$40"}</definedName>
    <definedName name="ьрпср" hidden="1">{"'Sheet1'!$A$1:$G$85"}</definedName>
    <definedName name="ьщпан" hidden="1">#REF!</definedName>
    <definedName name="ььь" hidden="1">#REF!</definedName>
    <definedName name="ььььььььь" hidden="1">{"'Sheet1'!$A$1:$G$85"}</definedName>
    <definedName name="эжд" hidden="1">{"'Северо-Никольское '!$A$6:$J$40"}</definedName>
    <definedName name="эждлло" hidden="1">{"'Северо-Никольское '!$A$6:$J$40"}</definedName>
    <definedName name="эл.энергия" hidden="1">{"'Северо-Никольское '!$A$6:$J$40"}</definedName>
    <definedName name="эээ" hidden="1">{"'Северо-Никольское '!$A$6:$J$40"}</definedName>
    <definedName name="эээд" hidden="1">{"'Северо-Никольское '!$A$6:$J$40"}</definedName>
    <definedName name="ээээ" hidden="1">{"'Prices'!$A$4:$J$27"}</definedName>
    <definedName name="Юг_PL" hidden="1">#REF!</definedName>
    <definedName name="ющо" hidden="1">#REF!</definedName>
    <definedName name="ява" hidden="1">{"'Sheet1'!$A$1:$G$85"}</definedName>
    <definedName name="яваи" hidden="1">{"'Sheet1'!$A$1:$G$85"}</definedName>
    <definedName name="яс" hidden="1">#REF!</definedName>
    <definedName name="ясм" hidden="1">#REF!</definedName>
    <definedName name="яф" hidden="1">{#N/A,#N/A,FALSE,"Aging Summary";#N/A,#N/A,FALSE,"Ratio Analysis";#N/A,#N/A,FALSE,"Test 120 Day Accts";#N/A,#N/A,FALSE,"Tickmarks"}</definedName>
    <definedName name="ячсм" hidden="1">{"'Северо-Никольское '!$A$6:$J$40"}</definedName>
    <definedName name="ячыре" hidden="1">{#N/A,#N/A,FALSE,"Aging Summary";#N/A,#N/A,FALSE,"Ratio Analysis";#N/A,#N/A,FALSE,"Test 120 Day Accts";#N/A,#N/A,FALSE,"Tickmarks"}</definedName>
    <definedName name="ㄱㄱㄱㄱ" hidden="1">{#N/A,#N/A,FALSE,"지침";#N/A,#N/A,FALSE,"환경분석";#N/A,#N/A,FALSE,"Sheet16"}</definedName>
    <definedName name="가나" hidden="1">{#N/A,#N/A,FALSE,"지침";#N/A,#N/A,FALSE,"환경분석";#N/A,#N/A,FALSE,"Sheet16"}</definedName>
    <definedName name="경제성" hidden="1">{#N/A,#N/A,FALSE,"지침";#N/A,#N/A,FALSE,"환경분석";#N/A,#N/A,FALSE,"Sheet16"}</definedName>
    <definedName name="고" hidden="1">{#N/A,#N/A,FALSE,"지침";#N/A,#N/A,FALSE,"환경분석";#N/A,#N/A,FALSE,"Sheet16"}</definedName>
    <definedName name="광" hidden="1">{#N/A,#N/A,FALSE,"지침";#N/A,#N/A,FALSE,"환경분석";#N/A,#N/A,FALSE,"Sheet16"}</definedName>
    <definedName name="김재현" hidden="1">{#N/A,#N/A,FALSE,"지침";#N/A,#N/A,FALSE,"환경분석";#N/A,#N/A,FALSE,"Sheet16"}</definedName>
    <definedName name="ㄴㅇㄹ호" hidden="1">{#N/A,#N/A,FALSE,"지침";#N/A,#N/A,FALSE,"환경분석";#N/A,#N/A,FALSE,"Sheet16"}</definedName>
    <definedName name="도면" hidden="1">#REF!</definedName>
    <definedName name="ㅁ" hidden="1">{#N/A,#N/A,FALSE,"지침";#N/A,#N/A,FALSE,"환경분석";#N/A,#N/A,FALSE,"Sheet16"}</definedName>
    <definedName name="ㅁㅁ" hidden="1">{"det (May)",#N/A,FALSE,"June";"sum (MAY YTD)",#N/A,FALSE,"June YTD"}</definedName>
    <definedName name="ㅁㅁㅁ" hidden="1">{#N/A,#N/A,FALSE,"지침";#N/A,#N/A,FALSE,"환경분석";#N/A,#N/A,FALSE,"Sheet16"}</definedName>
    <definedName name="비상l" hidden="1">{#N/A,#N/A,FALSE,"지침";#N/A,#N/A,FALSE,"환경분석";#N/A,#N/A,FALSE,"Sheet16"}</definedName>
    <definedName name="사" hidden="1">{#N/A,#N/A,FALSE,"지침";#N/A,#N/A,FALSE,"환경분석";#N/A,#N/A,FALSE,"Sheet16"}</definedName>
    <definedName name="사1" hidden="1">{#N/A,#N/A,FALSE,"지침";#N/A,#N/A,FALSE,"환경분석";#N/A,#N/A,FALSE,"Sheet16"}</definedName>
    <definedName name="생2" hidden="1">{#N/A,#N/A,FALSE,"지침";#N/A,#N/A,FALSE,"환경분석";#N/A,#N/A,FALSE,"Sheet16"}</definedName>
    <definedName name="ㅇ" hidden="1">{#N/A,#N/A,FALSE,"지침";#N/A,#N/A,FALSE,"환경분석";#N/A,#N/A,FALSE,"Sheet16"}</definedName>
    <definedName name="ㅇㅇㅇㅇㅇ" hidden="1">{#N/A,#N/A,FALSE,"지침";#N/A,#N/A,FALSE,"환경분석";#N/A,#N/A,FALSE,"Sheet16"}</definedName>
    <definedName name="양식" hidden="1">{#N/A,#N/A,FALSE,"지침";#N/A,#N/A,FALSE,"환경분석";#N/A,#N/A,FALSE,"Sheet16"}</definedName>
    <definedName name="인쇄" hidden="1">{#N/A,#N/A,FALSE,"지침";#N/A,#N/A,FALSE,"환경분석";#N/A,#N/A,FALSE,"Sheet16"}</definedName>
    <definedName name="인쇄BU" hidden="1">{#N/A,#N/A,FALSE,"지침";#N/A,#N/A,FALSE,"환경분석";#N/A,#N/A,FALSE,"Sheet16"}</definedName>
    <definedName name="ㅈㅈㅈ" hidden="1">{#N/A,#N/A,FALSE,"지침";#N/A,#N/A,FALSE,"환경분석";#N/A,#N/A,FALSE,"Sheet16"}</definedName>
    <definedName name="전략부품" hidden="1">{#N/A,#N/A,FALSE,"지침";#N/A,#N/A,FALSE,"환경분석";#N/A,#N/A,FALSE,"Sheet16"}</definedName>
    <definedName name="제품I067606" hidden="1">{#N/A,#N/A,FALSE,"지침";#N/A,#N/A,FALSE,"환경분석";#N/A,#N/A,FALSE,"Sheet16"}</definedName>
    <definedName name="주" hidden="1">{#N/A,#N/A,FALSE,"지침";#N/A,#N/A,FALSE,"환경분석";#N/A,#N/A,FALSE,"Sheet16"}</definedName>
    <definedName name="청원공장1" hidden="1">{#N/A,#N/A,FALSE,"지침";#N/A,#N/A,FALSE,"환경분석";#N/A,#N/A,FALSE,"Sheet16"}</definedName>
    <definedName name="ㅀ효ㅇㄱ쇼셔ㅓ쇼ㅓ" hidden="1">{#N/A,#N/A,FALSE,"지침";#N/A,#N/A,FALSE,"환경분석";#N/A,#N/A,FALSE,"Sheet16"}</definedName>
    <definedName name="ㅏㅓ" hidden="1">{#N/A,#N/A,FALSE,"지침";#N/A,#N/A,FALSE,"환경분석";#N/A,#N/A,FALSE,"Sheet16"}</definedName>
    <definedName name="ㅐㅐㅐ" hidden="1">{#N/A,#N/A,FALSE,"지침";#N/A,#N/A,FALSE,"환경분석";#N/A,#N/A,FALSE,"Sheet16"}</definedName>
    <definedName name="ㅓㅗㅎ헛" hidden="1">{#N/A,#N/A,FALSE,"지침";#N/A,#N/A,FALSE,"환경분석";#N/A,#N/A,FALSE,"Sheet16"}</definedName>
    <definedName name="ㅔ" hidden="1">{#N/A,#N/A,FALSE,"지침";#N/A,#N/A,FALSE,"환경분석";#N/A,#N/A,FALSE,"Sheet16"}</definedName>
    <definedName name="ㅠㅠㅠ" hidden="1">{#N/A,#N/A,FALSE,"지침";#N/A,#N/A,FALSE,"환경분석";#N/A,#N/A,FALSE,"Sheet16"}</definedName>
    <definedName name="ㅡㅡㅡ" hidden="1">{#N/A,#N/A,FALSE,"지침";#N/A,#N/A,FALSE,"환경분석";#N/A,#N/A,FALSE,"Sheet16"}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Шевелёва Полина Владимировна</author>
  </authors>
  <commentList>
    <comment ref="E3" authorId="0" shapeId="0" xr:uid="{036BC8D9-0C58-46A5-B1B7-AE974860CB4A}">
      <text>
        <r>
          <rPr>
            <b/>
            <sz val="9"/>
            <color indexed="81"/>
            <rFont val="Tahoma"/>
            <family val="2"/>
            <charset val="204"/>
          </rPr>
          <t>Применимо только для ИТ расходов</t>
        </r>
      </text>
    </comment>
    <comment ref="F3" authorId="0" shapeId="0" xr:uid="{6EA363C0-A7D5-40F2-8A8F-0D7B5C57B77C}">
      <text>
        <r>
          <rPr>
            <b/>
            <sz val="8"/>
            <color indexed="81"/>
            <rFont val="Arial"/>
            <family val="2"/>
            <charset val="204"/>
          </rPr>
          <t>Если применимо. Если не применимо, проставить "н.п."</t>
        </r>
      </text>
    </comment>
    <comment ref="G3" authorId="0" shapeId="0" xr:uid="{F2007872-D4AD-4F87-B249-8832DEC0A48B}">
      <text>
        <r>
          <rPr>
            <b/>
            <sz val="8"/>
            <color indexed="81"/>
            <rFont val="Arial"/>
            <family val="2"/>
            <charset val="204"/>
          </rPr>
          <t>Если применимо. Если не применимо, проставить "н.п."</t>
        </r>
      </text>
    </comment>
  </commentList>
</comments>
</file>

<file path=xl/sharedStrings.xml><?xml version="1.0" encoding="utf-8"?>
<sst xmlns="http://schemas.openxmlformats.org/spreadsheetml/2006/main" count="2123" uniqueCount="708">
  <si>
    <t>Показатель</t>
  </si>
  <si>
    <t>2027</t>
  </si>
  <si>
    <t>2026</t>
  </si>
  <si>
    <t>Рост</t>
  </si>
  <si>
    <t>Комментарий</t>
  </si>
  <si>
    <t>Gross Revenue</t>
  </si>
  <si>
    <t>EBITDA</t>
  </si>
  <si>
    <t>FCF</t>
  </si>
  <si>
    <t>Content factory</t>
  </si>
  <si>
    <t>DMP</t>
  </si>
  <si>
    <t>План команды DMP</t>
  </si>
  <si>
    <t>Значение</t>
  </si>
  <si>
    <t>Млн руб. без НДС.</t>
  </si>
  <si>
    <t>Статья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</si>
  <si>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</si>
  <si>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</si>
  <si>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</si>
  <si>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</si>
  <si>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</si>
  <si>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</si>
  <si>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</si>
  <si>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</si>
  <si>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</si>
  <si>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</si>
  <si>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</si>
  <si>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</si>
  <si>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APP</t>
  </si>
  <si>
    <t>Content factory ВГО</t>
  </si>
  <si>
    <t>DMP+ Analitycs</t>
  </si>
  <si>
    <t>DMP+Online</t>
  </si>
  <si>
    <t>Instore digital</t>
  </si>
  <si>
    <t>RMN (Brand budgets call)</t>
  </si>
  <si>
    <t>Вознаграждения рекламным агентствам</t>
  </si>
  <si>
    <t>Налоги и взносы, связанные с расходами на оплату труда (ФОТ)</t>
  </si>
  <si>
    <t>Индексация</t>
  </si>
  <si>
    <t>Начисление резерва STI 100%, годовой бонус</t>
  </si>
  <si>
    <t>Начисление резерва STI 100%, квартальные бонусы</t>
  </si>
  <si>
    <t>PEX</t>
  </si>
  <si>
    <t>Материальная помощь</t>
  </si>
  <si>
    <t>Затраты на корп. мероприятие кроме проезда и проживания</t>
  </si>
  <si>
    <t>ДМС и НС</t>
  </si>
  <si>
    <t>Подбор массовых позиций</t>
  </si>
  <si>
    <t>Расходы на внешнее обучение</t>
  </si>
  <si>
    <t>Развитие HR бренда</t>
  </si>
  <si>
    <t>Резерв на оплату отпусков</t>
  </si>
  <si>
    <t>Other PEX</t>
  </si>
  <si>
    <t>PR/GR</t>
  </si>
  <si>
    <t>Организация бизнес-мероприятий для партнеров</t>
  </si>
  <si>
    <t>Маркетинговые исследования</t>
  </si>
  <si>
    <t>Маркетинг ВГО (не поставщики)</t>
  </si>
  <si>
    <t>Расходы на маркетинг в сети интернет</t>
  </si>
  <si>
    <t>Вознаграждения креаторам</t>
  </si>
  <si>
    <t>Marketing</t>
  </si>
  <si>
    <t>Техподдержка и сопровождение программного обеспечения</t>
  </si>
  <si>
    <t>IT</t>
  </si>
  <si>
    <t>Аренда</t>
  </si>
  <si>
    <t>Сервисный договор</t>
  </si>
  <si>
    <t>Рекламный сбор</t>
  </si>
  <si>
    <t>Представительские расходы</t>
  </si>
  <si>
    <t>Почтовые, курьерские услуги</t>
  </si>
  <si>
    <t>Other OPEX</t>
  </si>
  <si>
    <t>OPEX</t>
  </si>
  <si>
    <t>Разработка рекламной платформы</t>
  </si>
  <si>
    <t>Проекты Digital Instore (оснащение ТТ)</t>
  </si>
  <si>
    <t>CAPEX</t>
  </si>
  <si>
    <t>Модель оплаты</t>
  </si>
  <si>
    <t>CPM</t>
  </si>
  <si>
    <t>CPD</t>
  </si>
  <si>
    <t>От М+</t>
  </si>
  <si>
    <t>Year</t>
  </si>
  <si>
    <t>Line 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</si>
  <si>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</si>
  <si>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</si>
  <si>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</si>
  <si>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</si>
  <si>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</si>
  <si>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</si>
  <si>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</si>
  <si>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</si>
  <si>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</si>
  <si>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</si>
  <si>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</si>
  <si>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</si>
  <si>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FY</t>
  </si>
  <si>
    <t>DAC, млн чел.</t>
  </si>
  <si>
    <t>Факт</t>
  </si>
  <si>
    <t>Прогноз</t>
  </si>
  <si>
    <t>Доля месяца в объёме</t>
  </si>
  <si>
    <t>Плейсмент</t>
  </si>
  <si>
    <t>Итого 8м</t>
  </si>
  <si>
    <t>Квота факт</t>
  </si>
  <si>
    <t>Главная | Hero-Banner</t>
  </si>
  <si>
    <t>Доставка | Категории</t>
  </si>
  <si>
    <t>Главная | QR</t>
  </si>
  <si>
    <t>Главная</t>
  </si>
  <si>
    <t>Доставка | Каталог 1 уровня</t>
  </si>
  <si>
    <t>Постчекаут | Онлайн</t>
  </si>
  <si>
    <t>Сплешскрин</t>
  </si>
  <si>
    <t>Главная | Профиль</t>
  </si>
  <si>
    <t>Доставка | Косметик</t>
  </si>
  <si>
    <t>В магазине | Акции и каталог розницы</t>
  </si>
  <si>
    <t>Доставка экспресс главная</t>
  </si>
  <si>
    <t>Главная | Баннер в рекомендациях</t>
  </si>
  <si>
    <t>Прочие плейсменты</t>
  </si>
  <si>
    <t>Постчекаут | Маркет</t>
  </si>
  <si>
    <t>В магазине | Категории</t>
  </si>
  <si>
    <t>Доставка косметик главная</t>
  </si>
  <si>
    <t>Доставка гипер главная</t>
  </si>
  <si>
    <t>Маркет | Главный экран</t>
  </si>
  <si>
    <t>Доставка | Мигом</t>
  </si>
  <si>
    <t>Доставка | Рестораны</t>
  </si>
  <si>
    <t>Главная | Тапбар</t>
  </si>
  <si>
    <t>Главная | Рецепты</t>
  </si>
  <si>
    <t>Эксперимент на Главной (2x2 баннер)</t>
  </si>
  <si>
    <t>ИТОГО</t>
  </si>
  <si>
    <t>В месяц</t>
  </si>
  <si>
    <t>Доля AdTech</t>
  </si>
  <si>
    <t>Тип оборудования</t>
  </si>
  <si>
    <t>Устройств 2026</t>
  </si>
  <si>
    <t>Месяцев работы 2026</t>
  </si>
  <si>
    <t>КСО</t>
  </si>
  <si>
    <t>Шелф-баннеры</t>
  </si>
  <si>
    <t>Фасадные экраны</t>
  </si>
  <si>
    <t>TFT</t>
  </si>
  <si>
    <t>Дисплеи покупателя</t>
  </si>
  <si>
    <t>Радио</t>
  </si>
  <si>
    <t>Прайсчекеры</t>
  </si>
  <si>
    <t>Медиа-фасады</t>
  </si>
  <si>
    <t>LED</t>
  </si>
  <si>
    <t>Парк на конец 2026, всего</t>
  </si>
  <si>
    <t>в т.ч. базовый парк на начало 2026</t>
  </si>
  <si>
    <t>в т.ч. введено в течение 2026</t>
  </si>
  <si>
    <t>Средний парк 2026, взвешенный по месяцам работы</t>
  </si>
  <si>
    <t>Справочно: факт по файлу стратегии, лист «инвентарь»</t>
  </si>
  <si>
    <t>Отклонение базового парка от стратегии</t>
  </si>
  <si>
    <t>Прайс-позиция</t>
  </si>
  <si>
    <t>Тип формата</t>
  </si>
  <si>
    <t>Цена до 09.2026, ₽</t>
  </si>
  <si>
    <t>Цена с 09.2026, ₽</t>
  </si>
  <si>
    <t>Инкремент, ₽/мес</t>
  </si>
  <si>
    <t>Брендированная именная категория</t>
  </si>
  <si>
    <t>Перфоманс</t>
  </si>
  <si>
    <t>Splash screen</t>
  </si>
  <si>
    <t>Медийный инвентарь</t>
  </si>
  <si>
    <t>Hero-баннер</t>
  </si>
  <si>
    <t>Баннер на странице оформления заказа</t>
  </si>
  <si>
    <t>Баннер в листинге рекомендаций</t>
  </si>
  <si>
    <t>Баннер над профилем пользователя</t>
  </si>
  <si>
    <t>Баннеры в категориях и подкатегориях</t>
  </si>
  <si>
    <t>Баннер на первом экране Магнит Маркета</t>
  </si>
  <si>
    <t>Баннер в листинге Магнит Маркета</t>
  </si>
  <si>
    <t>Подборка в разделе «Покупайте с выгодой»</t>
  </si>
  <si>
    <t>Доставка | Экспресс  Самовывоз | Экспресс</t>
  </si>
  <si>
    <t>Доставка | Мигом  Самовывоз | Мигом</t>
  </si>
  <si>
    <t>Доставка  |Аптеки  Самовывоз | Аптеки</t>
  </si>
  <si>
    <t>Рекламная полка (clickout полка)</t>
  </si>
  <si>
    <t>clickout-инструменты</t>
  </si>
  <si>
    <t>Баннер на экране  QR-карты Магнит Плюс</t>
  </si>
  <si>
    <t>Сторис</t>
  </si>
  <si>
    <t>Именная товарная полка в разделе «Доставка»</t>
  </si>
  <si>
    <t>Полка «новинки»  в магнит косметик</t>
  </si>
  <si>
    <t>Подборка в разделе «Не забудьте заказать»</t>
  </si>
  <si>
    <t>Приоритетный вывод в категории</t>
  </si>
  <si>
    <t>Размещение на товарной полке в разделе «Доставка»</t>
  </si>
  <si>
    <t>Подборка, обогащенная баннером и дополнительной информацией</t>
  </si>
  <si>
    <t>Скрытая подборка</t>
  </si>
  <si>
    <t>Участие в тематических подборках</t>
  </si>
  <si>
    <t>Брендирование иконки в категории</t>
  </si>
  <si>
    <t>Приоритетная выдача в поисковом запросе</t>
  </si>
  <si>
    <t>Модальное окно в разделах Главная/Доставка/Самовывоз/ Магнит Маркет</t>
  </si>
  <si>
    <t>Доставка | Косметик  Самовывоз | Косметик</t>
  </si>
  <si>
    <t>Рекомендация в корзине</t>
  </si>
  <si>
    <t>Именная подкатегория</t>
  </si>
  <si>
    <t>Полка «Похожие» в продуктовой карточке Мкосметик</t>
  </si>
  <si>
    <t>Полка «Похожие» в продуктовой карточке Экспресс, Гипер</t>
  </si>
  <si>
    <t>Полка «Рекомендуем» в продуктовой карточке Мкосметик</t>
  </si>
  <si>
    <t>Полка «Рекомендуем» в продуктовой карточке Экспресс, Гипер</t>
  </si>
  <si>
    <t>Полка "Рекомендуем" в Доставке и Самовывозе (разделы Экспресс и Гипер)</t>
  </si>
  <si>
    <t>Эффективный комплект</t>
  </si>
  <si>
    <t>Пакетное предложение</t>
  </si>
  <si>
    <t>Видео в карточке товара</t>
  </si>
  <si>
    <t>Дополнительные услуги</t>
  </si>
  <si>
    <t>Оформление карточки товара</t>
  </si>
  <si>
    <t>А/b-тестирование новых форматов рекламы</t>
  </si>
  <si>
    <t>ИТОГО инкремент прайса, ₽/мес</t>
  </si>
  <si>
    <t>2. СВОДКА ИНКРЕМЕНТОВ ПО ТИПАМ ИНВЕНТАРЯ</t>
  </si>
  <si>
    <t>Медийный инвентарь, CPM</t>
  </si>
  <si>
    <t>Медийный инвентарь, CPD (сторис)</t>
  </si>
  <si>
    <t>Перформанс, CPD</t>
  </si>
  <si>
    <t>Прочее (clickout, пакеты, доп. услуги)</t>
  </si>
  <si>
    <t>Изменение</t>
  </si>
  <si>
    <t>Рыночная цена просмотра 2026, руб.</t>
  </si>
  <si>
    <t>Рыночная цена просмотра 2027, руб.</t>
  </si>
  <si>
    <t>Ставка креатора в месяц, руб.</t>
  </si>
  <si>
    <t>Сезонные коэффициенты цены</t>
  </si>
  <si>
    <t>1 - цена месяца умножается на коэффициент. 0 - цена равна прайсу во всех месяцах.</t>
  </si>
  <si>
    <t>Месяц</t>
  </si>
  <si>
    <t>Сумма за год</t>
  </si>
  <si>
    <t>Коэффициент</t>
  </si>
  <si>
    <t>ДРАЙВЕРЫ АУДИТОРИИ</t>
  </si>
  <si>
    <t>DAC-месяцев 2026, всего</t>
  </si>
  <si>
    <t>DAC-месяцев 2026, январь-август</t>
  </si>
  <si>
    <t>DAC-месяцев 2027, всего</t>
  </si>
  <si>
    <t>Коэффициент пересчёта 8 месяцев в год 2026</t>
  </si>
  <si>
    <t>Рост аудитории 2027 к 2026</t>
  </si>
  <si>
    <t>Индекс роста показов на 1 DAC</t>
  </si>
  <si>
    <t>Показы тотал
8м 2026</t>
  </si>
  <si>
    <t>Показы AdTech
8м 2026</t>
  </si>
  <si>
    <t>Квота
факт</t>
  </si>
  <si>
    <t>Квота
2027</t>
  </si>
  <si>
    <t>CPM
старый</t>
  </si>
  <si>
    <t>CPM
новый</t>
  </si>
  <si>
    <t>Показы AdTech
2026, год</t>
  </si>
  <si>
    <t>Показы AdTech
2027</t>
  </si>
  <si>
    <t>Выручка
2026</t>
  </si>
  <si>
    <t>Выручка
2027</t>
  </si>
  <si>
    <t>Главная (модальное окно)</t>
  </si>
  <si>
    <t>CPM в колонках F и G взвешен по фактической структуре показов</t>
  </si>
  <si>
    <t>Ед. изм.</t>
  </si>
  <si>
    <t>Уникальных кампаний AdTech в месяц</t>
  </si>
  <si>
    <t>ед.</t>
  </si>
  <si>
    <t>Размещений-дней на 1 кампанию в месяц</t>
  </si>
  <si>
    <t>дн.</t>
  </si>
  <si>
    <t>CPD сторис, ₽</t>
  </si>
  <si>
    <t>₽</t>
  </si>
  <si>
    <t>ВЫРУЧКА СТОРИС, млн ₽</t>
  </si>
  <si>
    <t>млн ₽</t>
  </si>
  <si>
    <t>3. ВЫРУЧКА МЕДИА ПО МЕСЯЦАМ</t>
  </si>
  <si>
    <t>Доля месяца в объёме (по DAC)</t>
  </si>
  <si>
    <t>%</t>
  </si>
  <si>
    <t>Внутри года выручка распределяется так же, как растёт аудитория</t>
  </si>
  <si>
    <t>Сезонный коэффициент цены</t>
  </si>
  <si>
    <t>×</t>
  </si>
  <si>
    <t>Годовая выручка по CPM, разложенная по месяцам</t>
  </si>
  <si>
    <t>Годовая выручка сторис, разложенная по месяцам</t>
  </si>
  <si>
    <t>ВЫРУЧКА APP МЕДИА</t>
  </si>
  <si>
    <t>Итого медиа: CPM + сторис</t>
  </si>
  <si>
    <t>ПЕРЕКЛЮЧАТЕЛИ</t>
  </si>
  <si>
    <t>1. ДРАЙВЕРЫ</t>
  </si>
  <si>
    <t>Уникальных кампаний AdTech, 2026</t>
  </si>
  <si>
    <t>Уникальных кампаний AdTech, 2027</t>
  </si>
  <si>
    <t>Средний чек кампании в месяц, старый прайс</t>
  </si>
  <si>
    <t>Индексация чека по новому прайсу</t>
  </si>
  <si>
    <t>Средний чек кампании в месяц, 2027</t>
  </si>
  <si>
    <t>2. ВЫРУЧКА</t>
  </si>
  <si>
    <t>Выручка перформанса 2026</t>
  </si>
  <si>
    <t>ВЫРУЧКА ПЕРФОРМАНСА 2027</t>
  </si>
  <si>
    <t>3. РАСЧЁТ СРЕДНЕГО ЧЕКА КАМПАНИИ (калибровка на факт 2026)</t>
  </si>
  <si>
    <t>Выручка перформанса не наблюдается напрямую: в отчётности APP она сидит внутри общей выручки. Считаем её как остаток и делим на кампании-месяцы.</t>
  </si>
  <si>
    <t>минус выручка APP Медиа 2026 (CPM + сторис)</t>
  </si>
  <si>
    <t>Выручка перформанса 2026, млн ₽ (остаток)</t>
  </si>
  <si>
    <t>Кампании-месяцы × сезонный коэффициент, янв–авг</t>
  </si>
  <si>
    <t>Кампании-месяцы × сезонный коэффициент, сен–дек</t>
  </si>
  <si>
    <t>Прирост чека от нового прайса, ₽ (из блока 4)</t>
  </si>
  <si>
    <t>Надбавка нового прайса за сен–дек, млн ₽</t>
  </si>
  <si>
    <t>СРЕДНИЙ ЧЕК КАМПАНИИ, СТАРЫЙ ПРАЙС, ₽</t>
  </si>
  <si>
    <t>4. РАСЧЁТ ИНДЕКСАЦИИ ЧЕКА ПО НОВОМУ ПРАЙСУ</t>
  </si>
  <si>
    <t>Приоритетный вывод в категории</t>
  </si>
  <si>
    <t>Подборка «Покупайте с выгодой»</t>
  </si>
  <si>
    <t>ИТОГО инкремент прайса по перформансу, ₽/мес</t>
  </si>
  <si>
    <t>Справочно: инкремент по медийным CPM-форматам, ₽/мес</t>
  </si>
  <si>
    <t>Справочно: инкремент по сторис, ₽/мес</t>
  </si>
  <si>
    <t>Кампаний AdTech в месяц, среднее янв–авг 2026</t>
  </si>
  <si>
    <t>Прирост среднего чека, ₽</t>
  </si>
  <si>
    <t>ИНДЕКСАЦИЯ ЧЕКА</t>
  </si>
  <si>
    <t>1. СПРАВОЧНИК ОБОРУДОВАНИЯ</t>
  </si>
  <si>
    <t>Устройств
2026</t>
  </si>
  <si>
    <t>Устройств
2027</t>
  </si>
  <si>
    <t>Доход/устр.
мес 2026, ₽</t>
  </si>
  <si>
    <t>Доход/устр.
мес 2027, ₽</t>
  </si>
  <si>
    <t>Месяцев
2026</t>
  </si>
  <si>
    <t>Месяцев
2027</t>
  </si>
  <si>
    <t>Реализация
2026</t>
  </si>
  <si>
    <t>Реализация
2027</t>
  </si>
  <si>
    <t>ИТОГО (парк на конец года)</t>
  </si>
  <si>
    <t>2. РАСКЛАДКА ПО МЕСЯЦАМ</t>
  </si>
  <si>
    <t>ВЫРУЧКА IN-STORE 2027</t>
  </si>
  <si>
    <t>Выручка in-store 2026</t>
  </si>
  <si>
    <t>Базовый парк на начало 2026</t>
  </si>
  <si>
    <t>Устройства, работавшие все 12 месяцев</t>
  </si>
  <si>
    <t>Введено в течение 2026</t>
  </si>
  <si>
    <t>Парк на конец 2026</t>
  </si>
  <si>
    <t>Сколько устройств в среднем монетизировалось в течение года</t>
  </si>
  <si>
    <t>1. DMP + ONLINE, 2027</t>
  </si>
  <si>
    <t>Пакеты и Онлайн+ТВ</t>
  </si>
  <si>
    <t>Баннеры и OLV</t>
  </si>
  <si>
    <t>Развитие новых площадок (SmartTV, Авито, МР)</t>
  </si>
  <si>
    <t>ВЫРУЧКА DMP + ONLINE</t>
  </si>
  <si>
    <t>Маржинальность: пакеты и Онлайн+ТВ</t>
  </si>
  <si>
    <t>Маржинальность: баннеры и OLV</t>
  </si>
  <si>
    <t>Маржинальность: новые площадки</t>
  </si>
  <si>
    <t>ЗАКУПКА ТРАФИКА</t>
  </si>
  <si>
    <t>Маржинальность итоговая</t>
  </si>
  <si>
    <t>2. DMP + ANALYTICS, 2027</t>
  </si>
  <si>
    <t>Adhoc</t>
  </si>
  <si>
    <t>ВЫРУЧКА DMP + ANALYTICS</t>
  </si>
  <si>
    <t>3. БАЗА 2026 (факт + прогноз, Master File, блок ACT)</t>
  </si>
  <si>
    <t>DMP + Online 2026</t>
  </si>
  <si>
    <t>DMP + Analytics 2026</t>
  </si>
  <si>
    <t>Закупка трафика 2026</t>
  </si>
  <si>
    <t>План команды DMP на 2026</t>
  </si>
  <si>
    <t>1. ПРОИЗВОДСТВО: ОТ ЯЧЕЕК К ПРОСМОТРАМ</t>
  </si>
  <si>
    <t>Ячеек в работе</t>
  </si>
  <si>
    <t>Креаторов на ячейку</t>
  </si>
  <si>
    <t>чел.</t>
  </si>
  <si>
    <t>Контент-единиц на креатора в месяц</t>
  </si>
  <si>
    <t>Коэффициент дублирования</t>
  </si>
  <si>
    <t>Публикаций всего</t>
  </si>
  <si>
    <t>Просмотров на публикацию</t>
  </si>
  <si>
    <t>Коэффициент загруженности</t>
  </si>
  <si>
    <t>ПРОСМОТРЫ ВСЕГО</t>
  </si>
  <si>
    <t>млн</t>
  </si>
  <si>
    <t>2. СПЛИТ ПРОСМОТРОВ</t>
  </si>
  <si>
    <t>Доля внешних рекламодателей</t>
  </si>
  <si>
    <t>Просмотры внешних рекламодателей</t>
  </si>
  <si>
    <t>Просмотры внутренних заказчиков</t>
  </si>
  <si>
    <t>3. ЭКОНОМИКА ПРОСМОТРА</t>
  </si>
  <si>
    <t>Рыночная цена просмотра</t>
  </si>
  <si>
    <t>руб.</t>
  </si>
  <si>
    <t>Ставка креатора в месяц</t>
  </si>
  <si>
    <t>OPEX ячеек (оплата креаторам)</t>
  </si>
  <si>
    <t>млн руб.</t>
  </si>
  <si>
    <t>Себестоимость просмотра</t>
  </si>
  <si>
    <t>Маржа с просмотра</t>
  </si>
  <si>
    <t>4. РЕЗУЛЬТАТ</t>
  </si>
  <si>
    <t>Выручка всего</t>
  </si>
  <si>
    <t>Расходы: OPEX ячеек</t>
  </si>
  <si>
    <t>Результат Content factory</t>
  </si>
  <si>
    <t>Рентабельность</t>
  </si>
  <si>
    <t>Бренд</t>
  </si>
  <si>
    <t>COMMERCE</t>
  </si>
  <si>
    <t>PRODUCT</t>
  </si>
  <si>
    <t>ANALYTICS</t>
  </si>
  <si>
    <t>MANAGEMENT</t>
  </si>
  <si>
    <t>FINANCE</t>
  </si>
  <si>
    <t>HR</t>
  </si>
  <si>
    <t>MARKETING</t>
  </si>
  <si>
    <t>OPS</t>
  </si>
  <si>
    <t>BIZDEV</t>
  </si>
  <si>
    <t>BIZDEV IT</t>
  </si>
  <si>
    <t>LOYALTY</t>
  </si>
  <si>
    <t>SOCIAL COM</t>
  </si>
  <si>
    <t>Статья PEX</t>
  </si>
  <si>
    <t>Доля</t>
  </si>
  <si>
    <t>PEX ИТОГО</t>
  </si>
  <si>
    <t>1. ДРАЙВЕРЫ И ВЫРУЧКА ПО ПРОДУКТАМ</t>
  </si>
  <si>
    <t>CVM: охват</t>
  </si>
  <si>
    <t>млн контактов</t>
  </si>
  <si>
    <t>CVM: цена контакта</t>
  </si>
  <si>
    <t>Кешбек на SKU: количество поставщиков</t>
  </si>
  <si>
    <t>Кешбек на SKU: темп роста числа поставщиков</t>
  </si>
  <si>
    <t>Кешбек на SKU: средний бюджет поставщика</t>
  </si>
  <si>
    <t>Зафиксирован на весь год</t>
  </si>
  <si>
    <t>Любимые категории: офферов в месяц</t>
  </si>
  <si>
    <t>Любимые категории: стоимость оффера</t>
  </si>
  <si>
    <t>Подписка: офферов в месяц</t>
  </si>
  <si>
    <t>Подписка: стоимость оффера</t>
  </si>
  <si>
    <t>Цели: охват</t>
  </si>
  <si>
    <t>Цели: цена контакта</t>
  </si>
  <si>
    <t>CRM: квота push</t>
  </si>
  <si>
    <t>млн отправок</t>
  </si>
  <si>
    <t>CRM: цена отправки</t>
  </si>
  <si>
    <t>ВЫРУЧКА М+ ВСЕГО</t>
  </si>
  <si>
    <t>Расходы всего</t>
  </si>
  <si>
    <t>СПРАВОЧНО</t>
  </si>
  <si>
    <t>P&amp;L AdTech 2027 - BOTTOM-UP</t>
  </si>
  <si>
    <t>Оплата труда - постоянная часть</t>
  </si>
  <si>
    <t>Оплата труда - премии</t>
  </si>
  <si>
    <t>Оплата труда - отпускные</t>
  </si>
  <si>
    <t>Командировочные - Проезд</t>
  </si>
  <si>
    <t>Командировочные - Проживание</t>
  </si>
  <si>
    <t>Командировочные - Суточные</t>
  </si>
  <si>
    <t>ВВОДНЫЕ - АУДИТОРИЯ ПРИЛОЖЕНИЯ</t>
  </si>
  <si>
    <t>DAC - пользователи, совершившие хотя бы одно действие в приложении. Профиль по месяцам задаёт сезонность выручки.</t>
  </si>
  <si>
    <t>DATA - ПЕРВИЧНЫЕ ДАННЫЕ ПО ПОКАЗАМ И КАМПАНИЯМ</t>
  </si>
  <si>
    <t>1. ПОКАЗЫ APP ПО ПЛЕЙСМЕНТАМ - ТОЛЬКО AdTech, ФАКТ ЯНВ–АВГ 2026, шт.</t>
  </si>
  <si>
    <t>2. ПОКАЗЫ APP ПО ПЛЕЙСМЕНТАМ - ТОТАЛ (все рекламодатели), ФАКТ ЯНВ–АВГ 2026, шт.</t>
  </si>
  <si>
    <t>3. УНИКАЛЬНЫЕ РЕКЛАМНЫЕ КАМПАНИИ APP - ФАКТ ЯНВ–АВГ 2026, ед.</t>
  </si>
  <si>
    <t>Медиа - всего рекламодателей</t>
  </si>
  <si>
    <t>Медиа - AdTech</t>
  </si>
  <si>
    <t>Сторис - всего рекламодателей</t>
  </si>
  <si>
    <t>Сторис - AdTech</t>
  </si>
  <si>
    <t>Закрепы (перформанс) - всего рекламодателей</t>
  </si>
  <si>
    <t>Закрепы (перформанс) - AdTech</t>
  </si>
  <si>
    <t>4. IN-STORE - ПАРК ОБОРУДОВАНИЯ, ФАКТ 2026</t>
  </si>
  <si>
    <t>КСО - новые</t>
  </si>
  <si>
    <t>Шелф-баннеры - новые</t>
  </si>
  <si>
    <t>Фасадные экраны - новые</t>
  </si>
  <si>
    <t>Медиа-фасады - новые</t>
  </si>
  <si>
    <t>ПРАЙС - ЦЕНЫ РАЗМЕЩЕНИЙ</t>
  </si>
  <si>
    <t>1. APP - ПРАЙС-ЛИСТ РАЗМЕЩЕНИЙ</t>
  </si>
  <si>
    <t>(без названия - доп. позиция предыдущей строки)</t>
  </si>
  <si>
    <t>-</t>
  </si>
  <si>
    <t>3. IN-STORE - СРЕДНИЙ ДОХОД НА УСТРОЙСТВО В МЕСЯЦ, ₽</t>
  </si>
  <si>
    <t>4. CONTENT FACTORY - ЦЕНА ПРОСМОТРА</t>
  </si>
  <si>
    <t>APP МЕДИА - БЮДЖЕТ 2027</t>
  </si>
  <si>
    <t>1. ПЛЕЙСМЕНТЫ CPM - ФАКТ 2026 И ПЛАН 2027</t>
  </si>
  <si>
    <t>2. СТОРИС - МЕДИЙНЫЙ ИНВЕНТАРЬ С ОПЛАТОЙ ПО CPD</t>
  </si>
  <si>
    <t>CPD сторис - лист «ПРАЙС», строка «Сторис»</t>
  </si>
  <si>
    <t>Цена месяца × коэффициент. Выключатель - ячейка B4 сверху</t>
  </si>
  <si>
    <t>Медиа CPM - выручка</t>
  </si>
  <si>
    <t>Сторис CPD - выручка</t>
  </si>
  <si>
    <t>APP ПЕРФОРМАНС - БЮДЖЕТ 2027</t>
  </si>
  <si>
    <t>Закрепы монетизируются по CPD. Драйвер объёма - уникальные кампании в месяц. Суммы в млн руб. без НДС.</t>
  </si>
  <si>
    <t>IN-STORE DIGITAL - БЮДЖЕТ 2027</t>
  </si>
  <si>
    <t>ПАРК ОБОРУДОВАНИЯ - РАСШИФРОВКА</t>
  </si>
  <si>
    <t>40 500 КСО и 2 725 шелф-баннеров - по 3 месяца, 831 фасадный экран - 5 месяцев</t>
  </si>
  <si>
    <t>Он же - базовый парк на начало 2027</t>
  </si>
  <si>
    <t>DMP + ONLINE И DMP + ANALYTICS - БЮДЖЕТ 2027</t>
  </si>
  <si>
    <t>Выручка по проектам и маржинальность трафика. Источник - план команды DMP. Суммы в млн руб. без НДС.</t>
  </si>
  <si>
    <t>CONTENT FACTORY - БЮДЖЕТ 2027</t>
  </si>
  <si>
    <t>ВЫРУЧКА - внешние рекламодатели</t>
  </si>
  <si>
    <t>ВЫРУЧКА (ВГО) - внутренние заказчики</t>
  </si>
  <si>
    <t>М+ (МАГНИТ ПЛЮС) - СПРАВОЧНО</t>
  </si>
  <si>
    <t>Заморожена на весь год - индексации нет</t>
  </si>
  <si>
    <t>CVM - выручка</t>
  </si>
  <si>
    <t>Кешбек на SKU - выручка</t>
  </si>
  <si>
    <t>Любимые категории - выручка</t>
  </si>
  <si>
    <t>Подписка - выручка</t>
  </si>
  <si>
    <t>Цели - выручка</t>
  </si>
  <si>
    <t>CRM - выручка</t>
  </si>
  <si>
    <t>Партнёрские продукты - выручка</t>
  </si>
  <si>
    <t>Revenue М+</t>
  </si>
  <si>
    <t>Online DMP</t>
  </si>
  <si>
    <t>BU 2027</t>
  </si>
  <si>
    <t>YoY</t>
  </si>
  <si>
    <t>2026 FC</t>
  </si>
  <si>
    <t>2027 BU</t>
  </si>
  <si>
    <t>Выручка М+</t>
  </si>
  <si>
    <t>Среднемесячное число кампаний AdTech в сторис</t>
  </si>
  <si>
    <t xml:space="preserve">APP факт + прогноз 2026 </t>
  </si>
  <si>
    <t>Устройства × средний доход на устройство в месяц × месяцев работы × реализация. Суммы в млн руб. без НДС.</t>
  </si>
  <si>
    <t>Выручка считается по каждому плейсменту его собственным CPM. Сторис - медийный инвентарь с оплатой по CPD. Суммы в млн руб. без НДС.</t>
  </si>
  <si>
    <t>Ячейка креаторов производит публикации, публикации дают просмотры. Просмотры делятся на внутренних заказчиков и внешних рекламодателей. Суммы в млн руб. без НДС.</t>
  </si>
  <si>
    <t>Выручка М+ приходит из того же пула маркетинговой бек-маржи, но в P&amp;L AdTech не входит и на EBITDA не влияет.</t>
  </si>
  <si>
    <t xml:space="preserve">Рост с 38 до 176 поставщиков за год </t>
  </si>
  <si>
    <t>DIFF</t>
  </si>
  <si>
    <t>НПД</t>
  </si>
  <si>
    <t>Внутренняя цена просмтра ВГО</t>
  </si>
  <si>
    <t>Маржа с просмотра ВГО</t>
  </si>
  <si>
    <t>RMN (Brand budgets call) отдельное ЮЛ</t>
  </si>
  <si>
    <t>Content factory отдельное ЮЛ</t>
  </si>
  <si>
    <t>Strategy 2027</t>
  </si>
  <si>
    <t>Bridge to strategy</t>
  </si>
  <si>
    <t>Факт янв–авг 2026 из отчётов даталенз.</t>
  </si>
  <si>
    <t>Revenue increase YOY</t>
  </si>
  <si>
    <t>Offline</t>
  </si>
  <si>
    <t>E-comm</t>
  </si>
  <si>
    <t>Capex</t>
  </si>
  <si>
    <t>Instore Digital</t>
  </si>
  <si>
    <t>AT Platform</t>
  </si>
  <si>
    <t>Командировочные расходы</t>
  </si>
  <si>
    <t>Прочие компенсации и льготы</t>
  </si>
  <si>
    <t>Карты лояльности (мотивация сотрудников)</t>
  </si>
  <si>
    <t>Подбор офисных позиций</t>
  </si>
  <si>
    <t>Дек.2027</t>
  </si>
  <si>
    <t>Ноя.2027</t>
  </si>
  <si>
    <t>Окт.2027</t>
  </si>
  <si>
    <t>Сен.2027</t>
  </si>
  <si>
    <t>Авг.2027</t>
  </si>
  <si>
    <t>Июл.2027</t>
  </si>
  <si>
    <t>Июн.2027</t>
  </si>
  <si>
    <t>Май.2027</t>
  </si>
  <si>
    <t>Апр.2027</t>
  </si>
  <si>
    <t>Мар.2027</t>
  </si>
  <si>
    <t>Фев.2027</t>
  </si>
  <si>
    <t>Янв.2027</t>
  </si>
  <si>
    <t>н.п.</t>
  </si>
  <si>
    <t>Буров Глеб (IT)</t>
  </si>
  <si>
    <t>Codex Pro/ChatGPT </t>
  </si>
  <si>
    <t>Claude Code</t>
  </si>
  <si>
    <t>Finance</t>
  </si>
  <si>
    <t>Other OPEX (HR)</t>
  </si>
  <si>
    <t>Ибатуллина Виолетта</t>
  </si>
  <si>
    <t>Компенсация за использование личного имущества (не л/а) день</t>
  </si>
  <si>
    <t>Вознаграждение за результаты интеллектуальной деятельности - разработка программы ЭВМ</t>
  </si>
  <si>
    <t>Внешком (Ковалёва Екатерина)</t>
  </si>
  <si>
    <t>South Hub (1/2 партнерства (вместе с М-тех)</t>
  </si>
  <si>
    <t>Обновление EVP (Бренд-платформа, стратегия и визуальная айдентика
Исследование на узнаваемость бренда работодателя)</t>
  </si>
  <si>
    <t>T&amp;D (Утов Алим)</t>
  </si>
  <si>
    <t>Развитие ЛТ и ИЛТ команд - кастомные запросы - 
функций OMNI (аналитика, продукт, разработка, платформа, HR, финансы)</t>
  </si>
  <si>
    <t xml:space="preserve">Развитие ЛТ и ИЛТ команд - кастомные запросы </t>
  </si>
  <si>
    <t>Оплата внешнего обучения для сотрудников ТЕК</t>
  </si>
  <si>
    <t>Оплата внешнего обучения для сотрудников НОН ТЕК</t>
  </si>
  <si>
    <t>Recr (Сибгатуллина Алина)</t>
  </si>
  <si>
    <t>IP Телефония</t>
  </si>
  <si>
    <t>HR боты для сорсинга и скоринга</t>
  </si>
  <si>
    <t>Автоматический сорсинг Leadl recruit</t>
  </si>
  <si>
    <t>Реферальная программа</t>
  </si>
  <si>
    <t>Стратегическая сессия (цели и промежуточная)</t>
  </si>
  <si>
    <t>Clouds</t>
  </si>
  <si>
    <t>Бондарук: заложено потенциальное повышение цены или лицензий потребуется больше на 25%</t>
  </si>
  <si>
    <t>Апсалон Мария, Бондарук Андрей</t>
  </si>
  <si>
    <t>Soft</t>
  </si>
  <si>
    <t>ELMA365</t>
  </si>
  <si>
    <t>Аксенова Татьяна, Заворина Диана</t>
  </si>
  <si>
    <t>LiveDune</t>
  </si>
  <si>
    <t>Лаптев Дмитрий</t>
  </si>
  <si>
    <t>модерация</t>
  </si>
  <si>
    <t>ML</t>
  </si>
  <si>
    <t>Streamerce</t>
  </si>
  <si>
    <t>Kinescope</t>
  </si>
  <si>
    <t>Киселев Николай</t>
  </si>
  <si>
    <t>SendSay</t>
  </si>
  <si>
    <t>Вайнштейн Роман</t>
  </si>
  <si>
    <t>Unisender</t>
  </si>
  <si>
    <t>Русов Дмитрий (Product)</t>
  </si>
  <si>
    <t>Service soft</t>
  </si>
  <si>
    <t>AdFox</t>
  </si>
  <si>
    <t>Phygital</t>
  </si>
  <si>
    <t>Итого Софт+облака</t>
  </si>
  <si>
    <t>Tilda</t>
  </si>
  <si>
    <t>Буров Глеб (IT), Сидоренко Ирина</t>
  </si>
  <si>
    <t>Figma Organization</t>
  </si>
  <si>
    <t>Figma DevMode</t>
  </si>
  <si>
    <t>Итого Софт</t>
  </si>
  <si>
    <t>Ожаровская Вероника</t>
  </si>
  <si>
    <t>ПО Pitchdeck Pro 1 year Subscription</t>
  </si>
  <si>
    <t>ИТОГО OPEX</t>
  </si>
  <si>
    <t>Горяйнов Евгений, Тарасов Михаил</t>
  </si>
  <si>
    <t>Оснащение БФ фасадным экраном и билбордом</t>
  </si>
  <si>
    <t>Аксенова Татьяна</t>
  </si>
  <si>
    <t>Модерация</t>
  </si>
  <si>
    <t>Внедрение целевой системы управления медиа-контентом</t>
  </si>
  <si>
    <t>не закладываем</t>
  </si>
  <si>
    <t>Интеграция Медиа с КСО</t>
  </si>
  <si>
    <t>Оснащение ТТ Фасадными экранами</t>
  </si>
  <si>
    <t>Алеманова Юлия/Карагодина Тамара</t>
  </si>
  <si>
    <t>Целевая система управления медиаконтентом</t>
  </si>
  <si>
    <t>Finance (Елена Белявская)</t>
  </si>
  <si>
    <t>Optimacros</t>
  </si>
  <si>
    <t>Алеманова Юлия, Карагодина Тамара</t>
  </si>
  <si>
    <t xml:space="preserve">InAppStory (ПО «Редактор и партнерские SDK для повествований») </t>
  </si>
  <si>
    <t>IT - Буров Глеб, Сидоренко Ирина</t>
  </si>
  <si>
    <t>Вайнштейн Роман, Питьева Татьяна</t>
  </si>
  <si>
    <t>Brand Analytics</t>
  </si>
  <si>
    <t>К выходу планируется 30 чел. + 5% на замену</t>
  </si>
  <si>
    <t>Нет единого</t>
  </si>
  <si>
    <t>Laptops</t>
  </si>
  <si>
    <t>MacBook</t>
  </si>
  <si>
    <t>ИТОГО CAPEX</t>
  </si>
  <si>
    <t>Finance/Белявская Елена</t>
  </si>
  <si>
    <t>Think-cell</t>
  </si>
  <si>
    <t>Вайнштейн Роман/Питьева Татьяна</t>
  </si>
  <si>
    <t>Zoom</t>
  </si>
  <si>
    <t>Proxyman Team</t>
  </si>
  <si>
    <t>Буров: при наличии Codex/Claude подписка не нужна</t>
  </si>
  <si>
    <t>JetBrains AI Assistant</t>
  </si>
  <si>
    <t>JetBrains IDE</t>
  </si>
  <si>
    <t>Yonote</t>
  </si>
  <si>
    <t>Postman Professional</t>
  </si>
  <si>
    <t>IT - Буров Глеб</t>
  </si>
  <si>
    <t>Miro Starter</t>
  </si>
  <si>
    <t>Allure TestOps</t>
  </si>
  <si>
    <t>MIP/CF</t>
  </si>
  <si>
    <t>Вайнштейн Роман, Чистякова Катерина</t>
  </si>
  <si>
    <t>Пиар (платные публикации и посевы)</t>
  </si>
  <si>
    <t>Участие в мероприятиях рыночных</t>
  </si>
  <si>
    <t>Итого</t>
  </si>
  <si>
    <t>Собственные клиентские мероприятия</t>
  </si>
  <si>
    <t>Поставщики ММ</t>
  </si>
  <si>
    <t>стратегия</t>
  </si>
  <si>
    <t>прогноз</t>
  </si>
  <si>
    <t>Цена за ед.</t>
  </si>
  <si>
    <t>Кол-во</t>
  </si>
  <si>
    <t>Стоимость</t>
  </si>
  <si>
    <t>Ардаширов Денис</t>
  </si>
  <si>
    <t>DMP+Online (ЦМ)</t>
  </si>
  <si>
    <t>Не поставщики</t>
  </si>
  <si>
    <t>Дельта</t>
  </si>
  <si>
    <t>Ответственный</t>
  </si>
  <si>
    <t>Софт</t>
  </si>
  <si>
    <t xml:space="preserve">Суммы взяты из бюджета 2027 файла Астемира, рассчитаны от прогнозируемой выручки </t>
  </si>
  <si>
    <t>Тарасов Михаил, Кирилова Анастасия</t>
  </si>
  <si>
    <t>Премия СК</t>
  </si>
  <si>
    <t>%% СК</t>
  </si>
  <si>
    <t>Выручка</t>
  </si>
  <si>
    <t>В руб.</t>
  </si>
  <si>
    <t>Мухутдинов Дамир, Соколов Павел</t>
  </si>
  <si>
    <t>Инфляция, год</t>
  </si>
  <si>
    <t>Мэппинг к отчетности</t>
  </si>
  <si>
    <t>ACT 7m26</t>
  </si>
  <si>
    <t>BU'26</t>
  </si>
  <si>
    <t>Заказчик/Ответственный</t>
  </si>
  <si>
    <t>Ст-ть, руб.</t>
  </si>
  <si>
    <t>Кол-во, ед.</t>
  </si>
  <si>
    <t>Вид ИТ расхода</t>
  </si>
  <si>
    <t>CAPEX/OPEX</t>
  </si>
  <si>
    <t>Модель</t>
  </si>
  <si>
    <t>Статья бюджета</t>
  </si>
  <si>
    <t>Вид расхода</t>
  </si>
  <si>
    <t>Модификатор</t>
  </si>
  <si>
    <t>Вознаграждения рекламным агентствам 2027</t>
  </si>
  <si>
    <t>Калькулятор прогноза расходов по IT софт + облака</t>
  </si>
  <si>
    <t>В руб. без НДС</t>
  </si>
  <si>
    <t>Расходы 2027, млн руб.</t>
  </si>
  <si>
    <t>К распределению</t>
  </si>
  <si>
    <t>CONS BU 2027</t>
  </si>
  <si>
    <t>Total</t>
  </si>
  <si>
    <t>ССЧ</t>
  </si>
  <si>
    <t>FTE</t>
  </si>
  <si>
    <t>OPEX+CAPEX</t>
  </si>
  <si>
    <t>Описание: аудитория приложения (DAC) по месяцам: 2026 - факт, 2027 - прогноз М+. Логика: FY = Σ месяцев; доля месяца = DAC месяца / FY 2027 - используется для раскладки годовой выручки APP Медиа по месяцам.</t>
  </si>
  <si>
    <t>Описание: исходные показы AdTech по плейсментам, янв–авг 2026 (даталенз). Логика: итог 8м = Σ месяцев; квота факт = показы AdTech / тотал показов (табл. 2). Используется в «APP Медиа».</t>
  </si>
  <si>
    <t>Описание: тотал показов всех рекламодателей по плейсментам, янв–авг 2026. Логика: итог 8м = Σ месяцев; база для квоты AdTech и прогноза показов 2027.</t>
  </si>
  <si>
    <t>Описание: уникальные рекламные кампании по форматам (медиа, сторис, закрепы). Логика: доля AdTech = кампании AdTech / всего; «В месяц» = среднее за 8 мес. Драйвер объёма для сторис и перформанса.</t>
  </si>
  <si>
    <t>Описание: парк in-store оборудования 2026 и месяцы работы. Логика: средний парк = Σ(устройства × месяцы) / 12; сверка базового парка с файлом стратегии. Используется в «In-store».</t>
  </si>
  <si>
    <t>Описание: инкремент нового прайса по типам инвентаря. Логика: SUMIFS инкремента из табл. 1 по типу формата и модели оплаты; «Прочее» = итог − три группы. Используется в «APP Перформанс» (блок 4).</t>
  </si>
  <si>
    <t>Описание: средний доход на устройство в месяц по типам оборудования, 2026 и 2027 (ввод). Логика: изменение = 2027 / 2026 − 1. Используется в «In-store».</t>
  </si>
  <si>
    <t>Описание: цена просмотра и ставка креатора для Content factory. Логика: цена 2027 = цена 2026 × (1 + коэффициент в строке 92); ставка = 60 000 / 0,94 (гросс-ап под НПД).</t>
  </si>
  <si>
    <t>Описание: драйверы аудитории для прогноза показов. Логика: пересчёт 8м → год = DAC 2026 за год / DAC янв–авг; рост 2027 = DAC 2027 / DAC 2026 − 1 (из «Вводные»).</t>
  </si>
  <si>
    <t>Описание: выручка CPM-плейсментов 2026 и 2027. Логика: квота = показы AdTech / тотал (DATA); показы 2027 = тотал 8м × пересчёт в год × (1 + рост аудитории) × индекс показов × квота 2027; выручка = показы × CPM (ПРАЙС) / 10⁹; в 2026 сен–дек - по новому CPM.</t>
  </si>
  <si>
    <t>Описание: выручка сторис (оплата за день, CPD). Логика: кампании AdTech в месяц (DATA; 2027 = × (1 + рост аудитории)) × дней на кампанию × CPD (ПРАЙС) × 12 мес; 2026 = 8 мес по старому CPD + 4 мес по новому.</t>
  </si>
  <si>
    <t>Описание: помесячная выручка APP Медиа 2027. Логика: годовая выручка блоков 1–2 × доля месяца по DAC («Вводные») × сезонный коэффициент цены (вкл/выкл в B4). Итог идёт в P&amp;L, строка APP.</t>
  </si>
  <si>
    <t>Описание: драйверы перформанса (закрепы, CPD). Логика: кампании AdTech 2026 (DATA) → 2027 = × (1 + рост аудитории); средний чек 2027 = чек по старому прайсу (блок 3) × индексация нового прайса (блок 4); сезонность - по переключателю B5.</t>
  </si>
  <si>
    <t>Описание: выручка перформанса по месяцам. Логика: кампании × средний чек × сезонный коэффициент / 10⁶. Строка 2027 идёт в P&amp;L, строка APP.</t>
  </si>
  <si>
    <t>Описание: калибровка среднего чека на факт 2026. Логика: выручка перформанса = APP 2026 − APP Медиа 2026; чек = (остаток − надбавка нового прайса за сен–дек) / Σ(кампании × сезонность).</t>
  </si>
  <si>
    <t>Описание: индексация чека от нового прайса. Логика: прирост чека = инкремент прайса по перформансу, ₽/мес (ПРАЙС) / среднее число кампаний янв–авг; индексация = 1 + прирост / чек по старому прайсу.</t>
  </si>
  <si>
    <t>Описание: выручка по типам оборудования. Логика: устройства × доход на устройство в мес (ПРАЙС) × месяцев работы × % реализации / 10⁶; 2026 - парк из DATA, 2027 - план парка (ввод).</t>
  </si>
  <si>
    <t>Описание: справочная расшифровка парка. Логика: базовый парк + ввод за 2026 = парк на конец года; средний парк = Σ(устройства × месяцы) / 12.</t>
  </si>
  <si>
    <t>Описание: выручка DMP + Online по направлениям (план команды DMP). Логика: выручка = Σ трёх направлений; закупка трафика = Σ выручка × (1 − маржинальность) → расходы на маркетинг в интернете; итоговая маржа = 1 − закупка / выручка.</t>
  </si>
  <si>
    <t>Описание: выручка DMP + Analytics (план команды DMP). Логика: выручка = DMP + Adhoc, без закупки трафика. Итог идёт в P&amp;L.</t>
  </si>
  <si>
    <t>Описание: база 2026 (факт + прогноз, Master File). Логика: справочные значения для сравнения 2027 с 2026 (YoY).</t>
  </si>
  <si>
    <t>Описание: производственная воронка. Логика: публикации = ячейки × креаторы × контент-ед. на креатора × коэф. дублирования; просмотры = публикации × просмотры на публикацию × загруженность / 10⁶.</t>
  </si>
  <si>
    <t>Описание: сплит просмотров. Логика: внешние рекламодатели = просмотры × доля; внутренние заказчики (ВГО) = просмотры × (1 − доля).</t>
  </si>
  <si>
    <t>Описание: юнит-экономика просмотра. Логика: цены и ставка креатора - из ПРАЙС; OPEX ячеек = ячейки × креаторы × ставка; себестоимость = (OPEX + PEX команды) / просмотры; маржа = цена − себестоимость.</t>
  </si>
  <si>
    <t>Описание: финансовый результат Content factory. Логика: выручка = просмотры × цена (внешние - рыночная, ВГО - внутренняя); результат = выручка − OPEX ячеек − PEX команды. Выручка → P&amp;L, оплата креаторам → Marketing.</t>
  </si>
  <si>
    <t>Описание: расходы 2027 по статьям P&amp;L, млн ₽ (со знаком «–»). Логика: большинство статей - SUMIFS из «Потребности» по колонке «Мэппинг к отчетности» / 10⁶; ФОТ - из PEX; рекламный сбор = 0,7% выручки; часть статей - ввод; AT Platform = потребности − CAPEX-часть ФОТ (PEX).</t>
  </si>
  <si>
    <t>Описание: выручка М+ по продуктам (справочно). Логика: выручка = объём × цена (охват × цена контакта, поставщики × бюджет, офферы × стоимость, отправки × цена); партнёрские продукты - ввод. Итог → P&amp;L, блок «Справочно».</t>
  </si>
  <si>
    <t>Описание: реестр потребностей 2027, руб. без НДС. Логика: строка = расход с разбивкой по месяцам; 2027 = Σ месяцев; «Мэппинг к отчетности» (кол. Y) - ключ SUMIFS для листа «Расходы»; BU'26 и факт 7м26 - для сравнения.</t>
  </si>
  <si>
    <t>Описание: прогноз IT-софта. Логика: цена за ед. 2027 = стоимость 2026 / кол-во 2026 × (1 + инфляция); прогноз = кол-во 2027 × цена; дельта = прогноз − стратегия; итоги → реестр через SUMIFS.</t>
  </si>
  <si>
    <t>Описание: премия рекламных агентств 2027. Логика: премия = выручка × % СК по группам (не поставщики / поставщики ММ); итог → строка «Вознаграждения рекламным агентствам» реестра (÷ 12 по месяцам).</t>
  </si>
  <si>
    <t>Описание: PEX по статьям, млн ₽. Логика: OPEX-часть ФОТ за месяц (Total блока OPEX) × доля статьи; результат → «Расходы» → P&amp;L. CAPEX-часть ФОТ вычитается из AT Platform на листе «Расходы».</t>
  </si>
  <si>
    <t>Описание: сводный P&amp;L AdTech 2027 по месяцам и за год vs FC 2026, млн ₽. Логика: ссылки на «P&amp;L 2027»</t>
  </si>
  <si>
    <t>Описание: сверка BU 2027 со стратегией.</t>
  </si>
  <si>
    <t>Описание: bottom-up P&amp;L AdTech 2027 по месяцам, млн ₽ без НДС. Логика: выручка - из листов направлений (APP = Медиа + Перформанс, Content factory, DMP, In-store; RMN); расходы - из листа «Расходы»</t>
  </si>
  <si>
    <t>Описание: прайс-лист размещений APP до и после 09.2026. Цены используются в «APP Медиа» и «APP Перформанс».</t>
  </si>
  <si>
    <t>1 - цена месяца умножается на сезонный коэффициент. 0 - цена равна прайсу во всех месяцах.</t>
  </si>
  <si>
    <t>Описание: численность и затраты на персонал по функциям, руб. (исходные данные). Логика: ССЧ, FTE, затраты OPEX+CAPEX и их разделение на OPEX и CAPEX по месяцам; Total = Σ функций.</t>
  </si>
  <si>
    <t>&gt;&gt;&gt;</t>
  </si>
  <si>
    <t>E-commerce</t>
  </si>
  <si>
    <t>Распределение выручки по рекламному инвентарю</t>
  </si>
  <si>
    <t>Распределение выручки по форматам</t>
  </si>
  <si>
    <t>ММ</t>
  </si>
  <si>
    <t>МК</t>
  </si>
  <si>
    <t>МЭ</t>
  </si>
  <si>
    <t>МС</t>
  </si>
  <si>
    <t>ДС</t>
  </si>
  <si>
    <t>МА</t>
  </si>
  <si>
    <t>МС Лайт</t>
  </si>
  <si>
    <t>УЛК</t>
  </si>
  <si>
    <t>В1</t>
  </si>
  <si>
    <t>Трансформация в форматы:</t>
  </si>
  <si>
    <t>ввиду старта развития в 2027 году не прогнозируем в разрезе форматов, выручка будет отражена в строке "Без формата"</t>
  </si>
  <si>
    <t>формат "E-commerce" в полном объеме</t>
  </si>
  <si>
    <t>Скорр-й % для 2027</t>
  </si>
  <si>
    <t>невозможно прогнозировать в разрезе форматов ввиду специфики доходов направления, выручка будет отражена в строке "Без формата"</t>
  </si>
  <si>
    <t>нерегулярный доход на формате</t>
  </si>
  <si>
    <t xml:space="preserve"> +5% - рост доли ожидаемой выручки ввиду увеличения оборудования на ТТ МК</t>
  </si>
  <si>
    <t>Факт % распр-я выручки на форматы 8м2026</t>
  </si>
  <si>
    <t>Формат</t>
  </si>
  <si>
    <t>check</t>
  </si>
  <si>
    <t>Без формата</t>
  </si>
  <si>
    <t>Описание: bottom-up P&amp;L AdTech 2027 по месяцам, млн ₽ без НДС. Логика: выручка трансформированная из направлений в форматы - лист «RevSplit»; расходы - из листа «Расходы»</t>
  </si>
  <si>
    <t>Описание: выручка - из листов направлений (APP = Медиа + Перформанс, Content factory, DMP, In-store; RMN)</t>
  </si>
  <si>
    <t>Описание: bottom-up P&amp;L AdTech 2027 по месяцам, млн ₽ без НДС. Логика: выручка - из листов направлений (APP = Медиа + Перформанс, Content factory, DMP, In-store; RMN), логика по распределению на форматы см. на листе «RevSplit»; расходы - из листа «Расходы»</t>
  </si>
  <si>
    <t>CVM: конверсия оффера</t>
  </si>
  <si>
    <t>Описание: вид для консолидации. Логика: E-comm / Offline = прирост выручки 2027 к FC 2026 (кол. DIFF); расходы - BU 2027</t>
  </si>
  <si>
    <t>Корректировка на календаризацию P&amp;L</t>
  </si>
  <si>
    <t>Егор Юркевич, Аксенова Татьяна, Заворина Диана</t>
  </si>
  <si>
    <t>Сезонный коэффициент цены (с учётом календаризации)</t>
  </si>
  <si>
    <t>CONS STR 2027</t>
  </si>
  <si>
    <t>2027 STR</t>
  </si>
  <si>
    <t>Описание: сверка BU 2027 с консолидационной формой в стратегии</t>
  </si>
  <si>
    <t>Описание: помесячная выручка in-store. Логика: 2027 = годовая выручка (блок 1) × коэффициент (строка 5) × утилизация (строка 6) / Σ(коэффициент × утилизация); 2026 - помесячный факт + прогноз (ввод). Итог 2027 идёт в P&amp;L.</t>
  </si>
  <si>
    <t>Описание: вводные In-Store</t>
  </si>
  <si>
    <t xml:space="preserve">Нестле </t>
  </si>
  <si>
    <t xml:space="preserve">Ферерро </t>
  </si>
  <si>
    <t xml:space="preserve">Монделиз </t>
  </si>
  <si>
    <t>Логика Молока</t>
  </si>
  <si>
    <t>Марс</t>
  </si>
  <si>
    <t>РОСТ</t>
  </si>
  <si>
    <t>Дамате</t>
  </si>
  <si>
    <t>P&amp;G</t>
  </si>
  <si>
    <t>JDE</t>
  </si>
  <si>
    <t>Поставщики</t>
  </si>
  <si>
    <t>Пепси</t>
  </si>
  <si>
    <t>Описание: справочно - сделки с бренд-бюджетами 2026</t>
  </si>
  <si>
    <t>Возмещение</t>
  </si>
  <si>
    <t>RMN - сделки с бренд-бюджетами, План 2026, руб.</t>
  </si>
  <si>
    <t>RMN - План 2027, млн руб.</t>
  </si>
  <si>
    <t>Прочие информационные и консультационные услуги</t>
  </si>
  <si>
    <t>Утилизация 2027, %</t>
  </si>
  <si>
    <t>Утилизация 2026, %</t>
  </si>
  <si>
    <t>Справочно экономия CAPEX ГК благодаря собственной разработке AdTech</t>
  </si>
  <si>
    <t>Cubic</t>
  </si>
  <si>
    <t>InAppStory</t>
  </si>
  <si>
    <t>Add. OPEX</t>
  </si>
  <si>
    <t>CAPEX adj.</t>
  </si>
  <si>
    <t>Total saving</t>
  </si>
  <si>
    <t>P&amp;L AdTech 2027 - BOTTOM-UP Advertising Inventory</t>
  </si>
  <si>
    <t>P&amp;L AdTech 2027 - BOTTOM-UP Formats</t>
  </si>
  <si>
    <t>PEX Content Factory (общая команда)</t>
  </si>
  <si>
    <t>Расходы: PEX Content Factory (общая команда)</t>
  </si>
  <si>
    <t>Аудит Digital shelf banner</t>
  </si>
  <si>
    <t>Дополнительный PEX</t>
  </si>
  <si>
    <t>Описание: дополнительный PEX по Content factory из листа "Content factory"</t>
  </si>
  <si>
    <t>Шелф баннеры ММ/БФ 1 и 2 волна, +20%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</si>
</sst>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_-* #,##0.0_-;\-* #,##0.0_-;_-* \-??_-;_-@"/>
    <numFmt numFmtId="165" formatCode="0.0%"/>
    <numFmt numFmtId="166" formatCode="_-* #,##0.00_-;\-* #,##0.00_-;_-* \-??_-;_-@"/>
    <numFmt numFmtId="167" formatCode="_-* #,##0_-;\-* #,##0_-;_-* \-??_-;_-@"/>
    <numFmt numFmtId="168" formatCode="_-* #,##0_-;\-* #,##0_-;_-* &quot;-&quot;??_-;_-@_-"/>
    <numFmt numFmtId="169" formatCode="_-* #,##0_-;\(#,##0\)_-;_-* &quot;-&quot;??_-;_-@_-"/>
    <numFmt numFmtId="170" formatCode="#,##0.0;\ \(#,##0.0\);\ \-"/>
    <numFmt numFmtId="171" formatCode="_-* #,##0.0\ _₽_-;\-* #,##0.0\ _₽_-;_-* &quot;-&quot;?\ _₽_-;_-@_-"/>
    <numFmt numFmtId="172" formatCode="_-* #,##0.0_-;\-* #,##0.0_-;_-* &quot;-&quot;??_-;_-@_-"/>
    <numFmt numFmtId="173" formatCode="#,##0;\ \(#,##0\);\ \-"/>
    <numFmt numFmtId="174" formatCode="###\ ###\ ###\ ###,"/>
    <numFmt numFmtId="175" formatCode="[$-409]mmm\-yy;@"/>
    <numFmt numFmtId="176" formatCode="mmm\-yy"/>
  </numFmts>
  <fonts count="69" x14ac:knownFonts="1">
    <font>
      <sz val="11"/>
      <color theme="1"/>
      <name val="Calibri"/>
      <family val="2"/>
      <charset val="1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i/>
      <sz val="10"/>
      <color rgb="FF80808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name val="Arial"/>
      <family val="2"/>
      <charset val="204"/>
    </font>
    <font>
      <i/>
      <sz val="10"/>
      <color rgb="FF80808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0" tint="-0.499984740745262"/>
      <name val="Arial"/>
      <family val="2"/>
      <charset val="204"/>
    </font>
    <font>
      <sz val="10"/>
      <color theme="0" tint="-0.499984740745262"/>
      <name val="Arial"/>
      <family val="2"/>
      <charset val="204"/>
    </font>
    <font>
      <b/>
      <sz val="10"/>
      <color theme="0"/>
      <name val="Arial"/>
      <family val="2"/>
      <charset val="204"/>
    </font>
    <font>
      <sz val="11"/>
      <color theme="1"/>
      <name val="Calibri"/>
      <family val="2"/>
      <scheme val="minor"/>
    </font>
    <font>
      <i/>
      <sz val="10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i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color theme="9" tint="-0.249977111117893"/>
      <name val="Arial"/>
      <family val="2"/>
      <charset val="204"/>
    </font>
    <font>
      <b/>
      <sz val="10"/>
      <name val="Arial"/>
      <family val="2"/>
      <charset val="204"/>
    </font>
    <font>
      <i/>
      <sz val="10"/>
      <color rgb="FF80808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rgb="FF008000"/>
      <name val="Arial"/>
      <family val="2"/>
      <charset val="204"/>
    </font>
    <font>
      <b/>
      <i/>
      <sz val="10"/>
      <name val="Arial"/>
      <family val="2"/>
      <charset val="204"/>
    </font>
    <font>
      <b/>
      <sz val="10"/>
      <color theme="0" tint="-4.9989318521683403E-2"/>
      <name val="Arial"/>
      <family val="2"/>
      <charset val="204"/>
    </font>
    <font>
      <i/>
      <sz val="10"/>
      <color theme="3" tint="0.39997558519241921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0"/>
      <color theme="1"/>
      <name val="Arial"/>
      <family val="2"/>
      <charset val="204"/>
    </font>
    <font>
      <sz val="9"/>
      <color theme="1"/>
      <name val="Arial"/>
      <family val="2"/>
      <charset val="204"/>
    </font>
    <font>
      <i/>
      <sz val="9"/>
      <color theme="1"/>
      <name val="Arial"/>
      <family val="2"/>
      <charset val="204"/>
    </font>
    <font>
      <b/>
      <sz val="9"/>
      <color theme="1"/>
      <name val="Arial"/>
      <family val="2"/>
      <charset val="204"/>
    </font>
    <font>
      <sz val="9"/>
      <color rgb="FF0000FF"/>
      <name val="Arial"/>
      <family val="2"/>
      <charset val="204"/>
    </font>
    <font>
      <i/>
      <sz val="9"/>
      <color rgb="FF808080"/>
      <name val="Arial"/>
      <family val="2"/>
      <charset val="204"/>
    </font>
    <font>
      <b/>
      <sz val="9"/>
      <name val="Arial"/>
      <family val="2"/>
      <charset val="204"/>
    </font>
    <font>
      <b/>
      <sz val="11"/>
      <name val="Arial"/>
      <family val="2"/>
      <charset val="204"/>
    </font>
    <font>
      <b/>
      <i/>
      <sz val="9"/>
      <color theme="1"/>
      <name val="Arial"/>
      <family val="2"/>
      <charset val="204"/>
    </font>
    <font>
      <b/>
      <sz val="8"/>
      <color indexed="81"/>
      <name val="Arial"/>
      <family val="2"/>
      <charset val="204"/>
    </font>
    <font>
      <b/>
      <sz val="9"/>
      <color indexed="81"/>
      <name val="Tahoma"/>
      <family val="2"/>
      <charset val="204"/>
    </font>
    <font>
      <sz val="10"/>
      <color rgb="FF0000C7"/>
      <name val="Arial"/>
      <family val="2"/>
      <charset val="204"/>
    </font>
    <font>
      <i/>
      <sz val="10"/>
      <color rgb="FF0000C7"/>
      <name val="Arial"/>
      <family val="2"/>
      <charset val="204"/>
    </font>
    <font>
      <b/>
      <sz val="10"/>
      <color rgb="FF0000C7"/>
      <name val="Arial"/>
      <family val="2"/>
      <charset val="204"/>
    </font>
    <font>
      <i/>
      <sz val="9"/>
      <color rgb="FF7F7F7F"/>
      <name val="Calibri"/>
      <family val="2"/>
      <charset val="1"/>
    </font>
    <font>
      <i/>
      <sz val="9"/>
      <color rgb="FF7F7F7F"/>
      <name val="Arial"/>
      <family val="2"/>
      <charset val="204"/>
    </font>
    <font>
      <i/>
      <sz val="9"/>
      <color rgb="FF7F7F7F"/>
      <name val="Calibri"/>
      <family val="2"/>
      <scheme val="minor"/>
    </font>
    <font>
      <i/>
      <sz val="10"/>
      <color rgb="FF7F7F7F"/>
      <name val="Arial"/>
      <family val="2"/>
      <charset val="204"/>
    </font>
    <font>
      <b/>
      <sz val="10"/>
      <color rgb="FFC00000"/>
      <name val="Arial"/>
      <family val="2"/>
      <charset val="204"/>
    </font>
    <font>
      <i/>
      <sz val="10"/>
      <color theme="0" tint="-0.499984740745262"/>
      <name val="Arial"/>
      <family val="2"/>
      <charset val="204"/>
    </font>
    <font>
      <sz val="10"/>
      <color rgb="FF00B050"/>
      <name val="Arial"/>
      <family val="2"/>
      <charset val="204"/>
    </font>
    <font>
      <b/>
      <i/>
      <sz val="10"/>
      <color theme="3" tint="0.39997558519241921"/>
      <name val="Arial"/>
      <family val="2"/>
      <charset val="204"/>
    </font>
    <font>
      <b/>
      <sz val="10"/>
      <color theme="3" tint="0.39997558519241921"/>
      <name val="Arial"/>
      <family val="2"/>
    </font>
    <font>
      <b/>
      <sz val="10"/>
      <name val="Arial"/>
      <family val="2"/>
    </font>
    <font>
      <sz val="7"/>
      <color rgb="FF172B4D"/>
      <name val="Segoe UI"/>
      <family val="2"/>
      <charset val="204"/>
    </font>
    <font>
      <i/>
      <sz val="10"/>
      <color theme="0" tint="-0.34998626667073579"/>
      <name val="Arial"/>
      <family val="2"/>
    </font>
    <font>
      <i/>
      <sz val="10"/>
      <name val="Arial"/>
      <family val="2"/>
    </font>
    <font>
      <b/>
      <sz val="10"/>
      <color rgb="FF008000"/>
      <name val="Arial"/>
      <family val="2"/>
      <charset val="20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i/>
      <sz val="10"/>
      <color theme="0" tint="-0.249977111117893"/>
      <name val="Arial"/>
      <family val="2"/>
    </font>
    <font>
      <b/>
      <sz val="10"/>
      <color theme="0"/>
      <name val="Arial"/>
      <family val="2"/>
    </font>
    <font>
      <b/>
      <i/>
      <sz val="10"/>
      <color theme="1"/>
      <name val="Arial"/>
      <family val="2"/>
    </font>
    <font>
      <b/>
      <sz val="10"/>
      <color rgb="FF00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D9EAD3"/>
        <bgColor rgb="FFCCFFFF"/>
      </patternFill>
    </fill>
    <fill>
      <patternFill patternType="solid">
        <fgColor rgb="FFC00000"/>
        <bgColor rgb="FF800000"/>
      </patternFill>
    </fill>
    <fill>
      <patternFill patternType="solid">
        <fgColor theme="3" tint="0.79998168889431442"/>
        <bgColor rgb="FFCC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00000"/>
        <bgColor rgb="FF00008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00000"/>
        <bgColor theme="6"/>
      </patternFill>
    </fill>
    <fill>
      <patternFill patternType="solid">
        <fgColor theme="0" tint="-4.9989318521683403E-2"/>
        <bgColor rgb="FFCC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00000"/>
      </patternFill>
    </fill>
    <fill>
      <patternFill patternType="solid">
        <fgColor rgb="FF002060"/>
      </patternFill>
    </fill>
    <fill>
      <patternFill patternType="solid">
        <fgColor rgb="FFD9EAD3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39BE1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rgb="FF0000FF"/>
      </top>
      <bottom style="medium">
        <color rgb="FF0000FF"/>
      </bottom>
      <diagonal/>
    </border>
    <border>
      <left/>
      <right/>
      <top/>
      <bottom style="medium">
        <color rgb="FF0000FF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</borders>
  <cellStyleXfs count="6">
    <xf numFmtId="0" fontId="0" fillId="0" borderId="0"/>
    <xf numFmtId="43" fontId="1" fillId="0" borderId="0"/>
    <xf numFmtId="9" fontId="1" fillId="0" borderId="0"/>
    <xf numFmtId="0" fontId="14" fillId="0" borderId="0"/>
    <xf numFmtId="43" fontId="14" fillId="0" borderId="0"/>
    <xf numFmtId="0" fontId="30" fillId="0" borderId="0"/>
  </cellStyleXfs>
  <cellXfs count="322">
    <xf numFmtId="0" fontId="0" fillId="0" borderId="0" xfId="0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0" xfId="0" applyFont="1"/>
    <xf numFmtId="164" fontId="6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 wrapText="1"/>
    </xf>
    <xf numFmtId="0" fontId="2" fillId="3" borderId="0" xfId="0" applyFont="1" applyFill="1"/>
    <xf numFmtId="164" fontId="2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164" fontId="5" fillId="0" borderId="0" xfId="0" applyNumberFormat="1" applyFont="1" applyAlignment="1">
      <alignment horizontal="right" vertical="center"/>
    </xf>
    <xf numFmtId="165" fontId="2" fillId="3" borderId="0" xfId="0" applyNumberFormat="1" applyFont="1" applyFill="1" applyAlignment="1">
      <alignment horizontal="right" vertical="center"/>
    </xf>
    <xf numFmtId="164" fontId="7" fillId="3" borderId="0" xfId="0" applyNumberFormat="1" applyFont="1" applyFill="1" applyAlignment="1">
      <alignment horizontal="right" vertical="center"/>
    </xf>
    <xf numFmtId="1" fontId="7" fillId="3" borderId="0" xfId="0" applyNumberFormat="1" applyFont="1" applyFill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right" vertical="center"/>
    </xf>
    <xf numFmtId="165" fontId="5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167" fontId="5" fillId="0" borderId="0" xfId="0" applyNumberFormat="1" applyFont="1" applyAlignment="1">
      <alignment horizontal="right" vertical="center"/>
    </xf>
    <xf numFmtId="167" fontId="2" fillId="0" borderId="0" xfId="0" applyNumberFormat="1" applyFont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164" fontId="7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166" fontId="2" fillId="0" borderId="0" xfId="0" applyNumberFormat="1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4" borderId="0" xfId="0" applyFill="1"/>
    <xf numFmtId="168" fontId="1" fillId="0" borderId="0" xfId="1" applyNumberFormat="1" applyAlignment="1">
      <alignment horizontal="right" vertical="center"/>
    </xf>
    <xf numFmtId="168" fontId="1" fillId="0" borderId="0" xfId="1" applyNumberFormat="1"/>
    <xf numFmtId="0" fontId="10" fillId="5" borderId="1" xfId="0" applyFont="1" applyFill="1" applyBorder="1"/>
    <xf numFmtId="168" fontId="12" fillId="0" borderId="0" xfId="1" applyNumberFormat="1" applyFont="1" applyAlignment="1">
      <alignment horizontal="right" vertical="center"/>
    </xf>
    <xf numFmtId="0" fontId="13" fillId="7" borderId="0" xfId="0" applyFont="1" applyFill="1" applyAlignment="1">
      <alignment horizontal="center" vertical="center"/>
    </xf>
    <xf numFmtId="0" fontId="13" fillId="7" borderId="3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0" fillId="9" borderId="1" xfId="0" applyFont="1" applyFill="1" applyBorder="1"/>
    <xf numFmtId="0" fontId="15" fillId="0" borderId="0" xfId="0" applyFont="1" applyAlignment="1">
      <alignment horizontal="left" vertical="center"/>
    </xf>
    <xf numFmtId="0" fontId="14" fillId="0" borderId="0" xfId="3"/>
    <xf numFmtId="0" fontId="9" fillId="0" borderId="0" xfId="0" applyFont="1" applyAlignment="1">
      <alignment horizontal="left" vertical="center"/>
    </xf>
    <xf numFmtId="0" fontId="8" fillId="0" borderId="0" xfId="0" applyFont="1"/>
    <xf numFmtId="0" fontId="4" fillId="4" borderId="0" xfId="0" applyFont="1" applyFill="1"/>
    <xf numFmtId="0" fontId="2" fillId="0" borderId="0" xfId="0" applyFont="1"/>
    <xf numFmtId="0" fontId="16" fillId="0" borderId="0" xfId="0" applyFont="1"/>
    <xf numFmtId="0" fontId="16" fillId="0" borderId="6" xfId="0" applyFont="1" applyBorder="1" applyAlignment="1">
      <alignment horizontal="center"/>
    </xf>
    <xf numFmtId="0" fontId="16" fillId="0" borderId="6" xfId="0" applyFont="1" applyBorder="1" applyAlignment="1">
      <alignment horizontal="left"/>
    </xf>
    <xf numFmtId="170" fontId="16" fillId="12" borderId="6" xfId="0" applyNumberFormat="1" applyFont="1" applyFill="1" applyBorder="1"/>
    <xf numFmtId="170" fontId="16" fillId="13" borderId="6" xfId="0" applyNumberFormat="1" applyFont="1" applyFill="1" applyBorder="1"/>
    <xf numFmtId="170" fontId="16" fillId="0" borderId="0" xfId="0" applyNumberFormat="1" applyFont="1"/>
    <xf numFmtId="0" fontId="16" fillId="12" borderId="0" xfId="0" applyFont="1" applyFill="1"/>
    <xf numFmtId="0" fontId="16" fillId="13" borderId="0" xfId="0" applyFont="1" applyFill="1"/>
    <xf numFmtId="0" fontId="17" fillId="0" borderId="0" xfId="0" applyFont="1"/>
    <xf numFmtId="0" fontId="13" fillId="14" borderId="5" xfId="0" applyFont="1" applyFill="1" applyBorder="1" applyAlignment="1">
      <alignment horizontal="center"/>
    </xf>
    <xf numFmtId="0" fontId="13" fillId="14" borderId="5" xfId="0" applyFont="1" applyFill="1" applyBorder="1"/>
    <xf numFmtId="170" fontId="13" fillId="14" borderId="5" xfId="0" applyNumberFormat="1" applyFont="1" applyFill="1" applyBorder="1" applyAlignment="1">
      <alignment horizontal="right"/>
    </xf>
    <xf numFmtId="9" fontId="1" fillId="0" borderId="0" xfId="2"/>
    <xf numFmtId="0" fontId="10" fillId="15" borderId="1" xfId="0" applyFont="1" applyFill="1" applyBorder="1"/>
    <xf numFmtId="0" fontId="10" fillId="15" borderId="1" xfId="0" applyFont="1" applyFill="1" applyBorder="1" applyAlignment="1">
      <alignment horizontal="center" vertical="center"/>
    </xf>
    <xf numFmtId="168" fontId="10" fillId="16" borderId="1" xfId="1" applyNumberFormat="1" applyFont="1" applyFill="1" applyBorder="1" applyAlignment="1">
      <alignment horizontal="right" vertical="center"/>
    </xf>
    <xf numFmtId="0" fontId="8" fillId="0" borderId="4" xfId="0" applyFont="1" applyBorder="1"/>
    <xf numFmtId="10" fontId="1" fillId="0" borderId="4" xfId="2" applyNumberFormat="1" applyBorder="1"/>
    <xf numFmtId="0" fontId="2" fillId="0" borderId="1" xfId="0" applyFont="1" applyBorder="1"/>
    <xf numFmtId="167" fontId="2" fillId="0" borderId="1" xfId="0" applyNumberFormat="1" applyFont="1" applyBorder="1" applyAlignment="1">
      <alignment horizontal="right" vertical="center"/>
    </xf>
    <xf numFmtId="165" fontId="2" fillId="0" borderId="1" xfId="0" applyNumberFormat="1" applyFont="1" applyBorder="1" applyAlignment="1">
      <alignment horizontal="right" vertical="center"/>
    </xf>
    <xf numFmtId="168" fontId="1" fillId="0" borderId="1" xfId="1" applyNumberForma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168" fontId="11" fillId="16" borderId="1" xfId="1" applyNumberFormat="1" applyFont="1" applyFill="1" applyBorder="1" applyAlignment="1">
      <alignment horizontal="right" vertical="center"/>
    </xf>
    <xf numFmtId="0" fontId="13" fillId="17" borderId="0" xfId="0" applyFont="1" applyFill="1" applyAlignment="1">
      <alignment horizontal="center"/>
    </xf>
    <xf numFmtId="0" fontId="13" fillId="17" borderId="7" xfId="0" applyFont="1" applyFill="1" applyBorder="1" applyAlignment="1">
      <alignment horizontal="center"/>
    </xf>
    <xf numFmtId="166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8" fontId="1" fillId="0" borderId="0" xfId="1" applyNumberFormat="1" applyAlignment="1">
      <alignment horizontal="center" vertical="center"/>
    </xf>
    <xf numFmtId="168" fontId="1" fillId="0" borderId="1" xfId="1" applyNumberFormat="1" applyBorder="1"/>
    <xf numFmtId="168" fontId="1" fillId="0" borderId="1" xfId="1" applyNumberFormat="1" applyBorder="1" applyAlignment="1">
      <alignment horizontal="center" vertical="center"/>
    </xf>
    <xf numFmtId="0" fontId="18" fillId="0" borderId="0" xfId="0" applyFont="1" applyAlignment="1">
      <alignment horizontal="right"/>
    </xf>
    <xf numFmtId="165" fontId="18" fillId="0" borderId="0" xfId="0" applyNumberFormat="1" applyFont="1" applyAlignment="1">
      <alignment horizontal="right" vertical="center"/>
    </xf>
    <xf numFmtId="9" fontId="19" fillId="0" borderId="0" xfId="2" applyFont="1"/>
    <xf numFmtId="168" fontId="1" fillId="0" borderId="8" xfId="1" applyNumberFormat="1" applyBorder="1"/>
    <xf numFmtId="168" fontId="1" fillId="0" borderId="8" xfId="1" applyNumberFormat="1" applyBorder="1" applyAlignment="1">
      <alignment horizontal="center" vertical="center"/>
    </xf>
    <xf numFmtId="168" fontId="1" fillId="0" borderId="8" xfId="1" applyNumberFormat="1" applyBorder="1" applyAlignment="1">
      <alignment horizontal="right" vertical="center"/>
    </xf>
    <xf numFmtId="168" fontId="10" fillId="0" borderId="8" xfId="1" applyNumberFormat="1" applyFont="1" applyBorder="1" applyAlignment="1">
      <alignment horizontal="right" vertical="center"/>
    </xf>
    <xf numFmtId="0" fontId="20" fillId="0" borderId="0" xfId="0" applyFont="1"/>
    <xf numFmtId="0" fontId="21" fillId="0" borderId="0" xfId="0" applyFont="1"/>
    <xf numFmtId="0" fontId="22" fillId="18" borderId="0" xfId="0" applyFont="1" applyFill="1"/>
    <xf numFmtId="0" fontId="22" fillId="19" borderId="0" xfId="0" applyFont="1" applyFill="1" applyAlignment="1">
      <alignment horizontal="center" vertical="center" wrapText="1"/>
    </xf>
    <xf numFmtId="172" fontId="20" fillId="20" borderId="0" xfId="0" applyNumberFormat="1" applyFont="1" applyFill="1" applyAlignment="1">
      <alignment horizontal="right" vertical="center"/>
    </xf>
    <xf numFmtId="172" fontId="1" fillId="0" borderId="0" xfId="0" applyNumberFormat="1" applyFont="1" applyAlignment="1">
      <alignment horizontal="right" vertical="center"/>
    </xf>
    <xf numFmtId="0" fontId="21" fillId="0" borderId="0" xfId="0" applyFont="1" applyAlignment="1">
      <alignment horizontal="left" vertical="center"/>
    </xf>
    <xf numFmtId="165" fontId="20" fillId="20" borderId="0" xfId="0" applyNumberFormat="1" applyFont="1" applyFill="1" applyAlignment="1">
      <alignment horizontal="right" vertical="center"/>
    </xf>
    <xf numFmtId="165" fontId="1" fillId="0" borderId="0" xfId="0" applyNumberFormat="1" applyFont="1" applyAlignment="1">
      <alignment horizontal="right" vertical="center"/>
    </xf>
    <xf numFmtId="0" fontId="1" fillId="0" borderId="0" xfId="0" applyFont="1"/>
    <xf numFmtId="172" fontId="20" fillId="0" borderId="0" xfId="0" applyNumberFormat="1" applyFont="1" applyAlignment="1">
      <alignment horizontal="right" vertical="center"/>
    </xf>
    <xf numFmtId="0" fontId="20" fillId="20" borderId="0" xfId="0" applyFont="1" applyFill="1"/>
    <xf numFmtId="0" fontId="0" fillId="18" borderId="0" xfId="0" applyFill="1"/>
    <xf numFmtId="169" fontId="1" fillId="0" borderId="0" xfId="1" applyNumberFormat="1" applyAlignment="1">
      <alignment horizontal="right" vertical="center"/>
    </xf>
    <xf numFmtId="169" fontId="12" fillId="0" borderId="0" xfId="1" applyNumberFormat="1" applyFont="1" applyAlignment="1">
      <alignment horizontal="right" vertical="center"/>
    </xf>
    <xf numFmtId="169" fontId="10" fillId="10" borderId="1" xfId="1" applyNumberFormat="1" applyFont="1" applyFill="1" applyBorder="1" applyAlignment="1">
      <alignment horizontal="right" vertical="center"/>
    </xf>
    <xf numFmtId="169" fontId="11" fillId="10" borderId="1" xfId="1" applyNumberFormat="1" applyFont="1" applyFill="1" applyBorder="1" applyAlignment="1">
      <alignment horizontal="right" vertical="center"/>
    </xf>
    <xf numFmtId="169" fontId="10" fillId="6" borderId="1" xfId="1" applyNumberFormat="1" applyFont="1" applyFill="1" applyBorder="1" applyAlignment="1">
      <alignment horizontal="right" vertical="center"/>
    </xf>
    <xf numFmtId="169" fontId="11" fillId="6" borderId="1" xfId="1" applyNumberFormat="1" applyFont="1" applyFill="1" applyBorder="1" applyAlignment="1">
      <alignment horizontal="right" vertical="center"/>
    </xf>
    <xf numFmtId="168" fontId="23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168" fontId="1" fillId="0" borderId="0" xfId="0" applyNumberFormat="1" applyFont="1" applyAlignment="1">
      <alignment horizontal="right" vertical="center"/>
    </xf>
    <xf numFmtId="168" fontId="20" fillId="0" borderId="0" xfId="0" applyNumberFormat="1" applyFont="1" applyAlignment="1">
      <alignment horizontal="right" vertical="center"/>
    </xf>
    <xf numFmtId="168" fontId="20" fillId="20" borderId="0" xfId="0" applyNumberFormat="1" applyFont="1" applyFill="1" applyAlignment="1">
      <alignment horizontal="right" vertical="center"/>
    </xf>
    <xf numFmtId="168" fontId="24" fillId="0" borderId="0" xfId="0" applyNumberFormat="1" applyFont="1" applyAlignment="1">
      <alignment horizontal="right" vertical="center"/>
    </xf>
    <xf numFmtId="43" fontId="23" fillId="0" borderId="0" xfId="0" applyNumberFormat="1" applyFont="1" applyAlignment="1">
      <alignment horizontal="right" vertical="center"/>
    </xf>
    <xf numFmtId="165" fontId="23" fillId="0" borderId="0" xfId="0" applyNumberFormat="1" applyFont="1" applyAlignment="1">
      <alignment horizontal="right" vertical="center"/>
    </xf>
    <xf numFmtId="43" fontId="20" fillId="20" borderId="0" xfId="0" applyNumberFormat="1" applyFont="1" applyFill="1" applyAlignment="1">
      <alignment horizontal="right" vertical="center"/>
    </xf>
    <xf numFmtId="167" fontId="25" fillId="0" borderId="0" xfId="0" applyNumberFormat="1" applyFont="1" applyAlignment="1">
      <alignment horizontal="right" vertical="center"/>
    </xf>
    <xf numFmtId="167" fontId="23" fillId="0" borderId="0" xfId="0" applyNumberFormat="1" applyFont="1" applyAlignment="1">
      <alignment horizontal="right" vertical="center"/>
    </xf>
    <xf numFmtId="164" fontId="25" fillId="0" borderId="0" xfId="0" applyNumberFormat="1" applyFont="1" applyAlignment="1">
      <alignment horizontal="right" vertical="center"/>
    </xf>
    <xf numFmtId="9" fontId="21" fillId="0" borderId="0" xfId="2" applyFont="1" applyAlignment="1">
      <alignment horizontal="left" vertical="center"/>
    </xf>
    <xf numFmtId="168" fontId="25" fillId="0" borderId="0" xfId="1" applyNumberFormat="1" applyFont="1" applyAlignment="1">
      <alignment horizontal="right" vertical="center"/>
    </xf>
    <xf numFmtId="43" fontId="25" fillId="0" borderId="0" xfId="1" applyFont="1" applyAlignment="1">
      <alignment horizontal="right" vertical="center"/>
    </xf>
    <xf numFmtId="43" fontId="1" fillId="0" borderId="0" xfId="1" applyAlignment="1">
      <alignment horizontal="right" vertical="center"/>
    </xf>
    <xf numFmtId="172" fontId="23" fillId="3" borderId="0" xfId="0" applyNumberFormat="1" applyFont="1" applyFill="1" applyAlignment="1">
      <alignment horizontal="right" vertical="center"/>
    </xf>
    <xf numFmtId="172" fontId="25" fillId="3" borderId="0" xfId="0" applyNumberFormat="1" applyFont="1" applyFill="1" applyAlignment="1">
      <alignment horizontal="right" vertical="center"/>
    </xf>
    <xf numFmtId="168" fontId="1" fillId="3" borderId="0" xfId="0" applyNumberFormat="1" applyFont="1" applyFill="1" applyAlignment="1">
      <alignment horizontal="right" vertical="center"/>
    </xf>
    <xf numFmtId="168" fontId="25" fillId="0" borderId="0" xfId="0" applyNumberFormat="1" applyFont="1" applyAlignment="1">
      <alignment horizontal="right" vertical="center"/>
    </xf>
    <xf numFmtId="43" fontId="1" fillId="0" borderId="0" xfId="1"/>
    <xf numFmtId="171" fontId="21" fillId="0" borderId="0" xfId="0" applyNumberFormat="1" applyFont="1" applyAlignment="1">
      <alignment horizontal="left" vertical="center"/>
    </xf>
    <xf numFmtId="166" fontId="25" fillId="0" borderId="0" xfId="0" applyNumberFormat="1" applyFont="1" applyAlignment="1">
      <alignment horizontal="right" vertical="center"/>
    </xf>
    <xf numFmtId="43" fontId="1" fillId="0" borderId="0" xfId="0" applyNumberFormat="1" applyFont="1" applyAlignment="1">
      <alignment horizontal="right" vertical="center"/>
    </xf>
    <xf numFmtId="172" fontId="24" fillId="20" borderId="0" xfId="0" applyNumberFormat="1" applyFont="1" applyFill="1" applyAlignment="1">
      <alignment horizontal="right" vertical="center"/>
    </xf>
    <xf numFmtId="0" fontId="2" fillId="6" borderId="1" xfId="0" applyFont="1" applyFill="1" applyBorder="1"/>
    <xf numFmtId="0" fontId="5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0" fontId="4" fillId="18" borderId="0" xfId="0" applyFont="1" applyFill="1"/>
    <xf numFmtId="0" fontId="13" fillId="7" borderId="0" xfId="0" applyFont="1" applyFill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169" fontId="2" fillId="10" borderId="1" xfId="1" applyNumberFormat="1" applyFont="1" applyFill="1" applyBorder="1" applyAlignment="1">
      <alignment horizontal="right" vertical="center"/>
    </xf>
    <xf numFmtId="169" fontId="2" fillId="6" borderId="1" xfId="1" applyNumberFormat="1" applyFont="1" applyFill="1" applyBorder="1" applyAlignment="1">
      <alignment horizontal="right" vertical="center"/>
    </xf>
    <xf numFmtId="0" fontId="27" fillId="2" borderId="0" xfId="0" applyFont="1" applyFill="1" applyAlignment="1">
      <alignment horizontal="center" vertical="center" wrapText="1"/>
    </xf>
    <xf numFmtId="9" fontId="1" fillId="0" borderId="0" xfId="1" applyNumberFormat="1" applyAlignment="1">
      <alignment horizontal="right" vertical="center"/>
    </xf>
    <xf numFmtId="9" fontId="2" fillId="10" borderId="1" xfId="1" applyNumberFormat="1" applyFont="1" applyFill="1" applyBorder="1" applyAlignment="1">
      <alignment horizontal="right" vertical="center"/>
    </xf>
    <xf numFmtId="9" fontId="2" fillId="6" borderId="1" xfId="1" applyNumberFormat="1" applyFont="1" applyFill="1" applyBorder="1" applyAlignment="1">
      <alignment horizontal="right" vertical="center"/>
    </xf>
    <xf numFmtId="9" fontId="10" fillId="10" borderId="1" xfId="1" applyNumberFormat="1" applyFont="1" applyFill="1" applyBorder="1" applyAlignment="1">
      <alignment horizontal="right" vertical="center"/>
    </xf>
    <xf numFmtId="0" fontId="26" fillId="0" borderId="8" xfId="0" applyFont="1" applyBorder="1"/>
    <xf numFmtId="169" fontId="1" fillId="0" borderId="8" xfId="1" applyNumberFormat="1" applyBorder="1" applyAlignment="1">
      <alignment horizontal="right" vertical="center"/>
    </xf>
    <xf numFmtId="9" fontId="1" fillId="0" borderId="8" xfId="1" applyNumberFormat="1" applyBorder="1" applyAlignment="1">
      <alignment horizontal="right" vertical="center"/>
    </xf>
    <xf numFmtId="169" fontId="29" fillId="0" borderId="0" xfId="1" applyNumberFormat="1" applyFont="1" applyAlignment="1">
      <alignment horizontal="right" vertical="center"/>
    </xf>
    <xf numFmtId="9" fontId="29" fillId="0" borderId="0" xfId="1" applyNumberFormat="1" applyFont="1" applyAlignment="1">
      <alignment horizontal="right" vertical="center"/>
    </xf>
    <xf numFmtId="169" fontId="10" fillId="10" borderId="9" xfId="1" applyNumberFormat="1" applyFont="1" applyFill="1" applyBorder="1" applyAlignment="1">
      <alignment horizontal="right" vertical="center"/>
    </xf>
    <xf numFmtId="0" fontId="2" fillId="9" borderId="1" xfId="0" applyFont="1" applyFill="1" applyBorder="1"/>
    <xf numFmtId="173" fontId="2" fillId="10" borderId="1" xfId="1" applyNumberFormat="1" applyFont="1" applyFill="1" applyBorder="1"/>
    <xf numFmtId="173" fontId="10" fillId="5" borderId="1" xfId="0" applyNumberFormat="1" applyFont="1" applyFill="1" applyBorder="1"/>
    <xf numFmtId="0" fontId="16" fillId="0" borderId="0" xfId="3" applyFont="1"/>
    <xf numFmtId="0" fontId="15" fillId="0" borderId="0" xfId="3" applyFont="1"/>
    <xf numFmtId="3" fontId="16" fillId="0" borderId="0" xfId="3" applyNumberFormat="1" applyFont="1"/>
    <xf numFmtId="3" fontId="31" fillId="0" borderId="0" xfId="3" applyNumberFormat="1" applyFont="1"/>
    <xf numFmtId="174" fontId="15" fillId="0" borderId="0" xfId="3" applyNumberFormat="1" applyFont="1"/>
    <xf numFmtId="0" fontId="13" fillId="17" borderId="0" xfId="5" applyFont="1" applyFill="1"/>
    <xf numFmtId="0" fontId="32" fillId="0" borderId="0" xfId="3" applyFont="1"/>
    <xf numFmtId="173" fontId="33" fillId="0" borderId="0" xfId="5" applyNumberFormat="1" applyFont="1" applyAlignment="1">
      <alignment vertical="top"/>
    </xf>
    <xf numFmtId="0" fontId="33" fillId="0" borderId="0" xfId="5" applyFont="1"/>
    <xf numFmtId="173" fontId="33" fillId="0" borderId="0" xfId="5" applyNumberFormat="1" applyFont="1" applyAlignment="1">
      <alignment horizontal="left" vertical="top"/>
    </xf>
    <xf numFmtId="173" fontId="35" fillId="23" borderId="10" xfId="5" applyNumberFormat="1" applyFont="1" applyFill="1" applyBorder="1"/>
    <xf numFmtId="173" fontId="33" fillId="23" borderId="0" xfId="5" applyNumberFormat="1" applyFont="1" applyFill="1"/>
    <xf numFmtId="9" fontId="33" fillId="0" borderId="0" xfId="5" applyNumberFormat="1" applyFont="1"/>
    <xf numFmtId="0" fontId="35" fillId="23" borderId="11" xfId="5" applyFont="1" applyFill="1" applyBorder="1" applyAlignment="1">
      <alignment horizontal="right"/>
    </xf>
    <xf numFmtId="10" fontId="33" fillId="21" borderId="0" xfId="5" applyNumberFormat="1" applyFont="1" applyFill="1" applyAlignment="1">
      <alignment horizontal="center" vertical="center"/>
    </xf>
    <xf numFmtId="0" fontId="35" fillId="10" borderId="4" xfId="5" applyFont="1" applyFill="1" applyBorder="1" applyAlignment="1">
      <alignment horizontal="left" vertical="center" wrapText="1"/>
    </xf>
    <xf numFmtId="175" fontId="36" fillId="22" borderId="4" xfId="5" applyNumberFormat="1" applyFont="1" applyFill="1" applyBorder="1" applyAlignment="1">
      <alignment horizontal="right" vertical="center"/>
    </xf>
    <xf numFmtId="175" fontId="36" fillId="24" borderId="4" xfId="5" applyNumberFormat="1" applyFont="1" applyFill="1" applyBorder="1" applyAlignment="1">
      <alignment horizontal="center" vertical="center"/>
    </xf>
    <xf numFmtId="175" fontId="36" fillId="16" borderId="4" xfId="5" quotePrefix="1" applyNumberFormat="1" applyFont="1" applyFill="1" applyBorder="1" applyAlignment="1">
      <alignment horizontal="right" vertical="center"/>
    </xf>
    <xf numFmtId="176" fontId="36" fillId="16" borderId="4" xfId="5" applyNumberFormat="1" applyFont="1" applyFill="1" applyBorder="1" applyAlignment="1">
      <alignment horizontal="right" vertical="center"/>
    </xf>
    <xf numFmtId="0" fontId="35" fillId="10" borderId="4" xfId="5" applyFont="1" applyFill="1" applyBorder="1" applyAlignment="1">
      <alignment horizontal="right" vertical="center" wrapText="1"/>
    </xf>
    <xf numFmtId="0" fontId="37" fillId="0" borderId="0" xfId="5" applyFont="1"/>
    <xf numFmtId="0" fontId="35" fillId="25" borderId="0" xfId="5" applyFont="1" applyFill="1" applyAlignment="1">
      <alignment horizontal="center" vertical="center"/>
    </xf>
    <xf numFmtId="173" fontId="33" fillId="0" borderId="0" xfId="5" applyNumberFormat="1" applyFont="1" applyAlignment="1">
      <alignment horizontal="center" vertical="top"/>
    </xf>
    <xf numFmtId="0" fontId="38" fillId="0" borderId="0" xfId="5" applyFont="1"/>
    <xf numFmtId="0" fontId="39" fillId="0" borderId="0" xfId="5" applyFont="1"/>
    <xf numFmtId="173" fontId="40" fillId="0" borderId="0" xfId="5" applyNumberFormat="1" applyFont="1" applyAlignment="1">
      <alignment vertical="top"/>
    </xf>
    <xf numFmtId="3" fontId="13" fillId="17" borderId="0" xfId="5" applyNumberFormat="1" applyFont="1" applyFill="1" applyAlignment="1">
      <alignment horizontal="right"/>
    </xf>
    <xf numFmtId="3" fontId="13" fillId="17" borderId="0" xfId="5" quotePrefix="1" applyNumberFormat="1" applyFont="1" applyFill="1" applyAlignment="1">
      <alignment horizontal="right"/>
    </xf>
    <xf numFmtId="0" fontId="16" fillId="0" borderId="0" xfId="5" applyFont="1" applyAlignment="1">
      <alignment horizontal="left"/>
    </xf>
    <xf numFmtId="4" fontId="43" fillId="0" borderId="0" xfId="5" applyNumberFormat="1" applyFont="1"/>
    <xf numFmtId="0" fontId="16" fillId="16" borderId="0" xfId="5" applyFont="1" applyFill="1"/>
    <xf numFmtId="4" fontId="43" fillId="16" borderId="0" xfId="5" applyNumberFormat="1" applyFont="1" applyFill="1"/>
    <xf numFmtId="0" fontId="31" fillId="10" borderId="0" xfId="5" applyFont="1" applyFill="1"/>
    <xf numFmtId="4" fontId="45" fillId="10" borderId="0" xfId="5" applyNumberFormat="1" applyFont="1" applyFill="1"/>
    <xf numFmtId="0" fontId="31" fillId="10" borderId="0" xfId="5" applyFont="1" applyFill="1" applyAlignment="1">
      <alignment horizontal="left"/>
    </xf>
    <xf numFmtId="164" fontId="1" fillId="0" borderId="0" xfId="0" applyNumberFormat="1" applyFont="1" applyAlignment="1">
      <alignment horizontal="right" vertical="center"/>
    </xf>
    <xf numFmtId="0" fontId="15" fillId="0" borderId="0" xfId="5" applyFont="1" applyAlignment="1">
      <alignment horizontal="left"/>
    </xf>
    <xf numFmtId="4" fontId="44" fillId="0" borderId="0" xfId="5" applyNumberFormat="1" applyFont="1"/>
    <xf numFmtId="0" fontId="46" fillId="0" borderId="0" xfId="0" applyFont="1" applyAlignment="1">
      <alignment horizontal="left"/>
    </xf>
    <xf numFmtId="0" fontId="47" fillId="0" borderId="0" xfId="0" applyFont="1" applyAlignment="1">
      <alignment horizontal="left"/>
    </xf>
    <xf numFmtId="0" fontId="47" fillId="18" borderId="0" xfId="0" applyFont="1" applyFill="1" applyAlignment="1">
      <alignment horizontal="left"/>
    </xf>
    <xf numFmtId="0" fontId="47" fillId="20" borderId="0" xfId="0" applyFont="1" applyFill="1" applyAlignment="1">
      <alignment horizontal="left"/>
    </xf>
    <xf numFmtId="0" fontId="46" fillId="4" borderId="0" xfId="0" applyFont="1" applyFill="1" applyAlignment="1">
      <alignment horizontal="left"/>
    </xf>
    <xf numFmtId="0" fontId="46" fillId="18" borderId="0" xfId="0" applyFont="1" applyFill="1" applyAlignment="1">
      <alignment horizontal="left"/>
    </xf>
    <xf numFmtId="0" fontId="48" fillId="0" borderId="0" xfId="3" applyFont="1" applyAlignment="1">
      <alignment horizontal="left"/>
    </xf>
    <xf numFmtId="3" fontId="47" fillId="0" borderId="0" xfId="3" applyNumberFormat="1" applyFont="1" applyAlignment="1">
      <alignment horizontal="left"/>
    </xf>
    <xf numFmtId="173" fontId="47" fillId="0" borderId="0" xfId="5" applyNumberFormat="1" applyFont="1" applyAlignment="1">
      <alignment horizontal="left" vertical="top"/>
    </xf>
    <xf numFmtId="3" fontId="48" fillId="0" borderId="0" xfId="0" applyNumberFormat="1" applyFont="1" applyAlignment="1">
      <alignment horizontal="left"/>
    </xf>
    <xf numFmtId="169" fontId="1" fillId="8" borderId="0" xfId="1" applyNumberFormat="1" applyFill="1" applyAlignment="1">
      <alignment horizontal="right"/>
    </xf>
    <xf numFmtId="0" fontId="49" fillId="0" borderId="0" xfId="0" applyFont="1" applyAlignment="1">
      <alignment horizontal="left"/>
    </xf>
    <xf numFmtId="0" fontId="16" fillId="0" borderId="0" xfId="0" applyFont="1" applyAlignment="1">
      <alignment horizontal="center" vertical="top" wrapText="1"/>
    </xf>
    <xf numFmtId="0" fontId="15" fillId="0" borderId="0" xfId="0" applyFont="1"/>
    <xf numFmtId="0" fontId="15" fillId="0" borderId="0" xfId="0" applyFont="1" applyAlignment="1">
      <alignment horizontal="left" vertical="top" wrapText="1"/>
    </xf>
    <xf numFmtId="0" fontId="18" fillId="0" borderId="0" xfId="0" applyFont="1" applyAlignment="1">
      <alignment horizontal="left"/>
    </xf>
    <xf numFmtId="0" fontId="26" fillId="16" borderId="0" xfId="0" applyFont="1" applyFill="1" applyAlignment="1">
      <alignment horizontal="left"/>
    </xf>
    <xf numFmtId="0" fontId="2" fillId="16" borderId="0" xfId="0" applyFont="1" applyFill="1"/>
    <xf numFmtId="0" fontId="50" fillId="0" borderId="0" xfId="0" applyFont="1" applyAlignment="1">
      <alignment horizontal="center" vertical="center" wrapText="1"/>
    </xf>
    <xf numFmtId="0" fontId="26" fillId="0" borderId="0" xfId="0" applyFont="1" applyAlignment="1">
      <alignment horizontal="left"/>
    </xf>
    <xf numFmtId="0" fontId="15" fillId="0" borderId="12" xfId="0" applyFont="1" applyBorder="1" applyAlignment="1">
      <alignment horizontal="left" vertical="center"/>
    </xf>
    <xf numFmtId="0" fontId="16" fillId="0" borderId="12" xfId="0" applyFont="1" applyBorder="1"/>
    <xf numFmtId="0" fontId="15" fillId="0" borderId="14" xfId="0" applyFont="1" applyBorder="1"/>
    <xf numFmtId="0" fontId="16" fillId="0" borderId="14" xfId="0" applyFont="1" applyBorder="1"/>
    <xf numFmtId="0" fontId="15" fillId="0" borderId="12" xfId="0" applyFont="1" applyBorder="1"/>
    <xf numFmtId="0" fontId="15" fillId="0" borderId="13" xfId="0" applyFont="1" applyBorder="1" applyAlignment="1">
      <alignment horizontal="left" vertical="center"/>
    </xf>
    <xf numFmtId="0" fontId="16" fillId="0" borderId="13" xfId="0" applyFont="1" applyBorder="1"/>
    <xf numFmtId="0" fontId="15" fillId="0" borderId="14" xfId="0" applyFont="1" applyBorder="1" applyAlignment="1">
      <alignment horizontal="left" vertical="center"/>
    </xf>
    <xf numFmtId="0" fontId="16" fillId="0" borderId="14" xfId="0" applyFont="1" applyBorder="1" applyAlignment="1">
      <alignment horizontal="center" vertical="top" wrapText="1"/>
    </xf>
    <xf numFmtId="10" fontId="1" fillId="0" borderId="0" xfId="2" applyNumberFormat="1"/>
    <xf numFmtId="10" fontId="1" fillId="0" borderId="12" xfId="2" applyNumberFormat="1" applyBorder="1"/>
    <xf numFmtId="168" fontId="1" fillId="0" borderId="12" xfId="1" applyNumberFormat="1" applyBorder="1"/>
    <xf numFmtId="10" fontId="51" fillId="0" borderId="0" xfId="2" applyNumberFormat="1" applyFont="1"/>
    <xf numFmtId="10" fontId="16" fillId="0" borderId="0" xfId="0" applyNumberFormat="1" applyFont="1"/>
    <xf numFmtId="10" fontId="51" fillId="0" borderId="12" xfId="2" applyNumberFormat="1" applyFont="1" applyBorder="1"/>
    <xf numFmtId="10" fontId="16" fillId="0" borderId="12" xfId="0" applyNumberFormat="1" applyFont="1" applyBorder="1"/>
    <xf numFmtId="10" fontId="1" fillId="16" borderId="0" xfId="2" applyNumberFormat="1" applyFill="1"/>
    <xf numFmtId="0" fontId="49" fillId="16" borderId="0" xfId="0" applyFont="1" applyFill="1" applyAlignment="1">
      <alignment horizontal="left" vertical="top" wrapText="1"/>
    </xf>
    <xf numFmtId="169" fontId="2" fillId="0" borderId="0" xfId="1" applyNumberFormat="1" applyFont="1" applyAlignment="1">
      <alignment horizontal="right" vertical="center"/>
    </xf>
    <xf numFmtId="169" fontId="11" fillId="0" borderId="0" xfId="1" applyNumberFormat="1" applyFont="1" applyAlignment="1">
      <alignment horizontal="right" vertical="center"/>
    </xf>
    <xf numFmtId="0" fontId="52" fillId="0" borderId="0" xfId="0" applyFont="1"/>
    <xf numFmtId="0" fontId="16" fillId="0" borderId="0" xfId="0" applyFont="1" applyAlignment="1">
      <alignment horizontal="left" vertical="center"/>
    </xf>
    <xf numFmtId="169" fontId="16" fillId="0" borderId="0" xfId="0" applyNumberFormat="1" applyFont="1" applyAlignment="1">
      <alignment horizontal="left" vertical="center"/>
    </xf>
    <xf numFmtId="168" fontId="16" fillId="0" borderId="0" xfId="0" applyNumberFormat="1" applyFont="1" applyAlignment="1">
      <alignment horizontal="left" vertical="center"/>
    </xf>
    <xf numFmtId="169" fontId="52" fillId="0" borderId="0" xfId="0" applyNumberFormat="1" applyFont="1"/>
    <xf numFmtId="0" fontId="2" fillId="5" borderId="1" xfId="0" applyFont="1" applyFill="1" applyBorder="1"/>
    <xf numFmtId="0" fontId="4" fillId="18" borderId="0" xfId="0" applyFont="1" applyFill="1" applyAlignment="1">
      <alignment horizontal="right"/>
    </xf>
    <xf numFmtId="171" fontId="17" fillId="0" borderId="0" xfId="0" applyNumberFormat="1" applyFont="1"/>
    <xf numFmtId="0" fontId="15" fillId="0" borderId="0" xfId="0" applyFont="1" applyAlignment="1">
      <alignment horizontal="left" vertical="center" indent="3"/>
    </xf>
    <xf numFmtId="0" fontId="32" fillId="0" borderId="0" xfId="0" applyFont="1" applyAlignment="1">
      <alignment horizontal="left" vertical="center"/>
    </xf>
    <xf numFmtId="169" fontId="2" fillId="8" borderId="0" xfId="1" applyNumberFormat="1" applyFont="1" applyFill="1" applyAlignment="1">
      <alignment horizontal="right"/>
    </xf>
    <xf numFmtId="0" fontId="31" fillId="0" borderId="0" xfId="0" applyFont="1"/>
    <xf numFmtId="9" fontId="2" fillId="0" borderId="0" xfId="2" applyFont="1"/>
    <xf numFmtId="169" fontId="11" fillId="8" borderId="0" xfId="1" applyNumberFormat="1" applyFont="1" applyFill="1" applyAlignment="1">
      <alignment horizontal="right"/>
    </xf>
    <xf numFmtId="169" fontId="12" fillId="8" borderId="0" xfId="1" applyNumberFormat="1" applyFont="1" applyFill="1" applyAlignment="1">
      <alignment horizontal="right"/>
    </xf>
    <xf numFmtId="0" fontId="53" fillId="0" borderId="0" xfId="0" applyFont="1" applyAlignment="1">
      <alignment horizontal="left" vertical="center"/>
    </xf>
    <xf numFmtId="0" fontId="28" fillId="0" borderId="0" xfId="0" applyFont="1" applyAlignment="1">
      <alignment horizontal="left" vertical="center" indent="3"/>
    </xf>
    <xf numFmtId="169" fontId="54" fillId="0" borderId="0" xfId="1" applyNumberFormat="1" applyFont="1" applyAlignment="1">
      <alignment horizontal="right" vertical="center"/>
    </xf>
    <xf numFmtId="9" fontId="54" fillId="0" borderId="0" xfId="1" applyNumberFormat="1" applyFont="1" applyAlignment="1">
      <alignment horizontal="right" vertical="center"/>
    </xf>
    <xf numFmtId="169" fontId="55" fillId="0" borderId="0" xfId="1" applyNumberFormat="1" applyFont="1" applyAlignment="1">
      <alignment horizontal="right" vertical="center"/>
    </xf>
    <xf numFmtId="9" fontId="55" fillId="0" borderId="0" xfId="1" applyNumberFormat="1" applyFont="1" applyAlignment="1">
      <alignment horizontal="right" vertical="center"/>
    </xf>
    <xf numFmtId="0" fontId="56" fillId="0" borderId="0" xfId="0" applyFont="1"/>
    <xf numFmtId="9" fontId="57" fillId="0" borderId="0" xfId="2" applyFont="1"/>
    <xf numFmtId="43" fontId="7" fillId="0" borderId="0" xfId="1" applyFont="1" applyAlignment="1">
      <alignment horizontal="right" vertical="center"/>
    </xf>
    <xf numFmtId="0" fontId="46" fillId="0" borderId="0" xfId="0" applyFont="1" applyAlignment="1">
      <alignment vertical="top" wrapText="1"/>
    </xf>
    <xf numFmtId="165" fontId="16" fillId="0" borderId="1" xfId="0" applyNumberFormat="1" applyFont="1" applyBorder="1" applyAlignment="1">
      <alignment horizontal="center" vertical="center"/>
    </xf>
    <xf numFmtId="169" fontId="16" fillId="0" borderId="0" xfId="1" applyNumberFormat="1" applyFont="1" applyAlignment="1">
      <alignment horizontal="right" vertical="center"/>
    </xf>
    <xf numFmtId="169" fontId="1" fillId="0" borderId="4" xfId="1" applyNumberFormat="1" applyBorder="1" applyAlignment="1">
      <alignment horizontal="right" vertical="center"/>
    </xf>
    <xf numFmtId="0" fontId="58" fillId="0" borderId="4" xfId="0" applyFont="1" applyBorder="1"/>
    <xf numFmtId="169" fontId="55" fillId="0" borderId="8" xfId="1" applyNumberFormat="1" applyFont="1" applyBorder="1" applyAlignment="1">
      <alignment horizontal="right" vertical="center"/>
    </xf>
    <xf numFmtId="173" fontId="33" fillId="0" borderId="0" xfId="5" applyNumberFormat="1" applyFont="1" applyAlignment="1">
      <alignment horizontal="right" vertical="top"/>
    </xf>
    <xf numFmtId="173" fontId="34" fillId="0" borderId="0" xfId="5" applyNumberFormat="1" applyFont="1" applyAlignment="1">
      <alignment vertical="top"/>
    </xf>
    <xf numFmtId="0" fontId="35" fillId="0" borderId="11" xfId="5" applyFont="1" applyBorder="1"/>
    <xf numFmtId="0" fontId="35" fillId="0" borderId="11" xfId="5" applyFont="1" applyBorder="1" applyAlignment="1">
      <alignment horizontal="right"/>
    </xf>
    <xf numFmtId="0" fontId="35" fillId="0" borderId="0" xfId="5" applyFont="1" applyAlignment="1">
      <alignment horizontal="center" vertical="center"/>
    </xf>
    <xf numFmtId="173" fontId="33" fillId="0" borderId="0" xfId="5" applyNumberFormat="1" applyFont="1"/>
    <xf numFmtId="0" fontId="35" fillId="0" borderId="0" xfId="5" applyFont="1" applyAlignment="1">
      <alignment horizontal="right" vertical="center"/>
    </xf>
    <xf numFmtId="0" fontId="33" fillId="0" borderId="0" xfId="5" applyFont="1" applyAlignment="1">
      <alignment horizontal="left" vertical="center"/>
    </xf>
    <xf numFmtId="0" fontId="33" fillId="0" borderId="0" xfId="5" applyFont="1" applyAlignment="1">
      <alignment horizontal="center" vertical="center"/>
    </xf>
    <xf numFmtId="173" fontId="33" fillId="0" borderId="0" xfId="5" applyNumberFormat="1" applyFont="1" applyAlignment="1">
      <alignment horizontal="right" vertical="center"/>
    </xf>
    <xf numFmtId="173" fontId="33" fillId="0" borderId="0" xfId="5" applyNumberFormat="1" applyFont="1" applyAlignment="1">
      <alignment horizontal="right"/>
    </xf>
    <xf numFmtId="0" fontId="35" fillId="0" borderId="10" xfId="5" applyFont="1" applyBorder="1"/>
    <xf numFmtId="173" fontId="35" fillId="0" borderId="10" xfId="5" applyNumberFormat="1" applyFont="1" applyBorder="1"/>
    <xf numFmtId="0" fontId="35" fillId="0" borderId="0" xfId="5" applyFont="1"/>
    <xf numFmtId="0" fontId="35" fillId="0" borderId="0" xfId="5" applyFont="1" applyAlignment="1">
      <alignment horizontal="left" vertical="center"/>
    </xf>
    <xf numFmtId="173" fontId="35" fillId="0" borderId="0" xfId="5" applyNumberFormat="1" applyFont="1" applyAlignment="1">
      <alignment horizontal="right" vertical="center"/>
    </xf>
    <xf numFmtId="173" fontId="35" fillId="0" borderId="0" xfId="5" applyNumberFormat="1" applyFont="1" applyAlignment="1">
      <alignment horizontal="right"/>
    </xf>
    <xf numFmtId="0" fontId="35" fillId="0" borderId="8" xfId="5" applyFont="1" applyBorder="1" applyAlignment="1">
      <alignment horizontal="left" vertical="center"/>
    </xf>
    <xf numFmtId="0" fontId="35" fillId="0" borderId="8" xfId="5" applyFont="1" applyBorder="1" applyAlignment="1">
      <alignment horizontal="center" vertical="center"/>
    </xf>
    <xf numFmtId="173" fontId="35" fillId="0" borderId="8" xfId="5" applyNumberFormat="1" applyFont="1" applyBorder="1" applyAlignment="1">
      <alignment horizontal="right" vertical="center"/>
    </xf>
    <xf numFmtId="173" fontId="35" fillId="0" borderId="8" xfId="5" applyNumberFormat="1" applyFont="1" applyBorder="1" applyAlignment="1">
      <alignment horizontal="right"/>
    </xf>
    <xf numFmtId="173" fontId="35" fillId="0" borderId="0" xfId="5" applyNumberFormat="1" applyFont="1" applyAlignment="1">
      <alignment vertical="top"/>
    </xf>
    <xf numFmtId="173" fontId="33" fillId="0" borderId="0" xfId="5" applyNumberFormat="1" applyFont="1" applyAlignment="1">
      <alignment horizontal="left" vertical="top" wrapText="1"/>
    </xf>
    <xf numFmtId="43" fontId="7" fillId="0" borderId="0" xfId="1" applyFont="1"/>
    <xf numFmtId="164" fontId="59" fillId="3" borderId="0" xfId="0" applyNumberFormat="1" applyFont="1" applyFill="1" applyAlignment="1">
      <alignment horizontal="right" vertical="center"/>
    </xf>
    <xf numFmtId="0" fontId="60" fillId="0" borderId="0" xfId="0" applyFont="1"/>
    <xf numFmtId="0" fontId="61" fillId="0" borderId="0" xfId="0" applyFont="1"/>
    <xf numFmtId="169" fontId="61" fillId="0" borderId="0" xfId="0" applyNumberFormat="1" applyFont="1"/>
    <xf numFmtId="0" fontId="62" fillId="0" borderId="0" xfId="0" applyFont="1"/>
    <xf numFmtId="0" fontId="63" fillId="0" borderId="0" xfId="0" applyFont="1"/>
    <xf numFmtId="0" fontId="64" fillId="0" borderId="0" xfId="0" applyFont="1"/>
    <xf numFmtId="0" fontId="65" fillId="0" borderId="0" xfId="0" applyFont="1"/>
    <xf numFmtId="169" fontId="65" fillId="0" borderId="0" xfId="0" applyNumberFormat="1" applyFont="1"/>
    <xf numFmtId="169" fontId="62" fillId="0" borderId="0" xfId="0" applyNumberFormat="1" applyFont="1"/>
    <xf numFmtId="0" fontId="61" fillId="0" borderId="0" xfId="3" applyFont="1"/>
    <xf numFmtId="0" fontId="66" fillId="17" borderId="2" xfId="3" applyFont="1" applyFill="1" applyBorder="1"/>
    <xf numFmtId="168" fontId="61" fillId="0" borderId="0" xfId="4" applyNumberFormat="1" applyFont="1"/>
    <xf numFmtId="168" fontId="67" fillId="11" borderId="1" xfId="3" applyNumberFormat="1" applyFont="1" applyFill="1" applyBorder="1"/>
    <xf numFmtId="0" fontId="68" fillId="0" borderId="0" xfId="0" applyFont="1"/>
    <xf numFmtId="0" fontId="66" fillId="26" borderId="2" xfId="0" applyFont="1" applyFill="1" applyBorder="1" applyAlignment="1">
      <alignment horizontal="center" vertical="center"/>
    </xf>
    <xf numFmtId="14" fontId="66" fillId="27" borderId="0" xfId="0" applyNumberFormat="1" applyFont="1" applyFill="1" applyAlignment="1">
      <alignment horizontal="center" vertical="center"/>
    </xf>
    <xf numFmtId="14" fontId="66" fillId="28" borderId="0" xfId="0" applyNumberFormat="1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14" fontId="66" fillId="29" borderId="0" xfId="0" applyNumberFormat="1" applyFont="1" applyFill="1" applyAlignment="1">
      <alignment horizontal="center" vertical="center"/>
    </xf>
    <xf numFmtId="14" fontId="66" fillId="30" borderId="0" xfId="0" applyNumberFormat="1" applyFont="1" applyFill="1" applyAlignment="1">
      <alignment horizontal="center" vertical="center"/>
    </xf>
    <xf numFmtId="14" fontId="66" fillId="31" borderId="0" xfId="0" applyNumberFormat="1" applyFont="1" applyFill="1" applyAlignment="1">
      <alignment horizontal="center" vertical="center"/>
    </xf>
    <xf numFmtId="3" fontId="61" fillId="0" borderId="2" xfId="0" applyNumberFormat="1" applyFont="1" applyBorder="1"/>
    <xf numFmtId="3" fontId="61" fillId="0" borderId="0" xfId="0" applyNumberFormat="1" applyFont="1"/>
    <xf numFmtId="3" fontId="61" fillId="16" borderId="2" xfId="0" applyNumberFormat="1" applyFont="1" applyFill="1" applyBorder="1" applyAlignment="1">
      <alignment horizontal="center" vertical="center"/>
    </xf>
    <xf numFmtId="3" fontId="61" fillId="16" borderId="2" xfId="0" applyNumberFormat="1" applyFont="1" applyFill="1" applyBorder="1" applyAlignment="1">
      <alignment horizontal="center"/>
    </xf>
    <xf numFmtId="3" fontId="61" fillId="16" borderId="2" xfId="0" applyNumberFormat="1" applyFont="1" applyFill="1" applyBorder="1"/>
    <xf numFmtId="165" fontId="61" fillId="0" borderId="0" xfId="2" applyNumberFormat="1" applyFont="1"/>
    <xf numFmtId="9" fontId="61" fillId="0" borderId="0" xfId="2" applyFont="1"/>
    <xf numFmtId="3" fontId="60" fillId="0" borderId="2" xfId="1" applyNumberFormat="1" applyFont="1" applyBorder="1" applyAlignment="1">
      <alignment vertical="center"/>
    </xf>
    <xf numFmtId="3" fontId="60" fillId="0" borderId="0" xfId="1" applyNumberFormat="1" applyFont="1" applyAlignment="1">
      <alignment horizontal="center" vertical="center"/>
    </xf>
    <xf numFmtId="3" fontId="60" fillId="0" borderId="2" xfId="1" applyNumberFormat="1" applyFont="1" applyBorder="1" applyAlignment="1">
      <alignment horizontal="center" vertical="center"/>
    </xf>
    <xf numFmtId="0" fontId="46" fillId="0" borderId="0" xfId="0" applyFont="1" applyAlignment="1">
      <alignment horizontal="left" vertical="top" wrapText="1"/>
    </xf>
    <xf numFmtId="173" fontId="47" fillId="0" borderId="0" xfId="5" applyNumberFormat="1" applyFont="1" applyAlignment="1">
      <alignment horizontal="left" vertical="top" wrapText="1"/>
    </xf>
    <xf numFmtId="0" fontId="47" fillId="0" borderId="0" xfId="5" applyFont="1" applyAlignment="1">
      <alignment horizontal="left" vertical="top" wrapText="1"/>
    </xf>
    <xf numFmtId="0" fontId="35" fillId="0" borderId="0" xfId="5" applyFont="1" applyAlignment="1">
      <alignment horizontal="center" vertical="center"/>
    </xf>
  </cellXfs>
  <cellStyles count="6">
    <cellStyle name="Comma" xfId="1" builtinId="3"/>
    <cellStyle name="Comma 2" xfId="4" xr:uid="{00000000-0005-0000-0000-000004000000}"/>
    <cellStyle name="Normal" xfId="0" builtinId="0"/>
    <cellStyle name="Normal 2" xfId="3" xr:uid="{00000000-0005-0000-0000-000003000000}"/>
    <cellStyle name="Per cent" xfId="2" builtinId="5"/>
    <cellStyle name="Обычный 4" xfId="5" xr:uid="{ECDF549B-997E-4BEC-A793-42C6A3486E8A}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808080"/>
      <color rgb="FFAB7942"/>
      <color rgb="FF0000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A429F2-7C77-AD49-8EC8-314B22564271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dde1ee9-ec5b-4d74-aaed-41c8b3eefac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FB430-ED48-4FFD-A39C-A3F82FAE0456}">
  <sheetPr>
    <tabColor rgb="FF002060"/>
  </sheetPr>
  <dimension ref="A1:AG44"/>
  <sheetViews>
    <sheetView showGridLines="0" tabSelected="1" zoomScaleNormal="100" workbookViewId="0"/>
  </sheetViews>
  <sheetFormatPr baseColWidth="10" defaultColWidth="8.83203125" defaultRowHeight="15" outlineLevelRow="1" outlineLevelCol="1" x14ac:dyDescent="0.2"/>
  <cols>
    <col min="1" max="1" width="38.33203125" bestFit="1" customWidth="1"/>
    <col min="2" max="13" width="8.83203125" hidden="1" customWidth="1" outlineLevel="1"/>
    <col min="14" max="14" width="11.6640625" bestFit="1" customWidth="1" collapsed="1"/>
    <col min="15" max="15" width="10.5" bestFit="1" customWidth="1"/>
    <col min="16" max="16" width="10.83203125" bestFit="1" customWidth="1"/>
    <col min="17" max="17" width="9.1640625" bestFit="1" customWidth="1"/>
    <col min="19" max="19" width="16.6640625" bestFit="1" customWidth="1"/>
    <col min="21" max="21" width="11.6640625" bestFit="1" customWidth="1"/>
    <col min="24" max="24" width="20.33203125" bestFit="1" customWidth="1"/>
    <col min="25" max="25" width="9.1640625" customWidth="1"/>
    <col min="28" max="28" width="20.33203125" bestFit="1" customWidth="1"/>
    <col min="29" max="29" width="10.33203125" customWidth="1"/>
  </cols>
  <sheetData>
    <row r="1" ht="59" customHeight="1" x14ac:dyDescent="0.2">
      <c r="A1" s="287" t="inlineStr">
        <is>
          <t xml:space="preserve">BU 2027</t>
        </is>
      </c>
      <c r="B1" s="318" t="inlineStr">
        <is>
          <t xml:space="preserve">Описание: сводный P&amp;L AdTech 2027 по месяцам и за год vs FC 2026, млн ₽. Логика: ссылки на «P&amp;L 2027»</t>
        </is>
      </c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287" t="inlineStr">
        <is>
          <t xml:space="preserve">Bridge to strategy</t>
        </is>
      </c>
      <c r="T1" s="288"/>
      <c r="U1" s="318" t="inlineStr">
        <is>
          <t xml:space="preserve">Описание: сверка BU 2027 со стратегией.</t>
        </is>
      </c>
      <c r="V1" s="318"/>
      <c r="W1" s="318"/>
      <c r="X1" s="287" t="inlineStr">
        <is>
          <t xml:space="preserve">CONS BU 2027</t>
        </is>
      </c>
      <c r="Y1" s="318" t="inlineStr">
        <is>
          <t xml:space="preserve">Описание: вид для консолидации. Логика: E-comm / Offline = прирост выручки 2027 к FC 2026 (кол. DIFF); расходы - BU 2027</t>
        </is>
      </c>
      <c r="Z1" s="318"/>
      <c r="AA1" s="318"/>
      <c r="AB1" s="287" t="inlineStr">
        <is>
          <t xml:space="preserve">CONS STR 2027</t>
        </is>
      </c>
      <c r="AC1" s="256"/>
      <c r="AD1" s="288"/>
      <c r="AE1" s="318" t="inlineStr">
        <is>
          <t xml:space="preserve">Описание: сверка BU 2027 с консолидационной формой в стратегии</t>
        </is>
      </c>
      <c r="AF1" s="318"/>
      <c r="AG1" s="318"/>
    </row>
    <row r="2" ht="19" customHeight="1" x14ac:dyDescent="0.2">
      <c r="A2" s="38" t="inlineStr">
        <is>
          <t xml:space="preserve">Статья</t>
        </is>
      </c>
      <c r="B2" s="39" t="inlineStr">
        <is>
          <t xml:space="preserve">янв</t>
        </is>
      </c>
      <c r="C2" s="39" t="inlineStr">
        <is>
          <t xml:space="preserve">фев</t>
        </is>
      </c>
      <c r="D2" s="39" t="inlineStr">
        <is>
          <t xml:space="preserve">мар</t>
        </is>
      </c>
      <c r="E2" s="39" t="inlineStr">
        <is>
          <t xml:space="preserve">апр</t>
        </is>
      </c>
      <c r="F2" s="39" t="inlineStr">
        <is>
          <t xml:space="preserve">май</t>
        </is>
      </c>
      <c r="G2" s="39" t="inlineStr">
        <is>
          <t xml:space="preserve">июн</t>
        </is>
      </c>
      <c r="H2" s="39" t="inlineStr">
        <is>
          <t xml:space="preserve">июл</t>
        </is>
      </c>
      <c r="I2" s="39" t="inlineStr">
        <is>
          <t xml:space="preserve">авг</t>
        </is>
      </c>
      <c r="J2" s="39" t="inlineStr">
        <is>
          <t xml:space="preserve">сен</t>
        </is>
      </c>
      <c r="K2" s="39" t="inlineStr">
        <is>
          <t xml:space="preserve">окт</t>
        </is>
      </c>
      <c r="L2" s="39" t="inlineStr">
        <is>
          <t xml:space="preserve">ноя</t>
        </is>
      </c>
      <c r="M2" s="39" t="inlineStr">
        <is>
          <t xml:space="preserve">дек</t>
        </is>
      </c>
      <c r="N2" s="39" t="inlineStr">
        <is>
          <t xml:space="preserve">2027 BU</t>
        </is>
      </c>
      <c r="O2" s="136" t="inlineStr">
        <is>
          <t xml:space="preserve">2026 FC</t>
        </is>
      </c>
      <c r="P2" s="139" t="inlineStr">
        <is>
          <t xml:space="preserve">DIFF</t>
        </is>
      </c>
      <c r="Q2" s="135" t="inlineStr">
        <is>
          <t xml:space="preserve">YoY</t>
        </is>
      </c>
      <c r="R2" s="288"/>
      <c r="S2" s="136" t="inlineStr">
        <is>
          <t xml:space="preserve">Strategy 2027</t>
        </is>
      </c>
      <c r="T2" s="139" t="inlineStr">
        <is>
          <t xml:space="preserve">DIFF</t>
        </is>
      </c>
      <c r="U2" s="139" t="inlineStr">
        <is>
          <t xml:space="preserve">%</t>
        </is>
      </c>
      <c r="V2" s="288"/>
      <c r="W2" s="288"/>
      <c r="X2" s="38" t="inlineStr">
        <is>
          <t xml:space="preserve">Статья</t>
        </is>
      </c>
      <c r="Y2" s="39" t="inlineStr">
        <is>
          <t xml:space="preserve">2027 BU</t>
        </is>
      </c>
      <c r="Z2" s="288"/>
      <c r="AA2" s="288"/>
      <c r="AB2" s="136" t="inlineStr">
        <is>
          <t xml:space="preserve">Статья</t>
        </is>
      </c>
      <c r="AC2" s="136" t="inlineStr">
        <is>
          <t xml:space="preserve">2027 STR</t>
        </is>
      </c>
      <c r="AD2" s="139" t="inlineStr">
        <is>
          <t xml:space="preserve">DIFF</t>
        </is>
      </c>
      <c r="AE2" s="139" t="inlineStr">
        <is>
          <t xml:space="preserve">%</t>
        </is>
      </c>
      <c r="AF2" s="288"/>
      <c r="AG2" s="288"/>
    </row>
    <row r="3" x14ac:dyDescent="0.2">
      <c r="A3" s="241" t="inlineStr">
        <is>
          <t xml:space="preserve">APP</t>
        </is>
      </c>
      <c r="B3" s="251">
        <f>'P&amp;L 2027'!B5</f>
        <v>164.024683950421</v>
      </c>
      <c r="C3" s="251">
        <f>'P&amp;L 2027'!C5</f>
        <v>410.061709876052</v>
      </c>
      <c r="D3" s="251">
        <f>'P&amp;L 2027'!D5</f>
        <v>574.086393826473</v>
      </c>
      <c r="E3" s="251">
        <f>'P&amp;L 2027'!E5</f>
        <v>574.086393826472</v>
      </c>
      <c r="F3" s="251">
        <f>'P&amp;L 2027'!F5</f>
        <v>574.086393826475</v>
      </c>
      <c r="G3" s="251">
        <f>'P&amp;L 2027'!G5</f>
        <v>574.086393826474</v>
      </c>
      <c r="H3" s="251">
        <f>'P&amp;L 2027'!H5</f>
        <v>574.086393826474</v>
      </c>
      <c r="I3" s="251">
        <f>'P&amp;L 2027'!I5</f>
        <v>656.098735801681</v>
      </c>
      <c r="J3" s="251">
        <f>'P&amp;L 2027'!J5</f>
        <v>656.098735801684</v>
      </c>
      <c r="K3" s="251">
        <f>'P&amp;L 2027'!K5</f>
        <v>902.135761727311</v>
      </c>
      <c r="L3" s="251">
        <f>'P&amp;L 2027'!L5</f>
        <v>1148.17278765294</v>
      </c>
      <c r="M3" s="251">
        <f>'P&amp;L 2027'!M5</f>
        <v>1394.20981357858</v>
      </c>
      <c r="N3" s="251">
        <f>'P&amp;L 2027'!N5</f>
        <v>8201.23419752104</v>
      </c>
      <c r="O3" s="251">
        <f>'P&amp;L 2027'!O5</f>
        <v>6195.4</v>
      </c>
      <c r="P3" s="251">
        <f>N3-O3</f>
        <v>2005.83419752104</v>
      </c>
      <c r="Q3" s="252">
        <f>(N3/O3)-1</f>
        <v>0.323761855170132</v>
      </c>
      <c r="R3" s="288"/>
      <c r="S3" s="99">
        <v>7250.8</v>
      </c>
      <c r="T3" s="99">
        <f>N3-S3</f>
        <v>950.434197521035</v>
      </c>
      <c r="U3" s="140">
        <f>T3/S3</f>
        <v>0.13107990808201</v>
      </c>
      <c r="V3" s="289"/>
      <c r="W3" s="288"/>
      <c r="X3" s="288" t="inlineStr">
        <is>
          <t xml:space="preserve">E-comm</t>
        </is>
      </c>
      <c r="Y3" s="289">
        <f>SUM(P3)</f>
        <v>2005.83419752104</v>
      </c>
      <c r="Z3" s="288"/>
      <c r="AA3" s="288"/>
      <c r="AB3" s="288" t="inlineStr">
        <is>
          <t xml:space="preserve">E-comm</t>
        </is>
      </c>
      <c r="AC3" s="289">
        <f>1012275179.86692/10^6</f>
        <v>1012.27517986692</v>
      </c>
      <c r="AD3" s="99">
        <f>Y3-AC3</f>
        <v>993.559017654115</v>
      </c>
      <c r="AE3" s="140">
        <f>AD3/AC3</f>
        <v>0.981510796090777</v>
      </c>
      <c r="AF3" s="288"/>
      <c r="AG3" s="288"/>
    </row>
    <row r="4" hidden="1" outlineLevel="1" x14ac:dyDescent="0.2">
      <c r="A4" s="240" t="inlineStr">
        <is>
          <t xml:space="preserve">E-commerce</t>
        </is>
      </c>
      <c r="B4" s="99">
        <f>'P&amp;L 2027'!B6</f>
        <v>164.024683950421</v>
      </c>
      <c r="C4" s="99">
        <f>'P&amp;L 2027'!C6</f>
        <v>410.061709876052</v>
      </c>
      <c r="D4" s="99">
        <f>'P&amp;L 2027'!D6</f>
        <v>574.086393826473</v>
      </c>
      <c r="E4" s="99">
        <f>'P&amp;L 2027'!E6</f>
        <v>574.086393826472</v>
      </c>
      <c r="F4" s="99">
        <f>'P&amp;L 2027'!F6</f>
        <v>574.086393826475</v>
      </c>
      <c r="G4" s="99">
        <f>'P&amp;L 2027'!G6</f>
        <v>574.086393826474</v>
      </c>
      <c r="H4" s="99">
        <f>'P&amp;L 2027'!H6</f>
        <v>574.086393826474</v>
      </c>
      <c r="I4" s="99">
        <f>'P&amp;L 2027'!I6</f>
        <v>656.098735801681</v>
      </c>
      <c r="J4" s="99">
        <f>'P&amp;L 2027'!J6</f>
        <v>656.098735801684</v>
      </c>
      <c r="K4" s="99">
        <f>'P&amp;L 2027'!K6</f>
        <v>902.135761727311</v>
      </c>
      <c r="L4" s="99">
        <f>'P&amp;L 2027'!L6</f>
        <v>1148.17278765294</v>
      </c>
      <c r="M4" s="99">
        <f>'P&amp;L 2027'!M6</f>
        <v>1394.20981357858</v>
      </c>
      <c r="N4" s="99">
        <f>'P&amp;L 2027'!N6</f>
        <v>8201.23419752104</v>
      </c>
      <c r="O4" s="99">
        <f>'P&amp;L 2027'!O6</f>
        <v>6195.4</v>
      </c>
      <c r="P4" s="99">
        <f>N4-O4</f>
        <v>2005.83419752104</v>
      </c>
      <c r="Q4" s="140"/>
      <c r="R4" s="288"/>
      <c r="S4" s="99"/>
      <c r="T4" s="99"/>
      <c r="U4" s="140"/>
      <c r="V4" s="289"/>
      <c r="W4" s="288"/>
      <c r="X4" s="288"/>
      <c r="Y4" s="289"/>
      <c r="Z4" s="288"/>
      <c r="AA4" s="288"/>
      <c r="AB4" s="288"/>
      <c r="AC4" s="289"/>
      <c r="AD4" s="99"/>
      <c r="AE4" s="140"/>
      <c r="AF4" s="288"/>
      <c r="AG4" s="288"/>
    </row>
    <row r="5" collapsed="1" x14ac:dyDescent="0.2">
      <c r="A5" s="241" t="inlineStr">
        <is>
          <t xml:space="preserve">Online DMP</t>
        </is>
      </c>
      <c r="B5" s="251">
        <f>'P&amp;L 2027'!B11</f>
        <v>32</v>
      </c>
      <c r="C5" s="251">
        <f>'P&amp;L 2027'!C11</f>
        <v>80</v>
      </c>
      <c r="D5" s="251">
        <f>'P&amp;L 2027'!D11</f>
        <v>112</v>
      </c>
      <c r="E5" s="251">
        <f>'P&amp;L 2027'!E11</f>
        <v>112</v>
      </c>
      <c r="F5" s="251">
        <f>'P&amp;L 2027'!F11</f>
        <v>112</v>
      </c>
      <c r="G5" s="251">
        <f>'P&amp;L 2027'!G11</f>
        <v>112</v>
      </c>
      <c r="H5" s="251">
        <f>'P&amp;L 2027'!H11</f>
        <v>112</v>
      </c>
      <c r="I5" s="251">
        <f>'P&amp;L 2027'!I11</f>
        <v>128</v>
      </c>
      <c r="J5" s="251">
        <f>'P&amp;L 2027'!J11</f>
        <v>128</v>
      </c>
      <c r="K5" s="251">
        <f>'P&amp;L 2027'!K11</f>
        <v>176</v>
      </c>
      <c r="L5" s="251">
        <f>'P&amp;L 2027'!L11</f>
        <v>224</v>
      </c>
      <c r="M5" s="251">
        <f>'P&amp;L 2027'!M11</f>
        <v>272</v>
      </c>
      <c r="N5" s="251">
        <f>'P&amp;L 2027'!N11</f>
        <v>1600</v>
      </c>
      <c r="O5" s="251">
        <f>'P&amp;L 2027'!O11</f>
        <v>987</v>
      </c>
      <c r="P5" s="251">
        <f>N5-O5</f>
        <v>612.999999999999</v>
      </c>
      <c r="Q5" s="252">
        <f>(N5/O5)-1</f>
        <v>0.621073961499493</v>
      </c>
      <c r="R5" s="288"/>
      <c r="S5" s="99">
        <v>1063.44485254242</v>
      </c>
      <c r="T5" s="99">
        <f>N5-S5</f>
        <v>536.555147457579</v>
      </c>
      <c r="U5" s="140">
        <f>T5/S5</f>
        <v>0.504544402255383</v>
      </c>
      <c r="V5" s="288"/>
      <c r="W5" s="288"/>
      <c r="X5" s="288" t="inlineStr">
        <is>
          <t xml:space="preserve">Offline</t>
        </is>
      </c>
      <c r="Y5" s="289">
        <f>SUM(P5,P10,P12,P18,P20)</f>
        <v>2909.12526544986</v>
      </c>
      <c r="Z5" s="288"/>
      <c r="AA5" s="288"/>
      <c r="AB5" s="288" t="inlineStr">
        <is>
          <t xml:space="preserve">Offline</t>
        </is>
      </c>
      <c r="AC5" s="289">
        <f>1792170775.52776/10^6+675</f>
        <v>2467.17077552776</v>
      </c>
      <c r="AD5" s="99">
        <f>Y5-AC5</f>
        <v>441.954489922097</v>
      </c>
      <c r="AE5" s="140">
        <f>AD5/AC5</f>
        <v>0.179134129791869</v>
      </c>
      <c r="AF5" s="288"/>
      <c r="AG5" s="288"/>
    </row>
    <row r="6" hidden="1" outlineLevel="1" x14ac:dyDescent="0.2">
      <c r="A6" s="240" t="inlineStr">
        <is>
          <t xml:space="preserve">МК</t>
        </is>
      </c>
      <c r="B6" s="99">
        <f>'P&amp;L 2027'!B12</f>
        <v>24.9263199484238</v>
      </c>
      <c r="C6" s="99">
        <f>'P&amp;L 2027'!C12</f>
        <v>62.3157998710594</v>
      </c>
      <c r="D6" s="99">
        <f>'P&amp;L 2027'!D12</f>
        <v>87.2421198194832</v>
      </c>
      <c r="E6" s="99">
        <f>'P&amp;L 2027'!E12</f>
        <v>87.2421198194832</v>
      </c>
      <c r="F6" s="99">
        <f>'P&amp;L 2027'!F12</f>
        <v>87.2421198194833</v>
      </c>
      <c r="G6" s="99">
        <f>'P&amp;L 2027'!G12</f>
        <v>87.2421198194832</v>
      </c>
      <c r="H6" s="99">
        <f>'P&amp;L 2027'!H12</f>
        <v>87.2421198194832</v>
      </c>
      <c r="I6" s="99">
        <f>'P&amp;L 2027'!I12</f>
        <v>99.7052797936951</v>
      </c>
      <c r="J6" s="99">
        <f>'P&amp;L 2027'!J12</f>
        <v>99.7052797936951</v>
      </c>
      <c r="K6" s="99">
        <f>'P&amp;L 2027'!K12</f>
        <v>137.094759716331</v>
      </c>
      <c r="L6" s="99">
        <f>'P&amp;L 2027'!L12</f>
        <v>174.484239638966</v>
      </c>
      <c r="M6" s="99">
        <f>'P&amp;L 2027'!M12</f>
        <v>211.873719561602</v>
      </c>
      <c r="N6" s="99">
        <f>'P&amp;L 2027'!N12</f>
        <v>1246.31599742119</v>
      </c>
      <c r="O6" s="99">
        <f>'P&amp;L 2027'!O12</f>
        <v>768.821180909196</v>
      </c>
      <c r="P6" s="99">
        <f>N6-O6</f>
        <v>477.494816511992</v>
      </c>
      <c r="Q6" s="140"/>
      <c r="R6" s="288"/>
      <c r="S6" s="99"/>
      <c r="T6" s="99"/>
      <c r="U6" s="140"/>
      <c r="V6" s="288"/>
      <c r="W6" s="288"/>
      <c r="X6" s="288"/>
      <c r="Y6" s="289"/>
      <c r="Z6" s="288"/>
      <c r="AA6" s="288"/>
      <c r="AB6" s="288"/>
      <c r="AC6" s="289"/>
      <c r="AD6" s="99"/>
      <c r="AE6" s="140"/>
      <c r="AF6" s="288"/>
      <c r="AG6" s="288"/>
    </row>
    <row r="7" hidden="1" outlineLevel="1" x14ac:dyDescent="0.2">
      <c r="A7" s="240" t="inlineStr">
        <is>
          <t xml:space="preserve">ММ</t>
        </is>
      </c>
      <c r="B7" s="99">
        <f>'P&amp;L 2027'!B13</f>
        <v>6.25059012563303</v>
      </c>
      <c r="C7" s="99">
        <f>'P&amp;L 2027'!C13</f>
        <v>15.6264753140826</v>
      </c>
      <c r="D7" s="99">
        <f>'P&amp;L 2027'!D13</f>
        <v>21.8770654397156</v>
      </c>
      <c r="E7" s="99">
        <f>'P&amp;L 2027'!E13</f>
        <v>21.8770654397156</v>
      </c>
      <c r="F7" s="99">
        <f>'P&amp;L 2027'!F13</f>
        <v>21.8770654397156</v>
      </c>
      <c r="G7" s="99">
        <f>'P&amp;L 2027'!G13</f>
        <v>21.8770654397156</v>
      </c>
      <c r="H7" s="99">
        <f>'P&amp;L 2027'!H13</f>
        <v>21.8770654397156</v>
      </c>
      <c r="I7" s="99">
        <f>'P&amp;L 2027'!I13</f>
        <v>25.0023605025321</v>
      </c>
      <c r="J7" s="99">
        <f>'P&amp;L 2027'!J13</f>
        <v>25.0023605025321</v>
      </c>
      <c r="K7" s="99">
        <f>'P&amp;L 2027'!K13</f>
        <v>34.3782456909816</v>
      </c>
      <c r="L7" s="99">
        <f>'P&amp;L 2027'!L13</f>
        <v>43.7541308794311</v>
      </c>
      <c r="M7" s="99">
        <f>'P&amp;L 2027'!M13</f>
        <v>53.1300160678806</v>
      </c>
      <c r="N7" s="99">
        <f>'P&amp;L 2027'!N13</f>
        <v>312.529506281651</v>
      </c>
      <c r="O7" s="99">
        <f>'P&amp;L 2027'!O13</f>
        <v>192.791639187494</v>
      </c>
      <c r="P7" s="99">
        <f>N7-O7</f>
        <v>119.737867094157</v>
      </c>
      <c r="Q7" s="140"/>
      <c r="R7" s="288"/>
      <c r="S7" s="99"/>
      <c r="T7" s="99"/>
      <c r="U7" s="140"/>
      <c r="V7" s="288"/>
      <c r="W7" s="288"/>
      <c r="X7" s="288"/>
      <c r="Y7" s="289"/>
      <c r="Z7" s="288"/>
      <c r="AA7" s="288"/>
      <c r="AB7" s="288"/>
      <c r="AC7" s="289"/>
      <c r="AD7" s="99"/>
      <c r="AE7" s="140"/>
      <c r="AF7" s="288"/>
      <c r="AG7" s="288"/>
    </row>
    <row r="8" hidden="1" outlineLevel="1" x14ac:dyDescent="0.2">
      <c r="A8" s="240" t="inlineStr">
        <is>
          <t xml:space="preserve">МЭ</t>
        </is>
      </c>
      <c r="B8" s="99">
        <f>'P&amp;L 2027'!B14</f>
        <v>0.614137611169783</v>
      </c>
      <c r="C8" s="99">
        <f>'P&amp;L 2027'!C14</f>
        <v>1.53534402792446</v>
      </c>
      <c r="D8" s="99">
        <f>'P&amp;L 2027'!D14</f>
        <v>2.14948163909424</v>
      </c>
      <c r="E8" s="99">
        <f>'P&amp;L 2027'!E14</f>
        <v>2.14948163909424</v>
      </c>
      <c r="F8" s="99">
        <f>'P&amp;L 2027'!F14</f>
        <v>2.14948163909424</v>
      </c>
      <c r="G8" s="99">
        <f>'P&amp;L 2027'!G14</f>
        <v>2.14948163909424</v>
      </c>
      <c r="H8" s="99">
        <f>'P&amp;L 2027'!H14</f>
        <v>2.14948163909424</v>
      </c>
      <c r="I8" s="99">
        <f>'P&amp;L 2027'!I14</f>
        <v>2.45655044467913</v>
      </c>
      <c r="J8" s="99">
        <f>'P&amp;L 2027'!J14</f>
        <v>2.45655044467913</v>
      </c>
      <c r="K8" s="99">
        <f>'P&amp;L 2027'!K14</f>
        <v>3.3777568614338</v>
      </c>
      <c r="L8" s="99">
        <f>'P&amp;L 2027'!L14</f>
        <v>4.29896327818847</v>
      </c>
      <c r="M8" s="99">
        <f>'P&amp;L 2027'!M14</f>
        <v>5.22016969494314</v>
      </c>
      <c r="N8" s="99">
        <f>'P&amp;L 2027'!N14</f>
        <v>30.7068805584891</v>
      </c>
      <c r="O8" s="99">
        <f>'P&amp;L 2027'!O14</f>
        <v>18.942306944518</v>
      </c>
      <c r="P8" s="99">
        <f>N8-O8</f>
        <v>11.7645736139711</v>
      </c>
      <c r="Q8" s="140"/>
      <c r="R8" s="288"/>
      <c r="S8" s="99"/>
      <c r="T8" s="99"/>
      <c r="U8" s="140"/>
      <c r="V8" s="288"/>
      <c r="W8" s="288"/>
      <c r="X8" s="288"/>
      <c r="Y8" s="289"/>
      <c r="Z8" s="288"/>
      <c r="AA8" s="288"/>
      <c r="AB8" s="288"/>
      <c r="AC8" s="289"/>
      <c r="AD8" s="99"/>
      <c r="AE8" s="140"/>
      <c r="AF8" s="288"/>
      <c r="AG8" s="288"/>
    </row>
    <row r="9" hidden="1" outlineLevel="1" x14ac:dyDescent="0.2">
      <c r="A9" s="240" t="inlineStr">
        <is>
          <t xml:space="preserve">МС</t>
        </is>
      </c>
      <c r="B9" s="99">
        <f>'P&amp;L 2027'!B15</f>
        <v>0.208952314773415</v>
      </c>
      <c r="C9" s="99">
        <f>'P&amp;L 2027'!C15</f>
        <v>0.522380786933538</v>
      </c>
      <c r="D9" s="99">
        <f>'P&amp;L 2027'!D15</f>
        <v>0.731333101706953</v>
      </c>
      <c r="E9" s="99">
        <f>'P&amp;L 2027'!E15</f>
        <v>0.731333101706953</v>
      </c>
      <c r="F9" s="99">
        <f>'P&amp;L 2027'!F15</f>
        <v>0.731333101706954</v>
      </c>
      <c r="G9" s="99">
        <f>'P&amp;L 2027'!G15</f>
        <v>0.731333101706953</v>
      </c>
      <c r="H9" s="99">
        <f>'P&amp;L 2027'!H15</f>
        <v>0.731333101706953</v>
      </c>
      <c r="I9" s="99">
        <f>'P&amp;L 2027'!I15</f>
        <v>0.835809259093661</v>
      </c>
      <c r="J9" s="99">
        <f>'P&amp;L 2027'!J15</f>
        <v>0.835809259093661</v>
      </c>
      <c r="K9" s="99">
        <f>'P&amp;L 2027'!K15</f>
        <v>1.14923773125378</v>
      </c>
      <c r="L9" s="99">
        <f>'P&amp;L 2027'!L15</f>
        <v>1.4626662034139</v>
      </c>
      <c r="M9" s="99">
        <f>'P&amp;L 2027'!M15</f>
        <v>1.77609467557403</v>
      </c>
      <c r="N9" s="99">
        <f>'P&amp;L 2027'!N15</f>
        <v>10.4476157386708</v>
      </c>
      <c r="O9" s="99">
        <f>'P&amp;L 2027'!O15</f>
        <v>6.44487295879252</v>
      </c>
      <c r="P9" s="99">
        <f>N9-O9</f>
        <v>4.00274277987823</v>
      </c>
      <c r="Q9" s="140"/>
      <c r="R9" s="288"/>
      <c r="S9" s="99"/>
      <c r="T9" s="99"/>
      <c r="U9" s="140"/>
      <c r="V9" s="288"/>
      <c r="W9" s="288"/>
      <c r="X9" s="288"/>
      <c r="Y9" s="289"/>
      <c r="Z9" s="288"/>
      <c r="AA9" s="288"/>
      <c r="AB9" s="288"/>
      <c r="AC9" s="289"/>
      <c r="AD9" s="99"/>
      <c r="AE9" s="140"/>
      <c r="AF9" s="288"/>
      <c r="AG9" s="288"/>
    </row>
    <row r="10" collapsed="1" x14ac:dyDescent="0.2">
      <c r="A10" s="241" t="inlineStr">
        <is>
          <t xml:space="preserve">DMP</t>
        </is>
      </c>
      <c r="B10" s="251">
        <f>'P&amp;L 2027'!B9</f>
        <v>3.74</v>
      </c>
      <c r="C10" s="251">
        <f>'P&amp;L 2027'!C9</f>
        <v>9.35</v>
      </c>
      <c r="D10" s="251">
        <f>'P&amp;L 2027'!D9</f>
        <v>13.09</v>
      </c>
      <c r="E10" s="251">
        <f>'P&amp;L 2027'!E9</f>
        <v>13.09</v>
      </c>
      <c r="F10" s="251">
        <f>'P&amp;L 2027'!F9</f>
        <v>13.09</v>
      </c>
      <c r="G10" s="251">
        <f>'P&amp;L 2027'!G9</f>
        <v>13.09</v>
      </c>
      <c r="H10" s="251">
        <f>'P&amp;L 2027'!H9</f>
        <v>13.09</v>
      </c>
      <c r="I10" s="251">
        <f>'P&amp;L 2027'!I9</f>
        <v>14.96</v>
      </c>
      <c r="J10" s="251">
        <f>'P&amp;L 2027'!J9</f>
        <v>14.96</v>
      </c>
      <c r="K10" s="251">
        <f>'P&amp;L 2027'!K9</f>
        <v>20.57</v>
      </c>
      <c r="L10" s="251">
        <f>'P&amp;L 2027'!L9</f>
        <v>26.18</v>
      </c>
      <c r="M10" s="251">
        <f>'P&amp;L 2027'!M9</f>
        <v>31.7900000000001</v>
      </c>
      <c r="N10" s="251">
        <f>'P&amp;L 2027'!N9</f>
        <v>187</v>
      </c>
      <c r="O10" s="251">
        <f>'P&amp;L 2027'!O9</f>
        <v>102.4</v>
      </c>
      <c r="P10" s="251">
        <f>N10-O10</f>
        <v>84.6</v>
      </c>
      <c r="Q10" s="252">
        <f>(N10/O10)-1</f>
        <v>0.826171875</v>
      </c>
      <c r="R10" s="288"/>
      <c r="S10" s="99">
        <v>124.68</v>
      </c>
      <c r="T10" s="99">
        <f>N10-S10</f>
        <v>62.32</v>
      </c>
      <c r="U10" s="140">
        <f>T10/S10</f>
        <v>0.499839589348733</v>
      </c>
      <c r="V10" s="288"/>
      <c r="W10" s="288"/>
      <c r="X10" s="288"/>
      <c r="Y10" s="288"/>
      <c r="Z10" s="288"/>
      <c r="AA10" s="288"/>
      <c r="AB10" s="288"/>
      <c r="AC10" s="288"/>
      <c r="AD10" s="99"/>
      <c r="AE10" s="140"/>
      <c r="AF10" s="288"/>
      <c r="AG10" s="288"/>
    </row>
    <row r="11" hidden="1" outlineLevel="1" x14ac:dyDescent="0.2">
      <c r="A11" s="240" t="inlineStr">
        <is>
          <t xml:space="preserve">Без формата</t>
        </is>
      </c>
      <c r="B11" s="99">
        <f>'P&amp;L 2027'!B10</f>
        <v>3.74</v>
      </c>
      <c r="C11" s="99">
        <f>'P&amp;L 2027'!C10</f>
        <v>9.35</v>
      </c>
      <c r="D11" s="99">
        <f>'P&amp;L 2027'!D10</f>
        <v>13.09</v>
      </c>
      <c r="E11" s="99">
        <f>'P&amp;L 2027'!E10</f>
        <v>13.09</v>
      </c>
      <c r="F11" s="99">
        <f>'P&amp;L 2027'!F10</f>
        <v>13.09</v>
      </c>
      <c r="G11" s="99">
        <f>'P&amp;L 2027'!G10</f>
        <v>13.09</v>
      </c>
      <c r="H11" s="99">
        <f>'P&amp;L 2027'!H10</f>
        <v>13.09</v>
      </c>
      <c r="I11" s="99">
        <f>'P&amp;L 2027'!I10</f>
        <v>14.96</v>
      </c>
      <c r="J11" s="99">
        <f>'P&amp;L 2027'!J10</f>
        <v>14.96</v>
      </c>
      <c r="K11" s="99">
        <f>'P&amp;L 2027'!K10</f>
        <v>20.57</v>
      </c>
      <c r="L11" s="99">
        <f>'P&amp;L 2027'!L10</f>
        <v>26.18</v>
      </c>
      <c r="M11" s="99">
        <f>'P&amp;L 2027'!M10</f>
        <v>31.7900000000001</v>
      </c>
      <c r="N11" s="99">
        <f>'P&amp;L 2027'!N10</f>
        <v>187</v>
      </c>
      <c r="O11" s="99">
        <f>'P&amp;L 2027'!O10</f>
        <v>102.4</v>
      </c>
      <c r="P11" s="99">
        <f>N11-O11</f>
        <v>84.6</v>
      </c>
      <c r="Q11" s="140"/>
      <c r="R11" s="288"/>
      <c r="S11" s="99"/>
      <c r="T11" s="99"/>
      <c r="U11" s="140"/>
      <c r="V11" s="288"/>
      <c r="W11" s="288"/>
      <c r="X11" s="288"/>
      <c r="Y11" s="288"/>
      <c r="Z11" s="288"/>
      <c r="AA11" s="288"/>
      <c r="AB11" s="288"/>
      <c r="AC11" s="288"/>
      <c r="AD11" s="99"/>
      <c r="AE11" s="140"/>
      <c r="AF11" s="288"/>
      <c r="AG11" s="288"/>
    </row>
    <row r="12" collapsed="1" x14ac:dyDescent="0.2">
      <c r="A12" s="241" t="inlineStr">
        <is>
          <t xml:space="preserve">Instore digital</t>
        </is>
      </c>
      <c r="B12" s="251">
        <f>'P&amp;L 2027'!B16</f>
        <v>83.733307136</v>
      </c>
      <c r="C12" s="251">
        <f>'P&amp;L 2027'!C16</f>
        <v>209.33326784</v>
      </c>
      <c r="D12" s="251">
        <f>'P&amp;L 2027'!D16</f>
        <v>293.066574976</v>
      </c>
      <c r="E12" s="251">
        <f>'P&amp;L 2027'!E16</f>
        <v>293.066574976</v>
      </c>
      <c r="F12" s="251">
        <f>'P&amp;L 2027'!F16</f>
        <v>293.066574976</v>
      </c>
      <c r="G12" s="251">
        <f>'P&amp;L 2027'!G16</f>
        <v>293.066574976</v>
      </c>
      <c r="H12" s="251">
        <f>'P&amp;L 2027'!H16</f>
        <v>293.066574976</v>
      </c>
      <c r="I12" s="251">
        <f>'P&amp;L 2027'!I16</f>
        <v>334.933228544</v>
      </c>
      <c r="J12" s="251">
        <f>'P&amp;L 2027'!J16</f>
        <v>334.933228544</v>
      </c>
      <c r="K12" s="251">
        <f>'P&amp;L 2027'!K16</f>
        <v>460.533189248</v>
      </c>
      <c r="L12" s="251">
        <f>'P&amp;L 2027'!L16</f>
        <v>586.133149952</v>
      </c>
      <c r="M12" s="251">
        <f>'P&amp;L 2027'!M16</f>
        <v>711.733110656</v>
      </c>
      <c r="N12" s="251">
        <f>'P&amp;L 2027'!N16</f>
        <v>4186.6653568</v>
      </c>
      <c r="O12" s="251">
        <f>'P&amp;L 2027'!O16</f>
        <v>2446.0892363</v>
      </c>
      <c r="P12" s="251">
        <f>N12-O12</f>
        <v>1740.5761205</v>
      </c>
      <c r="Q12" s="252">
        <f>(N12/O12)-1</f>
        <v>0.711575070389838</v>
      </c>
      <c r="R12" s="288"/>
      <c r="S12" s="99">
        <v>4509.17031997707</v>
      </c>
      <c r="T12" s="99">
        <f>N12-S12</f>
        <v>-322.504963177071</v>
      </c>
      <c r="U12" s="140">
        <f>T12/S12</f>
        <v>-0.0715220185292781</v>
      </c>
      <c r="V12" s="288"/>
      <c r="W12" s="288"/>
      <c r="X12" s="288"/>
      <c r="Y12" s="288"/>
      <c r="Z12" s="288"/>
      <c r="AA12" s="288"/>
      <c r="AB12" s="288"/>
      <c r="AC12" s="288"/>
      <c r="AD12" s="99"/>
      <c r="AE12" s="140"/>
      <c r="AF12" s="288"/>
      <c r="AG12" s="288"/>
    </row>
    <row r="13" hidden="1" outlineLevel="1" x14ac:dyDescent="0.2">
      <c r="A13" s="240" t="inlineStr">
        <is>
          <t xml:space="preserve">ММ</t>
        </is>
      </c>
      <c r="B13" s="99">
        <f>'P&amp;L 2027'!B17</f>
        <v>57.1502247438266</v>
      </c>
      <c r="C13" s="99">
        <f>'P&amp;L 2027'!C17</f>
        <v>142.875561859567</v>
      </c>
      <c r="D13" s="99">
        <f>'P&amp;L 2027'!D17</f>
        <v>200.025786603393</v>
      </c>
      <c r="E13" s="99">
        <f>'P&amp;L 2027'!E17</f>
        <v>200.025786603393</v>
      </c>
      <c r="F13" s="99">
        <f>'P&amp;L 2027'!F17</f>
        <v>200.025786603393</v>
      </c>
      <c r="G13" s="99">
        <f>'P&amp;L 2027'!G17</f>
        <v>200.025786603393</v>
      </c>
      <c r="H13" s="99">
        <f>'P&amp;L 2027'!H17</f>
        <v>200.025786603393</v>
      </c>
      <c r="I13" s="99">
        <f>'P&amp;L 2027'!I17</f>
        <v>228.600898975307</v>
      </c>
      <c r="J13" s="99">
        <f>'P&amp;L 2027'!J17</f>
        <v>228.600898975307</v>
      </c>
      <c r="K13" s="99">
        <f>'P&amp;L 2027'!K17</f>
        <v>314.326236091046</v>
      </c>
      <c r="L13" s="99">
        <f>'P&amp;L 2027'!L17</f>
        <v>400.051573206786</v>
      </c>
      <c r="M13" s="99">
        <f>'P&amp;L 2027'!M17</f>
        <v>485.776910322526</v>
      </c>
      <c r="N13" s="99">
        <f>'P&amp;L 2027'!N17</f>
        <v>2857.51123719133</v>
      </c>
      <c r="O13" s="99">
        <f>'P&amp;L 2027'!O17</f>
        <v>1669.52141721747</v>
      </c>
      <c r="P13" s="99">
        <f>N13-O13</f>
        <v>1187.98981997386</v>
      </c>
      <c r="Q13" s="140"/>
      <c r="R13" s="288"/>
      <c r="S13" s="99"/>
      <c r="T13" s="99"/>
      <c r="U13" s="140"/>
      <c r="V13" s="288"/>
      <c r="W13" s="288"/>
      <c r="X13" s="288"/>
      <c r="Y13" s="288"/>
      <c r="Z13" s="288"/>
      <c r="AA13" s="288"/>
      <c r="AB13" s="288"/>
      <c r="AC13" s="288"/>
      <c r="AD13" s="99"/>
      <c r="AE13" s="140"/>
      <c r="AF13" s="288"/>
      <c r="AG13" s="288"/>
    </row>
    <row r="14" hidden="1" outlineLevel="1" x14ac:dyDescent="0.2">
      <c r="A14" s="240" t="inlineStr">
        <is>
          <t xml:space="preserve">МЭ</t>
        </is>
      </c>
      <c r="B14" s="99">
        <f>'P&amp;L 2027'!B18</f>
        <v>10.9816627341545</v>
      </c>
      <c r="C14" s="99">
        <f>'P&amp;L 2027'!C18</f>
        <v>27.4541568353864</v>
      </c>
      <c r="D14" s="99">
        <f>'P&amp;L 2027'!D18</f>
        <v>38.4358195695409</v>
      </c>
      <c r="E14" s="99">
        <f>'P&amp;L 2027'!E18</f>
        <v>38.4358195695409</v>
      </c>
      <c r="F14" s="99">
        <f>'P&amp;L 2027'!F18</f>
        <v>38.4358195695409</v>
      </c>
      <c r="G14" s="99">
        <f>'P&amp;L 2027'!G18</f>
        <v>38.4358195695409</v>
      </c>
      <c r="H14" s="99">
        <f>'P&amp;L 2027'!H18</f>
        <v>38.4358195695409</v>
      </c>
      <c r="I14" s="99">
        <f>'P&amp;L 2027'!I18</f>
        <v>43.9266509366182</v>
      </c>
      <c r="J14" s="99">
        <f>'P&amp;L 2027'!J18</f>
        <v>43.9266509366182</v>
      </c>
      <c r="K14" s="99">
        <f>'P&amp;L 2027'!K18</f>
        <v>60.39914503785</v>
      </c>
      <c r="L14" s="99">
        <f>'P&amp;L 2027'!L18</f>
        <v>76.8716391390818</v>
      </c>
      <c r="M14" s="99">
        <f>'P&amp;L 2027'!M18</f>
        <v>93.3441332403136</v>
      </c>
      <c r="N14" s="99">
        <f>'P&amp;L 2027'!N18</f>
        <v>549.083136707727</v>
      </c>
      <c r="O14" s="99">
        <f>'P&amp;L 2027'!O18</f>
        <v>320.80575734412</v>
      </c>
      <c r="P14" s="99">
        <f>N14-O14</f>
        <v>228.277379363607</v>
      </c>
      <c r="Q14" s="140"/>
      <c r="R14" s="288"/>
      <c r="S14" s="99"/>
      <c r="T14" s="99"/>
      <c r="U14" s="140"/>
      <c r="V14" s="288"/>
      <c r="W14" s="288"/>
      <c r="X14" s="288"/>
      <c r="Y14" s="288"/>
      <c r="Z14" s="288"/>
      <c r="AA14" s="288"/>
      <c r="AB14" s="288"/>
      <c r="AC14" s="288"/>
      <c r="AD14" s="99"/>
      <c r="AE14" s="140"/>
      <c r="AF14" s="288"/>
      <c r="AG14" s="288"/>
    </row>
    <row r="15" hidden="1" outlineLevel="1" x14ac:dyDescent="0.2">
      <c r="A15" s="240" t="inlineStr">
        <is>
          <t xml:space="preserve">МС</t>
        </is>
      </c>
      <c r="B15" s="99">
        <f>'P&amp;L 2027'!B19</f>
        <v>4.97007720060935</v>
      </c>
      <c r="C15" s="99">
        <f>'P&amp;L 2027'!C19</f>
        <v>12.4251930015234</v>
      </c>
      <c r="D15" s="99">
        <f>'P&amp;L 2027'!D19</f>
        <v>17.3952702021327</v>
      </c>
      <c r="E15" s="99">
        <f>'P&amp;L 2027'!E19</f>
        <v>17.3952702021327</v>
      </c>
      <c r="F15" s="99">
        <f>'P&amp;L 2027'!F19</f>
        <v>17.3952702021327</v>
      </c>
      <c r="G15" s="99">
        <f>'P&amp;L 2027'!G19</f>
        <v>17.3952702021327</v>
      </c>
      <c r="H15" s="99">
        <f>'P&amp;L 2027'!H19</f>
        <v>17.3952702021327</v>
      </c>
      <c r="I15" s="99">
        <f>'P&amp;L 2027'!I19</f>
        <v>19.8803088024374</v>
      </c>
      <c r="J15" s="99">
        <f>'P&amp;L 2027'!J19</f>
        <v>19.8803088024374</v>
      </c>
      <c r="K15" s="99">
        <f>'P&amp;L 2027'!K19</f>
        <v>27.3354246033514</v>
      </c>
      <c r="L15" s="99">
        <f>'P&amp;L 2027'!L19</f>
        <v>34.7905404042654</v>
      </c>
      <c r="M15" s="99">
        <f>'P&amp;L 2027'!M19</f>
        <v>42.2456562051795</v>
      </c>
      <c r="N15" s="99">
        <f>'P&amp;L 2027'!N19</f>
        <v>248.503860030467</v>
      </c>
      <c r="O15" s="99">
        <f>'P&amp;L 2027'!O19</f>
        <v>145.190160998236</v>
      </c>
      <c r="P15" s="99">
        <f>N15-O15</f>
        <v>103.313699032232</v>
      </c>
      <c r="Q15" s="140"/>
      <c r="R15" s="288"/>
      <c r="S15" s="99"/>
      <c r="T15" s="99"/>
      <c r="U15" s="140"/>
      <c r="V15" s="288"/>
      <c r="W15" s="288"/>
      <c r="X15" s="288"/>
      <c r="Y15" s="288"/>
      <c r="Z15" s="288"/>
      <c r="AA15" s="288"/>
      <c r="AB15" s="288"/>
      <c r="AC15" s="288"/>
      <c r="AD15" s="99"/>
      <c r="AE15" s="140"/>
      <c r="AF15" s="288"/>
      <c r="AG15" s="288"/>
    </row>
    <row r="16" hidden="1" outlineLevel="1" x14ac:dyDescent="0.2">
      <c r="A16" s="240" t="inlineStr">
        <is>
          <t xml:space="preserve">МК</t>
        </is>
      </c>
      <c r="B16" s="99">
        <f>'P&amp;L 2027'!B20</f>
        <v>8.19683827707104</v>
      </c>
      <c r="C16" s="99">
        <f>'P&amp;L 2027'!C20</f>
        <v>20.4920956926776</v>
      </c>
      <c r="D16" s="99">
        <f>'P&amp;L 2027'!D20</f>
        <v>28.6889339697486</v>
      </c>
      <c r="E16" s="99">
        <f>'P&amp;L 2027'!E20</f>
        <v>28.6889339697486</v>
      </c>
      <c r="F16" s="99">
        <f>'P&amp;L 2027'!F20</f>
        <v>28.6889339697486</v>
      </c>
      <c r="G16" s="99">
        <f>'P&amp;L 2027'!G20</f>
        <v>28.6889339697486</v>
      </c>
      <c r="H16" s="99">
        <f>'P&amp;L 2027'!H20</f>
        <v>28.6889339697486</v>
      </c>
      <c r="I16" s="99">
        <f>'P&amp;L 2027'!I20</f>
        <v>32.7873531082842</v>
      </c>
      <c r="J16" s="99">
        <f>'P&amp;L 2027'!J20</f>
        <v>32.7873531082842</v>
      </c>
      <c r="K16" s="99">
        <f>'P&amp;L 2027'!K20</f>
        <v>45.0826105238907</v>
      </c>
      <c r="L16" s="99">
        <f>'P&amp;L 2027'!L20</f>
        <v>57.3778679394973</v>
      </c>
      <c r="M16" s="99">
        <f>'P&amp;L 2027'!M20</f>
        <v>69.6731253551038</v>
      </c>
      <c r="N16" s="99">
        <f>'P&amp;L 2027'!N20</f>
        <v>409.841913853552</v>
      </c>
      <c r="O16" s="99">
        <f>'P&amp;L 2027'!O20</f>
        <v>239.453075090772</v>
      </c>
      <c r="P16" s="99">
        <f>N16-O16</f>
        <v>170.38883876278</v>
      </c>
      <c r="Q16" s="140"/>
      <c r="R16" s="288"/>
      <c r="S16" s="99"/>
      <c r="T16" s="99"/>
      <c r="U16" s="140"/>
      <c r="V16" s="288"/>
      <c r="W16" s="288"/>
      <c r="X16" s="288"/>
      <c r="Y16" s="288"/>
      <c r="Z16" s="288"/>
      <c r="AA16" s="288"/>
      <c r="AB16" s="288"/>
      <c r="AC16" s="288"/>
      <c r="AD16" s="99"/>
      <c r="AE16" s="140"/>
      <c r="AF16" s="288"/>
      <c r="AG16" s="288"/>
    </row>
    <row r="17" hidden="1" outlineLevel="1" x14ac:dyDescent="0.2">
      <c r="A17" s="240" t="inlineStr">
        <is>
          <t xml:space="preserve">МС Лайт</t>
        </is>
      </c>
      <c r="B17" s="99">
        <f>'P&amp;L 2027'!B21</f>
        <v>2.43450418033843</v>
      </c>
      <c r="C17" s="99">
        <f>'P&amp;L 2027'!C21</f>
        <v>6.08626045084608</v>
      </c>
      <c r="D17" s="99">
        <f>'P&amp;L 2027'!D21</f>
        <v>8.52076463118452</v>
      </c>
      <c r="E17" s="99">
        <f>'P&amp;L 2027'!E21</f>
        <v>8.52076463118452</v>
      </c>
      <c r="F17" s="99">
        <f>'P&amp;L 2027'!F21</f>
        <v>8.52076463118452</v>
      </c>
      <c r="G17" s="99">
        <f>'P&amp;L 2027'!G21</f>
        <v>8.52076463118452</v>
      </c>
      <c r="H17" s="99">
        <f>'P&amp;L 2027'!H21</f>
        <v>8.52076463118452</v>
      </c>
      <c r="I17" s="99">
        <f>'P&amp;L 2027'!I21</f>
        <v>9.73801672135374</v>
      </c>
      <c r="J17" s="99">
        <f>'P&amp;L 2027'!J21</f>
        <v>9.73801672135374</v>
      </c>
      <c r="K17" s="99">
        <f>'P&amp;L 2027'!K21</f>
        <v>13.3897729918614</v>
      </c>
      <c r="L17" s="99">
        <f>'P&amp;L 2027'!L21</f>
        <v>17.041529262369</v>
      </c>
      <c r="M17" s="99">
        <f>'P&amp;L 2027'!M21</f>
        <v>20.6932855328767</v>
      </c>
      <c r="N17" s="99">
        <f>'P&amp;L 2027'!N21</f>
        <v>121.725209016922</v>
      </c>
      <c r="O17" s="99">
        <f>'P&amp;L 2027'!O21</f>
        <v>71.1188256494042</v>
      </c>
      <c r="P17" s="99">
        <f>N17-O17</f>
        <v>50.6063833675175</v>
      </c>
      <c r="Q17" s="140"/>
      <c r="R17" s="288"/>
      <c r="S17" s="99"/>
      <c r="T17" s="99"/>
      <c r="U17" s="140"/>
      <c r="V17" s="288"/>
      <c r="W17" s="288"/>
      <c r="X17" s="288"/>
      <c r="Y17" s="288"/>
      <c r="Z17" s="288"/>
      <c r="AA17" s="288"/>
      <c r="AB17" s="288"/>
      <c r="AC17" s="288"/>
      <c r="AD17" s="99"/>
      <c r="AE17" s="140"/>
      <c r="AF17" s="288"/>
      <c r="AG17" s="288"/>
    </row>
    <row r="18" collapsed="1" x14ac:dyDescent="0.2">
      <c r="A18" s="247" t="inlineStr">
        <is>
          <t xml:space="preserve">Content factory отдельное ЮЛ</t>
        </is>
      </c>
      <c r="B18" s="249">
        <f>'P&amp;L 2027'!B7</f>
        <v>4.266</v>
      </c>
      <c r="C18" s="249">
        <f>'P&amp;L 2027'!C7</f>
        <v>10.665</v>
      </c>
      <c r="D18" s="249">
        <f>'P&amp;L 2027'!D7</f>
        <v>14.931</v>
      </c>
      <c r="E18" s="249">
        <f>'P&amp;L 2027'!E7</f>
        <v>14.931</v>
      </c>
      <c r="F18" s="249">
        <f>'P&amp;L 2027'!F7</f>
        <v>14.931</v>
      </c>
      <c r="G18" s="249">
        <f>'P&amp;L 2027'!G7</f>
        <v>14.931</v>
      </c>
      <c r="H18" s="249">
        <f>'P&amp;L 2027'!H7</f>
        <v>14.931</v>
      </c>
      <c r="I18" s="249">
        <f>'P&amp;L 2027'!I7</f>
        <v>17.064</v>
      </c>
      <c r="J18" s="249">
        <f>'P&amp;L 2027'!J7</f>
        <v>17.064</v>
      </c>
      <c r="K18" s="249">
        <f>'P&amp;L 2027'!K7</f>
        <v>23.4630000000001</v>
      </c>
      <c r="L18" s="249">
        <f>'P&amp;L 2027'!L7</f>
        <v>29.862</v>
      </c>
      <c r="M18" s="249">
        <f>'P&amp;L 2027'!M7</f>
        <v>36.2609999999999</v>
      </c>
      <c r="N18" s="249">
        <f>'P&amp;L 2027'!N7</f>
        <v>213.3</v>
      </c>
      <c r="O18" s="249">
        <f>'P&amp;L 2027'!O7</f>
        <v>0</v>
      </c>
      <c r="P18" s="249">
        <f>N18-O18</f>
        <v>213.3</v>
      </c>
      <c r="Q18" s="250" t="inlineStr">
        <is>
          <t xml:space="preserve">-</t>
        </is>
      </c>
      <c r="R18" s="288"/>
      <c r="S18" s="288"/>
      <c r="T18" s="288"/>
      <c r="U18" s="288"/>
      <c r="V18" s="288"/>
      <c r="W18" s="288"/>
      <c r="X18" s="288"/>
      <c r="Y18" s="288"/>
      <c r="Z18" s="288"/>
      <c r="AA18" s="288"/>
      <c r="AB18" s="288"/>
      <c r="AC18" s="288"/>
      <c r="AD18" s="288"/>
      <c r="AE18" s="288"/>
      <c r="AF18" s="288"/>
      <c r="AG18" s="288"/>
    </row>
    <row r="19" hidden="1" outlineLevel="1" x14ac:dyDescent="0.2">
      <c r="A19" s="248" t="inlineStr">
        <is>
          <t xml:space="preserve">Без формата</t>
        </is>
      </c>
      <c r="B19" s="147">
        <f>'P&amp;L 2027'!B8</f>
        <v>4.266</v>
      </c>
      <c r="C19" s="147">
        <f>'P&amp;L 2027'!C8</f>
        <v>10.665</v>
      </c>
      <c r="D19" s="147">
        <f>'P&amp;L 2027'!D8</f>
        <v>14.931</v>
      </c>
      <c r="E19" s="147">
        <f>'P&amp;L 2027'!E8</f>
        <v>14.931</v>
      </c>
      <c r="F19" s="147">
        <f>'P&amp;L 2027'!F8</f>
        <v>14.931</v>
      </c>
      <c r="G19" s="147">
        <f>'P&amp;L 2027'!G8</f>
        <v>14.931</v>
      </c>
      <c r="H19" s="147">
        <f>'P&amp;L 2027'!H8</f>
        <v>14.931</v>
      </c>
      <c r="I19" s="147">
        <f>'P&amp;L 2027'!I8</f>
        <v>17.064</v>
      </c>
      <c r="J19" s="147">
        <f>'P&amp;L 2027'!J8</f>
        <v>17.064</v>
      </c>
      <c r="K19" s="147">
        <f>'P&amp;L 2027'!K8</f>
        <v>23.4630000000001</v>
      </c>
      <c r="L19" s="147">
        <f>'P&amp;L 2027'!L8</f>
        <v>29.862</v>
      </c>
      <c r="M19" s="147">
        <f>'P&amp;L 2027'!M8</f>
        <v>36.2609999999999</v>
      </c>
      <c r="N19" s="147">
        <f>'P&amp;L 2027'!N8</f>
        <v>213.3</v>
      </c>
      <c r="O19" s="147">
        <f>'P&amp;L 2027'!O8</f>
        <v>0</v>
      </c>
      <c r="P19" s="147">
        <f>N19-O19</f>
        <v>213.3</v>
      </c>
      <c r="Q19" s="148"/>
      <c r="R19" s="288"/>
      <c r="S19" s="288"/>
      <c r="T19" s="288"/>
      <c r="U19" s="288"/>
      <c r="V19" s="288"/>
      <c r="W19" s="288"/>
      <c r="X19" s="288"/>
      <c r="Y19" s="288"/>
      <c r="Z19" s="288"/>
      <c r="AA19" s="288"/>
      <c r="AB19" s="288"/>
      <c r="AC19" s="288"/>
      <c r="AD19" s="288"/>
      <c r="AE19" s="288"/>
      <c r="AF19" s="288"/>
      <c r="AG19" s="288"/>
    </row>
    <row r="20" collapsed="1" x14ac:dyDescent="0.2">
      <c r="A20" s="247" t="inlineStr">
        <is>
          <t xml:space="preserve">RMN (Brand budgets call) отдельное ЮЛ</t>
        </is>
      </c>
      <c r="B20" s="249">
        <f>'P&amp;L 2027'!B22</f>
        <v>17.0041828989972</v>
      </c>
      <c r="C20" s="249">
        <f>'P&amp;L 2027'!C22</f>
        <v>42.510457247493</v>
      </c>
      <c r="D20" s="249">
        <f>'P&amp;L 2027'!D22</f>
        <v>59.5146401464902</v>
      </c>
      <c r="E20" s="249">
        <f>'P&amp;L 2027'!E22</f>
        <v>59.5146401464902</v>
      </c>
      <c r="F20" s="249">
        <f>'P&amp;L 2027'!F22</f>
        <v>59.5146401464902</v>
      </c>
      <c r="G20" s="249">
        <f>'P&amp;L 2027'!G22</f>
        <v>59.5146401464902</v>
      </c>
      <c r="H20" s="249">
        <f>'P&amp;L 2027'!H22</f>
        <v>59.5146401464902</v>
      </c>
      <c r="I20" s="249">
        <f>'P&amp;L 2027'!I22</f>
        <v>68.0167315959888</v>
      </c>
      <c r="J20" s="249">
        <f>'P&amp;L 2027'!J22</f>
        <v>68.0167315959888</v>
      </c>
      <c r="K20" s="249">
        <f>'P&amp;L 2027'!K22</f>
        <v>93.5230059444846</v>
      </c>
      <c r="L20" s="249">
        <f>'P&amp;L 2027'!L22</f>
        <v>119.02928029298</v>
      </c>
      <c r="M20" s="249">
        <f>'P&amp;L 2027'!M22</f>
        <v>144.535554641476</v>
      </c>
      <c r="N20" s="249">
        <f>'P&amp;L 2027'!N22</f>
        <v>850.209144949859</v>
      </c>
      <c r="O20" s="249">
        <f>'P&amp;L 2027'!O22</f>
        <v>592.56</v>
      </c>
      <c r="P20" s="249">
        <f>N20-O20</f>
        <v>257.649144949859</v>
      </c>
      <c r="Q20" s="250">
        <f>(N20/O20)-1</f>
        <v>0.434806846479444</v>
      </c>
      <c r="R20" s="288"/>
      <c r="S20" s="147">
        <v>0</v>
      </c>
      <c r="T20" s="147">
        <f>N20-S20</f>
        <v>850.209144949859</v>
      </c>
      <c r="U20" s="147"/>
      <c r="V20" s="288"/>
      <c r="W20" s="288"/>
      <c r="X20" s="288"/>
      <c r="Y20" s="288"/>
      <c r="Z20" s="288"/>
      <c r="AA20" s="288"/>
      <c r="AB20" s="288"/>
      <c r="AC20" s="288"/>
      <c r="AD20" s="147"/>
      <c r="AE20" s="148"/>
      <c r="AF20" s="288"/>
      <c r="AG20" s="288"/>
    </row>
    <row r="21" hidden="1" outlineLevel="1" x14ac:dyDescent="0.2">
      <c r="A21" s="248" t="inlineStr">
        <is>
          <t xml:space="preserve">Без формата</t>
        </is>
      </c>
      <c r="B21" s="147">
        <f>'P&amp;L 2027'!B23</f>
        <v>17.0041828989972</v>
      </c>
      <c r="C21" s="147">
        <f>'P&amp;L 2027'!C23</f>
        <v>42.510457247493</v>
      </c>
      <c r="D21" s="147">
        <f>'P&amp;L 2027'!D23</f>
        <v>59.5146401464902</v>
      </c>
      <c r="E21" s="147">
        <f>'P&amp;L 2027'!E23</f>
        <v>59.5146401464902</v>
      </c>
      <c r="F21" s="147">
        <f>'P&amp;L 2027'!F23</f>
        <v>59.5146401464902</v>
      </c>
      <c r="G21" s="147">
        <f>'P&amp;L 2027'!G23</f>
        <v>59.5146401464902</v>
      </c>
      <c r="H21" s="147">
        <f>'P&amp;L 2027'!H23</f>
        <v>59.5146401464902</v>
      </c>
      <c r="I21" s="147">
        <f>'P&amp;L 2027'!I23</f>
        <v>68.0167315959888</v>
      </c>
      <c r="J21" s="147">
        <f>'P&amp;L 2027'!J23</f>
        <v>68.0167315959888</v>
      </c>
      <c r="K21" s="147">
        <f>'P&amp;L 2027'!K23</f>
        <v>93.5230059444846</v>
      </c>
      <c r="L21" s="147">
        <f>'P&amp;L 2027'!L23</f>
        <v>119.02928029298</v>
      </c>
      <c r="M21" s="147">
        <f>'P&amp;L 2027'!M23</f>
        <v>144.535554641476</v>
      </c>
      <c r="N21" s="147">
        <f>'P&amp;L 2027'!N23</f>
        <v>850.209144949859</v>
      </c>
      <c r="O21" s="147">
        <f>'P&amp;L 2027'!O23</f>
        <v>592.56</v>
      </c>
      <c r="P21" s="147">
        <f>N21-O21</f>
        <v>257.649144949859</v>
      </c>
      <c r="Q21" s="148"/>
      <c r="R21" s="288"/>
      <c r="S21" s="147"/>
      <c r="T21" s="147"/>
      <c r="U21" s="148"/>
      <c r="V21" s="288"/>
      <c r="W21" s="288"/>
      <c r="X21" s="288"/>
      <c r="Y21" s="288"/>
      <c r="Z21" s="288"/>
      <c r="AA21" s="288"/>
      <c r="AB21" s="288"/>
      <c r="AC21" s="288"/>
      <c r="AD21" s="147"/>
      <c r="AE21" s="148"/>
      <c r="AF21" s="288"/>
      <c r="AG21" s="288"/>
    </row>
    <row r="22" ht="16" collapsed="1" thickBot="1" x14ac:dyDescent="0.25">
      <c r="A22" s="40" t="inlineStr">
        <is>
          <t xml:space="preserve">Gross Revenue</t>
        </is>
      </c>
      <c r="B22" s="101">
        <f>SUM(B3,B5,B10,B12,B18,B20)</f>
        <v>304.768173985418</v>
      </c>
      <c r="C22" s="101">
        <f>SUM(C3,C5,C10,C12,C18,C20)</f>
        <v>761.920434963545</v>
      </c>
      <c r="D22" s="101">
        <f>SUM(D3,D5,D10,D12,D18,D20)</f>
        <v>1066.68860894896</v>
      </c>
      <c r="E22" s="101">
        <f>SUM(E3,E5,E10,E12,E18,E20)</f>
        <v>1066.68860894896</v>
      </c>
      <c r="F22" s="101">
        <f>SUM(F3,F5,F10,F12,F18,F20)</f>
        <v>1066.68860894897</v>
      </c>
      <c r="G22" s="101">
        <f>SUM(G3,G5,G10,G12,G18,G20)</f>
        <v>1066.68860894896</v>
      </c>
      <c r="H22" s="101">
        <f>SUM(H3,H5,H10,H12,H18,H20)</f>
        <v>1066.68860894896</v>
      </c>
      <c r="I22" s="101">
        <f>SUM(I3,I5,I10,I12,I18,I20)</f>
        <v>1219.07269594167</v>
      </c>
      <c r="J22" s="101">
        <f>SUM(J3,J5,J10,J12,J18,J20)</f>
        <v>1219.07269594167</v>
      </c>
      <c r="K22" s="101">
        <f>SUM(K3,K5,K10,K12,K18,K20)</f>
        <v>1676.2249569198</v>
      </c>
      <c r="L22" s="101">
        <f>SUM(L3,L5,L10,L12,L18,L20)</f>
        <v>2133.37721789792</v>
      </c>
      <c r="M22" s="101">
        <f>SUM(M3,M5,M10,M12,M18,M20)</f>
        <v>2590.52947887605</v>
      </c>
      <c r="N22" s="101">
        <f>SUM(N3,N5,N10,N12,N18,N20)</f>
        <v>15238.4086992709</v>
      </c>
      <c r="O22" s="101">
        <f>SUM(O3,O5,O10,O12,O18,O20)</f>
        <v>10323.4492363</v>
      </c>
      <c r="P22" s="137">
        <f>N22-O22</f>
        <v>4914.95946297089</v>
      </c>
      <c r="Q22" s="141">
        <f>(N22/O22)-1</f>
        <v>0.476096636934929</v>
      </c>
      <c r="R22" s="288"/>
      <c r="S22" s="137">
        <f>SUM(S3:S20)</f>
        <v>12948.0951725195</v>
      </c>
      <c r="T22" s="137">
        <f>N22-S22</f>
        <v>2290.3135267514</v>
      </c>
      <c r="U22" s="141">
        <f>T22/S22</f>
        <v>0.176884205455353</v>
      </c>
      <c r="V22" s="288"/>
      <c r="W22" s="288"/>
      <c r="X22" s="150" t="inlineStr">
        <is>
          <t xml:space="preserve">Revenue increase YOY</t>
        </is>
      </c>
      <c r="Y22" s="101">
        <f>SUM(Y3:Y20)</f>
        <v>4914.95946297089</v>
      </c>
      <c r="Z22" s="288"/>
      <c r="AA22" s="288"/>
      <c r="AB22" s="150" t="inlineStr">
        <is>
          <t xml:space="preserve">Revenue increase YOY</t>
        </is>
      </c>
      <c r="AC22" s="101">
        <f>AC3+AC5</f>
        <v>3479.44595539468</v>
      </c>
      <c r="AD22" s="137">
        <f>Y22-AC22</f>
        <v>1435.51350757621</v>
      </c>
      <c r="AE22" s="141">
        <f>AD22/AC22</f>
        <v>0.412569565953606</v>
      </c>
      <c r="AF22" s="288"/>
      <c r="AG22" s="288"/>
    </row>
    <row r="23" ht="17" thickTop="1" thickBot="1" x14ac:dyDescent="0.25">
      <c r="A23" s="35" t="inlineStr">
        <is>
          <t xml:space="preserve">COGS</t>
        </is>
      </c>
      <c r="B23" s="103">
        <f>'P&amp;L 2027'!B28</f>
        <v>-89.8692999412308</v>
      </c>
      <c r="C23" s="103">
        <f>'P&amp;L 2027'!C28</f>
        <v>-125.27429364453</v>
      </c>
      <c r="D23" s="103">
        <f>'P&amp;L 2027'!D28</f>
        <v>-148.837732616909</v>
      </c>
      <c r="E23" s="103">
        <f>'P&amp;L 2027'!E28</f>
        <v>-152.621631349173</v>
      </c>
      <c r="F23" s="103">
        <f>'P&amp;L 2027'!F28</f>
        <v>-153.651031416338</v>
      </c>
      <c r="G23" s="103">
        <f>'P&amp;L 2027'!G28</f>
        <v>-154.559410796743</v>
      </c>
      <c r="H23" s="103">
        <f>'P&amp;L 2027'!H28</f>
        <v>-154.512725178407</v>
      </c>
      <c r="I23" s="103">
        <f>'P&amp;L 2027'!I28</f>
        <v>-164.495994710772</v>
      </c>
      <c r="J23" s="103">
        <f>'P&amp;L 2027'!J28</f>
        <v>-161.961631987239</v>
      </c>
      <c r="K23" s="103">
        <f>'P&amp;L 2027'!K28</f>
        <v>-197.159261674083</v>
      </c>
      <c r="L23" s="103">
        <f>'P&amp;L 2027'!L28</f>
        <v>-218.989611938544</v>
      </c>
      <c r="M23" s="103">
        <f>'P&amp;L 2027'!M28</f>
        <v>-249.133374746033</v>
      </c>
      <c r="N23" s="103">
        <f>'P&amp;L 2027'!N28</f>
        <v>-1971.066</v>
      </c>
      <c r="O23" s="103">
        <f>'P&amp;L 2027'!O28</f>
        <v>-880.54</v>
      </c>
      <c r="P23" s="138">
        <f>N23-O23</f>
        <v>-1090.526</v>
      </c>
      <c r="Q23" s="142">
        <f>(N23/O23)-1</f>
        <v>1.23847411815477</v>
      </c>
      <c r="R23" s="288"/>
      <c r="S23" s="138">
        <v>-1292.18907502249</v>
      </c>
      <c r="T23" s="138">
        <f>N23-S23</f>
        <v>-678.87692497751</v>
      </c>
      <c r="U23" s="142">
        <f>T23/S23</f>
        <v>0.525369652243573</v>
      </c>
      <c r="V23" s="288"/>
      <c r="W23" s="288"/>
      <c r="X23" s="35" t="inlineStr">
        <is>
          <t xml:space="preserve">COGS</t>
        </is>
      </c>
      <c r="Y23" s="152">
        <f>N23</f>
        <v>-1971.066</v>
      </c>
      <c r="Z23" s="288"/>
      <c r="AA23" s="288"/>
      <c r="AB23" s="35" t="inlineStr">
        <is>
          <t xml:space="preserve">COGS</t>
        </is>
      </c>
      <c r="AC23" s="152">
        <f>S23</f>
        <v>-1292.18907502249</v>
      </c>
      <c r="AD23" s="138">
        <f>Y23-AC23</f>
        <v>-678.87692497751</v>
      </c>
      <c r="AE23" s="142">
        <f>AD23/AC23</f>
        <v>0.525369652243573</v>
      </c>
      <c r="AF23" s="288"/>
      <c r="AG23" s="288"/>
    </row>
    <row r="24" ht="16" thickBot="1" x14ac:dyDescent="0.25">
      <c r="A24" s="40" t="inlineStr">
        <is>
          <t xml:space="preserve">Net Revenue</t>
        </is>
      </c>
      <c r="B24" s="101">
        <f>B22+B23</f>
        <v>214.898874044187</v>
      </c>
      <c r="C24" s="101">
        <f>C22+C23</f>
        <v>636.646141319015</v>
      </c>
      <c r="D24" s="101">
        <f>D22+D23</f>
        <v>917.850876332055</v>
      </c>
      <c r="E24" s="101">
        <f>E22+E23</f>
        <v>914.066977599789</v>
      </c>
      <c r="F24" s="101">
        <f>F22+F23</f>
        <v>913.037577532627</v>
      </c>
      <c r="G24" s="101">
        <f>G22+G23</f>
        <v>912.129198152221</v>
      </c>
      <c r="H24" s="101">
        <f>H22+H23</f>
        <v>912.175883770557</v>
      </c>
      <c r="I24" s="101">
        <f>I22+I23</f>
        <v>1054.5767012309</v>
      </c>
      <c r="J24" s="101">
        <f>J22+J23</f>
        <v>1057.11106395443</v>
      </c>
      <c r="K24" s="101">
        <f>K22+K23</f>
        <v>1479.06569524571</v>
      </c>
      <c r="L24" s="101">
        <f>L22+L23</f>
        <v>1914.38760595938</v>
      </c>
      <c r="M24" s="101">
        <f>M22+M23</f>
        <v>2341.39610413002</v>
      </c>
      <c r="N24" s="101">
        <f>N22+N23</f>
        <v>13267.3426992709</v>
      </c>
      <c r="O24" s="101">
        <f>O22+O23</f>
        <v>9442.9092363</v>
      </c>
      <c r="P24" s="137">
        <f>N24-O24</f>
        <v>3824.43346297089</v>
      </c>
      <c r="Q24" s="141">
        <f>(N24/O24)-1</f>
        <v>0.405005848014421</v>
      </c>
      <c r="R24" s="288"/>
      <c r="S24" s="137">
        <f>S22+S23</f>
        <v>11655.906097497</v>
      </c>
      <c r="T24" s="137">
        <f>N24-S24</f>
        <v>1611.43660177389</v>
      </c>
      <c r="U24" s="141">
        <f>T24/S24</f>
        <v>0.138250650639673</v>
      </c>
      <c r="V24" s="288"/>
      <c r="W24" s="288"/>
      <c r="X24" s="150" t="inlineStr">
        <is>
          <t xml:space="preserve">Net Revenue increase</t>
        </is>
      </c>
      <c r="Y24" s="101">
        <f>Y22+Y23</f>
        <v>2943.89346297089</v>
      </c>
      <c r="Z24" s="288"/>
      <c r="AA24" s="288"/>
      <c r="AB24" s="150" t="inlineStr">
        <is>
          <t xml:space="preserve">Net Revenue increase</t>
        </is>
      </c>
      <c r="AC24" s="101">
        <f>AC22+AC23</f>
        <v>2187.25688037219</v>
      </c>
      <c r="AD24" s="137">
        <f>Y24-AC24</f>
        <v>756.636582598701</v>
      </c>
      <c r="AE24" s="141">
        <f>AD24/AC24</f>
        <v>0.345929455926526</v>
      </c>
      <c r="AF24" s="288"/>
      <c r="AG24" s="288"/>
    </row>
    <row r="25" ht="17" outlineLevel="1" thickTop="1" thickBot="1" x14ac:dyDescent="0.25">
      <c r="A25" s="35" t="inlineStr">
        <is>
          <t xml:space="preserve">PEX</t>
        </is>
      </c>
      <c r="B25" s="103">
        <f>'P&amp;L 2027'!B37</f>
        <v>-113.964046852421</v>
      </c>
      <c r="C25" s="103">
        <f>'P&amp;L 2027'!C37</f>
        <v>-116.10616442779</v>
      </c>
      <c r="D25" s="103">
        <f>'P&amp;L 2027'!D37</f>
        <v>-116.710569276869</v>
      </c>
      <c r="E25" s="103">
        <f>'P&amp;L 2027'!E37</f>
        <v>-118.662842973061</v>
      </c>
      <c r="F25" s="103">
        <f>'P&amp;L 2027'!F37</f>
        <v>-120.878049200388</v>
      </c>
      <c r="G25" s="103">
        <f>'P&amp;L 2027'!G37</f>
        <v>-117.838601751365</v>
      </c>
      <c r="H25" s="103">
        <f>'P&amp;L 2027'!H37</f>
        <v>-120.784079044911</v>
      </c>
      <c r="I25" s="103">
        <f>'P&amp;L 2027'!I37</f>
        <v>-102.883619444708</v>
      </c>
      <c r="J25" s="103">
        <f>'P&amp;L 2027'!J37</f>
        <v>-119.844979381682</v>
      </c>
      <c r="K25" s="103">
        <f>'P&amp;L 2027'!K37</f>
        <v>-127.968972077443</v>
      </c>
      <c r="L25" s="103">
        <f>'P&amp;L 2027'!L37</f>
        <v>-128.01786718941</v>
      </c>
      <c r="M25" s="103">
        <f>'P&amp;L 2027'!M37</f>
        <v>-132.703144979921</v>
      </c>
      <c r="N25" s="103">
        <f>'P&amp;L 2027'!N37</f>
        <v>-1436.36293659997</v>
      </c>
      <c r="O25" s="103">
        <f>'P&amp;L 2027'!O37</f>
        <v>-1120.07144</v>
      </c>
      <c r="P25" s="138">
        <f>N25-O25</f>
        <v>-316.291496599969</v>
      </c>
      <c r="Q25" s="142">
        <f>(N25/O25)-1</f>
        <v>0.282385109828324</v>
      </c>
      <c r="R25" s="288"/>
      <c r="S25" s="138">
        <v>-1478.51466094806</v>
      </c>
      <c r="T25" s="138">
        <f>N25-S25</f>
        <v>42.1517243480914</v>
      </c>
      <c r="U25" s="142">
        <f>T25/S25</f>
        <v>-0.028509507184097</v>
      </c>
      <c r="V25" s="288"/>
      <c r="W25" s="288"/>
      <c r="X25" s="35" t="inlineStr">
        <is>
          <t xml:space="preserve">PEX</t>
        </is>
      </c>
      <c r="Y25" s="152">
        <f>N25</f>
        <v>-1436.36293659997</v>
      </c>
      <c r="Z25" s="288"/>
      <c r="AA25" s="288"/>
      <c r="AB25" s="35" t="inlineStr">
        <is>
          <t xml:space="preserve">PEX</t>
        </is>
      </c>
      <c r="AC25" s="152">
        <f>S25</f>
        <v>-1478.51466094806</v>
      </c>
      <c r="AD25" s="138">
        <f>Y25-AC25</f>
        <v>42.1517243480914</v>
      </c>
      <c r="AE25" s="142">
        <f>AD25/AC25</f>
        <v>-0.028509507184097</v>
      </c>
      <c r="AF25" s="288"/>
      <c r="AG25" s="288"/>
    </row>
    <row r="26" ht="17" outlineLevel="1" thickTop="1" thickBot="1" x14ac:dyDescent="0.25">
      <c r="A26" s="35" t="inlineStr">
        <is>
          <t xml:space="preserve">Other PEX</t>
        </is>
      </c>
      <c r="B26" s="103">
        <f>'P&amp;L 2027'!B48</f>
        <v>-1.1561945499232</v>
      </c>
      <c r="C26" s="103">
        <f>'P&amp;L 2027'!C48</f>
        <v>-5.1511945499232</v>
      </c>
      <c r="D26" s="103">
        <f>'P&amp;L 2027'!D48</f>
        <v>-1.8032845499232</v>
      </c>
      <c r="E26" s="103">
        <f>'P&amp;L 2027'!E48</f>
        <v>-12.2532852199232</v>
      </c>
      <c r="F26" s="103">
        <f>'P&amp;L 2027'!F48</f>
        <v>-1.6682845499232</v>
      </c>
      <c r="G26" s="103">
        <f>'P&amp;L 2027'!G48</f>
        <v>-1.6632845499232</v>
      </c>
      <c r="H26" s="103">
        <f>'P&amp;L 2027'!H48</f>
        <v>-7.8032845499232</v>
      </c>
      <c r="I26" s="103">
        <f>'P&amp;L 2027'!I48</f>
        <v>-2.0029545499232</v>
      </c>
      <c r="J26" s="103">
        <f>'P&amp;L 2027'!J48</f>
        <v>-1.6682845499232</v>
      </c>
      <c r="K26" s="103">
        <f>'P&amp;L 2027'!K48</f>
        <v>-1.6632845499232</v>
      </c>
      <c r="L26" s="103">
        <f>'P&amp;L 2027'!L48</f>
        <v>-1.68150634062704</v>
      </c>
      <c r="M26" s="103">
        <f>'P&amp;L 2027'!M48</f>
        <v>-1.7715893986895</v>
      </c>
      <c r="N26" s="103">
        <f>'P&amp;L 2027'!N48</f>
        <v>-40.2864319085485</v>
      </c>
      <c r="O26" s="103">
        <f>'P&amp;L 2027'!O48</f>
        <v>-32.7</v>
      </c>
      <c r="P26" s="138">
        <f>N26-O26</f>
        <v>-7.5864319085485</v>
      </c>
      <c r="Q26" s="142">
        <f>(N26/O26)-1</f>
        <v>0.23200097579659</v>
      </c>
      <c r="R26" s="288"/>
      <c r="S26" s="138">
        <v>-26.2098756079167</v>
      </c>
      <c r="T26" s="138">
        <f>N26-S26</f>
        <v>-14.0765563006318</v>
      </c>
      <c r="U26" s="142">
        <f>T26/S26</f>
        <v>0.537070702326415</v>
      </c>
      <c r="V26" s="288"/>
      <c r="W26" s="288"/>
      <c r="X26" s="35" t="inlineStr">
        <is>
          <t xml:space="preserve">Other PEX</t>
        </is>
      </c>
      <c r="Y26" s="152">
        <f>N26</f>
        <v>-40.2864319085485</v>
      </c>
      <c r="Z26" s="288"/>
      <c r="AA26" s="288"/>
      <c r="AB26" s="35" t="inlineStr">
        <is>
          <t xml:space="preserve">Other PEX</t>
        </is>
      </c>
      <c r="AC26" s="152">
        <f>S26</f>
        <v>-26.2098756079167</v>
      </c>
      <c r="AD26" s="138">
        <f>Y26-AC26</f>
        <v>-14.0765563006318</v>
      </c>
      <c r="AE26" s="142">
        <f>AD26/AC26</f>
        <v>0.537070702326415</v>
      </c>
      <c r="AF26" s="288"/>
      <c r="AG26" s="288"/>
    </row>
    <row r="27" ht="17" outlineLevel="1" thickTop="1" thickBot="1" x14ac:dyDescent="0.25">
      <c r="A27" s="35" t="inlineStr">
        <is>
          <t xml:space="preserve">Marketing</t>
        </is>
      </c>
      <c r="B27" s="103">
        <f>'P&amp;L 2027'!B53</f>
        <v>-5.96769226666667</v>
      </c>
      <c r="C27" s="103">
        <f>'P&amp;L 2027'!C53</f>
        <v>-10.3176922666667</v>
      </c>
      <c r="D27" s="103">
        <f>'P&amp;L 2027'!D53</f>
        <v>-9.54269226666667</v>
      </c>
      <c r="E27" s="103">
        <f>'P&amp;L 2027'!E53</f>
        <v>-7.96769226666667</v>
      </c>
      <c r="F27" s="103">
        <f>'P&amp;L 2027'!F53</f>
        <v>-6.16769226666667</v>
      </c>
      <c r="G27" s="103">
        <f>'P&amp;L 2027'!G53</f>
        <v>-7.34269226666667</v>
      </c>
      <c r="H27" s="103">
        <f>'P&amp;L 2027'!H53</f>
        <v>-10.3086770666667</v>
      </c>
      <c r="I27" s="103">
        <f>'P&amp;L 2027'!I53</f>
        <v>-7.65867706666667</v>
      </c>
      <c r="J27" s="103">
        <f>'P&amp;L 2027'!J53</f>
        <v>-9.23367706666667</v>
      </c>
      <c r="K27" s="103">
        <f>'P&amp;L 2027'!K53</f>
        <v>-7.60867706666667</v>
      </c>
      <c r="L27" s="103">
        <f>'P&amp;L 2027'!L53</f>
        <v>-11.5086770666667</v>
      </c>
      <c r="M27" s="103">
        <f>'P&amp;L 2027'!M53</f>
        <v>-7.03367706666667</v>
      </c>
      <c r="N27" s="103">
        <f>'P&amp;L 2027'!N53</f>
        <v>-100.658216</v>
      </c>
      <c r="O27" s="103">
        <f>'P&amp;L 2027'!O53</f>
        <v>-55.25</v>
      </c>
      <c r="P27" s="138">
        <f>N27-O27</f>
        <v>-45.408216</v>
      </c>
      <c r="Q27" s="142">
        <f>(N27/O27)-1</f>
        <v>0.821868162895928</v>
      </c>
      <c r="R27" s="288"/>
      <c r="S27" s="138">
        <v>-37.5</v>
      </c>
      <c r="T27" s="138">
        <f>N27-S27</f>
        <v>-63.158216</v>
      </c>
      <c r="U27" s="142">
        <f>T27/S27</f>
        <v>1.68421909333333</v>
      </c>
      <c r="V27" s="288"/>
      <c r="W27" s="288"/>
      <c r="X27" s="35" t="inlineStr">
        <is>
          <t xml:space="preserve">Marketing</t>
        </is>
      </c>
      <c r="Y27" s="152">
        <f>N27</f>
        <v>-100.658216</v>
      </c>
      <c r="Z27" s="288"/>
      <c r="AA27" s="288"/>
      <c r="AB27" s="35" t="inlineStr">
        <is>
          <t xml:space="preserve">Marketing</t>
        </is>
      </c>
      <c r="AC27" s="152">
        <f>S27</f>
        <v>-37.5</v>
      </c>
      <c r="AD27" s="138">
        <f>Y27-AC27</f>
        <v>-63.158216</v>
      </c>
      <c r="AE27" s="142">
        <f>AD27/AC27</f>
        <v>1.68421909333333</v>
      </c>
      <c r="AF27" s="288"/>
      <c r="AG27" s="288"/>
    </row>
    <row r="28" ht="17" outlineLevel="1" thickTop="1" thickBot="1" x14ac:dyDescent="0.25">
      <c r="A28" s="35" t="inlineStr">
        <is>
          <t xml:space="preserve">Other OPEX</t>
        </is>
      </c>
      <c r="B28" s="103">
        <f>'P&amp;L 2027'!B64</f>
        <v>-2.53934793760495</v>
      </c>
      <c r="C28" s="103">
        <f>'P&amp;L 2027'!C64</f>
        <v>-5.56086984401236</v>
      </c>
      <c r="D28" s="103">
        <f>'P&amp;L 2027'!D64</f>
        <v>-7.57521778161731</v>
      </c>
      <c r="E28" s="103">
        <f>'P&amp;L 2027'!E64</f>
        <v>-7.5752177816173</v>
      </c>
      <c r="F28" s="103">
        <f>'P&amp;L 2027'!F64</f>
        <v>-7.57521778161732</v>
      </c>
      <c r="G28" s="103">
        <f>'P&amp;L 2027'!G64</f>
        <v>-7.57521778161732</v>
      </c>
      <c r="H28" s="103">
        <f>'P&amp;L 2027'!H64</f>
        <v>-7.57521778161731</v>
      </c>
      <c r="I28" s="103">
        <f>'P&amp;L 2027'!I64</f>
        <v>-8.58239175041977</v>
      </c>
      <c r="J28" s="103">
        <f>'P&amp;L 2027'!J64</f>
        <v>-8.58239175041978</v>
      </c>
      <c r="K28" s="103">
        <f>'P&amp;L 2027'!K64</f>
        <v>-11.6039136568272</v>
      </c>
      <c r="L28" s="103">
        <f>'P&amp;L 2027'!L64</f>
        <v>-14.6254355632346</v>
      </c>
      <c r="M28" s="103">
        <f>'P&amp;L 2027'!M64</f>
        <v>-17.646957469642</v>
      </c>
      <c r="N28" s="103">
        <f>'P&amp;L 2027'!N64</f>
        <v>-107.017396880247</v>
      </c>
      <c r="O28" s="103">
        <f>'P&amp;L 2027'!O64</f>
        <v>-91.6</v>
      </c>
      <c r="P28" s="138">
        <f>N28-O28</f>
        <v>-15.4173968802472</v>
      </c>
      <c r="Q28" s="142">
        <f>(N28/O28)-1</f>
        <v>0.168312193015799</v>
      </c>
      <c r="R28" s="288"/>
      <c r="S28" s="138">
        <v>-98.2017685106629</v>
      </c>
      <c r="T28" s="138">
        <f>N28-S28</f>
        <v>-8.81562836958433</v>
      </c>
      <c r="U28" s="142">
        <f>T28/S28</f>
        <v>0.0897705662869719</v>
      </c>
      <c r="V28" s="288"/>
      <c r="W28" s="288"/>
      <c r="X28" s="35" t="inlineStr">
        <is>
          <t xml:space="preserve">Other OPEX</t>
        </is>
      </c>
      <c r="Y28" s="152">
        <f>N28</f>
        <v>-107.017396880247</v>
      </c>
      <c r="Z28" s="288"/>
      <c r="AA28" s="288"/>
      <c r="AB28" s="35" t="inlineStr">
        <is>
          <t xml:space="preserve">Other OPEX</t>
        </is>
      </c>
      <c r="AC28" s="152">
        <f>S28</f>
        <v>-98.2017685106629</v>
      </c>
      <c r="AD28" s="138">
        <f>Y28-AC28</f>
        <v>-8.81562836958433</v>
      </c>
      <c r="AE28" s="142">
        <f>AD28/AC28</f>
        <v>0.0897705662869719</v>
      </c>
      <c r="AF28" s="288"/>
      <c r="AG28" s="288"/>
    </row>
    <row r="29" ht="17" outlineLevel="1" thickTop="1" thickBot="1" x14ac:dyDescent="0.25">
      <c r="A29" s="35" t="inlineStr">
        <is>
          <t xml:space="preserve">IT</t>
        </is>
      </c>
      <c r="B29" s="103">
        <f>'P&amp;L 2027'!B55</f>
        <v>-6.44907272921417</v>
      </c>
      <c r="C29" s="103">
        <f>'P&amp;L 2027'!C55</f>
        <v>-6.44907272921417</v>
      </c>
      <c r="D29" s="103">
        <f>'P&amp;L 2027'!D55</f>
        <v>-6.84907272921417</v>
      </c>
      <c r="E29" s="103">
        <f>'P&amp;L 2027'!E55</f>
        <v>-6.64907272921417</v>
      </c>
      <c r="F29" s="103">
        <f>'P&amp;L 2027'!F55</f>
        <v>-7.14907272921417</v>
      </c>
      <c r="G29" s="103">
        <f>'P&amp;L 2027'!G55</f>
        <v>-7.09957968014875</v>
      </c>
      <c r="H29" s="103">
        <f>'P&amp;L 2027'!H55</f>
        <v>-7.04200677321728</v>
      </c>
      <c r="I29" s="103">
        <f>'P&amp;L 2027'!I55</f>
        <v>-7.30994301384494</v>
      </c>
      <c r="J29" s="103">
        <f>'P&amp;L 2027'!J55</f>
        <v>-8.82134158688551</v>
      </c>
      <c r="K29" s="103">
        <f>'P&amp;L 2027'!K55</f>
        <v>-9.42744069455684</v>
      </c>
      <c r="L29" s="103">
        <f>'P&amp;L 2027'!L55</f>
        <v>-9.42744069455684</v>
      </c>
      <c r="M29" s="103">
        <f>'P&amp;L 2027'!M55</f>
        <v>-9.42744069455684</v>
      </c>
      <c r="N29" s="103">
        <f>'P&amp;L 2027'!N55</f>
        <v>-92.1005567838379</v>
      </c>
      <c r="O29" s="103">
        <f>'P&amp;L 2027'!O55</f>
        <v>-58.6</v>
      </c>
      <c r="P29" s="138">
        <f>N29-O29</f>
        <v>-33.5005567838378</v>
      </c>
      <c r="Q29" s="142">
        <f>(N29/O29)-1</f>
        <v>0.571681856379485</v>
      </c>
      <c r="R29" s="288"/>
      <c r="S29" s="138">
        <v>-62.06</v>
      </c>
      <c r="T29" s="138">
        <f>N29-S29</f>
        <v>-30.0405567838378</v>
      </c>
      <c r="U29" s="142">
        <f>T29/S29</f>
        <v>0.484056667480468</v>
      </c>
      <c r="V29" s="288"/>
      <c r="W29" s="288"/>
      <c r="X29" s="35" t="inlineStr">
        <is>
          <t xml:space="preserve">IT</t>
        </is>
      </c>
      <c r="Y29" s="152">
        <f>N29</f>
        <v>-92.1005567838379</v>
      </c>
      <c r="Z29" s="288"/>
      <c r="AA29" s="288"/>
      <c r="AB29" s="35" t="inlineStr">
        <is>
          <t xml:space="preserve">IT</t>
        </is>
      </c>
      <c r="AC29" s="152">
        <f>S29</f>
        <v>-62.06</v>
      </c>
      <c r="AD29" s="138">
        <f>Y29-AC29</f>
        <v>-30.0405567838378</v>
      </c>
      <c r="AE29" s="142">
        <f>AD29/AC29</f>
        <v>0.484056667480468</v>
      </c>
      <c r="AF29" s="288"/>
      <c r="AG29" s="288"/>
    </row>
    <row r="30" ht="17" thickTop="1" thickBot="1" x14ac:dyDescent="0.25">
      <c r="A30" s="40" t="inlineStr">
        <is>
          <t xml:space="preserve">OPEX</t>
        </is>
      </c>
      <c r="B30" s="101">
        <f>SUM(B25:B29)</f>
        <v>-130.07635433583</v>
      </c>
      <c r="C30" s="101">
        <f>SUM(C25:C29)</f>
        <v>-143.584993817606</v>
      </c>
      <c r="D30" s="101">
        <f>SUM(D25:D29)</f>
        <v>-142.48083660429</v>
      </c>
      <c r="E30" s="101">
        <f>SUM(E25:E29)</f>
        <v>-153.108110970482</v>
      </c>
      <c r="F30" s="101">
        <f>SUM(F25:F29)</f>
        <v>-143.438316527809</v>
      </c>
      <c r="G30" s="101">
        <f>SUM(G25:G29)</f>
        <v>-141.519376029721</v>
      </c>
      <c r="H30" s="101">
        <f>SUM(H25:H29)</f>
        <v>-153.513265216335</v>
      </c>
      <c r="I30" s="101">
        <f>SUM(I25:I29)</f>
        <v>-128.437585825562</v>
      </c>
      <c r="J30" s="101">
        <f>SUM(J25:J29)</f>
        <v>-148.150674335577</v>
      </c>
      <c r="K30" s="101">
        <f>SUM(K25:K29)</f>
        <v>-158.272288045417</v>
      </c>
      <c r="L30" s="101">
        <f>SUM(L25:L29)</f>
        <v>-165.260926854495</v>
      </c>
      <c r="M30" s="101">
        <f>SUM(M25:M29)</f>
        <v>-168.582809609476</v>
      </c>
      <c r="N30" s="101">
        <f>SUM(N25:N29)</f>
        <v>-1776.4255381726</v>
      </c>
      <c r="O30" s="101">
        <f>SUM(O25:O29)</f>
        <v>-1358.22144</v>
      </c>
      <c r="P30" s="137">
        <f>N30-O30</f>
        <v>-418.204098172602</v>
      </c>
      <c r="Q30" s="141">
        <f>(N30/O30)-1</f>
        <v>0.307905681545273</v>
      </c>
      <c r="R30" s="288"/>
      <c r="S30" s="101">
        <f>SUM(S25:S29)</f>
        <v>-1702.48630506664</v>
      </c>
      <c r="T30" s="137">
        <f>N30-S30</f>
        <v>-73.9392331059626</v>
      </c>
      <c r="U30" s="141">
        <f>T30/S30</f>
        <v>0.0434301485338928</v>
      </c>
      <c r="V30" s="290"/>
      <c r="W30" s="291" t="inlineStr">
        <is>
          <t xml:space="preserve">-</t>
        </is>
      </c>
      <c r="X30" s="40" t="inlineStr">
        <is>
          <t xml:space="preserve">OPEX</t>
        </is>
      </c>
      <c r="Y30" s="151">
        <f>SUM(Y25:Y29)</f>
        <v>-1776.4255381726</v>
      </c>
      <c r="Z30" s="288"/>
      <c r="AA30" s="288"/>
      <c r="AB30" s="40" t="inlineStr">
        <is>
          <t xml:space="preserve">OPEX</t>
        </is>
      </c>
      <c r="AC30" s="151">
        <f>SUM(AC25:AC29)</f>
        <v>-1702.48630506664</v>
      </c>
      <c r="AD30" s="137">
        <f>Y30-AC30</f>
        <v>-73.9392331059628</v>
      </c>
      <c r="AE30" s="141">
        <f>AD30/AC30</f>
        <v>0.043430148533893</v>
      </c>
      <c r="AF30" s="288"/>
      <c r="AG30" s="288"/>
    </row>
    <row r="31" ht="17" thickTop="1" thickBot="1" x14ac:dyDescent="0.25">
      <c r="A31" s="40" t="inlineStr">
        <is>
          <t xml:space="preserve">EBITDA</t>
        </is>
      </c>
      <c r="B31" s="101">
        <f>B30+B24</f>
        <v>84.8225197083574</v>
      </c>
      <c r="C31" s="101">
        <f>C30+C24</f>
        <v>493.061147501408</v>
      </c>
      <c r="D31" s="101">
        <f>D30+D24</f>
        <v>775.370039727764</v>
      </c>
      <c r="E31" s="101">
        <f>E30+E24</f>
        <v>760.958866629307</v>
      </c>
      <c r="F31" s="101">
        <f>F30+F24</f>
        <v>769.599261004818</v>
      </c>
      <c r="G31" s="101">
        <f>G30+G24</f>
        <v>770.6098221225</v>
      </c>
      <c r="H31" s="101">
        <f>H30+H24</f>
        <v>758.662618554222</v>
      </c>
      <c r="I31" s="101">
        <f>I30+I24</f>
        <v>926.139115405336</v>
      </c>
      <c r="J31" s="101">
        <f>J30+J24</f>
        <v>908.960389618857</v>
      </c>
      <c r="K31" s="101">
        <f>K30+K24</f>
        <v>1320.7934072003</v>
      </c>
      <c r="L31" s="101">
        <f>L30+L24</f>
        <v>1749.12667910488</v>
      </c>
      <c r="M31" s="101">
        <f>M30+M24</f>
        <v>2172.81329452054</v>
      </c>
      <c r="N31" s="101">
        <f>N30+N24</f>
        <v>11490.9171610983</v>
      </c>
      <c r="O31" s="101">
        <f>O30+O24</f>
        <v>8084.6877963</v>
      </c>
      <c r="P31" s="101">
        <f>N31-O31</f>
        <v>3406.22936479829</v>
      </c>
      <c r="Q31" s="143">
        <f>(N31/O31)-1</f>
        <v>0.421318602600482</v>
      </c>
      <c r="R31" s="288"/>
      <c r="S31" s="101">
        <f>S30+S24</f>
        <v>9953.41979243036</v>
      </c>
      <c r="T31" s="101">
        <f>N31-S31</f>
        <v>1537.49736866793</v>
      </c>
      <c r="U31" s="143">
        <f>T31/S31</f>
        <v>0.154469257876294</v>
      </c>
      <c r="V31" s="288"/>
      <c r="W31" s="288"/>
      <c r="X31" s="40" t="inlineStr">
        <is>
          <t xml:space="preserve">EBITDA</t>
        </is>
      </c>
      <c r="Y31" s="149">
        <f>Y24+Y30</f>
        <v>1167.46792479829</v>
      </c>
      <c r="Z31" s="288"/>
      <c r="AA31" s="288"/>
      <c r="AB31" s="40" t="inlineStr">
        <is>
          <t xml:space="preserve">EBITDA</t>
        </is>
      </c>
      <c r="AC31" s="149">
        <f>AC30+AC24</f>
        <v>484.770575305551</v>
      </c>
      <c r="AD31" s="101">
        <f>Y31-AC31</f>
        <v>682.697349492739</v>
      </c>
      <c r="AE31" s="143">
        <f>AD31/AC31</f>
        <v>1.40828957917348</v>
      </c>
      <c r="AF31" s="288"/>
      <c r="AG31" s="288"/>
    </row>
    <row r="32" ht="16" outlineLevel="1" thickTop="1" x14ac:dyDescent="0.2">
      <c r="A32" s="3" t="inlineStr">
        <is>
          <t xml:space="preserve">Разработка рекламной платформы</t>
        </is>
      </c>
      <c r="B32" s="99">
        <f>'P&amp;L 2027_AdvInventory'!B54</f>
        <v>-42.4589221570622</v>
      </c>
      <c r="C32" s="99">
        <f>'P&amp;L 2027_AdvInventory'!C54</f>
        <v>-43.0455801144657</v>
      </c>
      <c r="D32" s="99">
        <f>'P&amp;L 2027_AdvInventory'!D54</f>
        <v>-44.5059008430205</v>
      </c>
      <c r="E32" s="99">
        <f>'P&amp;L 2027_AdvInventory'!E54</f>
        <v>-44.3697992096137</v>
      </c>
      <c r="F32" s="99">
        <f>'P&amp;L 2027_AdvInventory'!F54</f>
        <v>-44.5288118210764</v>
      </c>
      <c r="G32" s="99">
        <f>'P&amp;L 2027_AdvInventory'!G54</f>
        <v>-44.1829047514327</v>
      </c>
      <c r="H32" s="99">
        <f>'P&amp;L 2027_AdvInventory'!H54</f>
        <v>-47.1088453652662</v>
      </c>
      <c r="I32" s="99">
        <f>'P&amp;L 2027_AdvInventory'!I54</f>
        <v>-46.6230449100597</v>
      </c>
      <c r="J32" s="99">
        <f>'P&amp;L 2027_AdvInventory'!J54</f>
        <v>-46.2426262744877</v>
      </c>
      <c r="K32" s="99">
        <f>'P&amp;L 2027_AdvInventory'!K54</f>
        <v>-46.092339570551</v>
      </c>
      <c r="L32" s="99">
        <f>'P&amp;L 2027_AdvInventory'!L54</f>
        <v>-45.9706611366441</v>
      </c>
      <c r="M32" s="99">
        <f>'P&amp;L 2027_AdvInventory'!M54</f>
        <v>-45.904436886102</v>
      </c>
      <c r="N32" s="99">
        <f>'P&amp;L 2027_AdvInventory'!N54</f>
        <v>-541.033873039782</v>
      </c>
      <c r="O32" s="99">
        <f>'P&amp;L 2027_AdvInventory'!O54</f>
        <v>-447.2</v>
      </c>
      <c r="P32" s="99">
        <f>N32-O32</f>
        <v>-93.8338730397823</v>
      </c>
      <c r="Q32" s="140">
        <f>(N32/O32)-1</f>
        <v>0.209825297495041</v>
      </c>
      <c r="R32" s="288"/>
      <c r="S32" s="288"/>
      <c r="T32" s="288"/>
      <c r="U32" s="288"/>
      <c r="V32" s="288"/>
      <c r="W32" s="288"/>
      <c r="X32" s="288"/>
      <c r="Y32" s="288"/>
      <c r="Z32" s="288"/>
      <c r="AA32" s="288"/>
      <c r="AB32" s="288"/>
      <c r="AC32" s="288"/>
      <c r="AD32" s="288"/>
      <c r="AE32" s="288"/>
      <c r="AF32" s="288"/>
      <c r="AG32" s="288"/>
    </row>
    <row r="33" outlineLevel="1" x14ac:dyDescent="0.2">
      <c r="A33" s="3" t="inlineStr">
        <is>
          <t xml:space="preserve">Проекты Digital Instore (оснащение ТТ)</t>
        </is>
      </c>
      <c r="B33" s="99">
        <f>'P&amp;L 2027_AdvInventory'!B55</f>
        <v>-0</v>
      </c>
      <c r="C33" s="99">
        <f>'P&amp;L 2027_AdvInventory'!C55</f>
        <v>-0</v>
      </c>
      <c r="D33" s="99">
        <f>'P&amp;L 2027_AdvInventory'!D55</f>
        <v>-0</v>
      </c>
      <c r="E33" s="99">
        <f>'P&amp;L 2027_AdvInventory'!E55</f>
        <v>-10.23056</v>
      </c>
      <c r="F33" s="99">
        <f>'P&amp;L 2027_AdvInventory'!F55</f>
        <v>-18.36096</v>
      </c>
      <c r="G33" s="99">
        <f>'P&amp;L 2027_AdvInventory'!G55</f>
        <v>-52.57255814</v>
      </c>
      <c r="H33" s="99">
        <f>'P&amp;L 2027_AdvInventory'!H55</f>
        <v>-45.67833721</v>
      </c>
      <c r="I33" s="99">
        <f>'P&amp;L 2027_AdvInventory'!I55</f>
        <v>-56.6199534892</v>
      </c>
      <c r="J33" s="99">
        <f>'P&amp;L 2027_AdvInventory'!J55</f>
        <v>-155.41</v>
      </c>
      <c r="K33" s="99">
        <f>'P&amp;L 2027_AdvInventory'!K55</f>
        <v>-170.7335</v>
      </c>
      <c r="L33" s="99">
        <f>'P&amp;L 2027_AdvInventory'!L55</f>
        <v>-0</v>
      </c>
      <c r="M33" s="99">
        <f>'P&amp;L 2027_AdvInventory'!M55</f>
        <v>-100</v>
      </c>
      <c r="N33" s="99">
        <f>'P&amp;L 2027_AdvInventory'!N55</f>
        <v>-609.6058688392</v>
      </c>
      <c r="O33" s="99">
        <f>'P&amp;L 2027_AdvInventory'!O55</f>
        <v>-732.4</v>
      </c>
      <c r="P33" s="99">
        <f>N33-O33</f>
        <v>122.7941311608</v>
      </c>
      <c r="Q33" s="140">
        <f>(N33/O33)-1</f>
        <v>-0.167659927854724</v>
      </c>
      <c r="R33" s="288"/>
      <c r="S33" s="288"/>
      <c r="T33" s="288"/>
      <c r="U33" s="288"/>
      <c r="V33" s="288"/>
      <c r="W33" s="288"/>
      <c r="X33" s="288"/>
      <c r="Y33" s="288"/>
      <c r="Z33" s="288"/>
      <c r="AA33" s="288"/>
      <c r="AB33" s="288"/>
      <c r="AC33" s="288"/>
      <c r="AD33" s="288"/>
      <c r="AE33" s="288"/>
      <c r="AF33" s="288"/>
      <c r="AG33" s="288"/>
    </row>
    <row r="34" ht="16" thickBot="1" x14ac:dyDescent="0.25">
      <c r="A34" s="40" t="inlineStr">
        <is>
          <t xml:space="preserve">CAPEX</t>
        </is>
      </c>
      <c r="B34" s="101">
        <f>SUM(B32:B33)</f>
        <v>-42.4589221570622</v>
      </c>
      <c r="C34" s="101">
        <f>SUM(C32:C33)</f>
        <v>-43.0455801144657</v>
      </c>
      <c r="D34" s="101">
        <f>SUM(D32:D33)</f>
        <v>-44.5059008430205</v>
      </c>
      <c r="E34" s="101">
        <f>SUM(E32:E33)</f>
        <v>-54.6003592096137</v>
      </c>
      <c r="F34" s="101">
        <f>SUM(F32:F33)</f>
        <v>-62.8897718210764</v>
      </c>
      <c r="G34" s="101">
        <f>SUM(G32:G33)</f>
        <v>-96.7554628914327</v>
      </c>
      <c r="H34" s="101">
        <f>SUM(H32:H33)</f>
        <v>-92.7871825752662</v>
      </c>
      <c r="I34" s="101">
        <f>SUM(I32:I33)</f>
        <v>-103.24299839926</v>
      </c>
      <c r="J34" s="101">
        <f>SUM(J32:J33)</f>
        <v>-201.652626274488</v>
      </c>
      <c r="K34" s="101">
        <f>SUM(K32:K33)</f>
        <v>-216.825839570551</v>
      </c>
      <c r="L34" s="101">
        <f>SUM(L32:L33)</f>
        <v>-45.9706611366441</v>
      </c>
      <c r="M34" s="101">
        <f>SUM(M32:M33)</f>
        <v>-145.904436886102</v>
      </c>
      <c r="N34" s="101">
        <f>SUM(N32:N33)</f>
        <v>-1150.63974187898</v>
      </c>
      <c r="O34" s="137">
        <f>SUM(O32:O33)</f>
        <v>-1179.6</v>
      </c>
      <c r="P34" s="137">
        <f>N34-O34</f>
        <v>28.9602581210177</v>
      </c>
      <c r="Q34" s="141">
        <f>(N34/O34)-1</f>
        <v>-0.0245509139717003</v>
      </c>
      <c r="R34" s="288"/>
      <c r="S34" s="137">
        <v>-1242.35027179251</v>
      </c>
      <c r="T34" s="137">
        <f>N34-S34</f>
        <v>91.7105299135278</v>
      </c>
      <c r="U34" s="141">
        <f>T34/S34</f>
        <v>-0.0738201874268554</v>
      </c>
      <c r="V34" s="288"/>
      <c r="W34" s="288"/>
      <c r="X34" s="40" t="str">
        <f>A34</f>
        <v>CAPEX</v>
      </c>
      <c r="Y34" s="101">
        <f>N34</f>
        <v>-1150.63974187898</v>
      </c>
      <c r="Z34" s="288"/>
      <c r="AA34" s="288"/>
      <c r="AB34" s="40" t="inlineStr">
        <is>
          <t xml:space="preserve">CAPEX</t>
        </is>
      </c>
      <c r="AC34" s="101">
        <f>S34</f>
        <v>-1242.35027179251</v>
      </c>
      <c r="AD34" s="137">
        <f>Y34-AC34</f>
        <v>91.7105299135278</v>
      </c>
      <c r="AE34" s="141">
        <f>AD34/AC34</f>
        <v>-0.0738201874268554</v>
      </c>
      <c r="AF34" s="288"/>
      <c r="AG34" s="288"/>
    </row>
    <row r="35" ht="17" thickTop="1" thickBot="1" x14ac:dyDescent="0.25">
      <c r="A35" s="40" t="inlineStr">
        <is>
          <t xml:space="preserve">FCF</t>
        </is>
      </c>
      <c r="B35" s="101">
        <f>B34+B31</f>
        <v>42.3635975512952</v>
      </c>
      <c r="C35" s="101">
        <f>C34+C31</f>
        <v>450.015567386943</v>
      </c>
      <c r="D35" s="101">
        <f>D34+D31</f>
        <v>730.864138884744</v>
      </c>
      <c r="E35" s="101">
        <f>E34+E31</f>
        <v>706.358507419693</v>
      </c>
      <c r="F35" s="101">
        <f>F34+F31</f>
        <v>706.709489183741</v>
      </c>
      <c r="G35" s="101">
        <f>G34+G31</f>
        <v>673.854359231068</v>
      </c>
      <c r="H35" s="101">
        <f>H34+H31</f>
        <v>665.875435978956</v>
      </c>
      <c r="I35" s="101">
        <f>I34+I31</f>
        <v>822.896117006077</v>
      </c>
      <c r="J35" s="101">
        <f>J34+J31</f>
        <v>707.307763344369</v>
      </c>
      <c r="K35" s="101">
        <f>K34+K31</f>
        <v>1103.96756762974</v>
      </c>
      <c r="L35" s="101">
        <f>L34+L31</f>
        <v>1703.15601796824</v>
      </c>
      <c r="M35" s="101">
        <f>M34+M31</f>
        <v>2026.90885763444</v>
      </c>
      <c r="N35" s="101">
        <f>N34+N31</f>
        <v>10340.2774192193</v>
      </c>
      <c r="O35" s="137">
        <f>O34+O31</f>
        <v>6905.0877963</v>
      </c>
      <c r="P35" s="137">
        <f>N35-O35</f>
        <v>3435.18962291931</v>
      </c>
      <c r="Q35" s="141">
        <f>(N35/O35)-1</f>
        <v>0.497486740828988</v>
      </c>
      <c r="R35" s="288"/>
      <c r="S35" s="101">
        <f>S34+S31</f>
        <v>8711.06952063785</v>
      </c>
      <c r="T35" s="137">
        <f>N35-S35</f>
        <v>1629.20789858146</v>
      </c>
      <c r="U35" s="141">
        <f>T35/S35</f>
        <v>0.187027309875282</v>
      </c>
      <c r="V35" s="288"/>
      <c r="W35" s="288"/>
      <c r="X35" s="40" t="inlineStr">
        <is>
          <t xml:space="preserve">FCF</t>
        </is>
      </c>
      <c r="Y35" s="149">
        <f>Y31+Y34</f>
        <v>16.8281829193074</v>
      </c>
      <c r="Z35" s="288"/>
      <c r="AA35" s="288"/>
      <c r="AB35" s="40" t="inlineStr">
        <is>
          <t xml:space="preserve">FCF</t>
        </is>
      </c>
      <c r="AC35" s="149">
        <f>AC34+AC31</f>
        <v>-757.579696486959</v>
      </c>
      <c r="AD35" s="137">
        <f>Y35-AC35</f>
        <v>774.407879406266</v>
      </c>
      <c r="AE35" s="141">
        <f>AD35/AC35</f>
        <v>-1.02221308595959</v>
      </c>
      <c r="AF35" s="288"/>
      <c r="AG35" s="288"/>
    </row>
    <row r="36" ht="16" thickTop="1" x14ac:dyDescent="0.2">
      <c r="A36" s="288"/>
      <c r="B36" s="288"/>
      <c r="C36" s="288"/>
      <c r="D36" s="288"/>
      <c r="E36" s="288"/>
      <c r="F36" s="288"/>
      <c r="G36" s="288"/>
      <c r="H36" s="288"/>
      <c r="I36" s="288"/>
      <c r="J36" s="288"/>
      <c r="K36" s="288"/>
      <c r="L36" s="288"/>
      <c r="M36" s="288"/>
      <c r="N36" s="288"/>
      <c r="O36" s="292"/>
      <c r="P36" s="292"/>
      <c r="Q36" s="288"/>
      <c r="R36" s="288"/>
      <c r="S36" s="288"/>
      <c r="T36" s="288"/>
      <c r="U36" s="288"/>
      <c r="V36" s="288"/>
      <c r="W36" s="288"/>
      <c r="X36" s="293" t="inlineStr">
        <is>
          <t xml:space="preserve">К распределению</t>
        </is>
      </c>
      <c r="Y36" s="294">
        <f>Y31-500</f>
        <v>667.46792479829</v>
      </c>
      <c r="Z36" s="288"/>
      <c r="AA36" s="288"/>
      <c r="AB36" s="288"/>
      <c r="AC36" s="288"/>
      <c r="AD36" s="288"/>
      <c r="AE36" s="288"/>
      <c r="AF36" s="288"/>
      <c r="AG36" s="288"/>
    </row>
    <row r="37" ht="16" thickBot="1" x14ac:dyDescent="0.25">
      <c r="A37" s="144" t="inlineStr">
        <is>
          <t xml:space="preserve">Revenue М+</t>
        </is>
      </c>
      <c r="B37" s="82">
        <f>'P&amp;L 2027'!B73</f>
        <v>337.892813337882</v>
      </c>
      <c r="C37" s="82">
        <f>'P&amp;L 2027'!C73</f>
        <v>365.733248557982</v>
      </c>
      <c r="D37" s="82">
        <f>'P&amp;L 2027'!D73</f>
        <v>377.391899028058</v>
      </c>
      <c r="E37" s="82">
        <f>'P&amp;L 2027'!E73</f>
        <v>394.581850118611</v>
      </c>
      <c r="F37" s="82">
        <f>'P&amp;L 2027'!F73</f>
        <v>414.447459792765</v>
      </c>
      <c r="G37" s="82">
        <f>'P&amp;L 2027'!G73</f>
        <v>435.072522501306</v>
      </c>
      <c r="H37" s="82">
        <f>'P&amp;L 2027'!H73</f>
        <v>455.651586281225</v>
      </c>
      <c r="I37" s="82">
        <f>'P&amp;L 2027'!I73</f>
        <v>478.679739499093</v>
      </c>
      <c r="J37" s="82">
        <f>'P&amp;L 2027'!J73</f>
        <v>507.061642781086</v>
      </c>
      <c r="K37" s="82">
        <f>'P&amp;L 2027'!K73</f>
        <v>532.802642929373</v>
      </c>
      <c r="L37" s="82">
        <f>'P&amp;L 2027'!L73</f>
        <v>559.060379177406</v>
      </c>
      <c r="M37" s="82">
        <f>'P&amp;L 2027'!M73</f>
        <v>586.026104037395</v>
      </c>
      <c r="N37" s="82">
        <f>'P&amp;L 2027'!N73</f>
        <v>5444.40188804218</v>
      </c>
      <c r="O37" s="82">
        <f>'P&amp;L 2027'!O73</f>
        <v>3007</v>
      </c>
      <c r="P37" s="145">
        <f>N37-O37</f>
        <v>2437.40188804218</v>
      </c>
      <c r="Q37" s="146">
        <f>(N37/O37)-1</f>
        <v>0.810575952125767</v>
      </c>
      <c r="R37" s="288"/>
      <c r="S37" s="288"/>
      <c r="T37" s="288"/>
      <c r="U37" s="288"/>
      <c r="V37" s="288"/>
      <c r="W37" s="288"/>
      <c r="X37" s="288"/>
      <c r="Y37" s="288"/>
      <c r="Z37" s="288"/>
      <c r="AA37" s="288"/>
      <c r="AB37" s="288"/>
      <c r="AC37" s="289">
        <f>AC31-500</f>
        <v>-15.2294246944489</v>
      </c>
      <c r="AD37" s="288"/>
      <c r="AE37" s="288"/>
      <c r="AF37" s="288"/>
      <c r="AG37" s="288"/>
    </row>
    <row r="38" x14ac:dyDescent="0.2">
      <c r="A38" s="288"/>
      <c r="B38" s="288"/>
      <c r="C38" s="288"/>
      <c r="D38" s="288"/>
      <c r="E38" s="288"/>
      <c r="F38" s="288"/>
      <c r="G38" s="288"/>
      <c r="H38" s="288"/>
      <c r="I38" s="288"/>
      <c r="J38" s="288"/>
      <c r="K38" s="288"/>
      <c r="L38" s="288"/>
      <c r="M38" s="288"/>
      <c r="N38" s="288"/>
      <c r="O38" s="288"/>
      <c r="P38" s="288"/>
      <c r="Q38" s="288"/>
      <c r="R38" s="288"/>
      <c r="S38" s="288"/>
      <c r="T38" s="288"/>
      <c r="U38" s="288"/>
      <c r="V38" s="288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</row>
    <row r="39" x14ac:dyDescent="0.2">
      <c r="A39" s="288"/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9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</row>
    <row r="40" x14ac:dyDescent="0.2">
      <c r="A40" s="241" t="inlineStr">
        <is>
          <t xml:space="preserve">Справочно экономия CAPEX ГК благодаря собственной разработке AdTech</t>
        </is>
      </c>
      <c r="B40" s="288"/>
      <c r="C40" s="288"/>
      <c r="D40" s="288"/>
      <c r="E40" s="288"/>
      <c r="F40" s="288"/>
      <c r="G40" s="288"/>
      <c r="H40" s="288"/>
      <c r="I40" s="288"/>
      <c r="J40" s="288"/>
      <c r="K40" s="288"/>
      <c r="L40" s="288"/>
      <c r="M40" s="288"/>
      <c r="N40" s="289"/>
      <c r="O40" s="288"/>
      <c r="P40" s="288"/>
      <c r="Q40" s="288"/>
      <c r="R40" s="288"/>
      <c r="S40" s="288"/>
      <c r="T40" s="288"/>
      <c r="U40" s="288"/>
      <c r="V40" s="288"/>
      <c r="W40" s="288"/>
      <c r="X40" s="288"/>
      <c r="Y40" s="288"/>
      <c r="Z40" s="288"/>
      <c r="AA40" s="288"/>
      <c r="AB40" s="288"/>
      <c r="AC40" s="288"/>
      <c r="AD40" s="288"/>
      <c r="AE40" s="288"/>
      <c r="AF40" s="288"/>
      <c r="AG40" s="288"/>
    </row>
    <row r="41" x14ac:dyDescent="0.2">
      <c r="A41" s="241"/>
      <c r="B41" s="288"/>
      <c r="C41" s="288"/>
      <c r="D41" s="288"/>
      <c r="E41" s="288"/>
      <c r="F41" s="288"/>
      <c r="G41" s="288"/>
      <c r="H41" s="288"/>
      <c r="I41" s="288"/>
      <c r="J41" s="288"/>
      <c r="K41" s="288"/>
      <c r="L41" s="288"/>
      <c r="M41" s="288"/>
      <c r="N41" s="295" t="inlineStr">
        <is>
          <t xml:space="preserve">CAPEX adj.</t>
        </is>
      </c>
      <c r="O41" s="290" t="inlineStr">
        <is>
          <t xml:space="preserve">Add. OPEX</t>
        </is>
      </c>
      <c r="P41" s="290" t="inlineStr">
        <is>
          <t xml:space="preserve">Total saving</t>
        </is>
      </c>
      <c r="Q41" s="288"/>
      <c r="R41" s="288"/>
      <c r="S41" s="288"/>
      <c r="T41" s="288"/>
      <c r="U41" s="288"/>
      <c r="V41" s="288"/>
      <c r="W41" s="288"/>
      <c r="X41" s="288"/>
      <c r="Y41" s="288"/>
      <c r="Z41" s="288"/>
      <c r="AA41" s="288"/>
      <c r="AB41" s="288"/>
      <c r="AC41" s="288"/>
      <c r="AD41" s="288"/>
      <c r="AE41" s="288"/>
      <c r="AF41" s="288"/>
      <c r="AG41" s="288"/>
    </row>
    <row r="42" x14ac:dyDescent="0.2">
      <c r="A42" s="260" t="inlineStr">
        <is>
          <t xml:space="preserve">Cubic</t>
        </is>
      </c>
      <c r="B42" s="288"/>
      <c r="C42" s="288"/>
      <c r="D42" s="288"/>
      <c r="E42" s="288"/>
      <c r="F42" s="288"/>
      <c r="G42" s="288"/>
      <c r="H42" s="288"/>
      <c r="I42" s="288"/>
      <c r="J42" s="288"/>
      <c r="K42" s="288"/>
      <c r="L42" s="288"/>
      <c r="M42" s="288"/>
      <c r="N42" s="259">
        <v>-28.46873</v>
      </c>
      <c r="O42" s="259">
        <v>14.234365</v>
      </c>
      <c r="P42" s="259">
        <f>SUM(N42:O42)</f>
        <v>-14.234365</v>
      </c>
      <c r="Q42" s="288"/>
      <c r="R42" s="288"/>
      <c r="S42" s="288"/>
      <c r="T42" s="288"/>
      <c r="U42" s="288"/>
      <c r="V42" s="288"/>
      <c r="W42" s="288"/>
      <c r="X42" s="288"/>
      <c r="Y42" s="288"/>
      <c r="Z42" s="288"/>
      <c r="AA42" s="288"/>
      <c r="AB42" s="288"/>
      <c r="AC42" s="288"/>
      <c r="AD42" s="288"/>
      <c r="AE42" s="288"/>
      <c r="AF42" s="288"/>
      <c r="AG42" s="288"/>
    </row>
    <row r="43" x14ac:dyDescent="0.2">
      <c r="A43" s="260" t="inlineStr">
        <is>
          <t xml:space="preserve">InAppStory</t>
        </is>
      </c>
      <c r="B43" s="288"/>
      <c r="C43" s="288"/>
      <c r="D43" s="288"/>
      <c r="E43" s="288"/>
      <c r="F43" s="288"/>
      <c r="G43" s="288"/>
      <c r="H43" s="288"/>
      <c r="I43" s="288"/>
      <c r="J43" s="288"/>
      <c r="K43" s="288"/>
      <c r="L43" s="288"/>
      <c r="M43" s="288"/>
      <c r="N43" s="259">
        <v>-7.3794</v>
      </c>
      <c r="O43" s="259">
        <v>0</v>
      </c>
      <c r="P43" s="259">
        <f>SUM(N43:O43)</f>
        <v>-7.3794</v>
      </c>
      <c r="Q43" s="288"/>
      <c r="R43" s="288"/>
      <c r="S43" s="288"/>
      <c r="T43" s="288"/>
      <c r="U43" s="288"/>
      <c r="V43" s="288"/>
      <c r="W43" s="288"/>
      <c r="X43" s="288"/>
      <c r="Y43" s="288"/>
      <c r="Z43" s="288"/>
      <c r="AA43" s="288"/>
      <c r="AB43" s="288"/>
      <c r="AC43" s="288"/>
      <c r="AD43" s="288"/>
      <c r="AE43" s="288"/>
      <c r="AF43" s="288"/>
      <c r="AG43" s="288"/>
    </row>
    <row r="44" ht="16" thickBot="1" x14ac:dyDescent="0.25">
      <c r="A44" s="144" t="inlineStr">
        <is>
          <t xml:space="preserve">Total</t>
        </is>
      </c>
      <c r="B44" s="288"/>
      <c r="C44" s="288"/>
      <c r="D44" s="288"/>
      <c r="E44" s="288"/>
      <c r="F44" s="288"/>
      <c r="G44" s="288"/>
      <c r="H44" s="288"/>
      <c r="I44" s="288"/>
      <c r="J44" s="288"/>
      <c r="K44" s="288"/>
      <c r="L44" s="288"/>
      <c r="M44" s="288"/>
      <c r="N44" s="261">
        <f>SUM(N42:N43)</f>
        <v>-35.84813</v>
      </c>
      <c r="O44" s="261">
        <f>SUM(O42:O43)</f>
        <v>14.234365</v>
      </c>
      <c r="P44" s="261">
        <f>SUM(P42:P43)</f>
        <v>-21.613765</v>
      </c>
      <c r="Q44" s="288"/>
      <c r="R44" s="288"/>
      <c r="S44" s="288"/>
      <c r="T44" s="288"/>
      <c r="U44" s="288"/>
      <c r="V44" s="288"/>
      <c r="W44" s="288"/>
      <c r="X44" s="288"/>
      <c r="Y44" s="288"/>
      <c r="Z44" s="288"/>
      <c r="AA44" s="288"/>
      <c r="AB44" s="288"/>
      <c r="AC44" s="288"/>
      <c r="AD44" s="288"/>
      <c r="AE44" s="288"/>
      <c r="AF44" s="288"/>
      <c r="AG44" s="288"/>
    </row>
  </sheetData>
  <mergeCells count="4">
    <mergeCell ref="B1:R1"/>
    <mergeCell ref="U1:W1"/>
    <mergeCell ref="Y1:AA1"/>
    <mergeCell ref="AE1:A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BE674-4B87-43AD-9A3B-8072FE8617E5}">
  <sheetPr>
    <tabColor rgb="FF002060"/>
  </sheetPr>
  <dimension ref="A1:U1048576"/>
  <sheetViews>
    <sheetView showGridLines="0" zoomScaleNormal="100" workbookViewId="0"/>
  </sheetViews>
  <sheetFormatPr baseColWidth="10" defaultColWidth="8.6640625" defaultRowHeight="13" outlineLevelRow="1" x14ac:dyDescent="0.15"/>
  <cols>
    <col min="1" max="1" width="58" style="47" bestFit="1" customWidth="1"/>
    <col min="2" max="13" width="10" style="47" customWidth="1"/>
    <col min="14" max="15" width="13" style="47" customWidth="1"/>
    <col min="16" max="16384" width="8.6640625" style="47"/>
  </cols>
  <sheetData>
    <row r="1" x14ac:dyDescent="0.15">
      <c r="A1" s="46" t="inlineStr">
        <is>
          <t xml:space="preserve">P&amp;L AdTech 2027 - BOTTOM-UP</t>
        </is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Q1" s="203" t="inlineStr">
        <is>
          <t xml:space="preserve">Описание: bottom-up P&amp;L AdTech 2027 по месяцам, млн ₽ без НДС. Логика: выручка - из листов направлений (APP = Медиа + Перформанс, Content factory, DMP, In-store; RMN), логика по распределению на форматы см. на листе «RevSplit»; расходы - из листа «Расходы»</t>
        </is>
      </c>
    </row>
    <row r="2" x14ac:dyDescent="0.15">
      <c r="A2" s="1" t="inlineStr">
        <is>
          <t xml:space="preserve">Млн руб. без НДС.</t>
        </is>
      </c>
      <c r="B2" s="288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</row>
    <row r="3" x14ac:dyDescent="0.15">
      <c r="B3" s="254">
        <f>B24/$N$24</f>
        <v>0.02</v>
      </c>
      <c r="C3" s="254">
        <f>C24/$N$24</f>
        <v>0.05</v>
      </c>
      <c r="D3" s="254">
        <f>D24/$N$24</f>
        <v>0.0700000000000001</v>
      </c>
      <c r="E3" s="254">
        <f>E24/$N$24</f>
        <v>0.07</v>
      </c>
      <c r="F3" s="254">
        <f>F24/$N$24</f>
        <v>0.0700000000000002</v>
      </c>
      <c r="G3" s="254">
        <f>G24/$N$24</f>
        <v>0.0700000000000001</v>
      </c>
      <c r="H3" s="254">
        <f>H24/$N$24</f>
        <v>0.0700000000000001</v>
      </c>
      <c r="I3" s="254">
        <f>I24/$N$24</f>
        <v>0.0799999999999999</v>
      </c>
      <c r="J3" s="254">
        <f>J24/$N$24</f>
        <v>0.0800000000000001</v>
      </c>
      <c r="K3" s="254">
        <f>K24/$N$24</f>
        <v>0.11</v>
      </c>
      <c r="L3" s="254">
        <f>L24/$N$24</f>
        <v>0.14</v>
      </c>
      <c r="M3" s="254">
        <f>M24/$N$24</f>
        <v>0.17</v>
      </c>
      <c r="N3" s="254">
        <f>N24/$N$24</f>
        <v>1</v>
      </c>
    </row>
    <row r="4" ht="14" x14ac:dyDescent="0.15">
      <c r="A4" s="38" t="inlineStr">
        <is>
          <t xml:space="preserve">Статья</t>
        </is>
      </c>
      <c r="B4" s="39" t="inlineStr">
        <is>
          <t xml:space="preserve">янв</t>
        </is>
      </c>
      <c r="C4" s="39" t="inlineStr">
        <is>
          <t xml:space="preserve">фев</t>
        </is>
      </c>
      <c r="D4" s="39" t="inlineStr">
        <is>
          <t xml:space="preserve">мар</t>
        </is>
      </c>
      <c r="E4" s="39" t="inlineStr">
        <is>
          <t xml:space="preserve">апр</t>
        </is>
      </c>
      <c r="F4" s="39" t="inlineStr">
        <is>
          <t xml:space="preserve">май</t>
        </is>
      </c>
      <c r="G4" s="39" t="inlineStr">
        <is>
          <t xml:space="preserve">июн</t>
        </is>
      </c>
      <c r="H4" s="39" t="inlineStr">
        <is>
          <t xml:space="preserve">июл</t>
        </is>
      </c>
      <c r="I4" s="39" t="inlineStr">
        <is>
          <t xml:space="preserve">авг</t>
        </is>
      </c>
      <c r="J4" s="39" t="inlineStr">
        <is>
          <t xml:space="preserve">сен</t>
        </is>
      </c>
      <c r="K4" s="39" t="inlineStr">
        <is>
          <t xml:space="preserve">окт</t>
        </is>
      </c>
      <c r="L4" s="39" t="inlineStr">
        <is>
          <t xml:space="preserve">ноя</t>
        </is>
      </c>
      <c r="M4" s="39" t="inlineStr">
        <is>
          <t xml:space="preserve">дек</t>
        </is>
      </c>
      <c r="N4" s="39" t="inlineStr">
        <is>
          <t xml:space="preserve">2027</t>
        </is>
      </c>
      <c r="O4" s="39" t="inlineStr">
        <is>
          <t xml:space="preserve">2026</t>
        </is>
      </c>
    </row>
    <row r="5" x14ac:dyDescent="0.15">
      <c r="A5" s="241" t="inlineStr">
        <is>
          <t xml:space="preserve">APP</t>
        </is>
      </c>
      <c r="B5" s="242">
        <f>B6</f>
        <v>164.024683950421</v>
      </c>
      <c r="C5" s="242">
        <f>C6</f>
        <v>410.061709876052</v>
      </c>
      <c r="D5" s="242">
        <f>D6</f>
        <v>574.086393826473</v>
      </c>
      <c r="E5" s="242">
        <f>E6</f>
        <v>574.086393826472</v>
      </c>
      <c r="F5" s="242">
        <f>F6</f>
        <v>574.086393826475</v>
      </c>
      <c r="G5" s="242">
        <f>G6</f>
        <v>574.086393826474</v>
      </c>
      <c r="H5" s="242">
        <f>H6</f>
        <v>574.086393826474</v>
      </c>
      <c r="I5" s="242">
        <f>I6</f>
        <v>656.098735801681</v>
      </c>
      <c r="J5" s="242">
        <f>J6</f>
        <v>656.098735801684</v>
      </c>
      <c r="K5" s="242">
        <f>K6</f>
        <v>902.135761727311</v>
      </c>
      <c r="L5" s="242">
        <f>L6</f>
        <v>1148.17278765294</v>
      </c>
      <c r="M5" s="242">
        <f>M6</f>
        <v>1394.20981357858</v>
      </c>
      <c r="N5" s="242">
        <f>N6</f>
        <v>8201.23419752104</v>
      </c>
      <c r="O5" s="245">
        <f>O6</f>
        <v>6195.4</v>
      </c>
      <c r="P5" s="244">
        <f>IFERROR(N5/O5-1,"")</f>
        <v>0.323761855170132</v>
      </c>
    </row>
    <row r="6" outlineLevel="1" x14ac:dyDescent="0.15">
      <c r="A6" s="240" t="str">
        <f>RevSplit!W5</f>
        <v>E-commerce</v>
      </c>
      <c r="B6" s="202">
        <f>RevSplit!X5</f>
        <v>164.024683950421</v>
      </c>
      <c r="C6" s="202">
        <f>RevSplit!Y5</f>
        <v>410.061709876052</v>
      </c>
      <c r="D6" s="202">
        <f>RevSplit!Z5</f>
        <v>574.086393826473</v>
      </c>
      <c r="E6" s="202">
        <f>RevSplit!AA5</f>
        <v>574.086393826472</v>
      </c>
      <c r="F6" s="202">
        <f>RevSplit!AB5</f>
        <v>574.086393826475</v>
      </c>
      <c r="G6" s="202">
        <f>RevSplit!AC5</f>
        <v>574.086393826474</v>
      </c>
      <c r="H6" s="202">
        <f>RevSplit!AD5</f>
        <v>574.086393826474</v>
      </c>
      <c r="I6" s="202">
        <f>RevSplit!AE5</f>
        <v>656.098735801681</v>
      </c>
      <c r="J6" s="202">
        <f>RevSplit!AF5</f>
        <v>656.098735801684</v>
      </c>
      <c r="K6" s="202">
        <f>RevSplit!AG5</f>
        <v>902.135761727311</v>
      </c>
      <c r="L6" s="202">
        <f>RevSplit!AH5</f>
        <v>1148.17278765294</v>
      </c>
      <c r="M6" s="202">
        <f>RevSplit!AI5</f>
        <v>1394.20981357858</v>
      </c>
      <c r="N6" s="99">
        <f>SUM(B6:M6)</f>
        <v>8201.23419752104</v>
      </c>
      <c r="O6" s="100">
        <f>RevSplit!AK5</f>
        <v>6195.4</v>
      </c>
      <c r="P6" s="244"/>
    </row>
    <row r="7" x14ac:dyDescent="0.15">
      <c r="A7" s="241" t="inlineStr">
        <is>
          <t xml:space="preserve">Content factory</t>
        </is>
      </c>
      <c r="B7" s="242">
        <f>B8</f>
        <v>4.266</v>
      </c>
      <c r="C7" s="242">
        <f>C8</f>
        <v>10.665</v>
      </c>
      <c r="D7" s="242">
        <f>D8</f>
        <v>14.931</v>
      </c>
      <c r="E7" s="242">
        <f>E8</f>
        <v>14.931</v>
      </c>
      <c r="F7" s="242">
        <f>F8</f>
        <v>14.931</v>
      </c>
      <c r="G7" s="242">
        <f>G8</f>
        <v>14.931</v>
      </c>
      <c r="H7" s="242">
        <f>H8</f>
        <v>14.931</v>
      </c>
      <c r="I7" s="242">
        <f>I8</f>
        <v>17.064</v>
      </c>
      <c r="J7" s="242">
        <f>J8</f>
        <v>17.064</v>
      </c>
      <c r="K7" s="242">
        <f>K8</f>
        <v>23.4630000000001</v>
      </c>
      <c r="L7" s="242">
        <f>L8</f>
        <v>29.862</v>
      </c>
      <c r="M7" s="242">
        <f>M8</f>
        <v>36.2609999999999</v>
      </c>
      <c r="N7" s="242">
        <f>N8</f>
        <v>213.3</v>
      </c>
      <c r="O7" s="245">
        <f>O8</f>
        <v>0</v>
      </c>
      <c r="P7" s="244" t="str">
        <f>IFERROR(N7/O7-1,"")</f>
        <v/>
      </c>
    </row>
    <row r="8" outlineLevel="1" x14ac:dyDescent="0.15">
      <c r="A8" s="240" t="inlineStr">
        <is>
          <t xml:space="preserve">Без формата</t>
        </is>
      </c>
      <c r="B8" s="202">
        <f>RevSplit!F6</f>
        <v>4.266</v>
      </c>
      <c r="C8" s="202">
        <f>RevSplit!G6</f>
        <v>10.665</v>
      </c>
      <c r="D8" s="202">
        <f>RevSplit!H6</f>
        <v>14.931</v>
      </c>
      <c r="E8" s="202">
        <f>RevSplit!I6</f>
        <v>14.931</v>
      </c>
      <c r="F8" s="202">
        <f>RevSplit!J6</f>
        <v>14.931</v>
      </c>
      <c r="G8" s="202">
        <f>RevSplit!K6</f>
        <v>14.931</v>
      </c>
      <c r="H8" s="202">
        <f>RevSplit!L6</f>
        <v>14.931</v>
      </c>
      <c r="I8" s="202">
        <f>RevSplit!M6</f>
        <v>17.064</v>
      </c>
      <c r="J8" s="202">
        <f>RevSplit!N6</f>
        <v>17.064</v>
      </c>
      <c r="K8" s="202">
        <f>RevSplit!O6</f>
        <v>23.4630000000001</v>
      </c>
      <c r="L8" s="202">
        <f>RevSplit!P6</f>
        <v>29.862</v>
      </c>
      <c r="M8" s="202">
        <f>RevSplit!Q6</f>
        <v>36.2609999999999</v>
      </c>
      <c r="N8" s="99">
        <f>SUM(B8:M8)</f>
        <v>213.3</v>
      </c>
      <c r="O8" s="246">
        <f>RevSplit!S6</f>
        <v>0</v>
      </c>
      <c r="P8" s="244"/>
    </row>
    <row r="9" x14ac:dyDescent="0.15">
      <c r="A9" s="241" t="inlineStr">
        <is>
          <t xml:space="preserve">DMP+ Analitycs</t>
        </is>
      </c>
      <c r="B9" s="242">
        <f>B10</f>
        <v>3.74</v>
      </c>
      <c r="C9" s="242">
        <f>C10</f>
        <v>9.35</v>
      </c>
      <c r="D9" s="242">
        <f>D10</f>
        <v>13.09</v>
      </c>
      <c r="E9" s="242">
        <f>E10</f>
        <v>13.09</v>
      </c>
      <c r="F9" s="242">
        <f>F10</f>
        <v>13.09</v>
      </c>
      <c r="G9" s="242">
        <f>G10</f>
        <v>13.09</v>
      </c>
      <c r="H9" s="242">
        <f>H10</f>
        <v>13.09</v>
      </c>
      <c r="I9" s="242">
        <f>I10</f>
        <v>14.96</v>
      </c>
      <c r="J9" s="242">
        <f>J10</f>
        <v>14.96</v>
      </c>
      <c r="K9" s="242">
        <f>K10</f>
        <v>20.57</v>
      </c>
      <c r="L9" s="242">
        <f>L10</f>
        <v>26.18</v>
      </c>
      <c r="M9" s="242">
        <f>M10</f>
        <v>31.7900000000001</v>
      </c>
      <c r="N9" s="242">
        <f>N10</f>
        <v>187</v>
      </c>
      <c r="O9" s="245">
        <f>O10</f>
        <v>102.4</v>
      </c>
      <c r="P9" s="244">
        <f>IFERROR(N9/O9-1,"")</f>
        <v>0.826171875</v>
      </c>
    </row>
    <row r="10" outlineLevel="1" x14ac:dyDescent="0.15">
      <c r="A10" s="240" t="inlineStr">
        <is>
          <t xml:space="preserve">Без формата</t>
        </is>
      </c>
      <c r="B10" s="99">
        <f>RevSplit!F7</f>
        <v>3.74</v>
      </c>
      <c r="C10" s="99">
        <f>RevSplit!G7</f>
        <v>9.35</v>
      </c>
      <c r="D10" s="99">
        <f>RevSplit!H7</f>
        <v>13.09</v>
      </c>
      <c r="E10" s="99">
        <f>RevSplit!I7</f>
        <v>13.09</v>
      </c>
      <c r="F10" s="99">
        <f>RevSplit!J7</f>
        <v>13.09</v>
      </c>
      <c r="G10" s="99">
        <f>RevSplit!K7</f>
        <v>13.09</v>
      </c>
      <c r="H10" s="99">
        <f>RevSplit!L7</f>
        <v>13.09</v>
      </c>
      <c r="I10" s="99">
        <f>RevSplit!M7</f>
        <v>14.96</v>
      </c>
      <c r="J10" s="99">
        <f>RevSplit!N7</f>
        <v>14.96</v>
      </c>
      <c r="K10" s="99">
        <f>RevSplit!O7</f>
        <v>20.57</v>
      </c>
      <c r="L10" s="99">
        <f>RevSplit!P7</f>
        <v>26.18</v>
      </c>
      <c r="M10" s="99">
        <f>RevSplit!Q7</f>
        <v>31.7900000000001</v>
      </c>
      <c r="N10" s="99">
        <f>SUM(B10:M10)</f>
        <v>187</v>
      </c>
      <c r="O10" s="100">
        <f>RevSplit!S7</f>
        <v>102.4</v>
      </c>
      <c r="P10" s="244"/>
    </row>
    <row r="11" s="243" customFormat="1" x14ac:dyDescent="0.15">
      <c r="A11" s="241" t="inlineStr">
        <is>
          <t xml:space="preserve">DMP+Online</t>
        </is>
      </c>
      <c r="B11" s="230">
        <f>SUM(B12:B15)</f>
        <v>32</v>
      </c>
      <c r="C11" s="230">
        <f>SUM(C12:C15)</f>
        <v>80</v>
      </c>
      <c r="D11" s="230">
        <f>SUM(D12:D15)</f>
        <v>112</v>
      </c>
      <c r="E11" s="230">
        <f>SUM(E12:E15)</f>
        <v>112</v>
      </c>
      <c r="F11" s="230">
        <f>SUM(F12:F15)</f>
        <v>112</v>
      </c>
      <c r="G11" s="230">
        <f>SUM(G12:G15)</f>
        <v>112</v>
      </c>
      <c r="H11" s="230">
        <f>SUM(H12:H15)</f>
        <v>112</v>
      </c>
      <c r="I11" s="230">
        <f>SUM(I12:I15)</f>
        <v>128</v>
      </c>
      <c r="J11" s="230">
        <f>SUM(J12:J15)</f>
        <v>128</v>
      </c>
      <c r="K11" s="230">
        <f>SUM(K12:K15)</f>
        <v>176</v>
      </c>
      <c r="L11" s="230">
        <f>SUM(L12:L15)</f>
        <v>224</v>
      </c>
      <c r="M11" s="230">
        <f>SUM(M12:M15)</f>
        <v>272</v>
      </c>
      <c r="N11" s="230">
        <f>SUM(N12:N15)</f>
        <v>1600</v>
      </c>
      <c r="O11" s="231">
        <f>SUM(O12:O15)</f>
        <v>987</v>
      </c>
      <c r="P11" s="244">
        <f>IFERROR(N11/O11-1,"")</f>
        <v>0.621073961499493</v>
      </c>
      <c r="Q11"/>
      <c r="R11"/>
      <c r="S11"/>
      <c r="T11"/>
      <c r="U11"/>
    </row>
    <row r="12" outlineLevel="1" x14ac:dyDescent="0.15">
      <c r="A12" s="240" t="inlineStr">
        <is>
          <t xml:space="preserve">МК</t>
        </is>
      </c>
      <c r="B12" s="99">
        <f>RevSplit!F22</f>
        <v>24.9263199484238</v>
      </c>
      <c r="C12" s="99">
        <f>RevSplit!G22</f>
        <v>62.3157998710594</v>
      </c>
      <c r="D12" s="99">
        <f>RevSplit!H22</f>
        <v>87.2421198194832</v>
      </c>
      <c r="E12" s="99">
        <f>RevSplit!I22</f>
        <v>87.2421198194832</v>
      </c>
      <c r="F12" s="99">
        <f>RevSplit!J22</f>
        <v>87.2421198194833</v>
      </c>
      <c r="G12" s="99">
        <f>RevSplit!K22</f>
        <v>87.2421198194832</v>
      </c>
      <c r="H12" s="99">
        <f>RevSplit!L22</f>
        <v>87.2421198194832</v>
      </c>
      <c r="I12" s="99">
        <f>RevSplit!M22</f>
        <v>99.7052797936951</v>
      </c>
      <c r="J12" s="99">
        <f>RevSplit!N22</f>
        <v>99.7052797936951</v>
      </c>
      <c r="K12" s="99">
        <f>RevSplit!O22</f>
        <v>137.094759716331</v>
      </c>
      <c r="L12" s="99">
        <f>RevSplit!P22</f>
        <v>174.484239638966</v>
      </c>
      <c r="M12" s="99">
        <f>RevSplit!Q22</f>
        <v>211.873719561602</v>
      </c>
      <c r="N12" s="99">
        <f>SUM(B12:M12)</f>
        <v>1246.31599742119</v>
      </c>
      <c r="O12" s="100">
        <f>RevSplit!S22</f>
        <v>768.821180909196</v>
      </c>
      <c r="P12" s="244"/>
    </row>
    <row r="13" outlineLevel="1" x14ac:dyDescent="0.15">
      <c r="A13" s="240" t="inlineStr">
        <is>
          <t xml:space="preserve">ММ</t>
        </is>
      </c>
      <c r="B13" s="99">
        <f>RevSplit!F23</f>
        <v>6.25059012563303</v>
      </c>
      <c r="C13" s="99">
        <f>RevSplit!G23</f>
        <v>15.6264753140826</v>
      </c>
      <c r="D13" s="99">
        <f>RevSplit!H23</f>
        <v>21.8770654397156</v>
      </c>
      <c r="E13" s="99">
        <f>RevSplit!I23</f>
        <v>21.8770654397156</v>
      </c>
      <c r="F13" s="99">
        <f>RevSplit!J23</f>
        <v>21.8770654397156</v>
      </c>
      <c r="G13" s="99">
        <f>RevSplit!K23</f>
        <v>21.8770654397156</v>
      </c>
      <c r="H13" s="99">
        <f>RevSplit!L23</f>
        <v>21.8770654397156</v>
      </c>
      <c r="I13" s="99">
        <f>RevSplit!M23</f>
        <v>25.0023605025321</v>
      </c>
      <c r="J13" s="99">
        <f>RevSplit!N23</f>
        <v>25.0023605025321</v>
      </c>
      <c r="K13" s="99">
        <f>RevSplit!O23</f>
        <v>34.3782456909816</v>
      </c>
      <c r="L13" s="99">
        <f>RevSplit!P23</f>
        <v>43.7541308794311</v>
      </c>
      <c r="M13" s="99">
        <f>RevSplit!Q23</f>
        <v>53.1300160678806</v>
      </c>
      <c r="N13" s="99">
        <f>SUM(B13:M13)</f>
        <v>312.529506281651</v>
      </c>
      <c r="O13" s="100">
        <f>RevSplit!S23</f>
        <v>192.791639187494</v>
      </c>
      <c r="P13" s="244"/>
    </row>
    <row r="14" outlineLevel="1" x14ac:dyDescent="0.15">
      <c r="A14" s="240" t="inlineStr">
        <is>
          <t xml:space="preserve">МЭ</t>
        </is>
      </c>
      <c r="B14" s="99">
        <f>RevSplit!F24</f>
        <v>0.614137611169783</v>
      </c>
      <c r="C14" s="99">
        <f>RevSplit!G24</f>
        <v>1.53534402792446</v>
      </c>
      <c r="D14" s="99">
        <f>RevSplit!H24</f>
        <v>2.14948163909424</v>
      </c>
      <c r="E14" s="99">
        <f>RevSplit!I24</f>
        <v>2.14948163909424</v>
      </c>
      <c r="F14" s="99">
        <f>RevSplit!J24</f>
        <v>2.14948163909424</v>
      </c>
      <c r="G14" s="99">
        <f>RevSplit!K24</f>
        <v>2.14948163909424</v>
      </c>
      <c r="H14" s="99">
        <f>RevSplit!L24</f>
        <v>2.14948163909424</v>
      </c>
      <c r="I14" s="99">
        <f>RevSplit!M24</f>
        <v>2.45655044467913</v>
      </c>
      <c r="J14" s="99">
        <f>RevSplit!N24</f>
        <v>2.45655044467913</v>
      </c>
      <c r="K14" s="99">
        <f>RevSplit!O24</f>
        <v>3.3777568614338</v>
      </c>
      <c r="L14" s="99">
        <f>RevSplit!P24</f>
        <v>4.29896327818847</v>
      </c>
      <c r="M14" s="99">
        <f>RevSplit!Q24</f>
        <v>5.22016969494314</v>
      </c>
      <c r="N14" s="99">
        <f>SUM(B14:M14)</f>
        <v>30.7068805584891</v>
      </c>
      <c r="O14" s="100">
        <f>RevSplit!S24</f>
        <v>18.942306944518</v>
      </c>
      <c r="P14" s="244"/>
    </row>
    <row r="15" outlineLevel="1" x14ac:dyDescent="0.15">
      <c r="A15" s="240" t="inlineStr">
        <is>
          <t xml:space="preserve">МС</t>
        </is>
      </c>
      <c r="B15" s="99">
        <f>RevSplit!F25</f>
        <v>0.208952314773415</v>
      </c>
      <c r="C15" s="99">
        <f>RevSplit!G25</f>
        <v>0.522380786933538</v>
      </c>
      <c r="D15" s="99">
        <f>RevSplit!H25</f>
        <v>0.731333101706953</v>
      </c>
      <c r="E15" s="99">
        <f>RevSplit!I25</f>
        <v>0.731333101706953</v>
      </c>
      <c r="F15" s="99">
        <f>RevSplit!J25</f>
        <v>0.731333101706954</v>
      </c>
      <c r="G15" s="99">
        <f>RevSplit!K25</f>
        <v>0.731333101706953</v>
      </c>
      <c r="H15" s="99">
        <f>RevSplit!L25</f>
        <v>0.731333101706953</v>
      </c>
      <c r="I15" s="99">
        <f>RevSplit!M25</f>
        <v>0.835809259093661</v>
      </c>
      <c r="J15" s="99">
        <f>RevSplit!N25</f>
        <v>0.835809259093661</v>
      </c>
      <c r="K15" s="99">
        <f>RevSplit!O25</f>
        <v>1.14923773125378</v>
      </c>
      <c r="L15" s="99">
        <f>RevSplit!P25</f>
        <v>1.4626662034139</v>
      </c>
      <c r="M15" s="99">
        <f>RevSplit!Q25</f>
        <v>1.77609467557403</v>
      </c>
      <c r="N15" s="99">
        <f>SUM(B15:M15)</f>
        <v>10.4476157386708</v>
      </c>
      <c r="O15" s="100">
        <f>RevSplit!S25</f>
        <v>6.44487295879252</v>
      </c>
      <c r="P15" s="244"/>
    </row>
    <row r="16" s="243" customFormat="1" x14ac:dyDescent="0.15">
      <c r="A16" s="241" t="inlineStr">
        <is>
          <t xml:space="preserve">Instore digital</t>
        </is>
      </c>
      <c r="B16" s="230">
        <f>SUM(B17:B21)</f>
        <v>83.733307136</v>
      </c>
      <c r="C16" s="230">
        <f>SUM(C17:C21)</f>
        <v>209.33326784</v>
      </c>
      <c r="D16" s="230">
        <f>SUM(D17:D21)</f>
        <v>293.066574976</v>
      </c>
      <c r="E16" s="230">
        <f>SUM(E17:E21)</f>
        <v>293.066574976</v>
      </c>
      <c r="F16" s="230">
        <f>SUM(F17:F21)</f>
        <v>293.066574976</v>
      </c>
      <c r="G16" s="230">
        <f>SUM(G17:G21)</f>
        <v>293.066574976</v>
      </c>
      <c r="H16" s="230">
        <f>SUM(H17:H21)</f>
        <v>293.066574976</v>
      </c>
      <c r="I16" s="230">
        <f>SUM(I17:I21)</f>
        <v>334.933228544</v>
      </c>
      <c r="J16" s="230">
        <f>SUM(J17:J21)</f>
        <v>334.933228544</v>
      </c>
      <c r="K16" s="230">
        <f>SUM(K17:K21)</f>
        <v>460.533189248</v>
      </c>
      <c r="L16" s="230">
        <f>SUM(L17:L21)</f>
        <v>586.133149952</v>
      </c>
      <c r="M16" s="230">
        <f>SUM(M17:M21)</f>
        <v>711.733110656</v>
      </c>
      <c r="N16" s="230">
        <f>SUM(N17:N21)</f>
        <v>4186.6653568</v>
      </c>
      <c r="O16" s="231">
        <f>SUM(O17:O21)</f>
        <v>2446.0892363</v>
      </c>
      <c r="P16" s="244">
        <f>IFERROR(N16/O16-1,"")</f>
        <v>0.711575070389838</v>
      </c>
      <c r="Q16"/>
      <c r="R16"/>
      <c r="S16"/>
      <c r="T16"/>
      <c r="U16"/>
    </row>
    <row r="17" outlineLevel="1" x14ac:dyDescent="0.15">
      <c r="A17" s="240" t="inlineStr">
        <is>
          <t xml:space="preserve">ММ</t>
        </is>
      </c>
      <c r="B17" s="99">
        <f>RevSplit!F31</f>
        <v>57.1502247438266</v>
      </c>
      <c r="C17" s="99">
        <f>RevSplit!G31</f>
        <v>142.875561859567</v>
      </c>
      <c r="D17" s="99">
        <f>RevSplit!H31</f>
        <v>200.025786603393</v>
      </c>
      <c r="E17" s="99">
        <f>RevSplit!I31</f>
        <v>200.025786603393</v>
      </c>
      <c r="F17" s="99">
        <f>RevSplit!J31</f>
        <v>200.025786603393</v>
      </c>
      <c r="G17" s="99">
        <f>RevSplit!K31</f>
        <v>200.025786603393</v>
      </c>
      <c r="H17" s="99">
        <f>RevSplit!L31</f>
        <v>200.025786603393</v>
      </c>
      <c r="I17" s="99">
        <f>RevSplit!M31</f>
        <v>228.600898975307</v>
      </c>
      <c r="J17" s="99">
        <f>RevSplit!N31</f>
        <v>228.600898975307</v>
      </c>
      <c r="K17" s="99">
        <f>RevSplit!O31</f>
        <v>314.326236091046</v>
      </c>
      <c r="L17" s="99">
        <f>RevSplit!P31</f>
        <v>400.051573206786</v>
      </c>
      <c r="M17" s="99">
        <f>RevSplit!Q31</f>
        <v>485.776910322526</v>
      </c>
      <c r="N17" s="99">
        <f>SUM(B17:M17)</f>
        <v>2857.51123719133</v>
      </c>
      <c r="O17" s="100">
        <f>RevSplit!S31</f>
        <v>1669.52141721747</v>
      </c>
      <c r="P17" s="244"/>
    </row>
    <row r="18" outlineLevel="1" x14ac:dyDescent="0.15">
      <c r="A18" s="240" t="inlineStr">
        <is>
          <t xml:space="preserve">МЭ</t>
        </is>
      </c>
      <c r="B18" s="99">
        <f>RevSplit!F32</f>
        <v>10.9816627341545</v>
      </c>
      <c r="C18" s="99">
        <f>RevSplit!G32</f>
        <v>27.4541568353864</v>
      </c>
      <c r="D18" s="99">
        <f>RevSplit!H32</f>
        <v>38.4358195695409</v>
      </c>
      <c r="E18" s="99">
        <f>RevSplit!I32</f>
        <v>38.4358195695409</v>
      </c>
      <c r="F18" s="99">
        <f>RevSplit!J32</f>
        <v>38.4358195695409</v>
      </c>
      <c r="G18" s="99">
        <f>RevSplit!K32</f>
        <v>38.4358195695409</v>
      </c>
      <c r="H18" s="99">
        <f>RevSplit!L32</f>
        <v>38.4358195695409</v>
      </c>
      <c r="I18" s="99">
        <f>RevSplit!M32</f>
        <v>43.9266509366182</v>
      </c>
      <c r="J18" s="99">
        <f>RevSplit!N32</f>
        <v>43.9266509366182</v>
      </c>
      <c r="K18" s="99">
        <f>RevSplit!O32</f>
        <v>60.39914503785</v>
      </c>
      <c r="L18" s="99">
        <f>RevSplit!P32</f>
        <v>76.8716391390818</v>
      </c>
      <c r="M18" s="99">
        <f>RevSplit!Q32</f>
        <v>93.3441332403136</v>
      </c>
      <c r="N18" s="99">
        <f>SUM(B18:M18)</f>
        <v>549.083136707727</v>
      </c>
      <c r="O18" s="100">
        <f>RevSplit!S32</f>
        <v>320.80575734412</v>
      </c>
      <c r="P18" s="244"/>
    </row>
    <row r="19" outlineLevel="1" x14ac:dyDescent="0.15">
      <c r="A19" s="240" t="inlineStr">
        <is>
          <t xml:space="preserve">МС</t>
        </is>
      </c>
      <c r="B19" s="99">
        <f>RevSplit!F33</f>
        <v>4.97007720060935</v>
      </c>
      <c r="C19" s="99">
        <f>RevSplit!G33</f>
        <v>12.4251930015234</v>
      </c>
      <c r="D19" s="99">
        <f>RevSplit!H33</f>
        <v>17.3952702021327</v>
      </c>
      <c r="E19" s="99">
        <f>RevSplit!I33</f>
        <v>17.3952702021327</v>
      </c>
      <c r="F19" s="99">
        <f>RevSplit!J33</f>
        <v>17.3952702021327</v>
      </c>
      <c r="G19" s="99">
        <f>RevSplit!K33</f>
        <v>17.3952702021327</v>
      </c>
      <c r="H19" s="99">
        <f>RevSplit!L33</f>
        <v>17.3952702021327</v>
      </c>
      <c r="I19" s="99">
        <f>RevSplit!M33</f>
        <v>19.8803088024374</v>
      </c>
      <c r="J19" s="99">
        <f>RevSplit!N33</f>
        <v>19.8803088024374</v>
      </c>
      <c r="K19" s="99">
        <f>RevSplit!O33</f>
        <v>27.3354246033514</v>
      </c>
      <c r="L19" s="99">
        <f>RevSplit!P33</f>
        <v>34.7905404042654</v>
      </c>
      <c r="M19" s="99">
        <f>RevSplit!Q33</f>
        <v>42.2456562051795</v>
      </c>
      <c r="N19" s="99">
        <f>SUM(B19:M19)</f>
        <v>248.503860030467</v>
      </c>
      <c r="O19" s="100">
        <f>RevSplit!S33</f>
        <v>145.190160998236</v>
      </c>
      <c r="P19" s="244"/>
    </row>
    <row r="20" outlineLevel="1" x14ac:dyDescent="0.15">
      <c r="A20" s="240" t="inlineStr">
        <is>
          <t xml:space="preserve">МК</t>
        </is>
      </c>
      <c r="B20" s="99">
        <f>RevSplit!F34</f>
        <v>8.19683827707104</v>
      </c>
      <c r="C20" s="99">
        <f>RevSplit!G34</f>
        <v>20.4920956926776</v>
      </c>
      <c r="D20" s="99">
        <f>RevSplit!H34</f>
        <v>28.6889339697486</v>
      </c>
      <c r="E20" s="99">
        <f>RevSplit!I34</f>
        <v>28.6889339697486</v>
      </c>
      <c r="F20" s="99">
        <f>RevSplit!J34</f>
        <v>28.6889339697486</v>
      </c>
      <c r="G20" s="99">
        <f>RevSplit!K34</f>
        <v>28.6889339697486</v>
      </c>
      <c r="H20" s="99">
        <f>RevSplit!L34</f>
        <v>28.6889339697486</v>
      </c>
      <c r="I20" s="99">
        <f>RevSplit!M34</f>
        <v>32.7873531082842</v>
      </c>
      <c r="J20" s="99">
        <f>RevSplit!N34</f>
        <v>32.7873531082842</v>
      </c>
      <c r="K20" s="99">
        <f>RevSplit!O34</f>
        <v>45.0826105238907</v>
      </c>
      <c r="L20" s="99">
        <f>RevSplit!P34</f>
        <v>57.3778679394973</v>
      </c>
      <c r="M20" s="99">
        <f>RevSplit!Q34</f>
        <v>69.6731253551038</v>
      </c>
      <c r="N20" s="99">
        <f>SUM(B20:M20)</f>
        <v>409.841913853552</v>
      </c>
      <c r="O20" s="100">
        <f>RevSplit!S34</f>
        <v>239.453075090772</v>
      </c>
      <c r="P20" s="244"/>
    </row>
    <row r="21" outlineLevel="1" x14ac:dyDescent="0.15">
      <c r="A21" s="240" t="inlineStr">
        <is>
          <t xml:space="preserve">МС Лайт</t>
        </is>
      </c>
      <c r="B21" s="99">
        <f>RevSplit!F35</f>
        <v>2.43450418033843</v>
      </c>
      <c r="C21" s="99">
        <f>RevSplit!G35</f>
        <v>6.08626045084608</v>
      </c>
      <c r="D21" s="99">
        <f>RevSplit!H35</f>
        <v>8.52076463118452</v>
      </c>
      <c r="E21" s="99">
        <f>RevSplit!I35</f>
        <v>8.52076463118452</v>
      </c>
      <c r="F21" s="99">
        <f>RevSplit!J35</f>
        <v>8.52076463118452</v>
      </c>
      <c r="G21" s="99">
        <f>RevSplit!K35</f>
        <v>8.52076463118452</v>
      </c>
      <c r="H21" s="99">
        <f>RevSplit!L35</f>
        <v>8.52076463118452</v>
      </c>
      <c r="I21" s="99">
        <f>RevSplit!M35</f>
        <v>9.73801672135374</v>
      </c>
      <c r="J21" s="99">
        <f>RevSplit!N35</f>
        <v>9.73801672135374</v>
      </c>
      <c r="K21" s="99">
        <f>RevSplit!O35</f>
        <v>13.3897729918614</v>
      </c>
      <c r="L21" s="99">
        <f>RevSplit!P35</f>
        <v>17.041529262369</v>
      </c>
      <c r="M21" s="99">
        <f>RevSplit!Q35</f>
        <v>20.6932855328767</v>
      </c>
      <c r="N21" s="99">
        <f>SUM(B21:M21)</f>
        <v>121.725209016922</v>
      </c>
      <c r="O21" s="100">
        <f>RevSplit!S35</f>
        <v>71.1188256494042</v>
      </c>
      <c r="P21" s="244"/>
    </row>
    <row r="22" s="243" customFormat="1" x14ac:dyDescent="0.15">
      <c r="A22" s="241" t="inlineStr">
        <is>
          <t xml:space="preserve">RMN (Brand budgets call)</t>
        </is>
      </c>
      <c r="B22" s="230">
        <f>B23</f>
        <v>17.0041828989972</v>
      </c>
      <c r="C22" s="230">
        <f>C23</f>
        <v>42.510457247493</v>
      </c>
      <c r="D22" s="230">
        <f>D23</f>
        <v>59.5146401464902</v>
      </c>
      <c r="E22" s="230">
        <f>E23</f>
        <v>59.5146401464902</v>
      </c>
      <c r="F22" s="230">
        <f>F23</f>
        <v>59.5146401464902</v>
      </c>
      <c r="G22" s="230">
        <f>G23</f>
        <v>59.5146401464902</v>
      </c>
      <c r="H22" s="230">
        <f>H23</f>
        <v>59.5146401464902</v>
      </c>
      <c r="I22" s="230">
        <f>I23</f>
        <v>68.0167315959888</v>
      </c>
      <c r="J22" s="230">
        <f>J23</f>
        <v>68.0167315959888</v>
      </c>
      <c r="K22" s="230">
        <f>K23</f>
        <v>93.5230059444846</v>
      </c>
      <c r="L22" s="230">
        <f>L23</f>
        <v>119.02928029298</v>
      </c>
      <c r="M22" s="230">
        <f>M23</f>
        <v>144.535554641476</v>
      </c>
      <c r="N22" s="230">
        <f>N23</f>
        <v>850.209144949859</v>
      </c>
      <c r="O22" s="231">
        <f>O23</f>
        <v>592.56</v>
      </c>
      <c r="P22" s="244">
        <f>IFERROR(N22/O22-1,"")</f>
        <v>0.434806846479444</v>
      </c>
      <c r="Q22"/>
      <c r="R22"/>
      <c r="S22"/>
      <c r="T22"/>
      <c r="U22"/>
    </row>
    <row r="23" outlineLevel="1" x14ac:dyDescent="0.15">
      <c r="A23" s="240" t="inlineStr">
        <is>
          <t xml:space="preserve">Без формата</t>
        </is>
      </c>
      <c r="B23" s="99">
        <f>RevSplit!F10</f>
        <v>17.0041828989972</v>
      </c>
      <c r="C23" s="99">
        <f>RevSplit!G10</f>
        <v>42.510457247493</v>
      </c>
      <c r="D23" s="99">
        <f>RevSplit!H10</f>
        <v>59.5146401464902</v>
      </c>
      <c r="E23" s="99">
        <f>RevSplit!I10</f>
        <v>59.5146401464902</v>
      </c>
      <c r="F23" s="99">
        <f>RevSplit!J10</f>
        <v>59.5146401464902</v>
      </c>
      <c r="G23" s="99">
        <f>RevSplit!K10</f>
        <v>59.5146401464902</v>
      </c>
      <c r="H23" s="99">
        <f>RevSplit!L10</f>
        <v>59.5146401464902</v>
      </c>
      <c r="I23" s="99">
        <f>RevSplit!M10</f>
        <v>68.0167315959888</v>
      </c>
      <c r="J23" s="99">
        <f>RevSplit!N10</f>
        <v>68.0167315959888</v>
      </c>
      <c r="K23" s="99">
        <f>RevSplit!O10</f>
        <v>93.5230059444846</v>
      </c>
      <c r="L23" s="99">
        <f>RevSplit!P10</f>
        <v>119.02928029298</v>
      </c>
      <c r="M23" s="99">
        <f>RevSplit!Q10</f>
        <v>144.535554641476</v>
      </c>
      <c r="N23" s="99">
        <f>SUM(B23:M23)</f>
        <v>850.209144949859</v>
      </c>
      <c r="O23" s="100">
        <f>RevSplit!S10</f>
        <v>592.56</v>
      </c>
      <c r="P23" s="244"/>
    </row>
    <row r="24" ht="15" customHeight="1" thickBot="1" x14ac:dyDescent="0.2">
      <c r="A24" s="150" t="inlineStr">
        <is>
          <t xml:space="preserve">Gross Revenue</t>
        </is>
      </c>
      <c r="B24" s="137">
        <f>SUM(B5,B7,B9,B11,B16,B22)</f>
        <v>304.768173985418</v>
      </c>
      <c r="C24" s="137">
        <f>SUM(C5,C7,C9,C11,C16,C22)</f>
        <v>761.920434963545</v>
      </c>
      <c r="D24" s="137">
        <f>SUM(D5,D7,D9,D11,D16,D22)</f>
        <v>1066.68860894896</v>
      </c>
      <c r="E24" s="137">
        <f>SUM(E5,E7,E9,E11,E16,E22)</f>
        <v>1066.68860894896</v>
      </c>
      <c r="F24" s="137">
        <f>SUM(F5,F7,F9,F11,F16,F22)</f>
        <v>1066.68860894897</v>
      </c>
      <c r="G24" s="137">
        <f>SUM(G5,G7,G9,G11,G16,G22)</f>
        <v>1066.68860894896</v>
      </c>
      <c r="H24" s="137">
        <f>SUM(H5,H7,H9,H11,H16,H22)</f>
        <v>1066.68860894896</v>
      </c>
      <c r="I24" s="137">
        <f>SUM(I5,I7,I9,I11,I16,I22)</f>
        <v>1219.07269594167</v>
      </c>
      <c r="J24" s="137">
        <f>SUM(J5,J7,J9,J11,J16,J22)</f>
        <v>1219.07269594167</v>
      </c>
      <c r="K24" s="137">
        <f>SUM(K5,K7,K9,K11,K16,K22)</f>
        <v>1676.2249569198</v>
      </c>
      <c r="L24" s="137">
        <f>SUM(L5,L7,L9,L11,L16,L22)</f>
        <v>2133.37721789792</v>
      </c>
      <c r="M24" s="137">
        <f>SUM(M5,M7,M9,M11,M16,M22)</f>
        <v>2590.52947887605</v>
      </c>
      <c r="N24" s="137">
        <f>SUM(N5,N7,N9,N11,N16,N22)</f>
        <v>15238.4086992709</v>
      </c>
      <c r="O24" s="137">
        <f>SUM(O5,O7,O9,O11,O16,O22)</f>
        <v>10323.4492363</v>
      </c>
    </row>
    <row r="25" ht="15" customHeight="1" x14ac:dyDescent="0.15" hidden="1" outlineLevel="1">
      <c r="A25" s="95" t="inlineStr">
        <is>
          <t xml:space="preserve">Расходы на маркетинг в сети интернет</t>
        </is>
      </c>
      <c r="B25" s="99">
        <f>Расходы!C26</f>
        <v>-19.3792999412308</v>
      </c>
      <c r="C25" s="99">
        <f>Расходы!D26</f>
        <v>-51.6042936445303</v>
      </c>
      <c r="D25" s="99">
        <f>Расходы!E26</f>
        <v>-68.2777326169087</v>
      </c>
      <c r="E25" s="99">
        <f>Расходы!F26</f>
        <v>-71.584631349173</v>
      </c>
      <c r="F25" s="99">
        <f>Расходы!G26</f>
        <v>-72.2960314163378</v>
      </c>
      <c r="G25" s="99">
        <f>Расходы!H26</f>
        <v>-72.4094107967425</v>
      </c>
      <c r="H25" s="99">
        <f>Расходы!I26</f>
        <v>-72.3627251784065</v>
      </c>
      <c r="I25" s="99">
        <f>Расходы!J26</f>
        <v>-81.2329947107716</v>
      </c>
      <c r="J25" s="99">
        <f>Расходы!K26</f>
        <v>-78.6986319872387</v>
      </c>
      <c r="K25" s="99">
        <f>Расходы!L26</f>
        <v>-113.896261674083</v>
      </c>
      <c r="L25" s="99">
        <f>Расходы!M26</f>
        <v>-134.454611938544</v>
      </c>
      <c r="M25" s="99">
        <f>Расходы!N26</f>
        <v>-163.803374746033</v>
      </c>
      <c r="N25" s="99">
        <f>SUM(B25:M25)</f>
        <v>-1000</v>
      </c>
      <c r="O25" s="100">
        <f>Расходы!P26</f>
        <v>-510.54</v>
      </c>
      <c r="P25"/>
      <c r="Q25"/>
      <c r="R25"/>
      <c r="S25"/>
      <c r="T25"/>
      <c r="U25"/>
    </row>
    <row r="26" ht="15" customHeight="1" x14ac:dyDescent="0.15" hidden="1" outlineLevel="1">
      <c r="A26" s="95" t="inlineStr">
        <is>
          <t xml:space="preserve">Вознаграждения креаторам</t>
        </is>
      </c>
      <c r="B26" s="99">
        <f>Расходы!C27</f>
        <v>-4.24</v>
      </c>
      <c r="C26" s="99">
        <f>Расходы!D27</f>
        <v>-7.42</v>
      </c>
      <c r="D26" s="99">
        <f>Расходы!E27</f>
        <v>-14.31</v>
      </c>
      <c r="E26" s="99">
        <f>Расходы!F27</f>
        <v>-14.787</v>
      </c>
      <c r="F26" s="99">
        <f>Расходы!G27</f>
        <v>-15.105</v>
      </c>
      <c r="G26" s="99">
        <f>Расходы!H27</f>
        <v>-15.9</v>
      </c>
      <c r="H26" s="99">
        <f>Расходы!I27</f>
        <v>-15.9</v>
      </c>
      <c r="I26" s="99">
        <f>Расходы!J27</f>
        <v>-17.013</v>
      </c>
      <c r="J26" s="99">
        <f>Расходы!K27</f>
        <v>-17.013</v>
      </c>
      <c r="K26" s="99">
        <f>Расходы!L27</f>
        <v>-17.013</v>
      </c>
      <c r="L26" s="99">
        <f>Расходы!M27</f>
        <v>-18.285</v>
      </c>
      <c r="M26" s="99">
        <f>Расходы!N27</f>
        <v>-19.08</v>
      </c>
      <c r="N26" s="99">
        <f>SUM(B26:M26)</f>
        <v>-176.066</v>
      </c>
      <c r="O26" s="100">
        <v>-15.6</v>
      </c>
      <c r="P26"/>
      <c r="Q26"/>
      <c r="R26"/>
      <c r="S26"/>
      <c r="T26"/>
      <c r="U26"/>
    </row>
    <row r="27" ht="15" customHeight="1" x14ac:dyDescent="0.15" hidden="1" outlineLevel="1">
      <c r="A27" s="95" t="inlineStr">
        <is>
          <t xml:space="preserve">Вознаграждения рекламным агентствам</t>
        </is>
      </c>
      <c r="B27" s="99">
        <f>Расходы!C28</f>
        <v>-66.25</v>
      </c>
      <c r="C27" s="99">
        <f>Расходы!D28</f>
        <v>-66.25</v>
      </c>
      <c r="D27" s="99">
        <f>Расходы!E28</f>
        <v>-66.25</v>
      </c>
      <c r="E27" s="99">
        <f>Расходы!F28</f>
        <v>-66.25</v>
      </c>
      <c r="F27" s="99">
        <f>Расходы!G28</f>
        <v>-66.25</v>
      </c>
      <c r="G27" s="99">
        <f>Расходы!H28</f>
        <v>-66.25</v>
      </c>
      <c r="H27" s="99">
        <f>Расходы!I28</f>
        <v>-66.25</v>
      </c>
      <c r="I27" s="99">
        <f>Расходы!J28</f>
        <v>-66.25</v>
      </c>
      <c r="J27" s="99">
        <f>Расходы!K28</f>
        <v>-66.25</v>
      </c>
      <c r="K27" s="99">
        <f>Расходы!L28</f>
        <v>-66.25</v>
      </c>
      <c r="L27" s="99">
        <f>Расходы!M28</f>
        <v>-66.25</v>
      </c>
      <c r="M27" s="99">
        <f>Расходы!N28</f>
        <v>-66.25</v>
      </c>
      <c r="N27" s="99">
        <f>SUM(B27:M27)</f>
        <v>-795</v>
      </c>
      <c r="O27" s="100">
        <f>Расходы!P28</f>
        <v>-354.4</v>
      </c>
      <c r="P27"/>
      <c r="Q27"/>
      <c r="R27"/>
      <c r="S27"/>
      <c r="T27"/>
      <c r="U27"/>
    </row>
    <row r="28" ht="15.5" customHeight="1" thickTop="1" thickBot="1" x14ac:dyDescent="0.2" collapsed="1">
      <c r="A28" s="237" t="inlineStr">
        <is>
          <t xml:space="preserve">COGS</t>
        </is>
      </c>
      <c r="B28" s="138">
        <f>SUM(B25:B27)</f>
        <v>-89.8692999412308</v>
      </c>
      <c r="C28" s="138">
        <f>SUM(C25:C27)</f>
        <v>-125.27429364453</v>
      </c>
      <c r="D28" s="138">
        <f>SUM(D25:D27)</f>
        <v>-148.837732616909</v>
      </c>
      <c r="E28" s="138">
        <f>SUM(E25:E27)</f>
        <v>-152.621631349173</v>
      </c>
      <c r="F28" s="138">
        <f>SUM(F25:F27)</f>
        <v>-153.651031416338</v>
      </c>
      <c r="G28" s="138">
        <f>SUM(G25:G27)</f>
        <v>-154.559410796743</v>
      </c>
      <c r="H28" s="138">
        <f>SUM(H25:H27)</f>
        <v>-154.512725178407</v>
      </c>
      <c r="I28" s="138">
        <f>SUM(I25:I27)</f>
        <v>-164.495994710772</v>
      </c>
      <c r="J28" s="138">
        <f>SUM(J25:J27)</f>
        <v>-161.961631987239</v>
      </c>
      <c r="K28" s="138">
        <f>SUM(K25:K27)</f>
        <v>-197.159261674083</v>
      </c>
      <c r="L28" s="138">
        <f>SUM(L25:L27)</f>
        <v>-218.989611938544</v>
      </c>
      <c r="M28" s="138">
        <f>SUM(M25:M27)</f>
        <v>-249.133374746033</v>
      </c>
      <c r="N28" s="138">
        <f>SUM(B28:M28)</f>
        <v>-1971.066</v>
      </c>
      <c r="O28" s="104">
        <f>SUM(O25:O27)</f>
        <v>-880.54</v>
      </c>
      <c r="P28"/>
      <c r="Q28"/>
      <c r="R28"/>
      <c r="S28"/>
      <c r="T28"/>
      <c r="U28"/>
    </row>
    <row r="29" ht="15" customHeight="1" thickBot="1" x14ac:dyDescent="0.2">
      <c r="A29" s="150" t="inlineStr">
        <is>
          <t xml:space="preserve">Net Revenue</t>
        </is>
      </c>
      <c r="B29" s="137">
        <f>B24+B28</f>
        <v>214.898874044187</v>
      </c>
      <c r="C29" s="137">
        <f>C24+C28</f>
        <v>636.646141319015</v>
      </c>
      <c r="D29" s="137">
        <f>D24+D28</f>
        <v>917.850876332055</v>
      </c>
      <c r="E29" s="137">
        <f>E24+E28</f>
        <v>914.066977599789</v>
      </c>
      <c r="F29" s="137">
        <f>F24+F28</f>
        <v>913.037577532627</v>
      </c>
      <c r="G29" s="137">
        <f>G24+G28</f>
        <v>912.129198152221</v>
      </c>
      <c r="H29" s="137">
        <f>H24+H28</f>
        <v>912.175883770557</v>
      </c>
      <c r="I29" s="137">
        <f>I24+I28</f>
        <v>1054.5767012309</v>
      </c>
      <c r="J29" s="137">
        <f>J24+J28</f>
        <v>1057.11106395443</v>
      </c>
      <c r="K29" s="137">
        <f>K24+K28</f>
        <v>1479.06569524571</v>
      </c>
      <c r="L29" s="137">
        <f>L24+L28</f>
        <v>1914.38760595938</v>
      </c>
      <c r="M29" s="137">
        <f>M24+M28</f>
        <v>2341.39610413002</v>
      </c>
      <c r="N29" s="137">
        <f>SUM(B29:M29)</f>
        <v>13267.3426992709</v>
      </c>
      <c r="O29" s="137">
        <f>O24+O28</f>
        <v>9442.9092363</v>
      </c>
      <c r="P29"/>
      <c r="Q29"/>
      <c r="R29"/>
      <c r="S29"/>
      <c r="T29"/>
      <c r="U29"/>
    </row>
    <row r="30" ht="15" hidden="1" customHeight="1" outlineLevel="1" thickTop="1" x14ac:dyDescent="0.15">
      <c r="A30" s="95" t="inlineStr">
        <is>
          <t xml:space="preserve">Налоги и взносы, связанные с расходами на оплату труда (ФОТ)</t>
        </is>
      </c>
      <c r="B30" s="202">
        <f>Расходы!C3</f>
        <v>-20.5021320287505</v>
      </c>
      <c r="C30" s="202">
        <f>Расходы!D3</f>
        <v>-20.8874989805594</v>
      </c>
      <c r="D30" s="202">
        <f>Расходы!E3</f>
        <v>-20.9962314129087</v>
      </c>
      <c r="E30" s="202">
        <f>Расходы!F3</f>
        <v>-21.3474454508537</v>
      </c>
      <c r="F30" s="202">
        <f>Расходы!G3</f>
        <v>-21.7459610511498</v>
      </c>
      <c r="G30" s="202">
        <f>Расходы!H3</f>
        <v>-21.1991644550706</v>
      </c>
      <c r="H30" s="202">
        <f>Расходы!I3</f>
        <v>-21.7290558201795</v>
      </c>
      <c r="I30" s="202">
        <f>Расходы!J3</f>
        <v>-18.5087631381029</v>
      </c>
      <c r="J30" s="202">
        <f>Расходы!K3</f>
        <v>-21.5601117907646</v>
      </c>
      <c r="K30" s="202">
        <f>Расходы!L3</f>
        <v>-23.021618076732</v>
      </c>
      <c r="L30" s="202">
        <f>Расходы!M3</f>
        <v>-23.0304143073749</v>
      </c>
      <c r="M30" s="202">
        <f>Расходы!N3</f>
        <v>-23.8732957818878</v>
      </c>
      <c r="N30" s="99">
        <f>SUM(B30:M30)</f>
        <v>-258.401692294334</v>
      </c>
      <c r="O30" s="100">
        <f>Расходы!P3</f>
        <v>-201.500852056</v>
      </c>
    </row>
    <row r="31" ht="15" hidden="1" customHeight="1" outlineLevel="1" x14ac:dyDescent="0.15">
      <c r="A31" s="95" t="inlineStr">
        <is>
          <t xml:space="preserve">Индексация</t>
        </is>
      </c>
      <c r="B31" s="202">
        <f>Расходы!C4</f>
        <v>-0</v>
      </c>
      <c r="C31" s="202">
        <f>Расходы!D4</f>
        <v>-0</v>
      </c>
      <c r="D31" s="202">
        <f>Расходы!E4</f>
        <v>-0</v>
      </c>
      <c r="E31" s="202">
        <f>Расходы!F4</f>
        <v>-0</v>
      </c>
      <c r="F31" s="202">
        <f>Расходы!G4</f>
        <v>-0</v>
      </c>
      <c r="G31" s="202">
        <f>Расходы!H4</f>
        <v>-0</v>
      </c>
      <c r="H31" s="202">
        <f>Расходы!I4</f>
        <v>-0</v>
      </c>
      <c r="I31" s="202">
        <f>Расходы!J4</f>
        <v>-0</v>
      </c>
      <c r="J31" s="202">
        <f>Расходы!K4</f>
        <v>-0</v>
      </c>
      <c r="K31" s="202">
        <f>Расходы!L4</f>
        <v>-0</v>
      </c>
      <c r="L31" s="202">
        <f>Расходы!M4</f>
        <v>-0</v>
      </c>
      <c r="M31" s="202">
        <f>Расходы!N4</f>
        <v>-0</v>
      </c>
      <c r="N31" s="99">
        <f>SUM(B31:M31)</f>
        <v>0</v>
      </c>
      <c r="O31" s="100">
        <f>Расходы!P4</f>
        <v>0</v>
      </c>
    </row>
    <row r="32" ht="15" hidden="1" customHeight="1" outlineLevel="1" x14ac:dyDescent="0.15">
      <c r="A32" s="95" t="inlineStr">
        <is>
          <t xml:space="preserve">Оплата труда - постоянная часть</t>
        </is>
      </c>
      <c r="B32" s="202">
        <f>Расходы!C5</f>
        <v>-71.2503220921336</v>
      </c>
      <c r="C32" s="202">
        <f>Расходы!D5</f>
        <v>-72.5895740002543</v>
      </c>
      <c r="D32" s="202">
        <f>Расходы!E5</f>
        <v>-72.9674479118985</v>
      </c>
      <c r="E32" s="202">
        <f>Расходы!F5</f>
        <v>-74.1880094267577</v>
      </c>
      <c r="F32" s="202">
        <f>Расходы!G5</f>
        <v>-75.5729563600826</v>
      </c>
      <c r="G32" s="202">
        <f>Расходы!H5</f>
        <v>-73.6726938149534</v>
      </c>
      <c r="H32" s="202">
        <f>Расходы!I5</f>
        <v>-75.5142062188784</v>
      </c>
      <c r="I32" s="202">
        <f>Расходы!J5</f>
        <v>-64.3228388768313</v>
      </c>
      <c r="J32" s="202">
        <f>Расходы!K5</f>
        <v>-74.9270811094276</v>
      </c>
      <c r="K32" s="202">
        <f>Расходы!L5</f>
        <v>-80.0062013428174</v>
      </c>
      <c r="L32" s="202">
        <f>Расходы!M5</f>
        <v>-80.0367705668191</v>
      </c>
      <c r="M32" s="202">
        <f>Расходы!N5</f>
        <v>-82.9660062414466</v>
      </c>
      <c r="N32" s="99">
        <f>SUM(B32:M32)</f>
        <v>-898.0141079623</v>
      </c>
      <c r="O32" s="100">
        <f>Расходы!P5</f>
        <v>-700.268664288</v>
      </c>
    </row>
    <row r="33" ht="15" hidden="1" customHeight="1" outlineLevel="1" x14ac:dyDescent="0.15">
      <c r="A33" s="95" t="inlineStr">
        <is>
          <t xml:space="preserve">Оплата труда - премии</t>
        </is>
      </c>
      <c r="B33" s="202">
        <f>Расходы!C6</f>
        <v>-2.68955150571714</v>
      </c>
      <c r="C33" s="202">
        <f>Расходы!D6</f>
        <v>-2.74010548049584</v>
      </c>
      <c r="D33" s="202">
        <f>Расходы!E6</f>
        <v>-2.75436943493411</v>
      </c>
      <c r="E33" s="202">
        <f>Расходы!F6</f>
        <v>-2.80044309416424</v>
      </c>
      <c r="F33" s="202">
        <f>Расходы!G6</f>
        <v>-2.85272196112916</v>
      </c>
      <c r="G33" s="202">
        <f>Расходы!H6</f>
        <v>-2.78099100133221</v>
      </c>
      <c r="H33" s="202">
        <f>Расходы!I6</f>
        <v>-2.8505042654599</v>
      </c>
      <c r="I33" s="202">
        <f>Расходы!J6</f>
        <v>-2.4280534188951</v>
      </c>
      <c r="J33" s="202">
        <f>Расходы!K6</f>
        <v>-2.8283415134077</v>
      </c>
      <c r="K33" s="202">
        <f>Расходы!L6</f>
        <v>-3.02006774102766</v>
      </c>
      <c r="L33" s="202">
        <f>Расходы!M6</f>
        <v>-3.02122166567008</v>
      </c>
      <c r="M33" s="202">
        <f>Расходы!N6</f>
        <v>-3.13179422152614</v>
      </c>
      <c r="N33" s="99">
        <f>SUM(B33:M33)</f>
        <v>-33.8981653037593</v>
      </c>
      <c r="O33" s="100">
        <f>Расходы!P6</f>
        <v>-26.433685984</v>
      </c>
    </row>
    <row r="34" ht="15" hidden="1" customHeight="1" outlineLevel="1" x14ac:dyDescent="0.15">
      <c r="A34" s="95" t="inlineStr">
        <is>
          <t xml:space="preserve">Оплата труда - отпускные</t>
        </is>
      </c>
      <c r="B34" s="202">
        <f>Расходы!C7</f>
        <v>-4.61554389752305</v>
      </c>
      <c r="C34" s="202">
        <f>Расходы!D7</f>
        <v>-4.7022996593255</v>
      </c>
      <c r="D34" s="202">
        <f>Расходы!E7</f>
        <v>-4.7267780557132</v>
      </c>
      <c r="E34" s="202">
        <f>Расходы!F7</f>
        <v>-4.80584514040897</v>
      </c>
      <c r="F34" s="202">
        <f>Расходы!G7</f>
        <v>-4.89556099261572</v>
      </c>
      <c r="G34" s="202">
        <f>Расходы!H7</f>
        <v>-4.77246337093028</v>
      </c>
      <c r="H34" s="202">
        <f>Расходы!I7</f>
        <v>-4.8917552013189</v>
      </c>
      <c r="I34" s="202">
        <f>Расходы!J7</f>
        <v>-4.16678658751066</v>
      </c>
      <c r="J34" s="202">
        <f>Расходы!K7</f>
        <v>-4.85372166495812</v>
      </c>
      <c r="K34" s="202">
        <f>Расходы!L7</f>
        <v>-5.18274336913644</v>
      </c>
      <c r="L34" s="202">
        <f>Расходы!M7</f>
        <v>-5.18472362117111</v>
      </c>
      <c r="M34" s="202">
        <f>Расходы!N7</f>
        <v>-5.3744773716868</v>
      </c>
      <c r="N34" s="99">
        <f>SUM(B34:M34)</f>
        <v>-58.1726989322987</v>
      </c>
      <c r="O34" s="100">
        <f>Расходы!P7</f>
        <v>-45.36289332</v>
      </c>
    </row>
    <row r="35" ht="15" hidden="1" customHeight="1" outlineLevel="1" x14ac:dyDescent="0.15">
      <c r="A35" s="95" t="inlineStr">
        <is>
          <t xml:space="preserve">Начисление резерва STI 100%, годовой бонус</t>
        </is>
      </c>
      <c r="B35" s="202">
        <f>Расходы!C8</f>
        <v>-11.5559543508355</v>
      </c>
      <c r="C35" s="202">
        <f>Расходы!D8</f>
        <v>-11.7731650729779</v>
      </c>
      <c r="D35" s="202">
        <f>Расходы!E8</f>
        <v>-11.8344517246745</v>
      </c>
      <c r="E35" s="202">
        <f>Расходы!F8</f>
        <v>-12.0324122774684</v>
      </c>
      <c r="F35" s="202">
        <f>Расходы!G8</f>
        <v>-12.2570341889193</v>
      </c>
      <c r="G35" s="202">
        <f>Расходы!H8</f>
        <v>-11.9488342175884</v>
      </c>
      <c r="H35" s="202">
        <f>Расходы!I8</f>
        <v>-12.247505615154</v>
      </c>
      <c r="I35" s="202">
        <f>Расходы!J8</f>
        <v>-10.4323990116934</v>
      </c>
      <c r="J35" s="202">
        <f>Расходы!K8</f>
        <v>-12.1522809093026</v>
      </c>
      <c r="K35" s="202">
        <f>Расходы!L8</f>
        <v>-12.9760537686527</v>
      </c>
      <c r="L35" s="202">
        <f>Расходы!M8</f>
        <v>-12.9810117330062</v>
      </c>
      <c r="M35" s="202">
        <f>Расходы!N8</f>
        <v>-13.456098900964</v>
      </c>
      <c r="N35" s="99">
        <f>SUM(B35:M35)</f>
        <v>-145.647201771237</v>
      </c>
      <c r="O35" s="100">
        <f>Расходы!P8</f>
        <v>-113.575244016</v>
      </c>
    </row>
    <row r="36" ht="15" hidden="1" customHeight="1" outlineLevel="1" x14ac:dyDescent="0.15">
      <c r="A36" s="95" t="inlineStr">
        <is>
          <t xml:space="preserve">Начисление резерва STI 100%, квартальные бонусы</t>
        </is>
      </c>
      <c r="B36" s="202">
        <f>Расходы!C9</f>
        <v>-3.35054297746118</v>
      </c>
      <c r="C36" s="202">
        <f>Расходы!D9</f>
        <v>-3.41352123417703</v>
      </c>
      <c r="D36" s="202">
        <f>Расходы!E9</f>
        <v>-3.43129073673995</v>
      </c>
      <c r="E36" s="202">
        <f>Расходы!F9</f>
        <v>-3.48868758340799</v>
      </c>
      <c r="F36" s="202">
        <f>Расходы!G9</f>
        <v>-3.55381464649141</v>
      </c>
      <c r="G36" s="202">
        <f>Расходы!H9</f>
        <v>-3.46445489149013</v>
      </c>
      <c r="H36" s="202">
        <f>Расходы!I9</f>
        <v>-3.55105192392038</v>
      </c>
      <c r="I36" s="202">
        <f>Расходы!J9</f>
        <v>-3.02477841167441</v>
      </c>
      <c r="J36" s="202">
        <f>Расходы!K9</f>
        <v>-3.52344239382145</v>
      </c>
      <c r="K36" s="202">
        <f>Расходы!L9</f>
        <v>-3.76228777907682</v>
      </c>
      <c r="L36" s="202">
        <f>Расходы!M9</f>
        <v>-3.76372529536865</v>
      </c>
      <c r="M36" s="202">
        <f>Расходы!N9</f>
        <v>-3.90147246240968</v>
      </c>
      <c r="N36" s="99">
        <f>SUM(B36:M36)</f>
        <v>-42.2290703360391</v>
      </c>
      <c r="O36" s="100">
        <f>Расходы!P9</f>
        <v>-32.930100336</v>
      </c>
    </row>
    <row r="37" ht="15.5" customHeight="1" collapsed="1" thickTop="1" thickBot="1" x14ac:dyDescent="0.2">
      <c r="A37" s="237" t="inlineStr">
        <is>
          <t xml:space="preserve">PEX</t>
        </is>
      </c>
      <c r="B37" s="138">
        <f>SUM(B30:B36)</f>
        <v>-113.964046852421</v>
      </c>
      <c r="C37" s="138">
        <f>SUM(C30:C36)</f>
        <v>-116.10616442779</v>
      </c>
      <c r="D37" s="138">
        <f>SUM(D30:D36)</f>
        <v>-116.710569276869</v>
      </c>
      <c r="E37" s="138">
        <f>SUM(E30:E36)</f>
        <v>-118.662842973061</v>
      </c>
      <c r="F37" s="138">
        <f>SUM(F30:F36)</f>
        <v>-120.878049200388</v>
      </c>
      <c r="G37" s="138">
        <f>SUM(G30:G36)</f>
        <v>-117.838601751365</v>
      </c>
      <c r="H37" s="138">
        <f>SUM(H30:H36)</f>
        <v>-120.784079044911</v>
      </c>
      <c r="I37" s="138">
        <f>SUM(I30:I36)</f>
        <v>-102.883619444708</v>
      </c>
      <c r="J37" s="138">
        <f>SUM(J30:J36)</f>
        <v>-119.844979381682</v>
      </c>
      <c r="K37" s="138">
        <f>SUM(K30:K36)</f>
        <v>-127.968972077443</v>
      </c>
      <c r="L37" s="138">
        <f>SUM(L30:L36)</f>
        <v>-128.01786718941</v>
      </c>
      <c r="M37" s="138">
        <f>SUM(M30:M36)</f>
        <v>-132.703144979921</v>
      </c>
      <c r="N37" s="138">
        <f>SUM(B37:M37)</f>
        <v>-1436.36293659997</v>
      </c>
      <c r="O37" s="104">
        <f>SUM(O30:O36)</f>
        <v>-1120.07144</v>
      </c>
    </row>
    <row r="38" ht="15" hidden="1" customHeight="1" outlineLevel="1" thickTop="1" x14ac:dyDescent="0.15">
      <c r="A38" s="95" t="inlineStr">
        <is>
          <t xml:space="preserve">Материальная помощь</t>
        </is>
      </c>
      <c r="B38" s="99">
        <f>Расходы!C11</f>
        <v>-0.005</v>
      </c>
      <c r="C38" s="99">
        <f>Расходы!D11</f>
        <v>-0</v>
      </c>
      <c r="D38" s="99">
        <f>Расходы!E11</f>
        <v>-0.005</v>
      </c>
      <c r="E38" s="99">
        <f>Расходы!F11</f>
        <v>-0.005</v>
      </c>
      <c r="F38" s="99">
        <f>Расходы!G11</f>
        <v>-0.005</v>
      </c>
      <c r="G38" s="99">
        <f>Расходы!H11</f>
        <v>-0</v>
      </c>
      <c r="H38" s="99">
        <f>Расходы!I11</f>
        <v>-0.005</v>
      </c>
      <c r="I38" s="99">
        <f>Расходы!J11</f>
        <v>-0</v>
      </c>
      <c r="J38" s="99">
        <f>Расходы!K11</f>
        <v>-0.005</v>
      </c>
      <c r="K38" s="99">
        <f>Расходы!L11</f>
        <v>-0</v>
      </c>
      <c r="L38" s="99">
        <f>Расходы!M11</f>
        <v>-0.005</v>
      </c>
      <c r="M38" s="99">
        <f>Расходы!N11</f>
        <v>-0.005</v>
      </c>
      <c r="N38" s="99">
        <f>SUM(B38:M38)</f>
        <v>-0.04</v>
      </c>
      <c r="O38" s="100">
        <f>Расходы!P11</f>
        <v>-0.4</v>
      </c>
    </row>
    <row r="39" ht="15" hidden="1" customHeight="1" outlineLevel="1" x14ac:dyDescent="0.15">
      <c r="A39" s="95" t="inlineStr">
        <is>
          <t xml:space="preserve">Затраты на корп. мероприятие кроме проезда и проживания</t>
        </is>
      </c>
      <c r="B39" s="99">
        <f>Расходы!C12</f>
        <v>-0.375</v>
      </c>
      <c r="C39" s="99">
        <f>Расходы!D12</f>
        <v>-0.375</v>
      </c>
      <c r="D39" s="99">
        <f>Расходы!E12</f>
        <v>-0.51</v>
      </c>
      <c r="E39" s="99">
        <f>Расходы!F12</f>
        <v>-0.375</v>
      </c>
      <c r="F39" s="99">
        <f>Расходы!G12</f>
        <v>-0.375</v>
      </c>
      <c r="G39" s="99">
        <f>Расходы!H12</f>
        <v>-0.375</v>
      </c>
      <c r="H39" s="99">
        <f>Расходы!I12</f>
        <v>-0.51</v>
      </c>
      <c r="I39" s="99">
        <f>Расходы!J12</f>
        <v>-0.375</v>
      </c>
      <c r="J39" s="99">
        <f>Расходы!K12</f>
        <v>-0.375</v>
      </c>
      <c r="K39" s="99">
        <f>Расходы!L12</f>
        <v>-0.375</v>
      </c>
      <c r="L39" s="99">
        <f>Расходы!M12</f>
        <v>-0.375</v>
      </c>
      <c r="M39" s="99">
        <f>Расходы!N12</f>
        <v>-0.375</v>
      </c>
      <c r="N39" s="99">
        <f>SUM(B39:M39)</f>
        <v>-4.77</v>
      </c>
      <c r="O39" s="100">
        <f>Расходы!P12</f>
        <v>-3</v>
      </c>
    </row>
    <row r="40" ht="15" hidden="1" customHeight="1" outlineLevel="1" x14ac:dyDescent="0.15">
      <c r="A40" s="95" t="inlineStr">
        <is>
          <t xml:space="preserve">ДМС и НС</t>
        </is>
      </c>
      <c r="B40" s="99">
        <f>Расходы!C13</f>
        <v>-0.869198133256529</v>
      </c>
      <c r="C40" s="99">
        <f>Расходы!D13</f>
        <v>-0.869198133256529</v>
      </c>
      <c r="D40" s="99">
        <f>Расходы!E13</f>
        <v>-0.869198133256529</v>
      </c>
      <c r="E40" s="99">
        <f>Расходы!F13</f>
        <v>-0.869198133256529</v>
      </c>
      <c r="F40" s="99">
        <f>Расходы!G13</f>
        <v>-0.869198133256529</v>
      </c>
      <c r="G40" s="99">
        <f>Расходы!H13</f>
        <v>-0.869198133256529</v>
      </c>
      <c r="H40" s="99">
        <f>Расходы!I13</f>
        <v>-0.869198133256529</v>
      </c>
      <c r="I40" s="99">
        <f>Расходы!J13</f>
        <v>-0.869198133256529</v>
      </c>
      <c r="J40" s="99">
        <f>Расходы!K13</f>
        <v>-0.869198133256529</v>
      </c>
      <c r="K40" s="99">
        <f>Расходы!L13</f>
        <v>-0.869198133256529</v>
      </c>
      <c r="L40" s="99">
        <f>Расходы!M13</f>
        <v>-0.882419923960377</v>
      </c>
      <c r="M40" s="99">
        <f>Расходы!N13</f>
        <v>-0.972502982022831</v>
      </c>
      <c r="N40" s="99">
        <f>SUM(B40:M40)</f>
        <v>-10.5469042385485</v>
      </c>
      <c r="O40" s="100">
        <f>Расходы!P13</f>
        <v>-6.5</v>
      </c>
    </row>
    <row r="41" ht="15" hidden="1" customHeight="1" outlineLevel="1" x14ac:dyDescent="0.15">
      <c r="A41" s="95" t="inlineStr">
        <is>
          <t xml:space="preserve">Подбор массовых позиций</t>
        </is>
      </c>
      <c r="B41" s="99">
        <f>Расходы!C14</f>
        <v>-0</v>
      </c>
      <c r="C41" s="99">
        <f>Расходы!D14</f>
        <v>-0</v>
      </c>
      <c r="D41" s="99">
        <f>Расходы!E14</f>
        <v>-0</v>
      </c>
      <c r="E41" s="99">
        <f>Расходы!F14</f>
        <v>-0</v>
      </c>
      <c r="F41" s="99">
        <f>Расходы!G14</f>
        <v>-0</v>
      </c>
      <c r="G41" s="99">
        <f>Расходы!H14</f>
        <v>-0</v>
      </c>
      <c r="H41" s="99">
        <f>Расходы!I14</f>
        <v>-0</v>
      </c>
      <c r="I41" s="99">
        <f>Расходы!J14</f>
        <v>-0</v>
      </c>
      <c r="J41" s="99">
        <f>Расходы!K14</f>
        <v>-0</v>
      </c>
      <c r="K41" s="99">
        <f>Расходы!L14</f>
        <v>-0</v>
      </c>
      <c r="L41" s="99">
        <f>Расходы!M14</f>
        <v>-0</v>
      </c>
      <c r="M41" s="99">
        <f>Расходы!N14</f>
        <v>-0</v>
      </c>
      <c r="N41" s="99">
        <f>SUM(B41:M41)</f>
        <v>0</v>
      </c>
      <c r="O41" s="100">
        <f>Расходы!P14</f>
        <v>-4.9</v>
      </c>
    </row>
    <row r="42" ht="15" hidden="1" customHeight="1" outlineLevel="1" x14ac:dyDescent="0.15">
      <c r="A42" s="95" t="inlineStr">
        <is>
          <t xml:space="preserve">Подбор офисных позиций</t>
        </is>
      </c>
      <c r="B42" s="99">
        <f>Расходы!C15</f>
        <v>-0.037333</v>
      </c>
      <c r="C42" s="99">
        <f>Расходы!D15</f>
        <v>-0.037333</v>
      </c>
      <c r="D42" s="99">
        <f>Расходы!E15</f>
        <v>-0.037333</v>
      </c>
      <c r="E42" s="99">
        <f>Расходы!F15</f>
        <v>-0.37233367</v>
      </c>
      <c r="F42" s="99">
        <f>Расходы!G15</f>
        <v>-0.037333</v>
      </c>
      <c r="G42" s="99">
        <f>Расходы!H15</f>
        <v>-0.037333</v>
      </c>
      <c r="H42" s="99">
        <f>Расходы!I15</f>
        <v>-0.037333</v>
      </c>
      <c r="I42" s="99">
        <f>Расходы!J15</f>
        <v>-0.377003</v>
      </c>
      <c r="J42" s="99">
        <f>Расходы!K15</f>
        <v>-0.037333</v>
      </c>
      <c r="K42" s="99">
        <f>Расходы!L15</f>
        <v>-0.037333</v>
      </c>
      <c r="L42" s="99">
        <f>Расходы!M15</f>
        <v>-0.037333</v>
      </c>
      <c r="M42" s="99">
        <f>Расходы!N15</f>
        <v>-0.037333</v>
      </c>
      <c r="N42" s="99">
        <f>SUM(B42:M42)</f>
        <v>-1.12266667</v>
      </c>
      <c r="O42" s="100">
        <f>Расходы!P15</f>
        <v>0</v>
      </c>
    </row>
    <row r="43" ht="15" hidden="1" customHeight="1" outlineLevel="1" x14ac:dyDescent="0.15">
      <c r="A43" s="95" t="inlineStr">
        <is>
          <t xml:space="preserve">Расходы на внешнее обучение</t>
        </is>
      </c>
      <c r="B43" s="99">
        <f>Расходы!C16</f>
        <v>-0</v>
      </c>
      <c r="C43" s="99">
        <f>Расходы!D16</f>
        <v>-0</v>
      </c>
      <c r="D43" s="99">
        <f>Расходы!E16</f>
        <v>-0.51209</v>
      </c>
      <c r="E43" s="99">
        <f>Расходы!F16</f>
        <v>-0.51209</v>
      </c>
      <c r="F43" s="99">
        <f>Расходы!G16</f>
        <v>-0.51209</v>
      </c>
      <c r="G43" s="99">
        <f>Расходы!H16</f>
        <v>-0.51209</v>
      </c>
      <c r="H43" s="99">
        <f>Расходы!I16</f>
        <v>-0.51209</v>
      </c>
      <c r="I43" s="99">
        <f>Расходы!J16</f>
        <v>-0.51209</v>
      </c>
      <c r="J43" s="99">
        <f>Расходы!K16</f>
        <v>-0.51209</v>
      </c>
      <c r="K43" s="99">
        <f>Расходы!L16</f>
        <v>-0.51209</v>
      </c>
      <c r="L43" s="99">
        <f>Расходы!M16</f>
        <v>-0.51209</v>
      </c>
      <c r="M43" s="99">
        <f>Расходы!N16</f>
        <v>-0.51209</v>
      </c>
      <c r="N43" s="99">
        <f>SUM(B43:M43)</f>
        <v>-5.1209</v>
      </c>
      <c r="O43" s="100">
        <f>Расходы!P16</f>
        <v>-5.7</v>
      </c>
    </row>
    <row r="44" ht="15" hidden="1" customHeight="1" outlineLevel="1" x14ac:dyDescent="0.15">
      <c r="A44" s="95" t="inlineStr">
        <is>
          <t xml:space="preserve">Развитие HR бренда</t>
        </is>
      </c>
      <c r="B44" s="99">
        <f>Расходы!C17</f>
        <v>-0</v>
      </c>
      <c r="C44" s="99">
        <f>Расходы!D17</f>
        <v>-4</v>
      </c>
      <c r="D44" s="99">
        <f>Расходы!E17</f>
        <v>-0</v>
      </c>
      <c r="E44" s="99">
        <f>Расходы!F17</f>
        <v>-10.25</v>
      </c>
      <c r="F44" s="99">
        <f>Расходы!G17</f>
        <v>-0</v>
      </c>
      <c r="G44" s="99">
        <f>Расходы!H17</f>
        <v>-0</v>
      </c>
      <c r="H44" s="99">
        <f>Расходы!I17</f>
        <v>-6</v>
      </c>
      <c r="I44" s="99">
        <f>Расходы!J17</f>
        <v>-0</v>
      </c>
      <c r="J44" s="99">
        <f>Расходы!K17</f>
        <v>-0</v>
      </c>
      <c r="K44" s="99">
        <f>Расходы!L17</f>
        <v>-0</v>
      </c>
      <c r="L44" s="99">
        <f>Расходы!M17</f>
        <v>-0</v>
      </c>
      <c r="M44" s="99">
        <f>Расходы!N17</f>
        <v>-0</v>
      </c>
      <c r="N44" s="99">
        <f>SUM(B44:M44)</f>
        <v>-20.25</v>
      </c>
      <c r="O44" s="100">
        <f>Расходы!P17</f>
        <v>-14</v>
      </c>
    </row>
    <row r="45" ht="15" hidden="1" customHeight="1" outlineLevel="1" x14ac:dyDescent="0.15">
      <c r="A45" s="95" t="inlineStr">
        <is>
          <t xml:space="preserve">Карты лояльности (мотивация сотрудников)</t>
        </is>
      </c>
      <c r="B45" s="99">
        <f>Расходы!C18</f>
        <v>-0.02799675</v>
      </c>
      <c r="C45" s="99">
        <f>Расходы!D18</f>
        <v>-0.02799675</v>
      </c>
      <c r="D45" s="99">
        <f>Расходы!E18</f>
        <v>-0.02799675</v>
      </c>
      <c r="E45" s="99">
        <f>Расходы!F18</f>
        <v>-0.02799675</v>
      </c>
      <c r="F45" s="99">
        <f>Расходы!G18</f>
        <v>-0.02799675</v>
      </c>
      <c r="G45" s="99">
        <f>Расходы!H18</f>
        <v>-0.02799675</v>
      </c>
      <c r="H45" s="99">
        <f>Расходы!I18</f>
        <v>-0.02799675</v>
      </c>
      <c r="I45" s="99">
        <f>Расходы!J18</f>
        <v>-0.02799675</v>
      </c>
      <c r="J45" s="99">
        <f>Расходы!K18</f>
        <v>-0.02799675</v>
      </c>
      <c r="K45" s="99">
        <f>Расходы!L18</f>
        <v>-0.02799675</v>
      </c>
      <c r="L45" s="99">
        <f>Расходы!M18</f>
        <v>-0.02799675</v>
      </c>
      <c r="M45" s="99">
        <f>Расходы!N18</f>
        <v>-0.02799675</v>
      </c>
      <c r="N45" s="99">
        <f>SUM(B45:M45)</f>
        <v>-0.335961</v>
      </c>
      <c r="O45" s="100">
        <f>Расходы!P18</f>
        <v>0</v>
      </c>
    </row>
    <row r="46" ht="15" hidden="1" customHeight="1" outlineLevel="1" x14ac:dyDescent="0.15">
      <c r="A46" s="95" t="inlineStr">
        <is>
          <t xml:space="preserve">Прочие компенсации и льготы</t>
        </is>
      </c>
      <c r="B46" s="99">
        <f>Расходы!C19</f>
        <v>-0.0416666666666667</v>
      </c>
      <c r="C46" s="99">
        <f>Расходы!D19</f>
        <v>-0.0416666666666667</v>
      </c>
      <c r="D46" s="99">
        <f>Расходы!E19</f>
        <v>-0.0416666666666667</v>
      </c>
      <c r="E46" s="99">
        <f>Расходы!F19</f>
        <v>-0.0416666666666667</v>
      </c>
      <c r="F46" s="99">
        <f>Расходы!G19</f>
        <v>-0.0416666666666667</v>
      </c>
      <c r="G46" s="99">
        <f>Расходы!H19</f>
        <v>-0.0416666666666667</v>
      </c>
      <c r="H46" s="99">
        <f>Расходы!I19</f>
        <v>-0.0416666666666667</v>
      </c>
      <c r="I46" s="99">
        <f>Расходы!J19</f>
        <v>-0.0416666666666667</v>
      </c>
      <c r="J46" s="99">
        <f>Расходы!K19</f>
        <v>-0.0416666666666667</v>
      </c>
      <c r="K46" s="99">
        <f>Расходы!L19</f>
        <v>-0.0416666666666667</v>
      </c>
      <c r="L46" s="99">
        <f>Расходы!M19</f>
        <v>-0.0416666666666667</v>
      </c>
      <c r="M46" s="99">
        <f>Расходы!N19</f>
        <v>-0.0416666666666667</v>
      </c>
      <c r="N46" s="99">
        <f>SUM(B46:M46)</f>
        <v>-0.5</v>
      </c>
      <c r="O46" s="100">
        <f>Расходы!P19</f>
        <v>-1.2</v>
      </c>
    </row>
    <row r="47" ht="15" hidden="1" customHeight="1" outlineLevel="1" x14ac:dyDescent="0.15">
      <c r="A47" s="95" t="inlineStr">
        <is>
          <t xml:space="preserve">Резерв на оплату отпусков</t>
        </is>
      </c>
      <c r="B47" s="99">
        <f>Расходы!C20</f>
        <v>0.2</v>
      </c>
      <c r="C47" s="99">
        <f>Расходы!D20</f>
        <v>0.2</v>
      </c>
      <c r="D47" s="99">
        <f>Расходы!E20</f>
        <v>0.2</v>
      </c>
      <c r="E47" s="99">
        <f>Расходы!F20</f>
        <v>0.2</v>
      </c>
      <c r="F47" s="99">
        <f>Расходы!G20</f>
        <v>0.2</v>
      </c>
      <c r="G47" s="99">
        <f>Расходы!H20</f>
        <v>0.2</v>
      </c>
      <c r="H47" s="99">
        <f>Расходы!I20</f>
        <v>0.2</v>
      </c>
      <c r="I47" s="99">
        <f>Расходы!J20</f>
        <v>0.2</v>
      </c>
      <c r="J47" s="99">
        <f>Расходы!K20</f>
        <v>0.2</v>
      </c>
      <c r="K47" s="99">
        <f>Расходы!L20</f>
        <v>0.2</v>
      </c>
      <c r="L47" s="99">
        <f>Расходы!M20</f>
        <v>0.2</v>
      </c>
      <c r="M47" s="99">
        <f>Расходы!N20</f>
        <v>0.2</v>
      </c>
      <c r="N47" s="99">
        <f>SUM(B47:M47)</f>
        <v>2.4</v>
      </c>
      <c r="O47" s="100">
        <f>Расходы!P20</f>
        <v>3</v>
      </c>
    </row>
    <row r="48" ht="15.5" customHeight="1" collapsed="1" thickTop="1" thickBot="1" x14ac:dyDescent="0.2">
      <c r="A48" s="237" t="inlineStr">
        <is>
          <t xml:space="preserve">Other PEX</t>
        </is>
      </c>
      <c r="B48" s="138">
        <f>SUM(B38:B47)</f>
        <v>-1.1561945499232</v>
      </c>
      <c r="C48" s="138">
        <f>SUM(C38:C47)</f>
        <v>-5.1511945499232</v>
      </c>
      <c r="D48" s="138">
        <f>SUM(D38:D47)</f>
        <v>-1.8032845499232</v>
      </c>
      <c r="E48" s="138">
        <f>SUM(E38:E47)</f>
        <v>-12.2532852199232</v>
      </c>
      <c r="F48" s="138">
        <f>SUM(F38:F47)</f>
        <v>-1.6682845499232</v>
      </c>
      <c r="G48" s="138">
        <f>SUM(G38:G47)</f>
        <v>-1.6632845499232</v>
      </c>
      <c r="H48" s="138">
        <f>SUM(H38:H47)</f>
        <v>-7.8032845499232</v>
      </c>
      <c r="I48" s="138">
        <f>SUM(I38:I47)</f>
        <v>-2.0029545499232</v>
      </c>
      <c r="J48" s="138">
        <f>SUM(J38:J47)</f>
        <v>-1.6682845499232</v>
      </c>
      <c r="K48" s="138">
        <f>SUM(K38:K47)</f>
        <v>-1.6632845499232</v>
      </c>
      <c r="L48" s="138">
        <f>SUM(L38:L47)</f>
        <v>-1.68150634062704</v>
      </c>
      <c r="M48" s="138">
        <f>SUM(M38:M47)</f>
        <v>-1.7715893986895</v>
      </c>
      <c r="N48" s="138">
        <f>SUM(B48:M48)</f>
        <v>-40.2864319085485</v>
      </c>
      <c r="O48" s="104">
        <f>SUM(O38:O47)</f>
        <v>-32.7</v>
      </c>
    </row>
    <row r="49" ht="15" hidden="1" customHeight="1" outlineLevel="1" thickTop="1" x14ac:dyDescent="0.15">
      <c r="A49" s="95" t="inlineStr">
        <is>
          <t xml:space="preserve">PR/GR</t>
        </is>
      </c>
      <c r="B49" s="99">
        <f>Расходы!C22</f>
        <v>-0.675</v>
      </c>
      <c r="C49" s="99">
        <f>Расходы!D22</f>
        <v>-3.525</v>
      </c>
      <c r="D49" s="99">
        <f>Расходы!E22</f>
        <v>-4.25</v>
      </c>
      <c r="E49" s="99">
        <f>Расходы!F22</f>
        <v>-2.675</v>
      </c>
      <c r="F49" s="99">
        <f>Расходы!G22</f>
        <v>-0.875</v>
      </c>
      <c r="G49" s="99">
        <f>Расходы!H22</f>
        <v>-1.9</v>
      </c>
      <c r="H49" s="99">
        <f>Расходы!I22</f>
        <v>-4.675</v>
      </c>
      <c r="I49" s="99">
        <f>Расходы!J22</f>
        <v>-2.025</v>
      </c>
      <c r="J49" s="99">
        <f>Расходы!K22</f>
        <v>-3.45</v>
      </c>
      <c r="K49" s="99">
        <f>Расходы!L22</f>
        <v>-1.975</v>
      </c>
      <c r="L49" s="99">
        <f>Расходы!M22</f>
        <v>-5.875</v>
      </c>
      <c r="M49" s="99">
        <f>Расходы!N22</f>
        <v>-1.4</v>
      </c>
      <c r="N49" s="99">
        <f>SUM(B49:M49)</f>
        <v>-33.3</v>
      </c>
      <c r="O49" s="100">
        <f>Расходы!P22</f>
        <v>-23.25</v>
      </c>
    </row>
    <row r="50" ht="15" hidden="1" customHeight="1" outlineLevel="1" x14ac:dyDescent="0.15">
      <c r="A50" s="95" t="inlineStr">
        <is>
          <t xml:space="preserve">Организация бизнес-мероприятий для партнеров</t>
        </is>
      </c>
      <c r="B50" s="99">
        <f>Расходы!C23</f>
        <v>-0</v>
      </c>
      <c r="C50" s="99">
        <f>Расходы!D23</f>
        <v>-1.5</v>
      </c>
      <c r="D50" s="99">
        <f>Расходы!E23</f>
        <v>-0</v>
      </c>
      <c r="E50" s="99">
        <f>Расходы!F23</f>
        <v>-0</v>
      </c>
      <c r="F50" s="99">
        <f>Расходы!G23</f>
        <v>-0</v>
      </c>
      <c r="G50" s="99">
        <f>Расходы!H23</f>
        <v>-0.15</v>
      </c>
      <c r="H50" s="99">
        <f>Расходы!I23</f>
        <v>-0</v>
      </c>
      <c r="I50" s="99">
        <f>Расходы!J23</f>
        <v>-0</v>
      </c>
      <c r="J50" s="99">
        <f>Расходы!K23</f>
        <v>-0.15</v>
      </c>
      <c r="K50" s="99">
        <f>Расходы!L23</f>
        <v>-0</v>
      </c>
      <c r="L50" s="99">
        <f>Расходы!M23</f>
        <v>-0</v>
      </c>
      <c r="M50" s="99">
        <f>Расходы!N23</f>
        <v>-0</v>
      </c>
      <c r="N50" s="99">
        <f>SUM(B50:M50)</f>
        <v>-1.8</v>
      </c>
      <c r="O50" s="100">
        <f>Расходы!P23</f>
        <v>-3.5</v>
      </c>
    </row>
    <row r="51" ht="15" hidden="1" customHeight="1" outlineLevel="1" x14ac:dyDescent="0.15">
      <c r="A51" s="95" t="inlineStr">
        <is>
          <t xml:space="preserve">Маркетинговые исследования</t>
        </is>
      </c>
      <c r="B51" s="99">
        <f>Расходы!C24</f>
        <v>-1.1260256</v>
      </c>
      <c r="C51" s="99">
        <f>Расходы!D24</f>
        <v>-1.1260256</v>
      </c>
      <c r="D51" s="99">
        <f>Расходы!E24</f>
        <v>-1.1260256</v>
      </c>
      <c r="E51" s="99">
        <f>Расходы!F24</f>
        <v>-1.1260256</v>
      </c>
      <c r="F51" s="99">
        <f>Расходы!G24</f>
        <v>-1.1260256</v>
      </c>
      <c r="G51" s="99">
        <f>Расходы!H24</f>
        <v>-1.1260256</v>
      </c>
      <c r="H51" s="99">
        <f>Расходы!I24</f>
        <v>-1.4670104</v>
      </c>
      <c r="I51" s="99">
        <f>Расходы!J24</f>
        <v>-1.4670104</v>
      </c>
      <c r="J51" s="99">
        <f>Расходы!K24</f>
        <v>-1.4670104</v>
      </c>
      <c r="K51" s="99">
        <f>Расходы!L24</f>
        <v>-1.4670104</v>
      </c>
      <c r="L51" s="99">
        <f>Расходы!M24</f>
        <v>-1.4670104</v>
      </c>
      <c r="M51" s="99">
        <f>Расходы!N24</f>
        <v>-1.4670104</v>
      </c>
      <c r="N51" s="99">
        <f>SUM(B51:M51)</f>
        <v>-15.558216</v>
      </c>
      <c r="O51" s="100">
        <f>Расходы!P24</f>
        <v>-8.3</v>
      </c>
    </row>
    <row r="52" ht="15" hidden="1" customHeight="1" outlineLevel="1" x14ac:dyDescent="0.15">
      <c r="A52" s="95" t="inlineStr">
        <is>
          <t xml:space="preserve">Маркетинг ВГО (не поставщики)</t>
        </is>
      </c>
      <c r="B52" s="99">
        <f>Расходы!C25</f>
        <v>-4.16666666666667</v>
      </c>
      <c r="C52" s="99">
        <f>Расходы!D25</f>
        <v>-4.16666666666667</v>
      </c>
      <c r="D52" s="99">
        <f>Расходы!E25</f>
        <v>-4.16666666666667</v>
      </c>
      <c r="E52" s="99">
        <f>Расходы!F25</f>
        <v>-4.16666666666667</v>
      </c>
      <c r="F52" s="99">
        <f>Расходы!G25</f>
        <v>-4.16666666666667</v>
      </c>
      <c r="G52" s="99">
        <f>Расходы!H25</f>
        <v>-4.16666666666667</v>
      </c>
      <c r="H52" s="99">
        <f>Расходы!I25</f>
        <v>-4.16666666666667</v>
      </c>
      <c r="I52" s="99">
        <f>Расходы!J25</f>
        <v>-4.16666666666667</v>
      </c>
      <c r="J52" s="99">
        <f>Расходы!K25</f>
        <v>-4.16666666666667</v>
      </c>
      <c r="K52" s="99">
        <f>Расходы!L25</f>
        <v>-4.16666666666667</v>
      </c>
      <c r="L52" s="99">
        <f>Расходы!M25</f>
        <v>-4.16666666666667</v>
      </c>
      <c r="M52" s="99">
        <f>Расходы!N25</f>
        <v>-4.16666666666667</v>
      </c>
      <c r="N52" s="99">
        <f>SUM(B52:M52)</f>
        <v>-50</v>
      </c>
      <c r="O52" s="100">
        <f>Расходы!P25</f>
        <v>-20.2</v>
      </c>
    </row>
    <row r="53" ht="15.5" customHeight="1" collapsed="1" thickTop="1" thickBot="1" x14ac:dyDescent="0.2">
      <c r="A53" s="237" t="inlineStr">
        <is>
          <t xml:space="preserve">Marketing</t>
        </is>
      </c>
      <c r="B53" s="138">
        <f>SUM(B49:B52)</f>
        <v>-5.96769226666667</v>
      </c>
      <c r="C53" s="138">
        <f>SUM(C49:C52)</f>
        <v>-10.3176922666667</v>
      </c>
      <c r="D53" s="138">
        <f>SUM(D49:D52)</f>
        <v>-9.54269226666667</v>
      </c>
      <c r="E53" s="138">
        <f>SUM(E49:E52)</f>
        <v>-7.96769226666667</v>
      </c>
      <c r="F53" s="138">
        <f>SUM(F49:F52)</f>
        <v>-6.16769226666667</v>
      </c>
      <c r="G53" s="138">
        <f>SUM(G49:G52)</f>
        <v>-7.34269226666667</v>
      </c>
      <c r="H53" s="138">
        <f>SUM(H49:H52)</f>
        <v>-10.3086770666667</v>
      </c>
      <c r="I53" s="138">
        <f>SUM(I49:I52)</f>
        <v>-7.65867706666667</v>
      </c>
      <c r="J53" s="138">
        <f>SUM(J49:J52)</f>
        <v>-9.23367706666667</v>
      </c>
      <c r="K53" s="138">
        <f>SUM(K49:K52)</f>
        <v>-7.60867706666667</v>
      </c>
      <c r="L53" s="138">
        <f>SUM(L49:L52)</f>
        <v>-11.5086770666667</v>
      </c>
      <c r="M53" s="138">
        <f>SUM(M49:M52)</f>
        <v>-7.03367706666667</v>
      </c>
      <c r="N53" s="138">
        <f>SUM(B53:M53)</f>
        <v>-100.658216</v>
      </c>
      <c r="O53" s="104">
        <f>SUM(O49:O52)</f>
        <v>-55.25</v>
      </c>
    </row>
    <row r="54" ht="15" hidden="1" customHeight="1" outlineLevel="1" thickTop="1" x14ac:dyDescent="0.15">
      <c r="A54" s="95" t="inlineStr">
        <is>
          <t xml:space="preserve">Техподдержка и сопровождение программного обеспечения</t>
        </is>
      </c>
      <c r="B54" s="99">
        <f>Расходы!C30</f>
        <v>-6.44907272921417</v>
      </c>
      <c r="C54" s="99">
        <f>Расходы!D30</f>
        <v>-6.44907272921417</v>
      </c>
      <c r="D54" s="99">
        <f>Расходы!E30</f>
        <v>-6.84907272921417</v>
      </c>
      <c r="E54" s="99">
        <f>Расходы!F30</f>
        <v>-6.64907272921417</v>
      </c>
      <c r="F54" s="99">
        <f>Расходы!G30</f>
        <v>-7.14907272921417</v>
      </c>
      <c r="G54" s="99">
        <f>Расходы!H30</f>
        <v>-7.09957968014875</v>
      </c>
      <c r="H54" s="99">
        <f>Расходы!I30</f>
        <v>-7.04200677321728</v>
      </c>
      <c r="I54" s="99">
        <f>Расходы!J30</f>
        <v>-7.30994301384494</v>
      </c>
      <c r="J54" s="99">
        <f>Расходы!K30</f>
        <v>-8.82134158688551</v>
      </c>
      <c r="K54" s="99">
        <f>Расходы!L30</f>
        <v>-9.42744069455684</v>
      </c>
      <c r="L54" s="99">
        <f>Расходы!M30</f>
        <v>-9.42744069455684</v>
      </c>
      <c r="M54" s="99">
        <f>Расходы!N30</f>
        <v>-9.42744069455684</v>
      </c>
      <c r="N54" s="99">
        <f>SUM(B54:M54)</f>
        <v>-92.1005567838379</v>
      </c>
      <c r="O54" s="99">
        <f>Расходы!P30</f>
        <v>-58.6</v>
      </c>
    </row>
    <row r="55" ht="15.5" customHeight="1" collapsed="1" thickTop="1" thickBot="1" x14ac:dyDescent="0.2">
      <c r="A55" s="237" t="inlineStr">
        <is>
          <t xml:space="preserve">IT</t>
        </is>
      </c>
      <c r="B55" s="138">
        <f>B54</f>
        <v>-6.44907272921417</v>
      </c>
      <c r="C55" s="138">
        <f>C54</f>
        <v>-6.44907272921417</v>
      </c>
      <c r="D55" s="138">
        <f>D54</f>
        <v>-6.84907272921417</v>
      </c>
      <c r="E55" s="138">
        <f>E54</f>
        <v>-6.64907272921417</v>
      </c>
      <c r="F55" s="138">
        <f>F54</f>
        <v>-7.14907272921417</v>
      </c>
      <c r="G55" s="138">
        <f>G54</f>
        <v>-7.09957968014875</v>
      </c>
      <c r="H55" s="138">
        <f>H54</f>
        <v>-7.04200677321728</v>
      </c>
      <c r="I55" s="138">
        <f>I54</f>
        <v>-7.30994301384494</v>
      </c>
      <c r="J55" s="138">
        <f>J54</f>
        <v>-8.82134158688551</v>
      </c>
      <c r="K55" s="138">
        <f>K54</f>
        <v>-9.42744069455684</v>
      </c>
      <c r="L55" s="138">
        <f>L54</f>
        <v>-9.42744069455684</v>
      </c>
      <c r="M55" s="138">
        <f>M54</f>
        <v>-9.42744069455684</v>
      </c>
      <c r="N55" s="138">
        <f>SUM(B55:M55)</f>
        <v>-92.1005567838379</v>
      </c>
      <c r="O55" s="104">
        <f>O54</f>
        <v>-58.6</v>
      </c>
    </row>
    <row r="56" ht="15" hidden="1" customHeight="1" outlineLevel="1" thickTop="1" x14ac:dyDescent="0.15">
      <c r="A56" s="95" t="inlineStr">
        <is>
          <t xml:space="preserve">Аренда</t>
        </is>
      </c>
      <c r="B56" s="99">
        <f>Расходы!C32</f>
        <v>-0</v>
      </c>
      <c r="C56" s="99">
        <f>Расходы!D32</f>
        <v>-0</v>
      </c>
      <c r="D56" s="99">
        <f>Расходы!E32</f>
        <v>-0</v>
      </c>
      <c r="E56" s="99">
        <f>Расходы!F32</f>
        <v>-0</v>
      </c>
      <c r="F56" s="99">
        <f>Расходы!G32</f>
        <v>-0</v>
      </c>
      <c r="G56" s="99">
        <f>Расходы!H32</f>
        <v>-0</v>
      </c>
      <c r="H56" s="99">
        <f>Расходы!I32</f>
        <v>-0</v>
      </c>
      <c r="I56" s="99">
        <f>Расходы!J32</f>
        <v>-0</v>
      </c>
      <c r="J56" s="99">
        <f>Расходы!K32</f>
        <v>-0</v>
      </c>
      <c r="K56" s="99">
        <f>Расходы!L32</f>
        <v>-0</v>
      </c>
      <c r="L56" s="99">
        <f>Расходы!M32</f>
        <v>-0</v>
      </c>
      <c r="M56" s="99">
        <f>Расходы!N32</f>
        <v>-0</v>
      </c>
      <c r="N56" s="99">
        <f>SUM(B56:M56)</f>
        <v>0</v>
      </c>
      <c r="O56" s="100">
        <f>Расходы!P32</f>
        <v>0</v>
      </c>
    </row>
    <row r="57" ht="15" hidden="1" customHeight="1" outlineLevel="1" x14ac:dyDescent="0.15">
      <c r="A57" s="95" t="inlineStr">
        <is>
          <t xml:space="preserve">Сервисный договор</t>
        </is>
      </c>
      <c r="B57" s="99">
        <f>Расходы!C33</f>
        <v>-0.313333333333333</v>
      </c>
      <c r="C57" s="99">
        <f>Расходы!D33</f>
        <v>-0.313333333333333</v>
      </c>
      <c r="D57" s="99">
        <f>Расходы!E33</f>
        <v>-0.313333333333333</v>
      </c>
      <c r="E57" s="99">
        <f>Расходы!F33</f>
        <v>-0.313333333333333</v>
      </c>
      <c r="F57" s="99">
        <f>Расходы!G33</f>
        <v>-0.313333333333333</v>
      </c>
      <c r="G57" s="99">
        <f>Расходы!H33</f>
        <v>-0.313333333333333</v>
      </c>
      <c r="H57" s="99">
        <f>Расходы!I33</f>
        <v>-0.313333333333333</v>
      </c>
      <c r="I57" s="99">
        <f>Расходы!J33</f>
        <v>-0.313333333333333</v>
      </c>
      <c r="J57" s="99">
        <f>Расходы!K33</f>
        <v>-0.313333333333333</v>
      </c>
      <c r="K57" s="99">
        <f>Расходы!L33</f>
        <v>-0.313333333333333</v>
      </c>
      <c r="L57" s="99">
        <f>Расходы!M33</f>
        <v>-0.313333333333333</v>
      </c>
      <c r="M57" s="99">
        <f>Расходы!N33</f>
        <v>-0.313333333333333</v>
      </c>
      <c r="N57" s="99">
        <f>SUM(B57:M57)</f>
        <v>-3.76</v>
      </c>
      <c r="O57" s="100">
        <f>Расходы!P33</f>
        <v>-5</v>
      </c>
    </row>
    <row r="58" ht="15" hidden="1" customHeight="1" outlineLevel="1" x14ac:dyDescent="0.15">
      <c r="A58" s="95" t="inlineStr">
        <is>
          <t xml:space="preserve">Рекламный сбор</t>
        </is>
      </c>
      <c r="B58" s="99">
        <f>Расходы!C34</f>
        <v>-2.01434793760495</v>
      </c>
      <c r="C58" s="99">
        <f>Расходы!D34</f>
        <v>-5.03586984401236</v>
      </c>
      <c r="D58" s="99">
        <f>Расходы!E34</f>
        <v>-7.05021778161731</v>
      </c>
      <c r="E58" s="99">
        <f>Расходы!F34</f>
        <v>-7.05021778161731</v>
      </c>
      <c r="F58" s="99">
        <f>Расходы!G34</f>
        <v>-7.05021778161732</v>
      </c>
      <c r="G58" s="99">
        <f>Расходы!H34</f>
        <v>-7.05021778161732</v>
      </c>
      <c r="H58" s="99">
        <f>Расходы!I34</f>
        <v>-7.05021778161731</v>
      </c>
      <c r="I58" s="99">
        <f>Расходы!J34</f>
        <v>-8.05739175041977</v>
      </c>
      <c r="J58" s="99">
        <f>Расходы!K34</f>
        <v>-8.05739175041979</v>
      </c>
      <c r="K58" s="99">
        <f>Расходы!L34</f>
        <v>-11.0789136568272</v>
      </c>
      <c r="L58" s="99">
        <f>Расходы!M34</f>
        <v>-14.1004355632346</v>
      </c>
      <c r="M58" s="99">
        <f>Расходы!N34</f>
        <v>-17.121957469642</v>
      </c>
      <c r="N58" s="99">
        <f>SUM(B58:M58)</f>
        <v>-100.717396880247</v>
      </c>
      <c r="O58" s="100">
        <f>Расходы!P34</f>
        <v>-80.7</v>
      </c>
    </row>
    <row r="59" ht="15" hidden="1" customHeight="1" outlineLevel="1" x14ac:dyDescent="0.15">
      <c r="A59" s="95" t="inlineStr">
        <is>
          <t xml:space="preserve">Командировочные - Проезд</t>
        </is>
      </c>
      <c r="B59" s="99">
        <f>Расходы!C35</f>
        <v>-0.0858333333333333</v>
      </c>
      <c r="C59" s="99">
        <f>Расходы!D35</f>
        <v>-0.0858333333333333</v>
      </c>
      <c r="D59" s="99">
        <f>Расходы!E35</f>
        <v>-0.0858333333333333</v>
      </c>
      <c r="E59" s="99">
        <f>Расходы!F35</f>
        <v>-0.0858333333333333</v>
      </c>
      <c r="F59" s="99">
        <f>Расходы!G35</f>
        <v>-0.0858333333333333</v>
      </c>
      <c r="G59" s="99">
        <f>Расходы!H35</f>
        <v>-0.0858333333333333</v>
      </c>
      <c r="H59" s="99">
        <f>Расходы!I35</f>
        <v>-0.0858333333333333</v>
      </c>
      <c r="I59" s="99">
        <f>Расходы!J35</f>
        <v>-0.0858333333333333</v>
      </c>
      <c r="J59" s="99">
        <f>Расходы!K35</f>
        <v>-0.0858333333333333</v>
      </c>
      <c r="K59" s="99">
        <f>Расходы!L35</f>
        <v>-0.0858333333333333</v>
      </c>
      <c r="L59" s="99">
        <f>Расходы!M35</f>
        <v>-0.0858333333333333</v>
      </c>
      <c r="M59" s="99">
        <f>Расходы!N35</f>
        <v>-0.0858333333333333</v>
      </c>
      <c r="N59" s="99">
        <f>SUM(B59:M59)</f>
        <v>-1.03</v>
      </c>
      <c r="O59" s="100">
        <f>Расходы!P35</f>
        <v>-2.6</v>
      </c>
    </row>
    <row r="60" ht="15" hidden="1" customHeight="1" outlineLevel="1" x14ac:dyDescent="0.15">
      <c r="A60" s="95" t="inlineStr">
        <is>
          <t xml:space="preserve">Командировочные - Проживание</t>
        </is>
      </c>
      <c r="B60" s="99">
        <f>Расходы!C36</f>
        <v>-0.06</v>
      </c>
      <c r="C60" s="99">
        <f>Расходы!D36</f>
        <v>-0.06</v>
      </c>
      <c r="D60" s="99">
        <f>Расходы!E36</f>
        <v>-0.06</v>
      </c>
      <c r="E60" s="99">
        <f>Расходы!F36</f>
        <v>-0.06</v>
      </c>
      <c r="F60" s="99">
        <f>Расходы!G36</f>
        <v>-0.06</v>
      </c>
      <c r="G60" s="99">
        <f>Расходы!H36</f>
        <v>-0.06</v>
      </c>
      <c r="H60" s="99">
        <f>Расходы!I36</f>
        <v>-0.06</v>
      </c>
      <c r="I60" s="99">
        <f>Расходы!J36</f>
        <v>-0.06</v>
      </c>
      <c r="J60" s="99">
        <f>Расходы!K36</f>
        <v>-0.06</v>
      </c>
      <c r="K60" s="99">
        <f>Расходы!L36</f>
        <v>-0.06</v>
      </c>
      <c r="L60" s="99">
        <f>Расходы!M36</f>
        <v>-0.06</v>
      </c>
      <c r="M60" s="99">
        <f>Расходы!N36</f>
        <v>-0.06</v>
      </c>
      <c r="N60" s="99">
        <f>SUM(B60:M60)</f>
        <v>-0.72</v>
      </c>
      <c r="O60" s="100">
        <f>Расходы!P36</f>
        <v>-1.9</v>
      </c>
    </row>
    <row r="61" ht="15" hidden="1" customHeight="1" outlineLevel="1" x14ac:dyDescent="0.15">
      <c r="A61" s="95" t="inlineStr">
        <is>
          <t xml:space="preserve">Командировочные - Суточные</t>
        </is>
      </c>
      <c r="B61" s="99">
        <f>Расходы!C37</f>
        <v>-0.02</v>
      </c>
      <c r="C61" s="99">
        <f>Расходы!D37</f>
        <v>-0.02</v>
      </c>
      <c r="D61" s="99">
        <f>Расходы!E37</f>
        <v>-0.02</v>
      </c>
      <c r="E61" s="99">
        <f>Расходы!F37</f>
        <v>-0.02</v>
      </c>
      <c r="F61" s="99">
        <f>Расходы!G37</f>
        <v>-0.02</v>
      </c>
      <c r="G61" s="99">
        <f>Расходы!H37</f>
        <v>-0.02</v>
      </c>
      <c r="H61" s="99">
        <f>Расходы!I37</f>
        <v>-0.02</v>
      </c>
      <c r="I61" s="99">
        <f>Расходы!J37</f>
        <v>-0.02</v>
      </c>
      <c r="J61" s="99">
        <f>Расходы!K37</f>
        <v>-0.02</v>
      </c>
      <c r="K61" s="99">
        <f>Расходы!L37</f>
        <v>-0.02</v>
      </c>
      <c r="L61" s="99">
        <f>Расходы!M37</f>
        <v>-0.02</v>
      </c>
      <c r="M61" s="99">
        <f>Расходы!N37</f>
        <v>-0.02</v>
      </c>
      <c r="N61" s="99">
        <f>SUM(B61:M61)</f>
        <v>-0.24</v>
      </c>
      <c r="O61" s="100">
        <f>Расходы!P37</f>
        <v>-0.2</v>
      </c>
    </row>
    <row r="62" ht="15" hidden="1" customHeight="1" outlineLevel="1" x14ac:dyDescent="0.15">
      <c r="A62" s="95" t="inlineStr">
        <is>
          <t xml:space="preserve">Представительские расходы</t>
        </is>
      </c>
      <c r="B62" s="99">
        <f>Расходы!C38</f>
        <v>-0.0458333333333333</v>
      </c>
      <c r="C62" s="99">
        <f>Расходы!D38</f>
        <v>-0.0458333333333333</v>
      </c>
      <c r="D62" s="99">
        <f>Расходы!E38</f>
        <v>-0.0458333333333333</v>
      </c>
      <c r="E62" s="99">
        <f>Расходы!F38</f>
        <v>-0.0458333333333333</v>
      </c>
      <c r="F62" s="99">
        <f>Расходы!G38</f>
        <v>-0.0458333333333333</v>
      </c>
      <c r="G62" s="99">
        <f>Расходы!H38</f>
        <v>-0.0458333333333333</v>
      </c>
      <c r="H62" s="99">
        <f>Расходы!I38</f>
        <v>-0.0458333333333333</v>
      </c>
      <c r="I62" s="99">
        <f>Расходы!J38</f>
        <v>-0.0458333333333333</v>
      </c>
      <c r="J62" s="99">
        <f>Расходы!K38</f>
        <v>-0.0458333333333333</v>
      </c>
      <c r="K62" s="99">
        <f>Расходы!L38</f>
        <v>-0.0458333333333333</v>
      </c>
      <c r="L62" s="99">
        <f>Расходы!M38</f>
        <v>-0.0458333333333333</v>
      </c>
      <c r="M62" s="99">
        <f>Расходы!N38</f>
        <v>-0.0458333333333333</v>
      </c>
      <c r="N62" s="99">
        <f>SUM(B62:M62)</f>
        <v>-0.55</v>
      </c>
      <c r="O62" s="100">
        <f>Расходы!P38</f>
        <v>-0.7</v>
      </c>
    </row>
    <row r="63" ht="15" hidden="1" customHeight="1" outlineLevel="1" x14ac:dyDescent="0.15">
      <c r="A63" s="95" t="inlineStr">
        <is>
          <t xml:space="preserve">Почтовые, курьерские услуги</t>
        </is>
      </c>
      <c r="B63" s="99">
        <f>Расходы!C39</f>
        <v>0</v>
      </c>
      <c r="C63" s="99">
        <f>Расходы!D39</f>
        <v>0</v>
      </c>
      <c r="D63" s="99">
        <f>Расходы!E39</f>
        <v>0</v>
      </c>
      <c r="E63" s="99">
        <f>Расходы!F39</f>
        <v>0</v>
      </c>
      <c r="F63" s="99">
        <f>Расходы!G39</f>
        <v>0</v>
      </c>
      <c r="G63" s="99">
        <f>Расходы!H39</f>
        <v>0</v>
      </c>
      <c r="H63" s="99">
        <f>Расходы!I39</f>
        <v>0</v>
      </c>
      <c r="I63" s="99">
        <f>Расходы!J39</f>
        <v>0</v>
      </c>
      <c r="J63" s="99">
        <f>Расходы!K39</f>
        <v>0</v>
      </c>
      <c r="K63" s="99">
        <f>Расходы!L39</f>
        <v>0</v>
      </c>
      <c r="L63" s="99">
        <f>Расходы!M39</f>
        <v>0</v>
      </c>
      <c r="M63" s="99">
        <f>Расходы!N39</f>
        <v>0</v>
      </c>
      <c r="N63" s="99">
        <f>SUM(B63:M63)</f>
        <v>0</v>
      </c>
      <c r="O63" s="100">
        <f>Расходы!P39</f>
        <v>-0.5</v>
      </c>
    </row>
    <row r="64" ht="15.5" customHeight="1" collapsed="1" thickTop="1" thickBot="1" x14ac:dyDescent="0.2">
      <c r="A64" s="237" t="inlineStr">
        <is>
          <t xml:space="preserve">Other OPEX</t>
        </is>
      </c>
      <c r="B64" s="138">
        <f>SUM(B56:B63)</f>
        <v>-2.53934793760495</v>
      </c>
      <c r="C64" s="138">
        <f>SUM(C56:C63)</f>
        <v>-5.56086984401236</v>
      </c>
      <c r="D64" s="138">
        <f>SUM(D56:D63)</f>
        <v>-7.57521778161731</v>
      </c>
      <c r="E64" s="138">
        <f>SUM(E56:E63)</f>
        <v>-7.5752177816173</v>
      </c>
      <c r="F64" s="138">
        <f>SUM(F56:F63)</f>
        <v>-7.57521778161732</v>
      </c>
      <c r="G64" s="138">
        <f>SUM(G56:G63)</f>
        <v>-7.57521778161732</v>
      </c>
      <c r="H64" s="138">
        <f>SUM(H56:H63)</f>
        <v>-7.57521778161731</v>
      </c>
      <c r="I64" s="138">
        <f>SUM(I56:I63)</f>
        <v>-8.58239175041977</v>
      </c>
      <c r="J64" s="138">
        <f>SUM(J56:J63)</f>
        <v>-8.58239175041978</v>
      </c>
      <c r="K64" s="138">
        <f>SUM(K56:K63)</f>
        <v>-11.6039136568272</v>
      </c>
      <c r="L64" s="138">
        <f>SUM(L56:L63)</f>
        <v>-14.6254355632346</v>
      </c>
      <c r="M64" s="138">
        <f>SUM(M56:M63)</f>
        <v>-17.646957469642</v>
      </c>
      <c r="N64" s="138">
        <f>SUM(B64:M64)</f>
        <v>-107.017396880247</v>
      </c>
      <c r="O64" s="104">
        <f>SUM(O56:O63)</f>
        <v>-91.6</v>
      </c>
    </row>
    <row r="65" ht="15.5" customHeight="1" thickTop="1" thickBot="1" x14ac:dyDescent="0.2">
      <c r="A65" s="150" t="inlineStr">
        <is>
          <t xml:space="preserve">OPEX</t>
        </is>
      </c>
      <c r="B65" s="137">
        <f>B37+B48+B53+B55+B64</f>
        <v>-130.07635433583</v>
      </c>
      <c r="C65" s="137">
        <f>C37+C48+C53+C55+C64</f>
        <v>-143.584993817606</v>
      </c>
      <c r="D65" s="137">
        <f>D37+D48+D53+D55+D64</f>
        <v>-142.48083660429</v>
      </c>
      <c r="E65" s="137">
        <f>E37+E48+E53+E55+E64</f>
        <v>-153.108110970482</v>
      </c>
      <c r="F65" s="137">
        <f>F37+F48+F53+F55+F64</f>
        <v>-143.438316527809</v>
      </c>
      <c r="G65" s="137">
        <f>G37+G48+G53+G55+G64</f>
        <v>-141.519376029721</v>
      </c>
      <c r="H65" s="137">
        <f>H37+H48+H53+H55+H64</f>
        <v>-153.513265216335</v>
      </c>
      <c r="I65" s="137">
        <f>I37+I48+I53+I55+I64</f>
        <v>-128.437585825562</v>
      </c>
      <c r="J65" s="137">
        <f>J37+J48+J53+J55+J64</f>
        <v>-148.150674335577</v>
      </c>
      <c r="K65" s="137">
        <f>K37+K48+K53+K55+K64</f>
        <v>-158.272288045417</v>
      </c>
      <c r="L65" s="137">
        <f>L37+L48+L53+L55+L64</f>
        <v>-165.260926854495</v>
      </c>
      <c r="M65" s="137">
        <f>M37+M48+M53+M55+M64</f>
        <v>-168.582809609476</v>
      </c>
      <c r="N65" s="137">
        <f>SUM(B65:M65)</f>
        <v>-1776.4255381726</v>
      </c>
      <c r="O65" s="102">
        <f>O37+O48+O53+O55+O64</f>
        <v>-1358.22144</v>
      </c>
    </row>
    <row r="66" ht="15.5" customHeight="1" thickTop="1" thickBot="1" x14ac:dyDescent="0.2">
      <c r="A66" s="150" t="inlineStr">
        <is>
          <t xml:space="preserve">EBITDA</t>
        </is>
      </c>
      <c r="B66" s="137">
        <f>B29+B65</f>
        <v>84.8225197083574</v>
      </c>
      <c r="C66" s="137">
        <f>C29+C65</f>
        <v>493.061147501408</v>
      </c>
      <c r="D66" s="137">
        <f>D29+D65</f>
        <v>775.370039727764</v>
      </c>
      <c r="E66" s="137">
        <f>E29+E65</f>
        <v>760.958866629307</v>
      </c>
      <c r="F66" s="137">
        <f>F29+F65</f>
        <v>769.599261004818</v>
      </c>
      <c r="G66" s="137">
        <f>G29+G65</f>
        <v>770.609822122501</v>
      </c>
      <c r="H66" s="137">
        <f>H29+H65</f>
        <v>758.662618554222</v>
      </c>
      <c r="I66" s="137">
        <f>I29+I65</f>
        <v>926.139115405336</v>
      </c>
      <c r="J66" s="137">
        <f>J29+J65</f>
        <v>908.960389618857</v>
      </c>
      <c r="K66" s="137">
        <f>K29+K65</f>
        <v>1320.7934072003</v>
      </c>
      <c r="L66" s="137">
        <f>L29+L65</f>
        <v>1749.12667910488</v>
      </c>
      <c r="M66" s="137">
        <f>M29+M65</f>
        <v>2172.81329452054</v>
      </c>
      <c r="N66" s="137">
        <f>SUM(B66:M66)</f>
        <v>11490.9171610983</v>
      </c>
      <c r="O66" s="102">
        <f>O29+O65</f>
        <v>8084.6877963</v>
      </c>
    </row>
    <row r="67" ht="15" hidden="1" customHeight="1" outlineLevel="1" thickTop="1" x14ac:dyDescent="0.15">
      <c r="A67" s="95" t="inlineStr">
        <is>
          <t xml:space="preserve">Разработка рекламной платформы</t>
        </is>
      </c>
      <c r="B67" s="99">
        <f>Расходы!C42</f>
        <v>-42.4589221570622</v>
      </c>
      <c r="C67" s="99">
        <f>Расходы!D42</f>
        <v>-43.0455801144657</v>
      </c>
      <c r="D67" s="99">
        <f>Расходы!E42</f>
        <v>-44.5059008430205</v>
      </c>
      <c r="E67" s="99">
        <f>Расходы!F42</f>
        <v>-44.3697992096137</v>
      </c>
      <c r="F67" s="99">
        <f>Расходы!G42</f>
        <v>-44.5288118210764</v>
      </c>
      <c r="G67" s="99">
        <f>Расходы!H42</f>
        <v>-44.1829047514327</v>
      </c>
      <c r="H67" s="99">
        <f>Расходы!I42</f>
        <v>-47.1088453652662</v>
      </c>
      <c r="I67" s="99">
        <f>Расходы!J42</f>
        <v>-46.6230449100597</v>
      </c>
      <c r="J67" s="99">
        <f>Расходы!K42</f>
        <v>-46.2426262744877</v>
      </c>
      <c r="K67" s="99">
        <f>Расходы!L42</f>
        <v>-46.092339570551</v>
      </c>
      <c r="L67" s="99">
        <f>Расходы!M42</f>
        <v>-45.9706611366441</v>
      </c>
      <c r="M67" s="99">
        <f>Расходы!N42</f>
        <v>-45.904436886102</v>
      </c>
      <c r="N67" s="99">
        <f>SUM(B67:M67)</f>
        <v>-541.033873039782</v>
      </c>
      <c r="O67" s="100">
        <f>Расходы!P42</f>
        <v>-447.2</v>
      </c>
    </row>
    <row r="68" hidden="1" outlineLevel="1" x14ac:dyDescent="0.15">
      <c r="A68" s="95" t="inlineStr">
        <is>
          <t xml:space="preserve">Проекты Digital Instore (оснащение ТТ)</t>
        </is>
      </c>
      <c r="B68" s="99">
        <f>Расходы!C43</f>
        <v>-0</v>
      </c>
      <c r="C68" s="99">
        <f>Расходы!D43</f>
        <v>-0</v>
      </c>
      <c r="D68" s="99">
        <f>Расходы!E43</f>
        <v>-0</v>
      </c>
      <c r="E68" s="99">
        <f>Расходы!F43</f>
        <v>-10.23056</v>
      </c>
      <c r="F68" s="99">
        <f>Расходы!G43</f>
        <v>-18.36096</v>
      </c>
      <c r="G68" s="99">
        <f>Расходы!H43</f>
        <v>-52.57255814</v>
      </c>
      <c r="H68" s="99">
        <f>Расходы!I43</f>
        <v>-45.67833721</v>
      </c>
      <c r="I68" s="99">
        <f>Расходы!J43</f>
        <v>-56.6199534892</v>
      </c>
      <c r="J68" s="99">
        <f>Расходы!K43</f>
        <v>-155.41</v>
      </c>
      <c r="K68" s="99">
        <f>Расходы!L43</f>
        <v>-170.7335</v>
      </c>
      <c r="L68" s="99">
        <f>Расходы!M43</f>
        <v>-0</v>
      </c>
      <c r="M68" s="99">
        <f>Расходы!N43</f>
        <v>-100</v>
      </c>
      <c r="N68" s="99">
        <f>SUM(B68:M68)</f>
        <v>-609.6058688392</v>
      </c>
      <c r="O68" s="100">
        <f>Расходы!P43</f>
        <v>-732.4</v>
      </c>
    </row>
    <row r="69" ht="15" customHeight="1" collapsed="1" thickTop="1" thickBot="1" x14ac:dyDescent="0.2">
      <c r="A69" s="150" t="inlineStr">
        <is>
          <t xml:space="preserve">CAPEX</t>
        </is>
      </c>
      <c r="B69" s="137">
        <f>SUM(B67:B68)</f>
        <v>-42.4589221570622</v>
      </c>
      <c r="C69" s="137">
        <f>SUM(C67:C68)</f>
        <v>-43.0455801144657</v>
      </c>
      <c r="D69" s="137">
        <f>SUM(D67:D68)</f>
        <v>-44.5059008430205</v>
      </c>
      <c r="E69" s="137">
        <f>SUM(E67:E68)</f>
        <v>-54.6003592096137</v>
      </c>
      <c r="F69" s="137">
        <f>SUM(F67:F68)</f>
        <v>-62.8897718210764</v>
      </c>
      <c r="G69" s="137">
        <f>SUM(G67:G68)</f>
        <v>-96.7554628914327</v>
      </c>
      <c r="H69" s="137">
        <f>SUM(H67:H68)</f>
        <v>-92.7871825752662</v>
      </c>
      <c r="I69" s="137">
        <f>SUM(I67:I68)</f>
        <v>-103.24299839926</v>
      </c>
      <c r="J69" s="137">
        <f>SUM(J67:J68)</f>
        <v>-201.652626274488</v>
      </c>
      <c r="K69" s="137">
        <f>SUM(K67:K68)</f>
        <v>-216.825839570551</v>
      </c>
      <c r="L69" s="137">
        <f>SUM(L67:L68)</f>
        <v>-45.9706611366441</v>
      </c>
      <c r="M69" s="137">
        <f>SUM(M67:M68)</f>
        <v>-145.904436886102</v>
      </c>
      <c r="N69" s="137">
        <f>SUM(N67:N68)</f>
        <v>-1150.63974187898</v>
      </c>
      <c r="O69" s="102">
        <f>SUM(O67:O68)</f>
        <v>-1179.6</v>
      </c>
    </row>
    <row r="70" ht="15.5" customHeight="1" thickTop="1" thickBot="1" x14ac:dyDescent="0.2">
      <c r="A70" s="150" t="inlineStr">
        <is>
          <t xml:space="preserve">FCF</t>
        </is>
      </c>
      <c r="B70" s="137">
        <f>B66+B69</f>
        <v>42.3635975512952</v>
      </c>
      <c r="C70" s="137">
        <f>C66+C69</f>
        <v>450.015567386943</v>
      </c>
      <c r="D70" s="137">
        <f>D66+D69</f>
        <v>730.864138884744</v>
      </c>
      <c r="E70" s="137">
        <f>E66+E69</f>
        <v>706.358507419693</v>
      </c>
      <c r="F70" s="137">
        <f>F66+F69</f>
        <v>706.709489183741</v>
      </c>
      <c r="G70" s="137">
        <f>G66+G69</f>
        <v>673.854359231068</v>
      </c>
      <c r="H70" s="137">
        <f>H66+H69</f>
        <v>665.875435978956</v>
      </c>
      <c r="I70" s="137">
        <f>I66+I69</f>
        <v>822.896117006077</v>
      </c>
      <c r="J70" s="137">
        <f>J66+J69</f>
        <v>707.307763344369</v>
      </c>
      <c r="K70" s="137">
        <f>K66+K69</f>
        <v>1103.96756762974</v>
      </c>
      <c r="L70" s="137">
        <f>L66+L69</f>
        <v>1703.15601796824</v>
      </c>
      <c r="M70" s="137">
        <f>M66+M69</f>
        <v>2026.90885763444</v>
      </c>
      <c r="N70" s="137">
        <f>SUM(B70:M70)</f>
        <v>10340.2774192193</v>
      </c>
      <c r="O70" s="102">
        <f>O66+O69</f>
        <v>6905.0877963</v>
      </c>
    </row>
    <row r="71" ht="15" customHeight="1" thickTop="1" x14ac:dyDescent="0.15"/>
    <row r="72" x14ac:dyDescent="0.15">
      <c r="A72" s="134" t="inlineStr">
        <is>
          <t xml:space="preserve">СПРАВОЧНО</t>
        </is>
      </c>
      <c r="B72" s="134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238"/>
      <c r="N72" s="134"/>
      <c r="O72" s="134"/>
    </row>
    <row r="73" x14ac:dyDescent="0.15">
      <c r="A73" s="46" t="inlineStr">
        <is>
          <t xml:space="preserve">Выручка М+</t>
        </is>
      </c>
      <c r="B73" s="34">
        <f>'М+ справочно'!C34</f>
        <v>337.892813337882</v>
      </c>
      <c r="C73" s="34">
        <f>'М+ справочно'!D34</f>
        <v>365.733248557982</v>
      </c>
      <c r="D73" s="34">
        <f>'М+ справочно'!E34</f>
        <v>377.391899028058</v>
      </c>
      <c r="E73" s="34">
        <f>'М+ справочно'!F34</f>
        <v>394.581850118611</v>
      </c>
      <c r="F73" s="34">
        <f>'М+ справочно'!G34</f>
        <v>414.447459792765</v>
      </c>
      <c r="G73" s="34">
        <f>'М+ справочно'!H34</f>
        <v>435.072522501306</v>
      </c>
      <c r="H73" s="34">
        <f>'М+ справочно'!I34</f>
        <v>455.651586281225</v>
      </c>
      <c r="I73" s="34">
        <f>'М+ справочно'!J34</f>
        <v>478.679739499093</v>
      </c>
      <c r="J73" s="34">
        <f>'М+ справочно'!K34</f>
        <v>507.061642781086</v>
      </c>
      <c r="K73" s="34">
        <f>'М+ справочно'!L34</f>
        <v>532.802642929373</v>
      </c>
      <c r="L73" s="34">
        <f>'М+ справочно'!M34</f>
        <v>559.060379177406</v>
      </c>
      <c r="M73" s="34">
        <f>'М+ справочно'!N34</f>
        <v>586.026104037395</v>
      </c>
      <c r="N73" s="34">
        <f>SUM(B73:M73)</f>
        <v>5444.40188804218</v>
      </c>
      <c r="O73" s="34">
        <f>'М+ справочно'!P34</f>
        <v>3007</v>
      </c>
      <c r="P73" s="59">
        <f>IFERROR(N73/O73-1,"")</f>
        <v>0.810575952125767</v>
      </c>
    </row>
    <row r="74" x14ac:dyDescent="0.15">
      <c r="A74" s="1"/>
      <c r="M74" s="79"/>
      <c r="N74" s="80"/>
      <c r="O74" s="80"/>
    </row>
    <row r="75" x14ac:dyDescent="0.15">
      <c r="M75" s="79"/>
      <c r="O75" s="239"/>
    </row>
    <row r="77" x14ac:dyDescent="0.15">
      <c r="A77" s="241" t="inlineStr">
        <is>
          <t xml:space="preserve">Справочно экономия CAPEX ГК благодаря собственной разработке AdTech</t>
        </is>
      </c>
      <c r="B77" s="288"/>
      <c r="C77" s="288"/>
      <c r="D77" s="288"/>
      <c r="E77" s="288"/>
      <c r="F77" s="288"/>
      <c r="G77" s="288"/>
      <c r="H77" s="288"/>
      <c r="I77" s="288"/>
      <c r="J77" s="288"/>
      <c r="K77" s="288"/>
      <c r="L77" s="288"/>
      <c r="M77" s="288"/>
      <c r="N77" s="289"/>
      <c r="O77" s="288"/>
      <c r="P77" s="288"/>
    </row>
    <row r="78" x14ac:dyDescent="0.15">
      <c r="A78" s="241"/>
      <c r="B78" s="295" t="inlineStr">
        <is>
          <t xml:space="preserve">CAPEX adj.</t>
        </is>
      </c>
      <c r="C78" s="290" t="inlineStr">
        <is>
          <t xml:space="preserve">Add. OPEX</t>
        </is>
      </c>
      <c r="D78" s="290" t="inlineStr">
        <is>
          <t xml:space="preserve">Total saving</t>
        </is>
      </c>
      <c r="E78" s="288"/>
      <c r="F78" s="288"/>
      <c r="G78" s="288"/>
      <c r="H78" s="288"/>
      <c r="I78" s="288"/>
      <c r="J78" s="288"/>
      <c r="K78" s="288"/>
      <c r="L78" s="288"/>
      <c r="M78" s="288"/>
    </row>
    <row r="79" x14ac:dyDescent="0.15">
      <c r="A79" s="260" t="inlineStr">
        <is>
          <t xml:space="preserve">Cubic</t>
        </is>
      </c>
      <c r="B79" s="259">
        <v>-28.46873</v>
      </c>
      <c r="C79" s="259">
        <v>14.234365</v>
      </c>
      <c r="D79" s="259">
        <f>SUM(B79:C79)</f>
        <v>-14.234365</v>
      </c>
      <c r="E79" s="288"/>
      <c r="F79" s="288"/>
      <c r="G79" s="288"/>
      <c r="H79" s="288"/>
      <c r="I79" s="288"/>
      <c r="J79" s="288"/>
      <c r="K79" s="288"/>
      <c r="L79" s="288"/>
      <c r="M79" s="288"/>
    </row>
    <row r="80" x14ac:dyDescent="0.15">
      <c r="A80" s="260" t="inlineStr">
        <is>
          <t xml:space="preserve">InAppStory</t>
        </is>
      </c>
      <c r="B80" s="259">
        <v>-7.3794</v>
      </c>
      <c r="C80" s="259">
        <v>0</v>
      </c>
      <c r="D80" s="259">
        <f>SUM(B80:C80)</f>
        <v>-7.3794</v>
      </c>
      <c r="E80" s="288"/>
      <c r="F80" s="288"/>
      <c r="G80" s="288"/>
      <c r="H80" s="288"/>
      <c r="I80" s="288"/>
      <c r="J80" s="288"/>
      <c r="K80" s="288"/>
      <c r="L80" s="288"/>
      <c r="M80" s="288"/>
    </row>
    <row r="81" ht="14" thickBot="1" x14ac:dyDescent="0.2">
      <c r="A81" s="144" t="inlineStr">
        <is>
          <t xml:space="preserve">Total</t>
        </is>
      </c>
      <c r="B81" s="261">
        <f>SUM(B79:B80)</f>
        <v>-35.84813</v>
      </c>
      <c r="C81" s="261">
        <f>SUM(C79:C80)</f>
        <v>14.234365</v>
      </c>
      <c r="D81" s="261">
        <f>SUM(D79:D80)</f>
        <v>-21.613765</v>
      </c>
      <c r="E81" s="288"/>
      <c r="F81" s="288"/>
      <c r="G81" s="288"/>
      <c r="H81" s="288"/>
      <c r="I81" s="288"/>
      <c r="J81" s="288"/>
      <c r="K81" s="288"/>
      <c r="L81" s="288"/>
      <c r="M81" s="288"/>
    </row>
    <row r="1048574"/>
    <row r="1048575"/>
    <row r="1048576"/>
  </sheetData>
  <pageMargins left="0.75" right="0.75" top="1" bottom="1" header="0.511811023622047" footer="0.511811023622047"/>
  <pageSetup paperSize="9" orientation="portrait" horizontalDpi="300" verticalDpi="300" r:id="rId1"/>
  <ignoredErrors>
    <ignoredError sqref="B6:G6 B8:M8 B7 N6:O8 N22:O22 N17:N21 I6:M6 N9:O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U1048576"/>
  <sheetViews>
    <sheetView showGridLines="0" zoomScaleNormal="80" workbookViewId="0"/>
  </sheetViews>
  <sheetFormatPr baseColWidth="10" defaultColWidth="8.6640625" defaultRowHeight="13" outlineLevelRow="1" x14ac:dyDescent="0.15"/>
  <cols>
    <col min="1" max="1" width="58" style="47" bestFit="1" customWidth="1"/>
    <col min="2" max="13" width="10" style="47" customWidth="1"/>
    <col min="14" max="15" width="13" style="47" customWidth="1"/>
    <col min="16" max="16384" width="8.6640625" style="47"/>
  </cols>
  <sheetData>
    <row r="1" x14ac:dyDescent="0.15">
      <c r="A1" s="46" t="inlineStr">
        <is>
          <t xml:space="preserve">P&amp;L AdTech 2027 - BOTTOM-UP Advertising Inventory</t>
        </is>
      </c>
      <c r="Q1" s="203" t="inlineStr">
        <is>
          <t xml:space="preserve">Описание: bottom-up P&amp;L AdTech 2027 по месяцам, млн ₽ без НДС. Логика: выручка - из листов направлений (APP = Медиа + Перформанс, Content factory, DMP, In-store; RMN); расходы - из листа «Расходы»</t>
        </is>
      </c>
    </row>
    <row r="2" x14ac:dyDescent="0.15">
      <c r="A2" s="1" t="inlineStr">
        <is>
          <t xml:space="preserve">Млн руб. без НДС.</t>
        </is>
      </c>
    </row>
    <row r="4" ht="14" x14ac:dyDescent="0.15">
      <c r="A4" s="38" t="inlineStr">
        <is>
          <t xml:space="preserve">Статья</t>
        </is>
      </c>
      <c r="B4" s="39" t="inlineStr">
        <is>
          <t xml:space="preserve">янв</t>
        </is>
      </c>
      <c r="C4" s="39" t="inlineStr">
        <is>
          <t xml:space="preserve">фев</t>
        </is>
      </c>
      <c r="D4" s="39" t="inlineStr">
        <is>
          <t xml:space="preserve">мар</t>
        </is>
      </c>
      <c r="E4" s="39" t="inlineStr">
        <is>
          <t xml:space="preserve">апр</t>
        </is>
      </c>
      <c r="F4" s="39" t="inlineStr">
        <is>
          <t xml:space="preserve">май</t>
        </is>
      </c>
      <c r="G4" s="39" t="inlineStr">
        <is>
          <t xml:space="preserve">июн</t>
        </is>
      </c>
      <c r="H4" s="39" t="inlineStr">
        <is>
          <t xml:space="preserve">июл</t>
        </is>
      </c>
      <c r="I4" s="39" t="inlineStr">
        <is>
          <t xml:space="preserve">авг</t>
        </is>
      </c>
      <c r="J4" s="39" t="inlineStr">
        <is>
          <t xml:space="preserve">сен</t>
        </is>
      </c>
      <c r="K4" s="39" t="inlineStr">
        <is>
          <t xml:space="preserve">окт</t>
        </is>
      </c>
      <c r="L4" s="39" t="inlineStr">
        <is>
          <t xml:space="preserve">ноя</t>
        </is>
      </c>
      <c r="M4" s="39" t="inlineStr">
        <is>
          <t xml:space="preserve">дек</t>
        </is>
      </c>
      <c r="N4" s="39" t="inlineStr">
        <is>
          <t xml:space="preserve">2027</t>
        </is>
      </c>
      <c r="O4" s="39" t="inlineStr">
        <is>
          <t xml:space="preserve">2026</t>
        </is>
      </c>
    </row>
    <row r="5" x14ac:dyDescent="0.15">
      <c r="A5" s="41" t="inlineStr">
        <is>
          <t xml:space="preserve">APP</t>
        </is>
      </c>
      <c r="B5" s="202">
        <f>'APP Медиа'!C54+'APP Перформанс'!C24</f>
        <v>164.024683950421</v>
      </c>
      <c r="C5" s="99">
        <f>'APP Медиа'!D54+'APP Перформанс'!D24</f>
        <v>410.061709876052</v>
      </c>
      <c r="D5" s="99">
        <f>'APP Медиа'!E54+'APP Перформанс'!E24</f>
        <v>574.086393826473</v>
      </c>
      <c r="E5" s="99">
        <f>'APP Медиа'!F54+'APP Перформанс'!F24</f>
        <v>574.086393826472</v>
      </c>
      <c r="F5" s="99">
        <f>'APP Медиа'!G54+'APP Перформанс'!G24</f>
        <v>574.086393826475</v>
      </c>
      <c r="G5" s="99">
        <f>'APP Медиа'!H54+'APP Перформанс'!H24</f>
        <v>574.086393826474</v>
      </c>
      <c r="H5" s="99">
        <f>'APP Медиа'!I54+'APP Перформанс'!I24</f>
        <v>574.086393826474</v>
      </c>
      <c r="I5" s="99">
        <f>'APP Медиа'!J54+'APP Перформанс'!J24</f>
        <v>656.098735801681</v>
      </c>
      <c r="J5" s="99">
        <f>'APP Медиа'!K54+'APP Перформанс'!K24</f>
        <v>656.098735801684</v>
      </c>
      <c r="K5" s="99">
        <f>'APP Медиа'!L54+'APP Перформанс'!L24</f>
        <v>902.135761727311</v>
      </c>
      <c r="L5" s="99">
        <f>'APP Медиа'!M54+'APP Перформанс'!M24</f>
        <v>1148.17278765294</v>
      </c>
      <c r="M5" s="99">
        <f>'APP Медиа'!N54+'APP Перформанс'!N24</f>
        <v>1394.20981357858</v>
      </c>
      <c r="N5" s="99">
        <f>SUM(B5:M5)</f>
        <v>8201.23419752104</v>
      </c>
      <c r="O5" s="100">
        <f>'APP Медиа'!P54+'APP Перформанс'!P24</f>
        <v>6195.4</v>
      </c>
      <c r="P5" s="59">
        <f>IFERROR(N5/O5-1,"")</f>
        <v>0.323761855170132</v>
      </c>
    </row>
    <row r="6" x14ac:dyDescent="0.15">
      <c r="A6" s="41" t="inlineStr">
        <is>
          <t xml:space="preserve">Content factory</t>
        </is>
      </c>
      <c r="B6" s="99">
        <f>'Content factory'!C31</f>
        <v>4.266</v>
      </c>
      <c r="C6" s="99">
        <f>'Content factory'!D31</f>
        <v>10.665</v>
      </c>
      <c r="D6" s="99">
        <f>'Content factory'!E31</f>
        <v>14.931</v>
      </c>
      <c r="E6" s="99">
        <f>'Content factory'!F31</f>
        <v>14.931</v>
      </c>
      <c r="F6" s="99">
        <f>'Content factory'!G31</f>
        <v>14.931</v>
      </c>
      <c r="G6" s="99">
        <f>'Content factory'!H31</f>
        <v>14.931</v>
      </c>
      <c r="H6" s="99">
        <f>'Content factory'!I31</f>
        <v>14.931</v>
      </c>
      <c r="I6" s="99">
        <f>'Content factory'!J31</f>
        <v>17.064</v>
      </c>
      <c r="J6" s="99">
        <f>'Content factory'!K31</f>
        <v>17.064</v>
      </c>
      <c r="K6" s="99">
        <f>'Content factory'!L31</f>
        <v>23.4630000000001</v>
      </c>
      <c r="L6" s="99">
        <f>'Content factory'!M31</f>
        <v>29.862</v>
      </c>
      <c r="M6" s="99">
        <f>'Content factory'!N31</f>
        <v>36.2609999999999</v>
      </c>
      <c r="N6" s="99">
        <f>SUM(B6:M6)</f>
        <v>213.3</v>
      </c>
      <c r="O6" s="100">
        <f>'Content factory'!P31</f>
        <v>0</v>
      </c>
      <c r="P6" s="81" t="str">
        <f>IFERROR(N6/O6-1,"")</f>
        <v/>
      </c>
    </row>
    <row r="7" x14ac:dyDescent="0.15">
      <c r="A7" s="41" t="inlineStr">
        <is>
          <t xml:space="preserve">DMP+ Analitycs</t>
        </is>
      </c>
      <c r="B7" s="99">
        <f>DMP!C20</f>
        <v>3.74</v>
      </c>
      <c r="C7" s="99">
        <f>DMP!D20</f>
        <v>9.35</v>
      </c>
      <c r="D7" s="99">
        <f>DMP!E20</f>
        <v>13.09</v>
      </c>
      <c r="E7" s="99">
        <f>DMP!F20</f>
        <v>13.09</v>
      </c>
      <c r="F7" s="99">
        <f>DMP!G20</f>
        <v>13.09</v>
      </c>
      <c r="G7" s="99">
        <f>DMP!H20</f>
        <v>13.09</v>
      </c>
      <c r="H7" s="99">
        <f>DMP!I20</f>
        <v>13.09</v>
      </c>
      <c r="I7" s="99">
        <f>DMP!J20</f>
        <v>14.96</v>
      </c>
      <c r="J7" s="99">
        <f>DMP!K20</f>
        <v>14.96</v>
      </c>
      <c r="K7" s="99">
        <f>DMP!L20</f>
        <v>20.57</v>
      </c>
      <c r="L7" s="99">
        <f>DMP!M20</f>
        <v>26.18</v>
      </c>
      <c r="M7" s="99">
        <f>DMP!N20</f>
        <v>31.7900000000001</v>
      </c>
      <c r="N7" s="99">
        <f>SUM(B7:M7)</f>
        <v>187</v>
      </c>
      <c r="O7" s="100">
        <f>DMP!O24</f>
        <v>102.4</v>
      </c>
      <c r="P7" s="59">
        <f>IFERROR(N7/O7-1,"")</f>
        <v>0.826171875</v>
      </c>
    </row>
    <row r="8" x14ac:dyDescent="0.15">
      <c r="A8" s="41" t="inlineStr">
        <is>
          <t xml:space="preserve">DMP+Online</t>
        </is>
      </c>
      <c r="B8" s="99">
        <f>DMP!C9</f>
        <v>32</v>
      </c>
      <c r="C8" s="99">
        <f>DMP!D9</f>
        <v>80</v>
      </c>
      <c r="D8" s="99">
        <f>DMP!E9</f>
        <v>112</v>
      </c>
      <c r="E8" s="99">
        <f>DMP!F9</f>
        <v>112</v>
      </c>
      <c r="F8" s="99">
        <f>DMP!G9</f>
        <v>112</v>
      </c>
      <c r="G8" s="99">
        <f>DMP!H9</f>
        <v>112</v>
      </c>
      <c r="H8" s="99">
        <f>DMP!I9</f>
        <v>112</v>
      </c>
      <c r="I8" s="99">
        <f>DMP!J9</f>
        <v>128</v>
      </c>
      <c r="J8" s="99">
        <f>DMP!K9</f>
        <v>128</v>
      </c>
      <c r="K8" s="99">
        <f>DMP!L9</f>
        <v>176</v>
      </c>
      <c r="L8" s="99">
        <f>DMP!M9</f>
        <v>224</v>
      </c>
      <c r="M8" s="99">
        <f>DMP!N9</f>
        <v>272</v>
      </c>
      <c r="N8" s="99">
        <f>SUM(B8:M8)</f>
        <v>1600</v>
      </c>
      <c r="O8" s="100">
        <f>DMP!O23</f>
        <v>987</v>
      </c>
      <c r="P8" s="59">
        <f>IFERROR(N8/O8-1,"")</f>
        <v>0.621073961499493</v>
      </c>
    </row>
    <row r="9" x14ac:dyDescent="0.15">
      <c r="A9" s="41" t="inlineStr">
        <is>
          <t xml:space="preserve">Instore digital</t>
        </is>
      </c>
      <c r="B9" s="99">
        <f>'In-store'!C28</f>
        <v>83.733307136</v>
      </c>
      <c r="C9" s="99">
        <f>'In-store'!D28</f>
        <v>209.33326784</v>
      </c>
      <c r="D9" s="99">
        <f>'In-store'!E28</f>
        <v>293.066574976</v>
      </c>
      <c r="E9" s="99">
        <f>'In-store'!F28</f>
        <v>293.066574976</v>
      </c>
      <c r="F9" s="99">
        <f>'In-store'!G28</f>
        <v>293.066574976</v>
      </c>
      <c r="G9" s="99">
        <f>'In-store'!H28</f>
        <v>293.066574976</v>
      </c>
      <c r="H9" s="99">
        <f>'In-store'!I28</f>
        <v>293.066574976</v>
      </c>
      <c r="I9" s="99">
        <f>'In-store'!J28</f>
        <v>334.933228544</v>
      </c>
      <c r="J9" s="99">
        <f>'In-store'!K28</f>
        <v>334.933228544</v>
      </c>
      <c r="K9" s="99">
        <f>'In-store'!L28</f>
        <v>460.533189248</v>
      </c>
      <c r="L9" s="99">
        <f>'In-store'!M28</f>
        <v>586.133149952</v>
      </c>
      <c r="M9" s="99">
        <f>'In-store'!N28</f>
        <v>711.733110656</v>
      </c>
      <c r="N9" s="99">
        <f>SUM(B9:M9)</f>
        <v>4186.6653568</v>
      </c>
      <c r="O9" s="100">
        <f>'In-store'!P28</f>
        <v>2446.0892363</v>
      </c>
      <c r="P9" s="59">
        <f>IFERROR(N9/O9-1,"")</f>
        <v>0.711575070389839</v>
      </c>
    </row>
    <row r="10" x14ac:dyDescent="0.15">
      <c r="A10" s="41" t="inlineStr">
        <is>
          <t xml:space="preserve">RMN (Brand budgets call)</t>
        </is>
      </c>
      <c r="B10" s="99">
        <f>RevSplit!F10</f>
        <v>17.0041828989972</v>
      </c>
      <c r="C10" s="99">
        <f>RevSplit!G10</f>
        <v>42.510457247493</v>
      </c>
      <c r="D10" s="99">
        <f>RevSplit!H10</f>
        <v>59.5146401464902</v>
      </c>
      <c r="E10" s="99">
        <f>RevSplit!I10</f>
        <v>59.5146401464902</v>
      </c>
      <c r="F10" s="99">
        <f>RevSplit!J10</f>
        <v>59.5146401464902</v>
      </c>
      <c r="G10" s="99">
        <f>RevSplit!K10</f>
        <v>59.5146401464902</v>
      </c>
      <c r="H10" s="99">
        <f>RevSplit!L10</f>
        <v>59.5146401464902</v>
      </c>
      <c r="I10" s="99">
        <f>RevSplit!M10</f>
        <v>68.0167315959888</v>
      </c>
      <c r="J10" s="99">
        <f>RevSplit!N10</f>
        <v>68.0167315959888</v>
      </c>
      <c r="K10" s="99">
        <f>RevSplit!O10</f>
        <v>93.5230059444846</v>
      </c>
      <c r="L10" s="99">
        <f>RevSplit!P10</f>
        <v>119.02928029298</v>
      </c>
      <c r="M10" s="99">
        <f>RevSplit!Q10</f>
        <v>144.535554641476</v>
      </c>
      <c r="N10" s="99">
        <f>SUM(B10:M10)</f>
        <v>850.209144949859</v>
      </c>
      <c r="O10" s="100">
        <f>RevSplit!S10</f>
        <v>592.56</v>
      </c>
      <c r="P10" s="59">
        <f>IFERROR(N10/O10-1,"")</f>
        <v>0.434806846479444</v>
      </c>
    </row>
    <row r="11" ht="15" customHeight="1" thickBot="1" x14ac:dyDescent="0.2">
      <c r="A11" s="150" t="inlineStr">
        <is>
          <t xml:space="preserve">Gross Revenue</t>
        </is>
      </c>
      <c r="B11" s="137">
        <f>SUM(B5:B10)</f>
        <v>304.768173985418</v>
      </c>
      <c r="C11" s="137">
        <f>SUM(C5:C10)</f>
        <v>761.920434963545</v>
      </c>
      <c r="D11" s="137">
        <f>SUM(D5:D10)</f>
        <v>1066.68860894896</v>
      </c>
      <c r="E11" s="137">
        <f>SUM(E5:E10)</f>
        <v>1066.68860894896</v>
      </c>
      <c r="F11" s="137">
        <f>SUM(F5:F10)</f>
        <v>1066.68860894897</v>
      </c>
      <c r="G11" s="137">
        <f>SUM(G5:G10)</f>
        <v>1066.68860894896</v>
      </c>
      <c r="H11" s="137">
        <f>SUM(H5:H10)</f>
        <v>1066.68860894896</v>
      </c>
      <c r="I11" s="137">
        <f>SUM(I5:I10)</f>
        <v>1219.07269594167</v>
      </c>
      <c r="J11" s="137">
        <f>SUM(J5:J10)</f>
        <v>1219.07269594167</v>
      </c>
      <c r="K11" s="137">
        <f>SUM(K5:K10)</f>
        <v>1676.2249569198</v>
      </c>
      <c r="L11" s="137">
        <f>SUM(L5:L10)</f>
        <v>2133.37721789792</v>
      </c>
      <c r="M11" s="137">
        <f>SUM(M5:M10)</f>
        <v>2590.52947887605</v>
      </c>
      <c r="N11" s="137">
        <f>SUM(B11:M11)</f>
        <v>15238.4086992709</v>
      </c>
      <c r="O11" s="102">
        <f>SUM(O5:O10)</f>
        <v>10323.4492363</v>
      </c>
    </row>
    <row r="12" ht="15" customHeight="1" x14ac:dyDescent="0.15" hidden="1" outlineLevel="1">
      <c r="A12" s="95" t="inlineStr">
        <is>
          <t xml:space="preserve">Расходы на маркетинг в сети интернет</t>
        </is>
      </c>
      <c r="B12" s="99">
        <f>Расходы!C26</f>
        <v>-19.3792999412308</v>
      </c>
      <c r="C12" s="99">
        <f>Расходы!D26</f>
        <v>-51.6042936445303</v>
      </c>
      <c r="D12" s="99">
        <f>Расходы!E26</f>
        <v>-68.2777326169087</v>
      </c>
      <c r="E12" s="99">
        <f>Расходы!F26</f>
        <v>-71.584631349173</v>
      </c>
      <c r="F12" s="99">
        <f>Расходы!G26</f>
        <v>-72.2960314163378</v>
      </c>
      <c r="G12" s="99">
        <f>Расходы!H26</f>
        <v>-72.4094107967425</v>
      </c>
      <c r="H12" s="99">
        <f>Расходы!I26</f>
        <v>-72.3627251784065</v>
      </c>
      <c r="I12" s="99">
        <f>Расходы!J26</f>
        <v>-81.2329947107716</v>
      </c>
      <c r="J12" s="99">
        <f>Расходы!K26</f>
        <v>-78.6986319872387</v>
      </c>
      <c r="K12" s="99">
        <f>Расходы!L26</f>
        <v>-113.896261674083</v>
      </c>
      <c r="L12" s="99">
        <f>Расходы!M26</f>
        <v>-134.454611938544</v>
      </c>
      <c r="M12" s="99">
        <f>Расходы!N26</f>
        <v>-163.803374746033</v>
      </c>
      <c r="N12" s="99">
        <f>SUM(B12:M12)</f>
        <v>-1000</v>
      </c>
      <c r="O12" s="100">
        <f>Расходы!P26</f>
        <v>-510.54</v>
      </c>
      <c r="P12"/>
      <c r="Q12"/>
      <c r="R12"/>
      <c r="S12"/>
      <c r="T12"/>
      <c r="U12"/>
    </row>
    <row r="13" ht="15" customHeight="1" x14ac:dyDescent="0.15" hidden="1" outlineLevel="1">
      <c r="A13" s="95" t="inlineStr">
        <is>
          <t xml:space="preserve">Вознаграждения креаторам</t>
        </is>
      </c>
      <c r="B13" s="99">
        <f>Расходы!C27</f>
        <v>-4.24</v>
      </c>
      <c r="C13" s="99">
        <f>Расходы!D27</f>
        <v>-7.42</v>
      </c>
      <c r="D13" s="99">
        <f>Расходы!E27</f>
        <v>-14.31</v>
      </c>
      <c r="E13" s="99">
        <f>Расходы!F27</f>
        <v>-14.787</v>
      </c>
      <c r="F13" s="99">
        <f>Расходы!G27</f>
        <v>-15.105</v>
      </c>
      <c r="G13" s="99">
        <f>Расходы!H27</f>
        <v>-15.9</v>
      </c>
      <c r="H13" s="99">
        <f>Расходы!I27</f>
        <v>-15.9</v>
      </c>
      <c r="I13" s="99">
        <f>Расходы!J27</f>
        <v>-17.013</v>
      </c>
      <c r="J13" s="99">
        <f>Расходы!K27</f>
        <v>-17.013</v>
      </c>
      <c r="K13" s="99">
        <f>Расходы!L27</f>
        <v>-17.013</v>
      </c>
      <c r="L13" s="99">
        <f>Расходы!M27</f>
        <v>-18.285</v>
      </c>
      <c r="M13" s="99">
        <f>Расходы!N27</f>
        <v>-19.08</v>
      </c>
      <c r="N13" s="99">
        <f>SUM(B13:M13)</f>
        <v>-176.066</v>
      </c>
      <c r="O13" s="100">
        <v>-15.6</v>
      </c>
      <c r="P13"/>
      <c r="Q13"/>
      <c r="R13"/>
      <c r="S13"/>
      <c r="T13"/>
      <c r="U13"/>
    </row>
    <row r="14" ht="15" customHeight="1" x14ac:dyDescent="0.15" hidden="1" outlineLevel="1">
      <c r="A14" s="95" t="inlineStr">
        <is>
          <t xml:space="preserve">Вознаграждения рекламным агентствам</t>
        </is>
      </c>
      <c r="B14" s="99">
        <f>Расходы!C28</f>
        <v>-66.25</v>
      </c>
      <c r="C14" s="99">
        <f>Расходы!D28</f>
        <v>-66.25</v>
      </c>
      <c r="D14" s="99">
        <f>Расходы!E28</f>
        <v>-66.25</v>
      </c>
      <c r="E14" s="99">
        <f>Расходы!F28</f>
        <v>-66.25</v>
      </c>
      <c r="F14" s="99">
        <f>Расходы!G28</f>
        <v>-66.25</v>
      </c>
      <c r="G14" s="99">
        <f>Расходы!H28</f>
        <v>-66.25</v>
      </c>
      <c r="H14" s="99">
        <f>Расходы!I28</f>
        <v>-66.25</v>
      </c>
      <c r="I14" s="99">
        <f>Расходы!J28</f>
        <v>-66.25</v>
      </c>
      <c r="J14" s="99">
        <f>Расходы!K28</f>
        <v>-66.25</v>
      </c>
      <c r="K14" s="99">
        <f>Расходы!L28</f>
        <v>-66.25</v>
      </c>
      <c r="L14" s="99">
        <f>Расходы!M28</f>
        <v>-66.25</v>
      </c>
      <c r="M14" s="99">
        <f>Расходы!N28</f>
        <v>-66.25</v>
      </c>
      <c r="N14" s="99">
        <f>SUM(B14:M14)</f>
        <v>-795</v>
      </c>
      <c r="O14" s="100">
        <f>Расходы!P28</f>
        <v>-354.4</v>
      </c>
      <c r="P14"/>
      <c r="Q14"/>
      <c r="R14"/>
      <c r="S14"/>
      <c r="T14"/>
      <c r="U14"/>
    </row>
    <row r="15" ht="15.5" customHeight="1" thickTop="1" thickBot="1" x14ac:dyDescent="0.2" collapsed="1">
      <c r="A15" s="237" t="inlineStr">
        <is>
          <t xml:space="preserve">COGS</t>
        </is>
      </c>
      <c r="B15" s="138">
        <f>SUM(B12:B14)</f>
        <v>-89.8692999412308</v>
      </c>
      <c r="C15" s="138">
        <f>SUM(C12:C14)</f>
        <v>-125.27429364453</v>
      </c>
      <c r="D15" s="138">
        <f>SUM(D12:D14)</f>
        <v>-148.837732616909</v>
      </c>
      <c r="E15" s="138">
        <f>SUM(E12:E14)</f>
        <v>-152.621631349173</v>
      </c>
      <c r="F15" s="138">
        <f>SUM(F12:F14)</f>
        <v>-153.651031416338</v>
      </c>
      <c r="G15" s="138">
        <f>SUM(G12:G14)</f>
        <v>-154.559410796743</v>
      </c>
      <c r="H15" s="138">
        <f>SUM(H12:H14)</f>
        <v>-154.512725178407</v>
      </c>
      <c r="I15" s="138">
        <f>SUM(I12:I14)</f>
        <v>-164.495994710772</v>
      </c>
      <c r="J15" s="138">
        <f>SUM(J12:J14)</f>
        <v>-161.961631987239</v>
      </c>
      <c r="K15" s="138">
        <f>SUM(K12:K14)</f>
        <v>-197.159261674083</v>
      </c>
      <c r="L15" s="138">
        <f>SUM(L12:L14)</f>
        <v>-218.989611938544</v>
      </c>
      <c r="M15" s="138">
        <f>SUM(M12:M14)</f>
        <v>-249.133374746033</v>
      </c>
      <c r="N15" s="138">
        <f>SUM(B15:M15)</f>
        <v>-1971.066</v>
      </c>
      <c r="O15" s="104">
        <f>SUM(O12:O14)</f>
        <v>-880.54</v>
      </c>
      <c r="P15"/>
      <c r="Q15"/>
      <c r="R15"/>
      <c r="S15"/>
      <c r="T15"/>
      <c r="U15"/>
    </row>
    <row r="16" ht="15" customHeight="1" thickBot="1" x14ac:dyDescent="0.2">
      <c r="A16" s="150" t="inlineStr">
        <is>
          <t xml:space="preserve">Net Revenue</t>
        </is>
      </c>
      <c r="B16" s="137">
        <f>B11+B15</f>
        <v>214.898874044187</v>
      </c>
      <c r="C16" s="137">
        <f>C11+C15</f>
        <v>636.646141319015</v>
      </c>
      <c r="D16" s="137">
        <f>D11+D15</f>
        <v>917.850876332055</v>
      </c>
      <c r="E16" s="137">
        <f>E11+E15</f>
        <v>914.066977599789</v>
      </c>
      <c r="F16" s="137">
        <f>F11+F15</f>
        <v>913.037577532627</v>
      </c>
      <c r="G16" s="137">
        <f>G11+G15</f>
        <v>912.129198152221</v>
      </c>
      <c r="H16" s="137">
        <f>H11+H15</f>
        <v>912.175883770557</v>
      </c>
      <c r="I16" s="137">
        <f>I11+I15</f>
        <v>1054.5767012309</v>
      </c>
      <c r="J16" s="137">
        <f>J11+J15</f>
        <v>1057.11106395443</v>
      </c>
      <c r="K16" s="137">
        <f>K11+K15</f>
        <v>1479.06569524571</v>
      </c>
      <c r="L16" s="137">
        <f>L11+L15</f>
        <v>1914.38760595938</v>
      </c>
      <c r="M16" s="137">
        <f>M11+M15</f>
        <v>2341.39610413002</v>
      </c>
      <c r="N16" s="137">
        <f>SUM(B16:M16)</f>
        <v>13267.3426992709</v>
      </c>
      <c r="O16" s="102">
        <f>O11+O15</f>
        <v>9442.9092363</v>
      </c>
      <c r="P16"/>
      <c r="Q16"/>
      <c r="R16"/>
      <c r="S16"/>
      <c r="T16"/>
      <c r="U16"/>
    </row>
    <row r="17" ht="15" hidden="1" customHeight="1" outlineLevel="1" thickTop="1" x14ac:dyDescent="0.15">
      <c r="A17" s="95" t="inlineStr">
        <is>
          <t xml:space="preserve">Налоги и взносы, связанные с расходами на оплату труда (ФОТ)</t>
        </is>
      </c>
      <c r="B17" s="202">
        <f>Расходы!C3</f>
        <v>-20.5021320287505</v>
      </c>
      <c r="C17" s="202">
        <f>Расходы!D3</f>
        <v>-20.8874989805594</v>
      </c>
      <c r="D17" s="202">
        <f>Расходы!E3</f>
        <v>-20.9962314129087</v>
      </c>
      <c r="E17" s="202">
        <f>Расходы!F3</f>
        <v>-21.3474454508537</v>
      </c>
      <c r="F17" s="202">
        <f>Расходы!G3</f>
        <v>-21.7459610511498</v>
      </c>
      <c r="G17" s="202">
        <f>Расходы!H3</f>
        <v>-21.1991644550706</v>
      </c>
      <c r="H17" s="202">
        <f>Расходы!I3</f>
        <v>-21.7290558201795</v>
      </c>
      <c r="I17" s="202">
        <f>Расходы!J3</f>
        <v>-18.5087631381029</v>
      </c>
      <c r="J17" s="202">
        <f>Расходы!K3</f>
        <v>-21.5601117907646</v>
      </c>
      <c r="K17" s="202">
        <f>Расходы!L3</f>
        <v>-23.021618076732</v>
      </c>
      <c r="L17" s="202">
        <f>Расходы!M3</f>
        <v>-23.0304143073749</v>
      </c>
      <c r="M17" s="202">
        <f>Расходы!N3</f>
        <v>-23.8732957818878</v>
      </c>
      <c r="N17" s="99">
        <f>SUM(B17:M17)</f>
        <v>-258.401692294334</v>
      </c>
      <c r="O17" s="100">
        <f>Расходы!P3</f>
        <v>-201.500852056</v>
      </c>
    </row>
    <row r="18" ht="15" hidden="1" customHeight="1" outlineLevel="1" x14ac:dyDescent="0.15">
      <c r="A18" s="95" t="inlineStr">
        <is>
          <t xml:space="preserve">Индексация</t>
        </is>
      </c>
      <c r="B18" s="202">
        <f>Расходы!C4</f>
        <v>-0</v>
      </c>
      <c r="C18" s="202">
        <f>Расходы!D4</f>
        <v>-0</v>
      </c>
      <c r="D18" s="202">
        <f>Расходы!E4</f>
        <v>-0</v>
      </c>
      <c r="E18" s="202">
        <f>Расходы!F4</f>
        <v>-0</v>
      </c>
      <c r="F18" s="202">
        <f>Расходы!G4</f>
        <v>-0</v>
      </c>
      <c r="G18" s="202">
        <f>Расходы!H4</f>
        <v>-0</v>
      </c>
      <c r="H18" s="202">
        <f>Расходы!I4</f>
        <v>-0</v>
      </c>
      <c r="I18" s="202">
        <f>Расходы!J4</f>
        <v>-0</v>
      </c>
      <c r="J18" s="202">
        <f>Расходы!K4</f>
        <v>-0</v>
      </c>
      <c r="K18" s="202">
        <f>Расходы!L4</f>
        <v>-0</v>
      </c>
      <c r="L18" s="202">
        <f>Расходы!M4</f>
        <v>-0</v>
      </c>
      <c r="M18" s="202">
        <f>Расходы!N4</f>
        <v>-0</v>
      </c>
      <c r="N18" s="99">
        <f>SUM(B18:M18)</f>
        <v>0</v>
      </c>
      <c r="O18" s="100">
        <f>Расходы!P4</f>
        <v>0</v>
      </c>
    </row>
    <row r="19" ht="15" hidden="1" customHeight="1" outlineLevel="1" x14ac:dyDescent="0.15">
      <c r="A19" s="95" t="inlineStr">
        <is>
          <t xml:space="preserve">Оплата труда - постоянная часть</t>
        </is>
      </c>
      <c r="B19" s="202">
        <f>Расходы!C5</f>
        <v>-71.2503220921336</v>
      </c>
      <c r="C19" s="202">
        <f>Расходы!D5</f>
        <v>-72.5895740002543</v>
      </c>
      <c r="D19" s="202">
        <f>Расходы!E5</f>
        <v>-72.9674479118985</v>
      </c>
      <c r="E19" s="202">
        <f>Расходы!F5</f>
        <v>-74.1880094267577</v>
      </c>
      <c r="F19" s="202">
        <f>Расходы!G5</f>
        <v>-75.5729563600826</v>
      </c>
      <c r="G19" s="202">
        <f>Расходы!H5</f>
        <v>-73.6726938149534</v>
      </c>
      <c r="H19" s="202">
        <f>Расходы!I5</f>
        <v>-75.5142062188784</v>
      </c>
      <c r="I19" s="202">
        <f>Расходы!J5</f>
        <v>-64.3228388768313</v>
      </c>
      <c r="J19" s="202">
        <f>Расходы!K5</f>
        <v>-74.9270811094276</v>
      </c>
      <c r="K19" s="202">
        <f>Расходы!L5</f>
        <v>-80.0062013428174</v>
      </c>
      <c r="L19" s="202">
        <f>Расходы!M5</f>
        <v>-80.0367705668191</v>
      </c>
      <c r="M19" s="202">
        <f>Расходы!N5</f>
        <v>-82.9660062414466</v>
      </c>
      <c r="N19" s="99">
        <f>SUM(B19:M19)</f>
        <v>-898.0141079623</v>
      </c>
      <c r="O19" s="100">
        <f>Расходы!P5</f>
        <v>-700.268664288</v>
      </c>
    </row>
    <row r="20" ht="15" hidden="1" customHeight="1" outlineLevel="1" x14ac:dyDescent="0.15">
      <c r="A20" s="95" t="inlineStr">
        <is>
          <t xml:space="preserve">Оплата труда - премии</t>
        </is>
      </c>
      <c r="B20" s="202">
        <f>Расходы!C6</f>
        <v>-2.68955150571714</v>
      </c>
      <c r="C20" s="202">
        <f>Расходы!D6</f>
        <v>-2.74010548049584</v>
      </c>
      <c r="D20" s="202">
        <f>Расходы!E6</f>
        <v>-2.75436943493411</v>
      </c>
      <c r="E20" s="202">
        <f>Расходы!F6</f>
        <v>-2.80044309416424</v>
      </c>
      <c r="F20" s="202">
        <f>Расходы!G6</f>
        <v>-2.85272196112916</v>
      </c>
      <c r="G20" s="202">
        <f>Расходы!H6</f>
        <v>-2.78099100133221</v>
      </c>
      <c r="H20" s="202">
        <f>Расходы!I6</f>
        <v>-2.8505042654599</v>
      </c>
      <c r="I20" s="202">
        <f>Расходы!J6</f>
        <v>-2.4280534188951</v>
      </c>
      <c r="J20" s="202">
        <f>Расходы!K6</f>
        <v>-2.8283415134077</v>
      </c>
      <c r="K20" s="202">
        <f>Расходы!L6</f>
        <v>-3.02006774102766</v>
      </c>
      <c r="L20" s="202">
        <f>Расходы!M6</f>
        <v>-3.02122166567008</v>
      </c>
      <c r="M20" s="202">
        <f>Расходы!N6</f>
        <v>-3.13179422152614</v>
      </c>
      <c r="N20" s="99">
        <f>SUM(B20:M20)</f>
        <v>-33.8981653037593</v>
      </c>
      <c r="O20" s="100">
        <f>Расходы!P6</f>
        <v>-26.433685984</v>
      </c>
    </row>
    <row r="21" ht="15" hidden="1" customHeight="1" outlineLevel="1" x14ac:dyDescent="0.15">
      <c r="A21" s="95" t="inlineStr">
        <is>
          <t xml:space="preserve">Оплата труда - отпускные</t>
        </is>
      </c>
      <c r="B21" s="202">
        <f>Расходы!C7</f>
        <v>-4.61554389752305</v>
      </c>
      <c r="C21" s="202">
        <f>Расходы!D7</f>
        <v>-4.7022996593255</v>
      </c>
      <c r="D21" s="202">
        <f>Расходы!E7</f>
        <v>-4.7267780557132</v>
      </c>
      <c r="E21" s="202">
        <f>Расходы!F7</f>
        <v>-4.80584514040897</v>
      </c>
      <c r="F21" s="202">
        <f>Расходы!G7</f>
        <v>-4.89556099261572</v>
      </c>
      <c r="G21" s="202">
        <f>Расходы!H7</f>
        <v>-4.77246337093028</v>
      </c>
      <c r="H21" s="202">
        <f>Расходы!I7</f>
        <v>-4.8917552013189</v>
      </c>
      <c r="I21" s="202">
        <f>Расходы!J7</f>
        <v>-4.16678658751066</v>
      </c>
      <c r="J21" s="202">
        <f>Расходы!K7</f>
        <v>-4.85372166495812</v>
      </c>
      <c r="K21" s="202">
        <f>Расходы!L7</f>
        <v>-5.18274336913644</v>
      </c>
      <c r="L21" s="202">
        <f>Расходы!M7</f>
        <v>-5.18472362117111</v>
      </c>
      <c r="M21" s="202">
        <f>Расходы!N7</f>
        <v>-5.3744773716868</v>
      </c>
      <c r="N21" s="99">
        <f>SUM(B21:M21)</f>
        <v>-58.1726989322987</v>
      </c>
      <c r="O21" s="100">
        <f>Расходы!P7</f>
        <v>-45.36289332</v>
      </c>
    </row>
    <row r="22" ht="15" hidden="1" customHeight="1" outlineLevel="1" x14ac:dyDescent="0.15">
      <c r="A22" s="95" t="inlineStr">
        <is>
          <t xml:space="preserve">Начисление резерва STI 100%, годовой бонус</t>
        </is>
      </c>
      <c r="B22" s="202">
        <f>Расходы!C8</f>
        <v>-11.5559543508355</v>
      </c>
      <c r="C22" s="202">
        <f>Расходы!D8</f>
        <v>-11.7731650729779</v>
      </c>
      <c r="D22" s="202">
        <f>Расходы!E8</f>
        <v>-11.8344517246745</v>
      </c>
      <c r="E22" s="202">
        <f>Расходы!F8</f>
        <v>-12.0324122774684</v>
      </c>
      <c r="F22" s="202">
        <f>Расходы!G8</f>
        <v>-12.2570341889193</v>
      </c>
      <c r="G22" s="202">
        <f>Расходы!H8</f>
        <v>-11.9488342175884</v>
      </c>
      <c r="H22" s="202">
        <f>Расходы!I8</f>
        <v>-12.247505615154</v>
      </c>
      <c r="I22" s="202">
        <f>Расходы!J8</f>
        <v>-10.4323990116934</v>
      </c>
      <c r="J22" s="202">
        <f>Расходы!K8</f>
        <v>-12.1522809093026</v>
      </c>
      <c r="K22" s="202">
        <f>Расходы!L8</f>
        <v>-12.9760537686527</v>
      </c>
      <c r="L22" s="202">
        <f>Расходы!M8</f>
        <v>-12.9810117330062</v>
      </c>
      <c r="M22" s="202">
        <f>Расходы!N8</f>
        <v>-13.456098900964</v>
      </c>
      <c r="N22" s="99">
        <f>SUM(B22:M22)</f>
        <v>-145.647201771237</v>
      </c>
      <c r="O22" s="100">
        <f>Расходы!P8</f>
        <v>-113.575244016</v>
      </c>
    </row>
    <row r="23" ht="15" hidden="1" customHeight="1" outlineLevel="1" x14ac:dyDescent="0.15">
      <c r="A23" s="95" t="inlineStr">
        <is>
          <t xml:space="preserve">Начисление резерва STI 100%, квартальные бонусы</t>
        </is>
      </c>
      <c r="B23" s="202">
        <f>Расходы!C9</f>
        <v>-3.35054297746118</v>
      </c>
      <c r="C23" s="202">
        <f>Расходы!D9</f>
        <v>-3.41352123417703</v>
      </c>
      <c r="D23" s="202">
        <f>Расходы!E9</f>
        <v>-3.43129073673995</v>
      </c>
      <c r="E23" s="202">
        <f>Расходы!F9</f>
        <v>-3.48868758340799</v>
      </c>
      <c r="F23" s="202">
        <f>Расходы!G9</f>
        <v>-3.55381464649141</v>
      </c>
      <c r="G23" s="202">
        <f>Расходы!H9</f>
        <v>-3.46445489149013</v>
      </c>
      <c r="H23" s="202">
        <f>Расходы!I9</f>
        <v>-3.55105192392038</v>
      </c>
      <c r="I23" s="202">
        <f>Расходы!J9</f>
        <v>-3.02477841167441</v>
      </c>
      <c r="J23" s="202">
        <f>Расходы!K9</f>
        <v>-3.52344239382145</v>
      </c>
      <c r="K23" s="202">
        <f>Расходы!L9</f>
        <v>-3.76228777907682</v>
      </c>
      <c r="L23" s="202">
        <f>Расходы!M9</f>
        <v>-3.76372529536865</v>
      </c>
      <c r="M23" s="202">
        <f>Расходы!N9</f>
        <v>-3.90147246240968</v>
      </c>
      <c r="N23" s="99">
        <f>SUM(B23:M23)</f>
        <v>-42.2290703360391</v>
      </c>
      <c r="O23" s="100">
        <f>Расходы!P9</f>
        <v>-32.930100336</v>
      </c>
    </row>
    <row r="24" ht="15.5" customHeight="1" collapsed="1" thickTop="1" thickBot="1" x14ac:dyDescent="0.2">
      <c r="A24" s="237" t="inlineStr">
        <is>
          <t xml:space="preserve">PEX</t>
        </is>
      </c>
      <c r="B24" s="138">
        <f>SUM(B17:B23)</f>
        <v>-113.964046852421</v>
      </c>
      <c r="C24" s="138">
        <f>SUM(C17:C23)</f>
        <v>-116.10616442779</v>
      </c>
      <c r="D24" s="138">
        <f>SUM(D17:D23)</f>
        <v>-116.710569276869</v>
      </c>
      <c r="E24" s="138">
        <f>SUM(E17:E23)</f>
        <v>-118.662842973061</v>
      </c>
      <c r="F24" s="138">
        <f>SUM(F17:F23)</f>
        <v>-120.878049200388</v>
      </c>
      <c r="G24" s="138">
        <f>SUM(G17:G23)</f>
        <v>-117.838601751365</v>
      </c>
      <c r="H24" s="138">
        <f>SUM(H17:H23)</f>
        <v>-120.784079044911</v>
      </c>
      <c r="I24" s="138">
        <f>SUM(I17:I23)</f>
        <v>-102.883619444708</v>
      </c>
      <c r="J24" s="138">
        <f>SUM(J17:J23)</f>
        <v>-119.844979381682</v>
      </c>
      <c r="K24" s="138">
        <f>SUM(K17:K23)</f>
        <v>-127.968972077443</v>
      </c>
      <c r="L24" s="138">
        <f>SUM(L17:L23)</f>
        <v>-128.01786718941</v>
      </c>
      <c r="M24" s="138">
        <f>SUM(M17:M23)</f>
        <v>-132.703144979921</v>
      </c>
      <c r="N24" s="138">
        <f>SUM(B24:M24)</f>
        <v>-1436.36293659997</v>
      </c>
      <c r="O24" s="104">
        <f>SUM(O17:O23)</f>
        <v>-1120.07144</v>
      </c>
    </row>
    <row r="25" ht="15" hidden="1" customHeight="1" outlineLevel="1" thickTop="1" x14ac:dyDescent="0.15">
      <c r="A25" s="95" t="inlineStr">
        <is>
          <t xml:space="preserve">Материальная помощь</t>
        </is>
      </c>
      <c r="B25" s="99">
        <f>Расходы!C11</f>
        <v>-0.005</v>
      </c>
      <c r="C25" s="99">
        <f>Расходы!D11</f>
        <v>-0</v>
      </c>
      <c r="D25" s="99">
        <f>Расходы!E11</f>
        <v>-0.005</v>
      </c>
      <c r="E25" s="99">
        <f>Расходы!F11</f>
        <v>-0.005</v>
      </c>
      <c r="F25" s="99">
        <f>Расходы!G11</f>
        <v>-0.005</v>
      </c>
      <c r="G25" s="99">
        <f>Расходы!H11</f>
        <v>-0</v>
      </c>
      <c r="H25" s="99">
        <f>Расходы!I11</f>
        <v>-0.005</v>
      </c>
      <c r="I25" s="99">
        <f>Расходы!J11</f>
        <v>-0</v>
      </c>
      <c r="J25" s="99">
        <f>Расходы!K11</f>
        <v>-0.005</v>
      </c>
      <c r="K25" s="99">
        <f>Расходы!L11</f>
        <v>-0</v>
      </c>
      <c r="L25" s="99">
        <f>Расходы!M11</f>
        <v>-0.005</v>
      </c>
      <c r="M25" s="99">
        <f>Расходы!N11</f>
        <v>-0.005</v>
      </c>
      <c r="N25" s="99">
        <f>SUM(B25:M25)</f>
        <v>-0.04</v>
      </c>
      <c r="O25" s="100">
        <f>Расходы!P11</f>
        <v>-0.4</v>
      </c>
    </row>
    <row r="26" ht="15" hidden="1" customHeight="1" outlineLevel="1" x14ac:dyDescent="0.15">
      <c r="A26" s="95" t="inlineStr">
        <is>
          <t xml:space="preserve">Затраты на корп. мероприятие кроме проезда и проживания</t>
        </is>
      </c>
      <c r="B26" s="99">
        <f>Расходы!C12</f>
        <v>-0.375</v>
      </c>
      <c r="C26" s="99">
        <f>Расходы!D12</f>
        <v>-0.375</v>
      </c>
      <c r="D26" s="99">
        <f>Расходы!E12</f>
        <v>-0.51</v>
      </c>
      <c r="E26" s="99">
        <f>Расходы!F12</f>
        <v>-0.375</v>
      </c>
      <c r="F26" s="99">
        <f>Расходы!G12</f>
        <v>-0.375</v>
      </c>
      <c r="G26" s="99">
        <f>Расходы!H12</f>
        <v>-0.375</v>
      </c>
      <c r="H26" s="99">
        <f>Расходы!I12</f>
        <v>-0.51</v>
      </c>
      <c r="I26" s="99">
        <f>Расходы!J12</f>
        <v>-0.375</v>
      </c>
      <c r="J26" s="99">
        <f>Расходы!K12</f>
        <v>-0.375</v>
      </c>
      <c r="K26" s="99">
        <f>Расходы!L12</f>
        <v>-0.375</v>
      </c>
      <c r="L26" s="99">
        <f>Расходы!M12</f>
        <v>-0.375</v>
      </c>
      <c r="M26" s="99">
        <f>Расходы!N12</f>
        <v>-0.375</v>
      </c>
      <c r="N26" s="99">
        <f>SUM(B26:M26)</f>
        <v>-4.77</v>
      </c>
      <c r="O26" s="100">
        <f>Расходы!P12</f>
        <v>-3</v>
      </c>
    </row>
    <row r="27" ht="15" hidden="1" customHeight="1" outlineLevel="1" x14ac:dyDescent="0.15">
      <c r="A27" s="95" t="inlineStr">
        <is>
          <t xml:space="preserve">ДМС и НС</t>
        </is>
      </c>
      <c r="B27" s="99">
        <f>Расходы!C13</f>
        <v>-0.869198133256529</v>
      </c>
      <c r="C27" s="99">
        <f>Расходы!D13</f>
        <v>-0.869198133256529</v>
      </c>
      <c r="D27" s="99">
        <f>Расходы!E13</f>
        <v>-0.869198133256529</v>
      </c>
      <c r="E27" s="99">
        <f>Расходы!F13</f>
        <v>-0.869198133256529</v>
      </c>
      <c r="F27" s="99">
        <f>Расходы!G13</f>
        <v>-0.869198133256529</v>
      </c>
      <c r="G27" s="99">
        <f>Расходы!H13</f>
        <v>-0.869198133256529</v>
      </c>
      <c r="H27" s="99">
        <f>Расходы!I13</f>
        <v>-0.869198133256529</v>
      </c>
      <c r="I27" s="99">
        <f>Расходы!J13</f>
        <v>-0.869198133256529</v>
      </c>
      <c r="J27" s="99">
        <f>Расходы!K13</f>
        <v>-0.869198133256529</v>
      </c>
      <c r="K27" s="99">
        <f>Расходы!L13</f>
        <v>-0.869198133256529</v>
      </c>
      <c r="L27" s="99">
        <f>Расходы!M13</f>
        <v>-0.882419923960377</v>
      </c>
      <c r="M27" s="99">
        <f>Расходы!N13</f>
        <v>-0.972502982022831</v>
      </c>
      <c r="N27" s="99">
        <f>SUM(B27:M27)</f>
        <v>-10.5469042385485</v>
      </c>
      <c r="O27" s="100">
        <f>Расходы!P13</f>
        <v>-6.5</v>
      </c>
    </row>
    <row r="28" ht="15" hidden="1" customHeight="1" outlineLevel="1" x14ac:dyDescent="0.15">
      <c r="A28" s="95" t="inlineStr">
        <is>
          <t xml:space="preserve">Подбор массовых позиций</t>
        </is>
      </c>
      <c r="B28" s="99">
        <f>Расходы!C14</f>
        <v>-0</v>
      </c>
      <c r="C28" s="99">
        <f>Расходы!D14</f>
        <v>-0</v>
      </c>
      <c r="D28" s="99">
        <f>Расходы!E14</f>
        <v>-0</v>
      </c>
      <c r="E28" s="99">
        <f>Расходы!F14</f>
        <v>-0</v>
      </c>
      <c r="F28" s="99">
        <f>Расходы!G14</f>
        <v>-0</v>
      </c>
      <c r="G28" s="99">
        <f>Расходы!H14</f>
        <v>-0</v>
      </c>
      <c r="H28" s="99">
        <f>Расходы!I14</f>
        <v>-0</v>
      </c>
      <c r="I28" s="99">
        <f>Расходы!J14</f>
        <v>-0</v>
      </c>
      <c r="J28" s="99">
        <f>Расходы!K14</f>
        <v>-0</v>
      </c>
      <c r="K28" s="99">
        <f>Расходы!L14</f>
        <v>-0</v>
      </c>
      <c r="L28" s="99">
        <f>Расходы!M14</f>
        <v>-0</v>
      </c>
      <c r="M28" s="99">
        <f>Расходы!N14</f>
        <v>-0</v>
      </c>
      <c r="N28" s="99">
        <f>SUM(B28:M28)</f>
        <v>0</v>
      </c>
      <c r="O28" s="100">
        <f>Расходы!P14</f>
        <v>-4.9</v>
      </c>
    </row>
    <row r="29" ht="15" hidden="1" customHeight="1" outlineLevel="1" x14ac:dyDescent="0.15">
      <c r="A29" s="95" t="inlineStr">
        <is>
          <t xml:space="preserve">Подбор офисных позиций</t>
        </is>
      </c>
      <c r="B29" s="99">
        <f>Расходы!C15</f>
        <v>-0.037333</v>
      </c>
      <c r="C29" s="99">
        <f>Расходы!D15</f>
        <v>-0.037333</v>
      </c>
      <c r="D29" s="99">
        <f>Расходы!E15</f>
        <v>-0.037333</v>
      </c>
      <c r="E29" s="99">
        <f>Расходы!F15</f>
        <v>-0.37233367</v>
      </c>
      <c r="F29" s="99">
        <f>Расходы!G15</f>
        <v>-0.037333</v>
      </c>
      <c r="G29" s="99">
        <f>Расходы!H15</f>
        <v>-0.037333</v>
      </c>
      <c r="H29" s="99">
        <f>Расходы!I15</f>
        <v>-0.037333</v>
      </c>
      <c r="I29" s="99">
        <f>Расходы!J15</f>
        <v>-0.377003</v>
      </c>
      <c r="J29" s="99">
        <f>Расходы!K15</f>
        <v>-0.037333</v>
      </c>
      <c r="K29" s="99">
        <f>Расходы!L15</f>
        <v>-0.037333</v>
      </c>
      <c r="L29" s="99">
        <f>Расходы!M15</f>
        <v>-0.037333</v>
      </c>
      <c r="M29" s="99">
        <f>Расходы!N15</f>
        <v>-0.037333</v>
      </c>
      <c r="N29" s="99">
        <f>SUM(B29:M29)</f>
        <v>-1.12266667</v>
      </c>
      <c r="O29" s="100">
        <f>Расходы!P15</f>
        <v>0</v>
      </c>
    </row>
    <row r="30" ht="15" hidden="1" customHeight="1" outlineLevel="1" x14ac:dyDescent="0.15">
      <c r="A30" s="95" t="inlineStr">
        <is>
          <t xml:space="preserve">Расходы на внешнее обучение</t>
        </is>
      </c>
      <c r="B30" s="99">
        <f>Расходы!C16</f>
        <v>-0</v>
      </c>
      <c r="C30" s="99">
        <f>Расходы!D16</f>
        <v>-0</v>
      </c>
      <c r="D30" s="99">
        <f>Расходы!E16</f>
        <v>-0.51209</v>
      </c>
      <c r="E30" s="99">
        <f>Расходы!F16</f>
        <v>-0.51209</v>
      </c>
      <c r="F30" s="99">
        <f>Расходы!G16</f>
        <v>-0.51209</v>
      </c>
      <c r="G30" s="99">
        <f>Расходы!H16</f>
        <v>-0.51209</v>
      </c>
      <c r="H30" s="99">
        <f>Расходы!I16</f>
        <v>-0.51209</v>
      </c>
      <c r="I30" s="99">
        <f>Расходы!J16</f>
        <v>-0.51209</v>
      </c>
      <c r="J30" s="99">
        <f>Расходы!K16</f>
        <v>-0.51209</v>
      </c>
      <c r="K30" s="99">
        <f>Расходы!L16</f>
        <v>-0.51209</v>
      </c>
      <c r="L30" s="99">
        <f>Расходы!M16</f>
        <v>-0.51209</v>
      </c>
      <c r="M30" s="99">
        <f>Расходы!N16</f>
        <v>-0.51209</v>
      </c>
      <c r="N30" s="99">
        <f>SUM(B30:M30)</f>
        <v>-5.1209</v>
      </c>
      <c r="O30" s="100">
        <f>Расходы!P16</f>
        <v>-5.7</v>
      </c>
    </row>
    <row r="31" ht="15" hidden="1" customHeight="1" outlineLevel="1" x14ac:dyDescent="0.15">
      <c r="A31" s="95" t="inlineStr">
        <is>
          <t xml:space="preserve">Развитие HR бренда</t>
        </is>
      </c>
      <c r="B31" s="99">
        <f>Расходы!C17</f>
        <v>-0</v>
      </c>
      <c r="C31" s="99">
        <f>Расходы!D17</f>
        <v>-4</v>
      </c>
      <c r="D31" s="99">
        <f>Расходы!E17</f>
        <v>-0</v>
      </c>
      <c r="E31" s="99">
        <f>Расходы!F17</f>
        <v>-10.25</v>
      </c>
      <c r="F31" s="99">
        <f>Расходы!G17</f>
        <v>-0</v>
      </c>
      <c r="G31" s="99">
        <f>Расходы!H17</f>
        <v>-0</v>
      </c>
      <c r="H31" s="99">
        <f>Расходы!I17</f>
        <v>-6</v>
      </c>
      <c r="I31" s="99">
        <f>Расходы!J17</f>
        <v>-0</v>
      </c>
      <c r="J31" s="99">
        <f>Расходы!K17</f>
        <v>-0</v>
      </c>
      <c r="K31" s="99">
        <f>Расходы!L17</f>
        <v>-0</v>
      </c>
      <c r="L31" s="99">
        <f>Расходы!M17</f>
        <v>-0</v>
      </c>
      <c r="M31" s="99">
        <f>Расходы!N17</f>
        <v>-0</v>
      </c>
      <c r="N31" s="99">
        <f>SUM(B31:M31)</f>
        <v>-20.25</v>
      </c>
      <c r="O31" s="100">
        <f>Расходы!P17</f>
        <v>-14</v>
      </c>
    </row>
    <row r="32" ht="15" hidden="1" customHeight="1" outlineLevel="1" x14ac:dyDescent="0.15">
      <c r="A32" s="95" t="inlineStr">
        <is>
          <t xml:space="preserve">Карты лояльности (мотивация сотрудников)</t>
        </is>
      </c>
      <c r="B32" s="99">
        <f>Расходы!C18</f>
        <v>-0.02799675</v>
      </c>
      <c r="C32" s="99">
        <f>Расходы!D18</f>
        <v>-0.02799675</v>
      </c>
      <c r="D32" s="99">
        <f>Расходы!E18</f>
        <v>-0.02799675</v>
      </c>
      <c r="E32" s="99">
        <f>Расходы!F18</f>
        <v>-0.02799675</v>
      </c>
      <c r="F32" s="99">
        <f>Расходы!G18</f>
        <v>-0.02799675</v>
      </c>
      <c r="G32" s="99">
        <f>Расходы!H18</f>
        <v>-0.02799675</v>
      </c>
      <c r="H32" s="99">
        <f>Расходы!I18</f>
        <v>-0.02799675</v>
      </c>
      <c r="I32" s="99">
        <f>Расходы!J18</f>
        <v>-0.02799675</v>
      </c>
      <c r="J32" s="99">
        <f>Расходы!K18</f>
        <v>-0.02799675</v>
      </c>
      <c r="K32" s="99">
        <f>Расходы!L18</f>
        <v>-0.02799675</v>
      </c>
      <c r="L32" s="99">
        <f>Расходы!M18</f>
        <v>-0.02799675</v>
      </c>
      <c r="M32" s="99">
        <f>Расходы!N18</f>
        <v>-0.02799675</v>
      </c>
      <c r="N32" s="99">
        <f>SUM(B32:M32)</f>
        <v>-0.335961</v>
      </c>
      <c r="O32" s="100">
        <f>Расходы!P18</f>
        <v>0</v>
      </c>
    </row>
    <row r="33" ht="15" hidden="1" customHeight="1" outlineLevel="1" x14ac:dyDescent="0.15">
      <c r="A33" s="95" t="inlineStr">
        <is>
          <t xml:space="preserve">Прочие компенсации и льготы</t>
        </is>
      </c>
      <c r="B33" s="99">
        <f>Расходы!C19</f>
        <v>-0.0416666666666667</v>
      </c>
      <c r="C33" s="99">
        <f>Расходы!D19</f>
        <v>-0.0416666666666667</v>
      </c>
      <c r="D33" s="99">
        <f>Расходы!E19</f>
        <v>-0.0416666666666667</v>
      </c>
      <c r="E33" s="99">
        <f>Расходы!F19</f>
        <v>-0.0416666666666667</v>
      </c>
      <c r="F33" s="99">
        <f>Расходы!G19</f>
        <v>-0.0416666666666667</v>
      </c>
      <c r="G33" s="99">
        <f>Расходы!H19</f>
        <v>-0.0416666666666667</v>
      </c>
      <c r="H33" s="99">
        <f>Расходы!I19</f>
        <v>-0.0416666666666667</v>
      </c>
      <c r="I33" s="99">
        <f>Расходы!J19</f>
        <v>-0.0416666666666667</v>
      </c>
      <c r="J33" s="99">
        <f>Расходы!K19</f>
        <v>-0.0416666666666667</v>
      </c>
      <c r="K33" s="99">
        <f>Расходы!L19</f>
        <v>-0.0416666666666667</v>
      </c>
      <c r="L33" s="99">
        <f>Расходы!M19</f>
        <v>-0.0416666666666667</v>
      </c>
      <c r="M33" s="99">
        <f>Расходы!N19</f>
        <v>-0.0416666666666667</v>
      </c>
      <c r="N33" s="99">
        <f>SUM(B33:M33)</f>
        <v>-0.5</v>
      </c>
      <c r="O33" s="100">
        <f>Расходы!P19</f>
        <v>-1.2</v>
      </c>
    </row>
    <row r="34" ht="15" hidden="1" customHeight="1" outlineLevel="1" x14ac:dyDescent="0.15">
      <c r="A34" s="95" t="inlineStr">
        <is>
          <t xml:space="preserve">Резерв на оплату отпусков</t>
        </is>
      </c>
      <c r="B34" s="99">
        <f>Расходы!C20</f>
        <v>0.2</v>
      </c>
      <c r="C34" s="99">
        <f>Расходы!D20</f>
        <v>0.2</v>
      </c>
      <c r="D34" s="99">
        <f>Расходы!E20</f>
        <v>0.2</v>
      </c>
      <c r="E34" s="99">
        <f>Расходы!F20</f>
        <v>0.2</v>
      </c>
      <c r="F34" s="99">
        <f>Расходы!G20</f>
        <v>0.2</v>
      </c>
      <c r="G34" s="99">
        <f>Расходы!H20</f>
        <v>0.2</v>
      </c>
      <c r="H34" s="99">
        <f>Расходы!I20</f>
        <v>0.2</v>
      </c>
      <c r="I34" s="99">
        <f>Расходы!J20</f>
        <v>0.2</v>
      </c>
      <c r="J34" s="99">
        <f>Расходы!K20</f>
        <v>0.2</v>
      </c>
      <c r="K34" s="99">
        <f>Расходы!L20</f>
        <v>0.2</v>
      </c>
      <c r="L34" s="99">
        <f>Расходы!M20</f>
        <v>0.2</v>
      </c>
      <c r="M34" s="99">
        <f>Расходы!N20</f>
        <v>0.2</v>
      </c>
      <c r="N34" s="99">
        <f>SUM(B34:M34)</f>
        <v>2.4</v>
      </c>
      <c r="O34" s="100">
        <f>Расходы!P20</f>
        <v>3</v>
      </c>
    </row>
    <row r="35" ht="15.5" customHeight="1" collapsed="1" thickTop="1" thickBot="1" x14ac:dyDescent="0.2">
      <c r="A35" s="237" t="inlineStr">
        <is>
          <t xml:space="preserve">Other PEX</t>
        </is>
      </c>
      <c r="B35" s="138">
        <f>SUM(B25:B34)</f>
        <v>-1.1561945499232</v>
      </c>
      <c r="C35" s="138">
        <f>SUM(C25:C34)</f>
        <v>-5.1511945499232</v>
      </c>
      <c r="D35" s="138">
        <f>SUM(D25:D34)</f>
        <v>-1.8032845499232</v>
      </c>
      <c r="E35" s="138">
        <f>SUM(E25:E34)</f>
        <v>-12.2532852199232</v>
      </c>
      <c r="F35" s="138">
        <f>SUM(F25:F34)</f>
        <v>-1.6682845499232</v>
      </c>
      <c r="G35" s="138">
        <f>SUM(G25:G34)</f>
        <v>-1.6632845499232</v>
      </c>
      <c r="H35" s="138">
        <f>SUM(H25:H34)</f>
        <v>-7.8032845499232</v>
      </c>
      <c r="I35" s="138">
        <f>SUM(I25:I34)</f>
        <v>-2.0029545499232</v>
      </c>
      <c r="J35" s="138">
        <f>SUM(J25:J34)</f>
        <v>-1.6682845499232</v>
      </c>
      <c r="K35" s="138">
        <f>SUM(K25:K34)</f>
        <v>-1.6632845499232</v>
      </c>
      <c r="L35" s="138">
        <f>SUM(L25:L34)</f>
        <v>-1.68150634062704</v>
      </c>
      <c r="M35" s="138">
        <f>SUM(M25:M34)</f>
        <v>-1.7715893986895</v>
      </c>
      <c r="N35" s="138">
        <f>SUM(B35:M35)</f>
        <v>-40.2864319085485</v>
      </c>
      <c r="O35" s="104">
        <f>SUM(O25:O34)</f>
        <v>-32.7</v>
      </c>
    </row>
    <row r="36" ht="15" hidden="1" customHeight="1" outlineLevel="1" thickTop="1" x14ac:dyDescent="0.15">
      <c r="A36" s="95" t="inlineStr">
        <is>
          <t xml:space="preserve">PR/GR</t>
        </is>
      </c>
      <c r="B36" s="99">
        <f>Расходы!C22</f>
        <v>-0.675</v>
      </c>
      <c r="C36" s="99">
        <f>Расходы!D22</f>
        <v>-3.525</v>
      </c>
      <c r="D36" s="99">
        <f>Расходы!E22</f>
        <v>-4.25</v>
      </c>
      <c r="E36" s="99">
        <f>Расходы!F22</f>
        <v>-2.675</v>
      </c>
      <c r="F36" s="99">
        <f>Расходы!G22</f>
        <v>-0.875</v>
      </c>
      <c r="G36" s="99">
        <f>Расходы!H22</f>
        <v>-1.9</v>
      </c>
      <c r="H36" s="99">
        <f>Расходы!I22</f>
        <v>-4.675</v>
      </c>
      <c r="I36" s="99">
        <f>Расходы!J22</f>
        <v>-2.025</v>
      </c>
      <c r="J36" s="99">
        <f>Расходы!K22</f>
        <v>-3.45</v>
      </c>
      <c r="K36" s="99">
        <f>Расходы!L22</f>
        <v>-1.975</v>
      </c>
      <c r="L36" s="99">
        <f>Расходы!M22</f>
        <v>-5.875</v>
      </c>
      <c r="M36" s="99">
        <f>Расходы!N22</f>
        <v>-1.4</v>
      </c>
      <c r="N36" s="99">
        <f>SUM(B36:M36)</f>
        <v>-33.3</v>
      </c>
      <c r="O36" s="100">
        <f>Расходы!P22</f>
        <v>-23.25</v>
      </c>
    </row>
    <row r="37" ht="15" hidden="1" customHeight="1" outlineLevel="1" x14ac:dyDescent="0.15">
      <c r="A37" s="95" t="inlineStr">
        <is>
          <t xml:space="preserve">Организация бизнес-мероприятий для партнеров</t>
        </is>
      </c>
      <c r="B37" s="99">
        <f>Расходы!C23</f>
        <v>-0</v>
      </c>
      <c r="C37" s="99">
        <f>Расходы!D23</f>
        <v>-1.5</v>
      </c>
      <c r="D37" s="99">
        <f>Расходы!E23</f>
        <v>-0</v>
      </c>
      <c r="E37" s="99">
        <f>Расходы!F23</f>
        <v>-0</v>
      </c>
      <c r="F37" s="99">
        <f>Расходы!G23</f>
        <v>-0</v>
      </c>
      <c r="G37" s="99">
        <f>Расходы!H23</f>
        <v>-0.15</v>
      </c>
      <c r="H37" s="99">
        <f>Расходы!I23</f>
        <v>-0</v>
      </c>
      <c r="I37" s="99">
        <f>Расходы!J23</f>
        <v>-0</v>
      </c>
      <c r="J37" s="99">
        <f>Расходы!K23</f>
        <v>-0.15</v>
      </c>
      <c r="K37" s="99">
        <f>Расходы!L23</f>
        <v>-0</v>
      </c>
      <c r="L37" s="99">
        <f>Расходы!M23</f>
        <v>-0</v>
      </c>
      <c r="M37" s="99">
        <f>Расходы!N23</f>
        <v>-0</v>
      </c>
      <c r="N37" s="99">
        <f>SUM(B37:M37)</f>
        <v>-1.8</v>
      </c>
      <c r="O37" s="100">
        <f>Расходы!P23</f>
        <v>-3.5</v>
      </c>
    </row>
    <row r="38" ht="15" hidden="1" customHeight="1" outlineLevel="1" x14ac:dyDescent="0.15">
      <c r="A38" s="95" t="inlineStr">
        <is>
          <t xml:space="preserve">Маркетинговые исследования</t>
        </is>
      </c>
      <c r="B38" s="99">
        <f>Расходы!C24</f>
        <v>-1.1260256</v>
      </c>
      <c r="C38" s="99">
        <f>Расходы!D24</f>
        <v>-1.1260256</v>
      </c>
      <c r="D38" s="99">
        <f>Расходы!E24</f>
        <v>-1.1260256</v>
      </c>
      <c r="E38" s="99">
        <f>Расходы!F24</f>
        <v>-1.1260256</v>
      </c>
      <c r="F38" s="99">
        <f>Расходы!G24</f>
        <v>-1.1260256</v>
      </c>
      <c r="G38" s="99">
        <f>Расходы!H24</f>
        <v>-1.1260256</v>
      </c>
      <c r="H38" s="99">
        <f>Расходы!I24</f>
        <v>-1.4670104</v>
      </c>
      <c r="I38" s="99">
        <f>Расходы!J24</f>
        <v>-1.4670104</v>
      </c>
      <c r="J38" s="99">
        <f>Расходы!K24</f>
        <v>-1.4670104</v>
      </c>
      <c r="K38" s="99">
        <f>Расходы!L24</f>
        <v>-1.4670104</v>
      </c>
      <c r="L38" s="99">
        <f>Расходы!M24</f>
        <v>-1.4670104</v>
      </c>
      <c r="M38" s="99">
        <f>Расходы!N24</f>
        <v>-1.4670104</v>
      </c>
      <c r="N38" s="99">
        <f>SUM(B38:M38)</f>
        <v>-15.558216</v>
      </c>
      <c r="O38" s="100">
        <f>Расходы!P24</f>
        <v>-8.3</v>
      </c>
    </row>
    <row r="39" ht="15" hidden="1" customHeight="1" outlineLevel="1" x14ac:dyDescent="0.15">
      <c r="A39" s="95" t="inlineStr">
        <is>
          <t xml:space="preserve">Маркетинг ВГО (не поставщики)</t>
        </is>
      </c>
      <c r="B39" s="99">
        <f>Расходы!C25</f>
        <v>-4.16666666666667</v>
      </c>
      <c r="C39" s="99">
        <f>Расходы!D25</f>
        <v>-4.16666666666667</v>
      </c>
      <c r="D39" s="99">
        <f>Расходы!E25</f>
        <v>-4.16666666666667</v>
      </c>
      <c r="E39" s="99">
        <f>Расходы!F25</f>
        <v>-4.16666666666667</v>
      </c>
      <c r="F39" s="99">
        <f>Расходы!G25</f>
        <v>-4.16666666666667</v>
      </c>
      <c r="G39" s="99">
        <f>Расходы!H25</f>
        <v>-4.16666666666667</v>
      </c>
      <c r="H39" s="99">
        <f>Расходы!I25</f>
        <v>-4.16666666666667</v>
      </c>
      <c r="I39" s="99">
        <f>Расходы!J25</f>
        <v>-4.16666666666667</v>
      </c>
      <c r="J39" s="99">
        <f>Расходы!K25</f>
        <v>-4.16666666666667</v>
      </c>
      <c r="K39" s="99">
        <f>Расходы!L25</f>
        <v>-4.16666666666667</v>
      </c>
      <c r="L39" s="99">
        <f>Расходы!M25</f>
        <v>-4.16666666666667</v>
      </c>
      <c r="M39" s="99">
        <f>Расходы!N25</f>
        <v>-4.16666666666667</v>
      </c>
      <c r="N39" s="99">
        <f>SUM(B39:M39)</f>
        <v>-50</v>
      </c>
      <c r="O39" s="100">
        <f>Расходы!P25</f>
        <v>-20.2</v>
      </c>
    </row>
    <row r="40" ht="15.5" customHeight="1" collapsed="1" thickTop="1" thickBot="1" x14ac:dyDescent="0.2">
      <c r="A40" s="237" t="inlineStr">
        <is>
          <t xml:space="preserve">Marketing</t>
        </is>
      </c>
      <c r="B40" s="138">
        <f>SUM(B36:B39)</f>
        <v>-5.96769226666667</v>
      </c>
      <c r="C40" s="138">
        <f>SUM(C36:C39)</f>
        <v>-10.3176922666667</v>
      </c>
      <c r="D40" s="138">
        <f>SUM(D36:D39)</f>
        <v>-9.54269226666667</v>
      </c>
      <c r="E40" s="138">
        <f>SUM(E36:E39)</f>
        <v>-7.96769226666667</v>
      </c>
      <c r="F40" s="138">
        <f>SUM(F36:F39)</f>
        <v>-6.16769226666667</v>
      </c>
      <c r="G40" s="138">
        <f>SUM(G36:G39)</f>
        <v>-7.34269226666667</v>
      </c>
      <c r="H40" s="138">
        <f>SUM(H36:H39)</f>
        <v>-10.3086770666667</v>
      </c>
      <c r="I40" s="138">
        <f>SUM(I36:I39)</f>
        <v>-7.65867706666667</v>
      </c>
      <c r="J40" s="138">
        <f>SUM(J36:J39)</f>
        <v>-9.23367706666667</v>
      </c>
      <c r="K40" s="138">
        <f>SUM(K36:K39)</f>
        <v>-7.60867706666667</v>
      </c>
      <c r="L40" s="138">
        <f>SUM(L36:L39)</f>
        <v>-11.5086770666667</v>
      </c>
      <c r="M40" s="138">
        <f>SUM(M36:M39)</f>
        <v>-7.03367706666667</v>
      </c>
      <c r="N40" s="138">
        <f>SUM(B40:M40)</f>
        <v>-100.658216</v>
      </c>
      <c r="O40" s="104">
        <f>SUM(O36:O39)</f>
        <v>-55.25</v>
      </c>
    </row>
    <row r="41" ht="15" hidden="1" customHeight="1" outlineLevel="1" thickTop="1" x14ac:dyDescent="0.15">
      <c r="A41" s="95" t="inlineStr">
        <is>
          <t xml:space="preserve">Техподдержка и сопровождение программного обеспечения</t>
        </is>
      </c>
      <c r="B41" s="99">
        <f>Расходы!C30</f>
        <v>-6.44907272921417</v>
      </c>
      <c r="C41" s="99">
        <f>Расходы!D30</f>
        <v>-6.44907272921417</v>
      </c>
      <c r="D41" s="99">
        <f>Расходы!E30</f>
        <v>-6.84907272921417</v>
      </c>
      <c r="E41" s="99">
        <f>Расходы!F30</f>
        <v>-6.64907272921417</v>
      </c>
      <c r="F41" s="99">
        <f>Расходы!G30</f>
        <v>-7.14907272921417</v>
      </c>
      <c r="G41" s="99">
        <f>Расходы!H30</f>
        <v>-7.09957968014875</v>
      </c>
      <c r="H41" s="99">
        <f>Расходы!I30</f>
        <v>-7.04200677321728</v>
      </c>
      <c r="I41" s="99">
        <f>Расходы!J30</f>
        <v>-7.30994301384494</v>
      </c>
      <c r="J41" s="99">
        <f>Расходы!K30</f>
        <v>-8.82134158688551</v>
      </c>
      <c r="K41" s="99">
        <f>Расходы!L30</f>
        <v>-9.42744069455684</v>
      </c>
      <c r="L41" s="99">
        <f>Расходы!M30</f>
        <v>-9.42744069455684</v>
      </c>
      <c r="M41" s="99">
        <f>Расходы!N30</f>
        <v>-9.42744069455684</v>
      </c>
      <c r="N41" s="99">
        <f>SUM(B41:M41)</f>
        <v>-92.1005567838379</v>
      </c>
      <c r="O41" s="99">
        <f>Расходы!P30</f>
        <v>-58.6</v>
      </c>
    </row>
    <row r="42" ht="15.5" customHeight="1" collapsed="1" thickTop="1" thickBot="1" x14ac:dyDescent="0.2">
      <c r="A42" s="237" t="inlineStr">
        <is>
          <t xml:space="preserve">IT</t>
        </is>
      </c>
      <c r="B42" s="138">
        <f>B41</f>
        <v>-6.44907272921417</v>
      </c>
      <c r="C42" s="138">
        <f>C41</f>
        <v>-6.44907272921417</v>
      </c>
      <c r="D42" s="138">
        <f>D41</f>
        <v>-6.84907272921417</v>
      </c>
      <c r="E42" s="138">
        <f>E41</f>
        <v>-6.64907272921417</v>
      </c>
      <c r="F42" s="138">
        <f>F41</f>
        <v>-7.14907272921417</v>
      </c>
      <c r="G42" s="138">
        <f>G41</f>
        <v>-7.09957968014875</v>
      </c>
      <c r="H42" s="138">
        <f>H41</f>
        <v>-7.04200677321728</v>
      </c>
      <c r="I42" s="138">
        <f>I41</f>
        <v>-7.30994301384494</v>
      </c>
      <c r="J42" s="138">
        <f>J41</f>
        <v>-8.82134158688551</v>
      </c>
      <c r="K42" s="138">
        <f>K41</f>
        <v>-9.42744069455684</v>
      </c>
      <c r="L42" s="138">
        <f>L41</f>
        <v>-9.42744069455684</v>
      </c>
      <c r="M42" s="138">
        <f>M41</f>
        <v>-9.42744069455684</v>
      </c>
      <c r="N42" s="138">
        <f>SUM(B42:M42)</f>
        <v>-92.1005567838379</v>
      </c>
      <c r="O42" s="104">
        <f>O41</f>
        <v>-58.6</v>
      </c>
    </row>
    <row r="43" ht="15" hidden="1" customHeight="1" outlineLevel="1" thickTop="1" x14ac:dyDescent="0.15">
      <c r="A43" s="95" t="inlineStr">
        <is>
          <t xml:space="preserve">Аренда</t>
        </is>
      </c>
      <c r="B43" s="99">
        <f>Расходы!C32</f>
        <v>-0</v>
      </c>
      <c r="C43" s="99">
        <f>Расходы!D32</f>
        <v>-0</v>
      </c>
      <c r="D43" s="99">
        <f>Расходы!E32</f>
        <v>-0</v>
      </c>
      <c r="E43" s="99">
        <f>Расходы!F32</f>
        <v>-0</v>
      </c>
      <c r="F43" s="99">
        <f>Расходы!G32</f>
        <v>-0</v>
      </c>
      <c r="G43" s="99">
        <f>Расходы!H32</f>
        <v>-0</v>
      </c>
      <c r="H43" s="99">
        <f>Расходы!I32</f>
        <v>-0</v>
      </c>
      <c r="I43" s="99">
        <f>Расходы!J32</f>
        <v>-0</v>
      </c>
      <c r="J43" s="99">
        <f>Расходы!K32</f>
        <v>-0</v>
      </c>
      <c r="K43" s="99">
        <f>Расходы!L32</f>
        <v>-0</v>
      </c>
      <c r="L43" s="99">
        <f>Расходы!M32</f>
        <v>-0</v>
      </c>
      <c r="M43" s="99">
        <f>Расходы!N32</f>
        <v>-0</v>
      </c>
      <c r="N43" s="99">
        <f>SUM(B43:M43)</f>
        <v>0</v>
      </c>
      <c r="O43" s="100">
        <f>Расходы!P32</f>
        <v>0</v>
      </c>
    </row>
    <row r="44" ht="15" hidden="1" customHeight="1" outlineLevel="1" x14ac:dyDescent="0.15">
      <c r="A44" s="95" t="inlineStr">
        <is>
          <t xml:space="preserve">Сервисный договор</t>
        </is>
      </c>
      <c r="B44" s="99">
        <f>Расходы!C33</f>
        <v>-0.313333333333333</v>
      </c>
      <c r="C44" s="99">
        <f>Расходы!D33</f>
        <v>-0.313333333333333</v>
      </c>
      <c r="D44" s="99">
        <f>Расходы!E33</f>
        <v>-0.313333333333333</v>
      </c>
      <c r="E44" s="99">
        <f>Расходы!F33</f>
        <v>-0.313333333333333</v>
      </c>
      <c r="F44" s="99">
        <f>Расходы!G33</f>
        <v>-0.313333333333333</v>
      </c>
      <c r="G44" s="99">
        <f>Расходы!H33</f>
        <v>-0.313333333333333</v>
      </c>
      <c r="H44" s="99">
        <f>Расходы!I33</f>
        <v>-0.313333333333333</v>
      </c>
      <c r="I44" s="99">
        <f>Расходы!J33</f>
        <v>-0.313333333333333</v>
      </c>
      <c r="J44" s="99">
        <f>Расходы!K33</f>
        <v>-0.313333333333333</v>
      </c>
      <c r="K44" s="99">
        <f>Расходы!L33</f>
        <v>-0.313333333333333</v>
      </c>
      <c r="L44" s="99">
        <f>Расходы!M33</f>
        <v>-0.313333333333333</v>
      </c>
      <c r="M44" s="99">
        <f>Расходы!N33</f>
        <v>-0.313333333333333</v>
      </c>
      <c r="N44" s="99">
        <f>SUM(B44:M44)</f>
        <v>-3.76</v>
      </c>
      <c r="O44" s="100">
        <f>Расходы!P33</f>
        <v>-5</v>
      </c>
    </row>
    <row r="45" ht="15" hidden="1" customHeight="1" outlineLevel="1" x14ac:dyDescent="0.15">
      <c r="A45" s="95" t="inlineStr">
        <is>
          <t xml:space="preserve">Рекламный сбор</t>
        </is>
      </c>
      <c r="B45" s="99">
        <f>Расходы!C34</f>
        <v>-2.01434793760495</v>
      </c>
      <c r="C45" s="99">
        <f>Расходы!D34</f>
        <v>-5.03586984401236</v>
      </c>
      <c r="D45" s="99">
        <f>Расходы!E34</f>
        <v>-7.05021778161731</v>
      </c>
      <c r="E45" s="99">
        <f>Расходы!F34</f>
        <v>-7.05021778161731</v>
      </c>
      <c r="F45" s="99">
        <f>Расходы!G34</f>
        <v>-7.05021778161732</v>
      </c>
      <c r="G45" s="99">
        <f>Расходы!H34</f>
        <v>-7.05021778161732</v>
      </c>
      <c r="H45" s="99">
        <f>Расходы!I34</f>
        <v>-7.05021778161731</v>
      </c>
      <c r="I45" s="99">
        <f>Расходы!J34</f>
        <v>-8.05739175041977</v>
      </c>
      <c r="J45" s="99">
        <f>Расходы!K34</f>
        <v>-8.05739175041979</v>
      </c>
      <c r="K45" s="99">
        <f>Расходы!L34</f>
        <v>-11.0789136568272</v>
      </c>
      <c r="L45" s="99">
        <f>Расходы!M34</f>
        <v>-14.1004355632346</v>
      </c>
      <c r="M45" s="99">
        <f>Расходы!N34</f>
        <v>-17.121957469642</v>
      </c>
      <c r="N45" s="99">
        <f>SUM(B45:M45)</f>
        <v>-100.717396880247</v>
      </c>
      <c r="O45" s="100">
        <f>Расходы!P34</f>
        <v>-80.7</v>
      </c>
    </row>
    <row r="46" ht="15" hidden="1" customHeight="1" outlineLevel="1" x14ac:dyDescent="0.15">
      <c r="A46" s="95" t="inlineStr">
        <is>
          <t xml:space="preserve">Командировочные - Проезд</t>
        </is>
      </c>
      <c r="B46" s="99">
        <f>Расходы!C35</f>
        <v>-0.0858333333333333</v>
      </c>
      <c r="C46" s="99">
        <f>Расходы!D35</f>
        <v>-0.0858333333333333</v>
      </c>
      <c r="D46" s="99">
        <f>Расходы!E35</f>
        <v>-0.0858333333333333</v>
      </c>
      <c r="E46" s="99">
        <f>Расходы!F35</f>
        <v>-0.0858333333333333</v>
      </c>
      <c r="F46" s="99">
        <f>Расходы!G35</f>
        <v>-0.0858333333333333</v>
      </c>
      <c r="G46" s="99">
        <f>Расходы!H35</f>
        <v>-0.0858333333333333</v>
      </c>
      <c r="H46" s="99">
        <f>Расходы!I35</f>
        <v>-0.0858333333333333</v>
      </c>
      <c r="I46" s="99">
        <f>Расходы!J35</f>
        <v>-0.0858333333333333</v>
      </c>
      <c r="J46" s="99">
        <f>Расходы!K35</f>
        <v>-0.0858333333333333</v>
      </c>
      <c r="K46" s="99">
        <f>Расходы!L35</f>
        <v>-0.0858333333333333</v>
      </c>
      <c r="L46" s="99">
        <f>Расходы!M35</f>
        <v>-0.0858333333333333</v>
      </c>
      <c r="M46" s="99">
        <f>Расходы!N35</f>
        <v>-0.0858333333333333</v>
      </c>
      <c r="N46" s="99">
        <f>SUM(B46:M46)</f>
        <v>-1.03</v>
      </c>
      <c r="O46" s="100">
        <f>Расходы!P35</f>
        <v>-2.6</v>
      </c>
    </row>
    <row r="47" ht="15" hidden="1" customHeight="1" outlineLevel="1" x14ac:dyDescent="0.15">
      <c r="A47" s="95" t="inlineStr">
        <is>
          <t xml:space="preserve">Командировочные - Проживание</t>
        </is>
      </c>
      <c r="B47" s="99">
        <f>Расходы!C36</f>
        <v>-0.06</v>
      </c>
      <c r="C47" s="99">
        <f>Расходы!D36</f>
        <v>-0.06</v>
      </c>
      <c r="D47" s="99">
        <f>Расходы!E36</f>
        <v>-0.06</v>
      </c>
      <c r="E47" s="99">
        <f>Расходы!F36</f>
        <v>-0.06</v>
      </c>
      <c r="F47" s="99">
        <f>Расходы!G36</f>
        <v>-0.06</v>
      </c>
      <c r="G47" s="99">
        <f>Расходы!H36</f>
        <v>-0.06</v>
      </c>
      <c r="H47" s="99">
        <f>Расходы!I36</f>
        <v>-0.06</v>
      </c>
      <c r="I47" s="99">
        <f>Расходы!J36</f>
        <v>-0.06</v>
      </c>
      <c r="J47" s="99">
        <f>Расходы!K36</f>
        <v>-0.06</v>
      </c>
      <c r="K47" s="99">
        <f>Расходы!L36</f>
        <v>-0.06</v>
      </c>
      <c r="L47" s="99">
        <f>Расходы!M36</f>
        <v>-0.06</v>
      </c>
      <c r="M47" s="99">
        <f>Расходы!N36</f>
        <v>-0.06</v>
      </c>
      <c r="N47" s="99">
        <f>SUM(B47:M47)</f>
        <v>-0.72</v>
      </c>
      <c r="O47" s="100">
        <f>Расходы!P36</f>
        <v>-1.9</v>
      </c>
    </row>
    <row r="48" ht="15" hidden="1" customHeight="1" outlineLevel="1" x14ac:dyDescent="0.15">
      <c r="A48" s="95" t="inlineStr">
        <is>
          <t xml:space="preserve">Командировочные - Суточные</t>
        </is>
      </c>
      <c r="B48" s="99">
        <f>Расходы!C37</f>
        <v>-0.02</v>
      </c>
      <c r="C48" s="99">
        <f>Расходы!D37</f>
        <v>-0.02</v>
      </c>
      <c r="D48" s="99">
        <f>Расходы!E37</f>
        <v>-0.02</v>
      </c>
      <c r="E48" s="99">
        <f>Расходы!F37</f>
        <v>-0.02</v>
      </c>
      <c r="F48" s="99">
        <f>Расходы!G37</f>
        <v>-0.02</v>
      </c>
      <c r="G48" s="99">
        <f>Расходы!H37</f>
        <v>-0.02</v>
      </c>
      <c r="H48" s="99">
        <f>Расходы!I37</f>
        <v>-0.02</v>
      </c>
      <c r="I48" s="99">
        <f>Расходы!J37</f>
        <v>-0.02</v>
      </c>
      <c r="J48" s="99">
        <f>Расходы!K37</f>
        <v>-0.02</v>
      </c>
      <c r="K48" s="99">
        <f>Расходы!L37</f>
        <v>-0.02</v>
      </c>
      <c r="L48" s="99">
        <f>Расходы!M37</f>
        <v>-0.02</v>
      </c>
      <c r="M48" s="99">
        <f>Расходы!N37</f>
        <v>-0.02</v>
      </c>
      <c r="N48" s="99">
        <f>SUM(B48:M48)</f>
        <v>-0.24</v>
      </c>
      <c r="O48" s="100">
        <f>Расходы!P37</f>
        <v>-0.2</v>
      </c>
    </row>
    <row r="49" ht="15" hidden="1" customHeight="1" outlineLevel="1" x14ac:dyDescent="0.15">
      <c r="A49" s="95" t="inlineStr">
        <is>
          <t xml:space="preserve">Представительские расходы</t>
        </is>
      </c>
      <c r="B49" s="99">
        <f>Расходы!C38</f>
        <v>-0.0458333333333333</v>
      </c>
      <c r="C49" s="99">
        <f>Расходы!D38</f>
        <v>-0.0458333333333333</v>
      </c>
      <c r="D49" s="99">
        <f>Расходы!E38</f>
        <v>-0.0458333333333333</v>
      </c>
      <c r="E49" s="99">
        <f>Расходы!F38</f>
        <v>-0.0458333333333333</v>
      </c>
      <c r="F49" s="99">
        <f>Расходы!G38</f>
        <v>-0.0458333333333333</v>
      </c>
      <c r="G49" s="99">
        <f>Расходы!H38</f>
        <v>-0.0458333333333333</v>
      </c>
      <c r="H49" s="99">
        <f>Расходы!I38</f>
        <v>-0.0458333333333333</v>
      </c>
      <c r="I49" s="99">
        <f>Расходы!J38</f>
        <v>-0.0458333333333333</v>
      </c>
      <c r="J49" s="99">
        <f>Расходы!K38</f>
        <v>-0.0458333333333333</v>
      </c>
      <c r="K49" s="99">
        <f>Расходы!L38</f>
        <v>-0.0458333333333333</v>
      </c>
      <c r="L49" s="99">
        <f>Расходы!M38</f>
        <v>-0.0458333333333333</v>
      </c>
      <c r="M49" s="99">
        <f>Расходы!N38</f>
        <v>-0.0458333333333333</v>
      </c>
      <c r="N49" s="99">
        <f>SUM(B49:M49)</f>
        <v>-0.55</v>
      </c>
      <c r="O49" s="100">
        <f>Расходы!P38</f>
        <v>-0.7</v>
      </c>
    </row>
    <row r="50" ht="15" hidden="1" customHeight="1" outlineLevel="1" x14ac:dyDescent="0.15">
      <c r="A50" s="95" t="inlineStr">
        <is>
          <t xml:space="preserve">Почтовые, курьерские услуги</t>
        </is>
      </c>
      <c r="B50" s="99">
        <f>Расходы!C39</f>
        <v>0</v>
      </c>
      <c r="C50" s="99">
        <f>Расходы!D39</f>
        <v>0</v>
      </c>
      <c r="D50" s="99">
        <f>Расходы!E39</f>
        <v>0</v>
      </c>
      <c r="E50" s="99">
        <f>Расходы!F39</f>
        <v>0</v>
      </c>
      <c r="F50" s="99">
        <f>Расходы!G39</f>
        <v>0</v>
      </c>
      <c r="G50" s="99">
        <f>Расходы!H39</f>
        <v>0</v>
      </c>
      <c r="H50" s="99">
        <f>Расходы!I39</f>
        <v>0</v>
      </c>
      <c r="I50" s="99">
        <f>Расходы!J39</f>
        <v>0</v>
      </c>
      <c r="J50" s="99">
        <f>Расходы!K39</f>
        <v>0</v>
      </c>
      <c r="K50" s="99">
        <f>Расходы!L39</f>
        <v>0</v>
      </c>
      <c r="L50" s="99">
        <f>Расходы!M39</f>
        <v>0</v>
      </c>
      <c r="M50" s="99">
        <f>Расходы!N39</f>
        <v>0</v>
      </c>
      <c r="N50" s="99">
        <f>SUM(B50:M50)</f>
        <v>0</v>
      </c>
      <c r="O50" s="100">
        <f>Расходы!P39</f>
        <v>-0.5</v>
      </c>
    </row>
    <row r="51" ht="15.5" customHeight="1" collapsed="1" thickTop="1" thickBot="1" x14ac:dyDescent="0.2">
      <c r="A51" s="237" t="inlineStr">
        <is>
          <t xml:space="preserve">Other OPEX</t>
        </is>
      </c>
      <c r="B51" s="138">
        <f>SUM(B43:B50)</f>
        <v>-2.53934793760495</v>
      </c>
      <c r="C51" s="138">
        <f>SUM(C43:C50)</f>
        <v>-5.56086984401236</v>
      </c>
      <c r="D51" s="138">
        <f>SUM(D43:D50)</f>
        <v>-7.57521778161731</v>
      </c>
      <c r="E51" s="138">
        <f>SUM(E43:E50)</f>
        <v>-7.5752177816173</v>
      </c>
      <c r="F51" s="138">
        <f>SUM(F43:F50)</f>
        <v>-7.57521778161732</v>
      </c>
      <c r="G51" s="138">
        <f>SUM(G43:G50)</f>
        <v>-7.57521778161732</v>
      </c>
      <c r="H51" s="138">
        <f>SUM(H43:H50)</f>
        <v>-7.57521778161731</v>
      </c>
      <c r="I51" s="138">
        <f>SUM(I43:I50)</f>
        <v>-8.58239175041977</v>
      </c>
      <c r="J51" s="138">
        <f>SUM(J43:J50)</f>
        <v>-8.58239175041978</v>
      </c>
      <c r="K51" s="138">
        <f>SUM(K43:K50)</f>
        <v>-11.6039136568272</v>
      </c>
      <c r="L51" s="138">
        <f>SUM(L43:L50)</f>
        <v>-14.6254355632346</v>
      </c>
      <c r="M51" s="138">
        <f>SUM(M43:M50)</f>
        <v>-17.646957469642</v>
      </c>
      <c r="N51" s="138">
        <f>SUM(B51:M51)</f>
        <v>-107.017396880247</v>
      </c>
      <c r="O51" s="104">
        <f>SUM(O43:O50)</f>
        <v>-91.6</v>
      </c>
    </row>
    <row r="52" ht="15.5" customHeight="1" thickTop="1" thickBot="1" x14ac:dyDescent="0.2">
      <c r="A52" s="150" t="inlineStr">
        <is>
          <t xml:space="preserve">OPEX</t>
        </is>
      </c>
      <c r="B52" s="137">
        <f>B24+B35+B40+B42+B51</f>
        <v>-130.07635433583</v>
      </c>
      <c r="C52" s="137">
        <f>C24+C35+C40+C42+C51</f>
        <v>-143.584993817606</v>
      </c>
      <c r="D52" s="137">
        <f>D24+D35+D40+D42+D51</f>
        <v>-142.48083660429</v>
      </c>
      <c r="E52" s="137">
        <f>E24+E35+E40+E42+E51</f>
        <v>-153.108110970482</v>
      </c>
      <c r="F52" s="137">
        <f>F24+F35+F40+F42+F51</f>
        <v>-143.438316527809</v>
      </c>
      <c r="G52" s="137">
        <f>G24+G35+G40+G42+G51</f>
        <v>-141.519376029721</v>
      </c>
      <c r="H52" s="137">
        <f>H24+H35+H40+H42+H51</f>
        <v>-153.513265216335</v>
      </c>
      <c r="I52" s="137">
        <f>I24+I35+I40+I42+I51</f>
        <v>-128.437585825562</v>
      </c>
      <c r="J52" s="137">
        <f>J24+J35+J40+J42+J51</f>
        <v>-148.150674335577</v>
      </c>
      <c r="K52" s="137">
        <f>K24+K35+K40+K42+K51</f>
        <v>-158.272288045417</v>
      </c>
      <c r="L52" s="137">
        <f>L24+L35+L40+L42+L51</f>
        <v>-165.260926854495</v>
      </c>
      <c r="M52" s="137">
        <f>M24+M35+M40+M42+M51</f>
        <v>-168.582809609476</v>
      </c>
      <c r="N52" s="137">
        <f>SUM(B52:M52)</f>
        <v>-1776.4255381726</v>
      </c>
      <c r="O52" s="102">
        <f>O24+O35+O40+O42+O51</f>
        <v>-1358.22144</v>
      </c>
    </row>
    <row r="53" ht="15.5" customHeight="1" thickTop="1" thickBot="1" x14ac:dyDescent="0.2">
      <c r="A53" s="150" t="inlineStr">
        <is>
          <t xml:space="preserve">EBITDA</t>
        </is>
      </c>
      <c r="B53" s="137">
        <f>B16+B52</f>
        <v>84.8225197083574</v>
      </c>
      <c r="C53" s="137">
        <f>C16+C52</f>
        <v>493.061147501408</v>
      </c>
      <c r="D53" s="137">
        <f>D16+D52</f>
        <v>775.370039727764</v>
      </c>
      <c r="E53" s="137">
        <f>E16+E52</f>
        <v>760.958866629307</v>
      </c>
      <c r="F53" s="137">
        <f>F16+F52</f>
        <v>769.599261004818</v>
      </c>
      <c r="G53" s="137">
        <f>G16+G52</f>
        <v>770.6098221225</v>
      </c>
      <c r="H53" s="137">
        <f>H16+H52</f>
        <v>758.662618554222</v>
      </c>
      <c r="I53" s="137">
        <f>I16+I52</f>
        <v>926.139115405336</v>
      </c>
      <c r="J53" s="137">
        <f>J16+J52</f>
        <v>908.960389618857</v>
      </c>
      <c r="K53" s="137">
        <f>K16+K52</f>
        <v>1320.7934072003</v>
      </c>
      <c r="L53" s="137">
        <f>L16+L52</f>
        <v>1749.12667910488</v>
      </c>
      <c r="M53" s="137">
        <f>M16+M52</f>
        <v>2172.81329452054</v>
      </c>
      <c r="N53" s="137">
        <f>SUM(B53:M53)</f>
        <v>11490.9171610983</v>
      </c>
      <c r="O53" s="102">
        <f>O16+O52</f>
        <v>8084.6877963</v>
      </c>
    </row>
    <row r="54" ht="15" hidden="1" customHeight="1" outlineLevel="1" thickTop="1" x14ac:dyDescent="0.15">
      <c r="A54" s="95" t="inlineStr">
        <is>
          <t xml:space="preserve">Разработка рекламной платформы</t>
        </is>
      </c>
      <c r="B54" s="99">
        <f>Расходы!C42</f>
        <v>-42.4589221570622</v>
      </c>
      <c r="C54" s="99">
        <f>Расходы!D42</f>
        <v>-43.0455801144657</v>
      </c>
      <c r="D54" s="99">
        <f>Расходы!E42</f>
        <v>-44.5059008430205</v>
      </c>
      <c r="E54" s="99">
        <f>Расходы!F42</f>
        <v>-44.3697992096137</v>
      </c>
      <c r="F54" s="99">
        <f>Расходы!G42</f>
        <v>-44.5288118210764</v>
      </c>
      <c r="G54" s="99">
        <f>Расходы!H42</f>
        <v>-44.1829047514327</v>
      </c>
      <c r="H54" s="99">
        <f>Расходы!I42</f>
        <v>-47.1088453652662</v>
      </c>
      <c r="I54" s="99">
        <f>Расходы!J42</f>
        <v>-46.6230449100597</v>
      </c>
      <c r="J54" s="99">
        <f>Расходы!K42</f>
        <v>-46.2426262744877</v>
      </c>
      <c r="K54" s="99">
        <f>Расходы!L42</f>
        <v>-46.092339570551</v>
      </c>
      <c r="L54" s="99">
        <f>Расходы!M42</f>
        <v>-45.9706611366441</v>
      </c>
      <c r="M54" s="99">
        <f>Расходы!N42</f>
        <v>-45.904436886102</v>
      </c>
      <c r="N54" s="99">
        <f>SUM(B54:M54)</f>
        <v>-541.033873039782</v>
      </c>
      <c r="O54" s="100">
        <f>Расходы!P42</f>
        <v>-447.2</v>
      </c>
    </row>
    <row r="55" hidden="1" outlineLevel="1" x14ac:dyDescent="0.15">
      <c r="A55" s="95" t="inlineStr">
        <is>
          <t xml:space="preserve">Проекты Digital Instore (оснащение ТТ)</t>
        </is>
      </c>
      <c r="B55" s="99">
        <f>Расходы!C43</f>
        <v>-0</v>
      </c>
      <c r="C55" s="99">
        <f>Расходы!D43</f>
        <v>-0</v>
      </c>
      <c r="D55" s="99">
        <f>Расходы!E43</f>
        <v>-0</v>
      </c>
      <c r="E55" s="99">
        <f>Расходы!F43</f>
        <v>-10.23056</v>
      </c>
      <c r="F55" s="99">
        <f>Расходы!G43</f>
        <v>-18.36096</v>
      </c>
      <c r="G55" s="99">
        <f>Расходы!H43</f>
        <v>-52.57255814</v>
      </c>
      <c r="H55" s="99">
        <f>Расходы!I43</f>
        <v>-45.67833721</v>
      </c>
      <c r="I55" s="99">
        <f>Расходы!J43</f>
        <v>-56.6199534892</v>
      </c>
      <c r="J55" s="99">
        <f>Расходы!K43</f>
        <v>-155.41</v>
      </c>
      <c r="K55" s="99">
        <f>Расходы!L43</f>
        <v>-170.7335</v>
      </c>
      <c r="L55" s="99">
        <f>Расходы!M43</f>
        <v>-0</v>
      </c>
      <c r="M55" s="99">
        <f>Расходы!N43</f>
        <v>-100</v>
      </c>
      <c r="N55" s="99">
        <f>SUM(B55:M55)</f>
        <v>-609.6058688392</v>
      </c>
      <c r="O55" s="100">
        <f>Расходы!P43</f>
        <v>-732.4</v>
      </c>
    </row>
    <row r="56" ht="15" customHeight="1" collapsed="1" thickTop="1" thickBot="1" x14ac:dyDescent="0.2">
      <c r="A56" s="150" t="inlineStr">
        <is>
          <t xml:space="preserve">CAPEX</t>
        </is>
      </c>
      <c r="B56" s="137">
        <f>SUM(B54:B55)</f>
        <v>-42.4589221570622</v>
      </c>
      <c r="C56" s="137">
        <f>SUM(C54:C55)</f>
        <v>-43.0455801144657</v>
      </c>
      <c r="D56" s="137">
        <f>SUM(D54:D55)</f>
        <v>-44.5059008430205</v>
      </c>
      <c r="E56" s="137">
        <f>SUM(E54:E55)</f>
        <v>-54.6003592096137</v>
      </c>
      <c r="F56" s="137">
        <f>SUM(F54:F55)</f>
        <v>-62.8897718210764</v>
      </c>
      <c r="G56" s="137">
        <f>SUM(G54:G55)</f>
        <v>-96.7554628914327</v>
      </c>
      <c r="H56" s="137">
        <f>SUM(H54:H55)</f>
        <v>-92.7871825752662</v>
      </c>
      <c r="I56" s="137">
        <f>SUM(I54:I55)</f>
        <v>-103.24299839926</v>
      </c>
      <c r="J56" s="137">
        <f>SUM(J54:J55)</f>
        <v>-201.652626274488</v>
      </c>
      <c r="K56" s="137">
        <f>SUM(K54:K55)</f>
        <v>-216.825839570551</v>
      </c>
      <c r="L56" s="137">
        <f>SUM(L54:L55)</f>
        <v>-45.9706611366441</v>
      </c>
      <c r="M56" s="137">
        <f>SUM(M54:M55)</f>
        <v>-145.904436886102</v>
      </c>
      <c r="N56" s="137">
        <f>SUM(N54:N55)</f>
        <v>-1150.63974187898</v>
      </c>
      <c r="O56" s="102">
        <f>SUM(O54:O55)</f>
        <v>-1179.6</v>
      </c>
    </row>
    <row r="57" ht="15.5" customHeight="1" thickTop="1" thickBot="1" x14ac:dyDescent="0.2">
      <c r="A57" s="150" t="inlineStr">
        <is>
          <t xml:space="preserve">FCF</t>
        </is>
      </c>
      <c r="B57" s="137">
        <f>B53+B56</f>
        <v>42.3635975512952</v>
      </c>
      <c r="C57" s="137">
        <f>C53+C56</f>
        <v>450.015567386943</v>
      </c>
      <c r="D57" s="137">
        <f>D53+D56</f>
        <v>730.864138884744</v>
      </c>
      <c r="E57" s="137">
        <f>E53+E56</f>
        <v>706.358507419693</v>
      </c>
      <c r="F57" s="137">
        <f>F53+F56</f>
        <v>706.709489183741</v>
      </c>
      <c r="G57" s="137">
        <f>G53+G56</f>
        <v>673.854359231068</v>
      </c>
      <c r="H57" s="137">
        <f>H53+H56</f>
        <v>665.875435978955</v>
      </c>
      <c r="I57" s="137">
        <f>I53+I56</f>
        <v>822.896117006077</v>
      </c>
      <c r="J57" s="137">
        <f>J53+J56</f>
        <v>707.307763344369</v>
      </c>
      <c r="K57" s="137">
        <f>K53+K56</f>
        <v>1103.96756762974</v>
      </c>
      <c r="L57" s="137">
        <f>L53+L56</f>
        <v>1703.15601796824</v>
      </c>
      <c r="M57" s="137">
        <f>M53+M56</f>
        <v>2026.90885763444</v>
      </c>
      <c r="N57" s="137">
        <f>SUM(B57:M57)</f>
        <v>10340.2774192193</v>
      </c>
      <c r="O57" s="102">
        <f>O53+O56</f>
        <v>6905.0877963</v>
      </c>
    </row>
    <row r="58" ht="15" customHeight="1" thickTop="1" x14ac:dyDescent="0.15"/>
    <row r="59" x14ac:dyDescent="0.15">
      <c r="A59" s="134" t="inlineStr">
        <is>
          <t xml:space="preserve">СПРАВОЧНО</t>
        </is>
      </c>
      <c r="B59" s="134"/>
      <c r="C59" s="134"/>
      <c r="D59" s="134"/>
      <c r="E59" s="134"/>
      <c r="F59" s="134"/>
      <c r="G59" s="134"/>
      <c r="H59" s="134"/>
      <c r="I59" s="134"/>
      <c r="J59" s="134"/>
      <c r="K59" s="134"/>
      <c r="L59" s="134"/>
      <c r="M59" s="238"/>
      <c r="N59" s="134"/>
      <c r="O59" s="134"/>
    </row>
    <row r="60" x14ac:dyDescent="0.15">
      <c r="A60" s="46" t="inlineStr">
        <is>
          <t xml:space="preserve">Выручка М+</t>
        </is>
      </c>
      <c r="B60" s="34">
        <f>'М+ справочно'!C34</f>
        <v>337.892813337882</v>
      </c>
      <c r="C60" s="34">
        <f>'М+ справочно'!D34</f>
        <v>365.733248557982</v>
      </c>
      <c r="D60" s="34">
        <f>'М+ справочно'!E34</f>
        <v>377.391899028058</v>
      </c>
      <c r="E60" s="34">
        <f>'М+ справочно'!F34</f>
        <v>394.581850118611</v>
      </c>
      <c r="F60" s="34">
        <f>'М+ справочно'!G34</f>
        <v>414.447459792765</v>
      </c>
      <c r="G60" s="34">
        <f>'М+ справочно'!H34</f>
        <v>435.072522501306</v>
      </c>
      <c r="H60" s="34">
        <f>'М+ справочно'!I34</f>
        <v>455.651586281225</v>
      </c>
      <c r="I60" s="34">
        <f>'М+ справочно'!J34</f>
        <v>478.679739499093</v>
      </c>
      <c r="J60" s="34">
        <f>'М+ справочно'!K34</f>
        <v>507.061642781086</v>
      </c>
      <c r="K60" s="34">
        <f>'М+ справочно'!L34</f>
        <v>532.802642929373</v>
      </c>
      <c r="L60" s="34">
        <f>'М+ справочно'!M34</f>
        <v>559.060379177406</v>
      </c>
      <c r="M60" s="34">
        <f>'М+ справочно'!N34</f>
        <v>586.026104037395</v>
      </c>
      <c r="N60" s="34">
        <f>SUM(B60:M60)</f>
        <v>5444.40188804218</v>
      </c>
      <c r="O60" s="34">
        <f>'М+ справочно'!P34</f>
        <v>3007</v>
      </c>
      <c r="P60" s="59">
        <f>IFERROR(N60/O60-1,"")</f>
        <v>0.810575952125767</v>
      </c>
    </row>
    <row r="61" x14ac:dyDescent="0.15">
      <c r="A61" s="1"/>
      <c r="M61" s="79"/>
      <c r="N61" s="80"/>
      <c r="O61" s="80"/>
    </row>
    <row r="62" x14ac:dyDescent="0.15">
      <c r="M62" s="79"/>
      <c r="O62" s="239"/>
    </row>
    <row r="1048574"/>
    <row r="1048575"/>
    <row r="1048576"/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C6C72-D14E-4B8F-B84B-914FDAB7E062}">
  <sheetPr>
    <tabColor theme="5"/>
  </sheetPr>
  <dimension ref="A1:U1048576"/>
  <sheetViews>
    <sheetView showGridLines="0" zoomScaleNormal="80" workbookViewId="0"/>
  </sheetViews>
  <sheetFormatPr baseColWidth="10" defaultColWidth="8.6640625" defaultRowHeight="13" outlineLevelRow="1" x14ac:dyDescent="0.15"/>
  <cols>
    <col min="1" max="1" width="58" style="47" bestFit="1" customWidth="1"/>
    <col min="2" max="13" width="10" style="47" customWidth="1"/>
    <col min="14" max="15" width="13" style="47" customWidth="1"/>
    <col min="16" max="16384" width="8.6640625" style="47"/>
  </cols>
  <sheetData>
    <row r="1" x14ac:dyDescent="0.15">
      <c r="A1" s="46" t="inlineStr">
        <is>
          <t xml:space="preserve">P&amp;L AdTech 2027 - BOTTOM-UP Formats</t>
        </is>
      </c>
      <c r="Q1" s="203" t="inlineStr">
        <is>
          <t xml:space="preserve">Описание: bottom-up P&amp;L AdTech 2027 по месяцам, млн ₽ без НДС. Логика: выручка трансформированная из направлений в форматы - лист «RevSplit»; расходы - из листа «Расходы»</t>
        </is>
      </c>
    </row>
    <row r="2" x14ac:dyDescent="0.15">
      <c r="A2" s="1" t="inlineStr">
        <is>
          <t xml:space="preserve">Млн руб. без НДС.</t>
        </is>
      </c>
    </row>
    <row r="4" ht="14" x14ac:dyDescent="0.15">
      <c r="A4" s="38" t="inlineStr">
        <is>
          <t xml:space="preserve">Статья</t>
        </is>
      </c>
      <c r="B4" s="39" t="inlineStr">
        <is>
          <t xml:space="preserve">янв</t>
        </is>
      </c>
      <c r="C4" s="39" t="inlineStr">
        <is>
          <t xml:space="preserve">фев</t>
        </is>
      </c>
      <c r="D4" s="39" t="inlineStr">
        <is>
          <t xml:space="preserve">мар</t>
        </is>
      </c>
      <c r="E4" s="39" t="inlineStr">
        <is>
          <t xml:space="preserve">апр</t>
        </is>
      </c>
      <c r="F4" s="39" t="inlineStr">
        <is>
          <t xml:space="preserve">май</t>
        </is>
      </c>
      <c r="G4" s="39" t="inlineStr">
        <is>
          <t xml:space="preserve">июн</t>
        </is>
      </c>
      <c r="H4" s="39" t="inlineStr">
        <is>
          <t xml:space="preserve">июл</t>
        </is>
      </c>
      <c r="I4" s="39" t="inlineStr">
        <is>
          <t xml:space="preserve">авг</t>
        </is>
      </c>
      <c r="J4" s="39" t="inlineStr">
        <is>
          <t xml:space="preserve">сен</t>
        </is>
      </c>
      <c r="K4" s="39" t="inlineStr">
        <is>
          <t xml:space="preserve">окт</t>
        </is>
      </c>
      <c r="L4" s="39" t="inlineStr">
        <is>
          <t xml:space="preserve">ноя</t>
        </is>
      </c>
      <c r="M4" s="39" t="inlineStr">
        <is>
          <t xml:space="preserve">дек</t>
        </is>
      </c>
      <c r="N4" s="39" t="inlineStr">
        <is>
          <t xml:space="preserve">2027</t>
        </is>
      </c>
      <c r="O4" s="39" t="inlineStr">
        <is>
          <t xml:space="preserve">2026</t>
        </is>
      </c>
    </row>
    <row r="5" x14ac:dyDescent="0.15">
      <c r="A5" s="41" t="inlineStr">
        <is>
          <t xml:space="preserve">E-commerce</t>
        </is>
      </c>
      <c r="B5" s="202">
        <f>RevSplit!X5</f>
        <v>164.024683950421</v>
      </c>
      <c r="C5" s="202">
        <f>RevSplit!Y5</f>
        <v>410.061709876052</v>
      </c>
      <c r="D5" s="202">
        <f>RevSplit!Z5</f>
        <v>574.086393826473</v>
      </c>
      <c r="E5" s="202">
        <f>RevSplit!AA5</f>
        <v>574.086393826472</v>
      </c>
      <c r="F5" s="202">
        <f>RevSplit!AB5</f>
        <v>574.086393826475</v>
      </c>
      <c r="G5" s="202">
        <f>RevSplit!AC5</f>
        <v>574.086393826474</v>
      </c>
      <c r="H5" s="202">
        <f>RevSplit!AD5</f>
        <v>574.086393826474</v>
      </c>
      <c r="I5" s="202">
        <f>RevSplit!AE5</f>
        <v>656.098735801681</v>
      </c>
      <c r="J5" s="202">
        <f>RevSplit!AF5</f>
        <v>656.098735801684</v>
      </c>
      <c r="K5" s="202">
        <f>RevSplit!AG5</f>
        <v>902.135761727311</v>
      </c>
      <c r="L5" s="202">
        <f>RevSplit!AH5</f>
        <v>1148.17278765294</v>
      </c>
      <c r="M5" s="202">
        <f>RevSplit!AI5</f>
        <v>1394.20981357858</v>
      </c>
      <c r="N5" s="99">
        <f>SUM(B5:M5)</f>
        <v>8201.23419752104</v>
      </c>
      <c r="O5" s="100">
        <f>RevSplit!AK5</f>
        <v>6195.4</v>
      </c>
      <c r="P5" s="59">
        <f>IFERROR(N5/O5-1,"")</f>
        <v>0.323761855170132</v>
      </c>
    </row>
    <row r="6" x14ac:dyDescent="0.15">
      <c r="A6" s="41" t="inlineStr">
        <is>
          <t xml:space="preserve">ММ</t>
        </is>
      </c>
      <c r="B6" s="202">
        <f>RevSplit!X6</f>
        <v>63.4008148694596</v>
      </c>
      <c r="C6" s="202">
        <f>RevSplit!Y6</f>
        <v>158.502037173649</v>
      </c>
      <c r="D6" s="202">
        <f>RevSplit!Z6</f>
        <v>221.902852043109</v>
      </c>
      <c r="E6" s="202">
        <f>RevSplit!AA6</f>
        <v>221.902852043109</v>
      </c>
      <c r="F6" s="202">
        <f>RevSplit!AB6</f>
        <v>221.902852043109</v>
      </c>
      <c r="G6" s="202">
        <f>RevSplit!AC6</f>
        <v>221.902852043109</v>
      </c>
      <c r="H6" s="202">
        <f>RevSplit!AD6</f>
        <v>221.902852043109</v>
      </c>
      <c r="I6" s="202">
        <f>RevSplit!AE6</f>
        <v>253.603259477839</v>
      </c>
      <c r="J6" s="202">
        <f>RevSplit!AF6</f>
        <v>253.603259477839</v>
      </c>
      <c r="K6" s="202">
        <f>RevSplit!AG6</f>
        <v>348.704481782028</v>
      </c>
      <c r="L6" s="202">
        <f>RevSplit!AH6</f>
        <v>443.805704086217</v>
      </c>
      <c r="M6" s="202">
        <f>RevSplit!AI6</f>
        <v>538.906926390407</v>
      </c>
      <c r="N6" s="99">
        <f>SUM(B6:M6)</f>
        <v>3170.04074347298</v>
      </c>
      <c r="O6" s="100">
        <f>RevSplit!AK6</f>
        <v>1862.31305640496</v>
      </c>
      <c r="P6" s="59">
        <f>IFERROR(N6/O6-1,"")</f>
        <v>0.702206153025893</v>
      </c>
    </row>
    <row r="7" x14ac:dyDescent="0.15">
      <c r="A7" s="41" t="inlineStr">
        <is>
          <t xml:space="preserve">МК</t>
        </is>
      </c>
      <c r="B7" s="202">
        <f>RevSplit!X7</f>
        <v>33.1231582254948</v>
      </c>
      <c r="C7" s="202">
        <f>RevSplit!Y7</f>
        <v>82.807895563737</v>
      </c>
      <c r="D7" s="202">
        <f>RevSplit!Z7</f>
        <v>115.931053789232</v>
      </c>
      <c r="E7" s="202">
        <f>RevSplit!AA7</f>
        <v>115.931053789232</v>
      </c>
      <c r="F7" s="202">
        <f>RevSplit!AB7</f>
        <v>115.931053789232</v>
      </c>
      <c r="G7" s="202">
        <f>RevSplit!AC7</f>
        <v>115.931053789232</v>
      </c>
      <c r="H7" s="202">
        <f>RevSplit!AD7</f>
        <v>115.931053789232</v>
      </c>
      <c r="I7" s="202">
        <f>RevSplit!AE7</f>
        <v>132.492632901979</v>
      </c>
      <c r="J7" s="202">
        <f>RevSplit!AF7</f>
        <v>132.492632901979</v>
      </c>
      <c r="K7" s="202">
        <f>RevSplit!AG7</f>
        <v>182.177370240221</v>
      </c>
      <c r="L7" s="202">
        <f>RevSplit!AH7</f>
        <v>231.862107578464</v>
      </c>
      <c r="M7" s="202">
        <f>RevSplit!AI7</f>
        <v>281.546844916706</v>
      </c>
      <c r="N7" s="99">
        <f>SUM(B7:M7)</f>
        <v>1656.15791127474</v>
      </c>
      <c r="O7" s="100">
        <f>RevSplit!AK7</f>
        <v>1008.27425599997</v>
      </c>
      <c r="P7" s="59">
        <f>IFERROR(N7/O7-1,"")</f>
        <v>0.64256689231069</v>
      </c>
    </row>
    <row r="8" x14ac:dyDescent="0.15">
      <c r="A8" s="41" t="inlineStr">
        <is>
          <t xml:space="preserve">МЭ</t>
        </is>
      </c>
      <c r="B8" s="202">
        <f>RevSplit!X8</f>
        <v>11.5958003453243</v>
      </c>
      <c r="C8" s="202">
        <f>RevSplit!Y8</f>
        <v>28.9895008633108</v>
      </c>
      <c r="D8" s="202">
        <f>RevSplit!Z8</f>
        <v>40.5853012086351</v>
      </c>
      <c r="E8" s="202">
        <f>RevSplit!AA8</f>
        <v>40.5853012086352</v>
      </c>
      <c r="F8" s="202">
        <f>RevSplit!AB8</f>
        <v>40.5853012086351</v>
      </c>
      <c r="G8" s="202">
        <f>RevSplit!AC8</f>
        <v>40.5853012086351</v>
      </c>
      <c r="H8" s="202">
        <f>RevSplit!AD8</f>
        <v>40.5853012086351</v>
      </c>
      <c r="I8" s="202">
        <f>RevSplit!AE8</f>
        <v>46.3832013812973</v>
      </c>
      <c r="J8" s="202">
        <f>RevSplit!AF8</f>
        <v>46.3832013812973</v>
      </c>
      <c r="K8" s="202">
        <f>RevSplit!AG8</f>
        <v>63.7769018992838</v>
      </c>
      <c r="L8" s="202">
        <f>RevSplit!AH8</f>
        <v>81.1706024172703</v>
      </c>
      <c r="M8" s="202">
        <f>RevSplit!AI8</f>
        <v>98.5643029352568</v>
      </c>
      <c r="N8" s="99">
        <f>SUM(B8:M8)</f>
        <v>579.790017266216</v>
      </c>
      <c r="O8" s="100">
        <f>RevSplit!AK8</f>
        <v>339.748064288638</v>
      </c>
      <c r="P8" s="59">
        <f>IFERROR(N8/O8-1,"")</f>
        <v>0.706529273331334</v>
      </c>
    </row>
    <row r="9" x14ac:dyDescent="0.15">
      <c r="A9" s="41" t="inlineStr">
        <is>
          <t xml:space="preserve">МС</t>
        </is>
      </c>
      <c r="B9" s="202">
        <f>RevSplit!X9</f>
        <v>5.17902951538276</v>
      </c>
      <c r="C9" s="202">
        <f>RevSplit!Y9</f>
        <v>12.9475737884569</v>
      </c>
      <c r="D9" s="202">
        <f>RevSplit!Z9</f>
        <v>18.1266033038397</v>
      </c>
      <c r="E9" s="202">
        <f>RevSplit!AA9</f>
        <v>18.1266033038397</v>
      </c>
      <c r="F9" s="202">
        <f>RevSplit!AB9</f>
        <v>18.1266033038397</v>
      </c>
      <c r="G9" s="202">
        <f>RevSplit!AC9</f>
        <v>18.1266033038397</v>
      </c>
      <c r="H9" s="202">
        <f>RevSplit!AD9</f>
        <v>18.1266033038397</v>
      </c>
      <c r="I9" s="202">
        <f>RevSplit!AE9</f>
        <v>20.7161180615311</v>
      </c>
      <c r="J9" s="202">
        <f>RevSplit!AF9</f>
        <v>20.7161180615311</v>
      </c>
      <c r="K9" s="202">
        <f>RevSplit!AG9</f>
        <v>28.4846623346052</v>
      </c>
      <c r="L9" s="202">
        <f>RevSplit!AH9</f>
        <v>36.2532066076793</v>
      </c>
      <c r="M9" s="202">
        <f>RevSplit!AI9</f>
        <v>44.0217508807535</v>
      </c>
      <c r="N9" s="99">
        <f>SUM(B9:M9)</f>
        <v>258.951475769138</v>
      </c>
      <c r="O9" s="100">
        <f>RevSplit!AK9</f>
        <v>151.635033957028</v>
      </c>
      <c r="P9" s="59">
        <f>IFERROR(N9/O9-1,"")</f>
        <v>0.707728544068003</v>
      </c>
    </row>
    <row r="10" x14ac:dyDescent="0.15">
      <c r="A10" s="41" t="inlineStr">
        <is>
          <t xml:space="preserve">МС Лайт</t>
        </is>
      </c>
      <c r="B10" s="202">
        <f>RevSplit!X10</f>
        <v>2.43450418033843</v>
      </c>
      <c r="C10" s="202">
        <f>RevSplit!Y10</f>
        <v>6.08626045084608</v>
      </c>
      <c r="D10" s="202">
        <f>RevSplit!Z10</f>
        <v>8.52076463118452</v>
      </c>
      <c r="E10" s="202">
        <f>RevSplit!AA10</f>
        <v>8.52076463118452</v>
      </c>
      <c r="F10" s="202">
        <f>RevSplit!AB10</f>
        <v>8.52076463118452</v>
      </c>
      <c r="G10" s="202">
        <f>RevSplit!AC10</f>
        <v>8.52076463118452</v>
      </c>
      <c r="H10" s="202">
        <f>RevSplit!AD10</f>
        <v>8.52076463118452</v>
      </c>
      <c r="I10" s="202">
        <f>RevSplit!AE10</f>
        <v>9.73801672135374</v>
      </c>
      <c r="J10" s="202">
        <f>RevSplit!AF10</f>
        <v>9.73801672135374</v>
      </c>
      <c r="K10" s="202">
        <f>RevSplit!AG10</f>
        <v>13.3897729918614</v>
      </c>
      <c r="L10" s="202">
        <f>RevSplit!AH10</f>
        <v>17.041529262369</v>
      </c>
      <c r="M10" s="202">
        <f>RevSplit!AI10</f>
        <v>20.6932855328767</v>
      </c>
      <c r="N10" s="99">
        <f>SUM(B10:M10)</f>
        <v>121.725209016922</v>
      </c>
      <c r="O10" s="100">
        <f>RevSplit!AK10</f>
        <v>71.1188256494042</v>
      </c>
      <c r="P10" s="59">
        <f>IFERROR(N10/O10-1,"")</f>
        <v>0.711575070389839</v>
      </c>
    </row>
    <row r="11" x14ac:dyDescent="0.15">
      <c r="A11" s="41" t="inlineStr">
        <is>
          <t xml:space="preserve">Без формата</t>
        </is>
      </c>
      <c r="B11" s="202">
        <f>RevSplit!X11</f>
        <v>25.0101828989972</v>
      </c>
      <c r="C11" s="202">
        <f>RevSplit!Y11</f>
        <v>62.525457247493</v>
      </c>
      <c r="D11" s="202">
        <f>RevSplit!Z11</f>
        <v>87.5356401464902</v>
      </c>
      <c r="E11" s="202">
        <f>RevSplit!AA11</f>
        <v>87.5356401464902</v>
      </c>
      <c r="F11" s="202">
        <f>RevSplit!AB11</f>
        <v>87.5356401464902</v>
      </c>
      <c r="G11" s="202">
        <f>RevSplit!AC11</f>
        <v>87.5356401464902</v>
      </c>
      <c r="H11" s="202">
        <f>RevSplit!AD11</f>
        <v>87.5356401464902</v>
      </c>
      <c r="I11" s="202">
        <f>RevSplit!AE11</f>
        <v>100.040731595989</v>
      </c>
      <c r="J11" s="202">
        <f>RevSplit!AF11</f>
        <v>100.040731595989</v>
      </c>
      <c r="K11" s="202">
        <f>RevSplit!AG11</f>
        <v>137.556005944485</v>
      </c>
      <c r="L11" s="202">
        <f>RevSplit!AH11</f>
        <v>175.07128029298</v>
      </c>
      <c r="M11" s="202">
        <f>RevSplit!AI11</f>
        <v>212.586554641476</v>
      </c>
      <c r="N11" s="99">
        <f>SUM(B11:M11)</f>
        <v>1250.50914494986</v>
      </c>
      <c r="O11" s="100">
        <f>RevSplit!AK11</f>
        <v>694.96</v>
      </c>
      <c r="P11" s="59">
        <f>IFERROR(N11/O11-1,"")</f>
        <v>0.799397296175117</v>
      </c>
    </row>
    <row r="12" ht="15" customHeight="1" thickBot="1" x14ac:dyDescent="0.2">
      <c r="A12" s="150" t="inlineStr">
        <is>
          <t xml:space="preserve">Gross Revenue</t>
        </is>
      </c>
      <c r="B12" s="137">
        <f>SUM(B5:B11)</f>
        <v>304.768173985418</v>
      </c>
      <c r="C12" s="137">
        <f>SUM(C5:C11)</f>
        <v>761.920434963545</v>
      </c>
      <c r="D12" s="137">
        <f>SUM(D5:D11)</f>
        <v>1066.68860894896</v>
      </c>
      <c r="E12" s="137">
        <f>SUM(E5:E11)</f>
        <v>1066.68860894896</v>
      </c>
      <c r="F12" s="137">
        <f>SUM(F5:F11)</f>
        <v>1066.68860894897</v>
      </c>
      <c r="G12" s="137">
        <f>SUM(G5:G11)</f>
        <v>1066.68860894896</v>
      </c>
      <c r="H12" s="137">
        <f>SUM(H5:H11)</f>
        <v>1066.68860894896</v>
      </c>
      <c r="I12" s="137">
        <f>SUM(I5:I11)</f>
        <v>1219.07269594167</v>
      </c>
      <c r="J12" s="137">
        <f>SUM(J5:J11)</f>
        <v>1219.07269594167</v>
      </c>
      <c r="K12" s="137">
        <f>SUM(K5:K11)</f>
        <v>1676.2249569198</v>
      </c>
      <c r="L12" s="137">
        <f>SUM(L5:L11)</f>
        <v>2133.37721789792</v>
      </c>
      <c r="M12" s="137">
        <f>SUM(M5:M11)</f>
        <v>2590.52947887605</v>
      </c>
      <c r="N12" s="137">
        <f>SUM(B12:M12)</f>
        <v>15238.4086992709</v>
      </c>
      <c r="O12" s="102">
        <f>SUM(O5:O11)</f>
        <v>10323.4492363</v>
      </c>
    </row>
    <row r="13" ht="15" customHeight="1" x14ac:dyDescent="0.15" hidden="1" outlineLevel="1">
      <c r="A13" s="95" t="inlineStr">
        <is>
          <t xml:space="preserve">Расходы на маркетинг в сети интернет</t>
        </is>
      </c>
      <c r="B13" s="99">
        <f>Расходы!C26</f>
        <v>-19.3792999412308</v>
      </c>
      <c r="C13" s="99">
        <f>Расходы!D26</f>
        <v>-51.6042936445303</v>
      </c>
      <c r="D13" s="99">
        <f>Расходы!E26</f>
        <v>-68.2777326169087</v>
      </c>
      <c r="E13" s="99">
        <f>Расходы!F26</f>
        <v>-71.584631349173</v>
      </c>
      <c r="F13" s="99">
        <f>Расходы!G26</f>
        <v>-72.2960314163378</v>
      </c>
      <c r="G13" s="99">
        <f>Расходы!H26</f>
        <v>-72.4094107967425</v>
      </c>
      <c r="H13" s="99">
        <f>Расходы!I26</f>
        <v>-72.3627251784065</v>
      </c>
      <c r="I13" s="99">
        <f>Расходы!J26</f>
        <v>-81.2329947107716</v>
      </c>
      <c r="J13" s="99">
        <f>Расходы!K26</f>
        <v>-78.6986319872387</v>
      </c>
      <c r="K13" s="99">
        <f>Расходы!L26</f>
        <v>-113.896261674083</v>
      </c>
      <c r="L13" s="99">
        <f>Расходы!M26</f>
        <v>-134.454611938544</v>
      </c>
      <c r="M13" s="99">
        <f>Расходы!N26</f>
        <v>-163.803374746033</v>
      </c>
      <c r="N13" s="99">
        <f>SUM(B13:M13)</f>
        <v>-1000</v>
      </c>
      <c r="O13" s="100">
        <f>Расходы!P26</f>
        <v>-510.54</v>
      </c>
      <c r="P13"/>
      <c r="Q13"/>
      <c r="R13"/>
      <c r="S13"/>
      <c r="T13"/>
      <c r="U13"/>
    </row>
    <row r="14" ht="15" customHeight="1" x14ac:dyDescent="0.15" hidden="1" outlineLevel="1">
      <c r="A14" s="95" t="inlineStr">
        <is>
          <t xml:space="preserve">Вознаграждения креаторам</t>
        </is>
      </c>
      <c r="B14" s="99">
        <f>Расходы!C27</f>
        <v>-4.24</v>
      </c>
      <c r="C14" s="99">
        <f>Расходы!D27</f>
        <v>-7.42</v>
      </c>
      <c r="D14" s="99">
        <f>Расходы!E27</f>
        <v>-14.31</v>
      </c>
      <c r="E14" s="99">
        <f>Расходы!F27</f>
        <v>-14.787</v>
      </c>
      <c r="F14" s="99">
        <f>Расходы!G27</f>
        <v>-15.105</v>
      </c>
      <c r="G14" s="99">
        <f>Расходы!H27</f>
        <v>-15.9</v>
      </c>
      <c r="H14" s="99">
        <f>Расходы!I27</f>
        <v>-15.9</v>
      </c>
      <c r="I14" s="99">
        <f>Расходы!J27</f>
        <v>-17.013</v>
      </c>
      <c r="J14" s="99">
        <f>Расходы!K27</f>
        <v>-17.013</v>
      </c>
      <c r="K14" s="99">
        <f>Расходы!L27</f>
        <v>-17.013</v>
      </c>
      <c r="L14" s="99">
        <f>Расходы!M27</f>
        <v>-18.285</v>
      </c>
      <c r="M14" s="99">
        <f>Расходы!N27</f>
        <v>-19.08</v>
      </c>
      <c r="N14" s="99">
        <f>SUM(B14:M14)</f>
        <v>-176.066</v>
      </c>
      <c r="O14" s="100">
        <v>-15.6</v>
      </c>
      <c r="P14"/>
      <c r="Q14"/>
      <c r="R14"/>
      <c r="S14"/>
      <c r="T14"/>
      <c r="U14"/>
    </row>
    <row r="15" ht="15" customHeight="1" x14ac:dyDescent="0.15" hidden="1" outlineLevel="1">
      <c r="A15" s="95" t="inlineStr">
        <is>
          <t xml:space="preserve">Вознаграждения рекламным агентствам</t>
        </is>
      </c>
      <c r="B15" s="99">
        <f>Расходы!C28</f>
        <v>-66.25</v>
      </c>
      <c r="C15" s="99">
        <f>Расходы!D28</f>
        <v>-66.25</v>
      </c>
      <c r="D15" s="99">
        <f>Расходы!E28</f>
        <v>-66.25</v>
      </c>
      <c r="E15" s="99">
        <f>Расходы!F28</f>
        <v>-66.25</v>
      </c>
      <c r="F15" s="99">
        <f>Расходы!G28</f>
        <v>-66.25</v>
      </c>
      <c r="G15" s="99">
        <f>Расходы!H28</f>
        <v>-66.25</v>
      </c>
      <c r="H15" s="99">
        <f>Расходы!I28</f>
        <v>-66.25</v>
      </c>
      <c r="I15" s="99">
        <f>Расходы!J28</f>
        <v>-66.25</v>
      </c>
      <c r="J15" s="99">
        <f>Расходы!K28</f>
        <v>-66.25</v>
      </c>
      <c r="K15" s="99">
        <f>Расходы!L28</f>
        <v>-66.25</v>
      </c>
      <c r="L15" s="99">
        <f>Расходы!M28</f>
        <v>-66.25</v>
      </c>
      <c r="M15" s="99">
        <f>Расходы!N28</f>
        <v>-66.25</v>
      </c>
      <c r="N15" s="99">
        <f>SUM(B15:M15)</f>
        <v>-795</v>
      </c>
      <c r="O15" s="100">
        <f>Расходы!P28</f>
        <v>-354.4</v>
      </c>
      <c r="P15"/>
      <c r="Q15"/>
      <c r="R15"/>
      <c r="S15"/>
      <c r="T15"/>
      <c r="U15"/>
    </row>
    <row r="16" ht="15.5" customHeight="1" thickTop="1" thickBot="1" x14ac:dyDescent="0.2" collapsed="1">
      <c r="A16" s="237" t="inlineStr">
        <is>
          <t xml:space="preserve">COGS</t>
        </is>
      </c>
      <c r="B16" s="138">
        <f>SUM(B13:B15)</f>
        <v>-89.8692999412308</v>
      </c>
      <c r="C16" s="138">
        <f>SUM(C13:C15)</f>
        <v>-125.27429364453</v>
      </c>
      <c r="D16" s="138">
        <f>SUM(D13:D15)</f>
        <v>-148.837732616909</v>
      </c>
      <c r="E16" s="138">
        <f>SUM(E13:E15)</f>
        <v>-152.621631349173</v>
      </c>
      <c r="F16" s="138">
        <f>SUM(F13:F15)</f>
        <v>-153.651031416338</v>
      </c>
      <c r="G16" s="138">
        <f>SUM(G13:G15)</f>
        <v>-154.559410796743</v>
      </c>
      <c r="H16" s="138">
        <f>SUM(H13:H15)</f>
        <v>-154.512725178407</v>
      </c>
      <c r="I16" s="138">
        <f>SUM(I13:I15)</f>
        <v>-164.495994710772</v>
      </c>
      <c r="J16" s="138">
        <f>SUM(J13:J15)</f>
        <v>-161.961631987239</v>
      </c>
      <c r="K16" s="138">
        <f>SUM(K13:K15)</f>
        <v>-197.159261674083</v>
      </c>
      <c r="L16" s="138">
        <f>SUM(L13:L15)</f>
        <v>-218.989611938544</v>
      </c>
      <c r="M16" s="138">
        <f>SUM(M13:M15)</f>
        <v>-249.133374746033</v>
      </c>
      <c r="N16" s="138">
        <f>SUM(B16:M16)</f>
        <v>-1971.066</v>
      </c>
      <c r="O16" s="104">
        <f>SUM(O13:O15)</f>
        <v>-880.54</v>
      </c>
      <c r="P16"/>
      <c r="Q16"/>
      <c r="R16"/>
      <c r="S16"/>
      <c r="T16"/>
      <c r="U16"/>
    </row>
    <row r="17" ht="15" customHeight="1" thickBot="1" x14ac:dyDescent="0.2">
      <c r="A17" s="150" t="inlineStr">
        <is>
          <t xml:space="preserve">Net Revenue</t>
        </is>
      </c>
      <c r="B17" s="137">
        <f>B12+B16</f>
        <v>214.898874044187</v>
      </c>
      <c r="C17" s="137">
        <f>C12+C16</f>
        <v>636.646141319015</v>
      </c>
      <c r="D17" s="137">
        <f>D12+D16</f>
        <v>917.850876332055</v>
      </c>
      <c r="E17" s="137">
        <f>E12+E16</f>
        <v>914.066977599789</v>
      </c>
      <c r="F17" s="137">
        <f>F12+F16</f>
        <v>913.037577532627</v>
      </c>
      <c r="G17" s="137">
        <f>G12+G16</f>
        <v>912.129198152221</v>
      </c>
      <c r="H17" s="137">
        <f>H12+H16</f>
        <v>912.175883770557</v>
      </c>
      <c r="I17" s="137">
        <f>I12+I16</f>
        <v>1054.5767012309</v>
      </c>
      <c r="J17" s="137">
        <f>J12+J16</f>
        <v>1057.11106395443</v>
      </c>
      <c r="K17" s="137">
        <f>K12+K16</f>
        <v>1479.06569524571</v>
      </c>
      <c r="L17" s="137">
        <f>L12+L16</f>
        <v>1914.38760595938</v>
      </c>
      <c r="M17" s="137">
        <f>M12+M16</f>
        <v>2341.39610413002</v>
      </c>
      <c r="N17" s="137">
        <f>SUM(B17:M17)</f>
        <v>13267.3426992709</v>
      </c>
      <c r="O17" s="102">
        <f>O12+O16</f>
        <v>9442.9092363</v>
      </c>
      <c r="P17"/>
      <c r="Q17"/>
      <c r="R17"/>
      <c r="S17"/>
      <c r="T17"/>
      <c r="U17"/>
    </row>
    <row r="18" ht="15" hidden="1" customHeight="1" outlineLevel="1" thickTop="1" x14ac:dyDescent="0.15">
      <c r="A18" s="95" t="inlineStr">
        <is>
          <t xml:space="preserve">Налоги и взносы, связанные с расходами на оплату труда (ФОТ)</t>
        </is>
      </c>
      <c r="B18" s="202">
        <f>Расходы!C3</f>
        <v>-20.5021320287505</v>
      </c>
      <c r="C18" s="202">
        <f>Расходы!D3</f>
        <v>-20.8874989805594</v>
      </c>
      <c r="D18" s="202">
        <f>Расходы!E3</f>
        <v>-20.9962314129087</v>
      </c>
      <c r="E18" s="202">
        <f>Расходы!F3</f>
        <v>-21.3474454508537</v>
      </c>
      <c r="F18" s="202">
        <f>Расходы!G3</f>
        <v>-21.7459610511498</v>
      </c>
      <c r="G18" s="202">
        <f>Расходы!H3</f>
        <v>-21.1991644550706</v>
      </c>
      <c r="H18" s="202">
        <f>Расходы!I3</f>
        <v>-21.7290558201795</v>
      </c>
      <c r="I18" s="202">
        <f>Расходы!J3</f>
        <v>-18.5087631381029</v>
      </c>
      <c r="J18" s="202">
        <f>Расходы!K3</f>
        <v>-21.5601117907646</v>
      </c>
      <c r="K18" s="202">
        <f>Расходы!L3</f>
        <v>-23.021618076732</v>
      </c>
      <c r="L18" s="202">
        <f>Расходы!M3</f>
        <v>-23.0304143073749</v>
      </c>
      <c r="M18" s="202">
        <f>Расходы!N3</f>
        <v>-23.8732957818878</v>
      </c>
      <c r="N18" s="99">
        <f>SUM(B18:M18)</f>
        <v>-258.401692294334</v>
      </c>
      <c r="O18" s="100">
        <f>Расходы!P3</f>
        <v>-201.500852056</v>
      </c>
    </row>
    <row r="19" ht="15" hidden="1" customHeight="1" outlineLevel="1" x14ac:dyDescent="0.15">
      <c r="A19" s="95" t="inlineStr">
        <is>
          <t xml:space="preserve">Индексация</t>
        </is>
      </c>
      <c r="B19" s="202">
        <f>Расходы!C4</f>
        <v>-0</v>
      </c>
      <c r="C19" s="202">
        <f>Расходы!D4</f>
        <v>-0</v>
      </c>
      <c r="D19" s="202">
        <f>Расходы!E4</f>
        <v>-0</v>
      </c>
      <c r="E19" s="202">
        <f>Расходы!F4</f>
        <v>-0</v>
      </c>
      <c r="F19" s="202">
        <f>Расходы!G4</f>
        <v>-0</v>
      </c>
      <c r="G19" s="202">
        <f>Расходы!H4</f>
        <v>-0</v>
      </c>
      <c r="H19" s="202">
        <f>Расходы!I4</f>
        <v>-0</v>
      </c>
      <c r="I19" s="202">
        <f>Расходы!J4</f>
        <v>-0</v>
      </c>
      <c r="J19" s="202">
        <f>Расходы!K4</f>
        <v>-0</v>
      </c>
      <c r="K19" s="202">
        <f>Расходы!L4</f>
        <v>-0</v>
      </c>
      <c r="L19" s="202">
        <f>Расходы!M4</f>
        <v>-0</v>
      </c>
      <c r="M19" s="202">
        <f>Расходы!N4</f>
        <v>-0</v>
      </c>
      <c r="N19" s="99">
        <f>SUM(B19:M19)</f>
        <v>0</v>
      </c>
      <c r="O19" s="100">
        <f>Расходы!P4</f>
        <v>0</v>
      </c>
    </row>
    <row r="20" ht="15" hidden="1" customHeight="1" outlineLevel="1" x14ac:dyDescent="0.15">
      <c r="A20" s="95" t="inlineStr">
        <is>
          <t xml:space="preserve">Оплата труда - постоянная часть</t>
        </is>
      </c>
      <c r="B20" s="202">
        <f>Расходы!C5</f>
        <v>-71.2503220921336</v>
      </c>
      <c r="C20" s="202">
        <f>Расходы!D5</f>
        <v>-72.5895740002543</v>
      </c>
      <c r="D20" s="202">
        <f>Расходы!E5</f>
        <v>-72.9674479118985</v>
      </c>
      <c r="E20" s="202">
        <f>Расходы!F5</f>
        <v>-74.1880094267577</v>
      </c>
      <c r="F20" s="202">
        <f>Расходы!G5</f>
        <v>-75.5729563600826</v>
      </c>
      <c r="G20" s="202">
        <f>Расходы!H5</f>
        <v>-73.6726938149534</v>
      </c>
      <c r="H20" s="202">
        <f>Расходы!I5</f>
        <v>-75.5142062188784</v>
      </c>
      <c r="I20" s="202">
        <f>Расходы!J5</f>
        <v>-64.3228388768313</v>
      </c>
      <c r="J20" s="202">
        <f>Расходы!K5</f>
        <v>-74.9270811094276</v>
      </c>
      <c r="K20" s="202">
        <f>Расходы!L5</f>
        <v>-80.0062013428174</v>
      </c>
      <c r="L20" s="202">
        <f>Расходы!M5</f>
        <v>-80.0367705668191</v>
      </c>
      <c r="M20" s="202">
        <f>Расходы!N5</f>
        <v>-82.9660062414466</v>
      </c>
      <c r="N20" s="99">
        <f>SUM(B20:M20)</f>
        <v>-898.0141079623</v>
      </c>
      <c r="O20" s="100">
        <f>Расходы!P5</f>
        <v>-700.268664288</v>
      </c>
    </row>
    <row r="21" ht="15" hidden="1" customHeight="1" outlineLevel="1" x14ac:dyDescent="0.15">
      <c r="A21" s="95" t="inlineStr">
        <is>
          <t xml:space="preserve">Оплата труда - премии</t>
        </is>
      </c>
      <c r="B21" s="202">
        <f>Расходы!C6</f>
        <v>-2.68955150571714</v>
      </c>
      <c r="C21" s="202">
        <f>Расходы!D6</f>
        <v>-2.74010548049584</v>
      </c>
      <c r="D21" s="202">
        <f>Расходы!E6</f>
        <v>-2.75436943493411</v>
      </c>
      <c r="E21" s="202">
        <f>Расходы!F6</f>
        <v>-2.80044309416424</v>
      </c>
      <c r="F21" s="202">
        <f>Расходы!G6</f>
        <v>-2.85272196112916</v>
      </c>
      <c r="G21" s="202">
        <f>Расходы!H6</f>
        <v>-2.78099100133221</v>
      </c>
      <c r="H21" s="202">
        <f>Расходы!I6</f>
        <v>-2.8505042654599</v>
      </c>
      <c r="I21" s="202">
        <f>Расходы!J6</f>
        <v>-2.4280534188951</v>
      </c>
      <c r="J21" s="202">
        <f>Расходы!K6</f>
        <v>-2.8283415134077</v>
      </c>
      <c r="K21" s="202">
        <f>Расходы!L6</f>
        <v>-3.02006774102766</v>
      </c>
      <c r="L21" s="202">
        <f>Расходы!M6</f>
        <v>-3.02122166567008</v>
      </c>
      <c r="M21" s="202">
        <f>Расходы!N6</f>
        <v>-3.13179422152614</v>
      </c>
      <c r="N21" s="99">
        <f>SUM(B21:M21)</f>
        <v>-33.8981653037593</v>
      </c>
      <c r="O21" s="100">
        <f>Расходы!P6</f>
        <v>-26.433685984</v>
      </c>
    </row>
    <row r="22" ht="15" hidden="1" customHeight="1" outlineLevel="1" x14ac:dyDescent="0.15">
      <c r="A22" s="95" t="inlineStr">
        <is>
          <t xml:space="preserve">Оплата труда - отпускные</t>
        </is>
      </c>
      <c r="B22" s="202">
        <f>Расходы!C7</f>
        <v>-4.61554389752305</v>
      </c>
      <c r="C22" s="202">
        <f>Расходы!D7</f>
        <v>-4.7022996593255</v>
      </c>
      <c r="D22" s="202">
        <f>Расходы!E7</f>
        <v>-4.7267780557132</v>
      </c>
      <c r="E22" s="202">
        <f>Расходы!F7</f>
        <v>-4.80584514040897</v>
      </c>
      <c r="F22" s="202">
        <f>Расходы!G7</f>
        <v>-4.89556099261572</v>
      </c>
      <c r="G22" s="202">
        <f>Расходы!H7</f>
        <v>-4.77246337093028</v>
      </c>
      <c r="H22" s="202">
        <f>Расходы!I7</f>
        <v>-4.8917552013189</v>
      </c>
      <c r="I22" s="202">
        <f>Расходы!J7</f>
        <v>-4.16678658751066</v>
      </c>
      <c r="J22" s="202">
        <f>Расходы!K7</f>
        <v>-4.85372166495812</v>
      </c>
      <c r="K22" s="202">
        <f>Расходы!L7</f>
        <v>-5.18274336913644</v>
      </c>
      <c r="L22" s="202">
        <f>Расходы!M7</f>
        <v>-5.18472362117111</v>
      </c>
      <c r="M22" s="202">
        <f>Расходы!N7</f>
        <v>-5.3744773716868</v>
      </c>
      <c r="N22" s="99">
        <f>SUM(B22:M22)</f>
        <v>-58.1726989322987</v>
      </c>
      <c r="O22" s="100">
        <f>Расходы!P7</f>
        <v>-45.36289332</v>
      </c>
    </row>
    <row r="23" ht="15" hidden="1" customHeight="1" outlineLevel="1" x14ac:dyDescent="0.15">
      <c r="A23" s="95" t="inlineStr">
        <is>
          <t xml:space="preserve">Начисление резерва STI 100%, годовой бонус</t>
        </is>
      </c>
      <c r="B23" s="202">
        <f>Расходы!C8</f>
        <v>-11.5559543508355</v>
      </c>
      <c r="C23" s="202">
        <f>Расходы!D8</f>
        <v>-11.7731650729779</v>
      </c>
      <c r="D23" s="202">
        <f>Расходы!E8</f>
        <v>-11.8344517246745</v>
      </c>
      <c r="E23" s="202">
        <f>Расходы!F8</f>
        <v>-12.0324122774684</v>
      </c>
      <c r="F23" s="202">
        <f>Расходы!G8</f>
        <v>-12.2570341889193</v>
      </c>
      <c r="G23" s="202">
        <f>Расходы!H8</f>
        <v>-11.9488342175884</v>
      </c>
      <c r="H23" s="202">
        <f>Расходы!I8</f>
        <v>-12.247505615154</v>
      </c>
      <c r="I23" s="202">
        <f>Расходы!J8</f>
        <v>-10.4323990116934</v>
      </c>
      <c r="J23" s="202">
        <f>Расходы!K8</f>
        <v>-12.1522809093026</v>
      </c>
      <c r="K23" s="202">
        <f>Расходы!L8</f>
        <v>-12.9760537686527</v>
      </c>
      <c r="L23" s="202">
        <f>Расходы!M8</f>
        <v>-12.9810117330062</v>
      </c>
      <c r="M23" s="202">
        <f>Расходы!N8</f>
        <v>-13.456098900964</v>
      </c>
      <c r="N23" s="99">
        <f>SUM(B23:M23)</f>
        <v>-145.647201771237</v>
      </c>
      <c r="O23" s="100">
        <f>Расходы!P8</f>
        <v>-113.575244016</v>
      </c>
    </row>
    <row r="24" ht="15" hidden="1" customHeight="1" outlineLevel="1" x14ac:dyDescent="0.15">
      <c r="A24" s="95" t="inlineStr">
        <is>
          <t xml:space="preserve">Начисление резерва STI 100%, квартальные бонусы</t>
        </is>
      </c>
      <c r="B24" s="202">
        <f>Расходы!C9</f>
        <v>-3.35054297746118</v>
      </c>
      <c r="C24" s="202">
        <f>Расходы!D9</f>
        <v>-3.41352123417703</v>
      </c>
      <c r="D24" s="202">
        <f>Расходы!E9</f>
        <v>-3.43129073673995</v>
      </c>
      <c r="E24" s="202">
        <f>Расходы!F9</f>
        <v>-3.48868758340799</v>
      </c>
      <c r="F24" s="202">
        <f>Расходы!G9</f>
        <v>-3.55381464649141</v>
      </c>
      <c r="G24" s="202">
        <f>Расходы!H9</f>
        <v>-3.46445489149013</v>
      </c>
      <c r="H24" s="202">
        <f>Расходы!I9</f>
        <v>-3.55105192392038</v>
      </c>
      <c r="I24" s="202">
        <f>Расходы!J9</f>
        <v>-3.02477841167441</v>
      </c>
      <c r="J24" s="202">
        <f>Расходы!K9</f>
        <v>-3.52344239382145</v>
      </c>
      <c r="K24" s="202">
        <f>Расходы!L9</f>
        <v>-3.76228777907682</v>
      </c>
      <c r="L24" s="202">
        <f>Расходы!M9</f>
        <v>-3.76372529536865</v>
      </c>
      <c r="M24" s="202">
        <f>Расходы!N9</f>
        <v>-3.90147246240968</v>
      </c>
      <c r="N24" s="99">
        <f>SUM(B24:M24)</f>
        <v>-42.2290703360391</v>
      </c>
      <c r="O24" s="100">
        <f>Расходы!P9</f>
        <v>-32.930100336</v>
      </c>
    </row>
    <row r="25" ht="15.5" customHeight="1" collapsed="1" thickTop="1" thickBot="1" x14ac:dyDescent="0.2">
      <c r="A25" s="237" t="inlineStr">
        <is>
          <t xml:space="preserve">PEX</t>
        </is>
      </c>
      <c r="B25" s="138">
        <f>SUM(B18:B24)</f>
        <v>-113.964046852421</v>
      </c>
      <c r="C25" s="138">
        <f>SUM(C18:C24)</f>
        <v>-116.10616442779</v>
      </c>
      <c r="D25" s="138">
        <f>SUM(D18:D24)</f>
        <v>-116.710569276869</v>
      </c>
      <c r="E25" s="138">
        <f>SUM(E18:E24)</f>
        <v>-118.662842973061</v>
      </c>
      <c r="F25" s="138">
        <f>SUM(F18:F24)</f>
        <v>-120.878049200388</v>
      </c>
      <c r="G25" s="138">
        <f>SUM(G18:G24)</f>
        <v>-117.838601751365</v>
      </c>
      <c r="H25" s="138">
        <f>SUM(H18:H24)</f>
        <v>-120.784079044911</v>
      </c>
      <c r="I25" s="138">
        <f>SUM(I18:I24)</f>
        <v>-102.883619444708</v>
      </c>
      <c r="J25" s="138">
        <f>SUM(J18:J24)</f>
        <v>-119.844979381682</v>
      </c>
      <c r="K25" s="138">
        <f>SUM(K18:K24)</f>
        <v>-127.968972077443</v>
      </c>
      <c r="L25" s="138">
        <f>SUM(L18:L24)</f>
        <v>-128.01786718941</v>
      </c>
      <c r="M25" s="138">
        <f>SUM(M18:M24)</f>
        <v>-132.703144979921</v>
      </c>
      <c r="N25" s="138">
        <f>SUM(B25:M25)</f>
        <v>-1436.36293659997</v>
      </c>
      <c r="O25" s="104">
        <f>SUM(O18:O24)</f>
        <v>-1120.07144</v>
      </c>
    </row>
    <row r="26" ht="15" hidden="1" customHeight="1" outlineLevel="1" thickTop="1" x14ac:dyDescent="0.15">
      <c r="A26" s="95" t="inlineStr">
        <is>
          <t xml:space="preserve">Материальная помощь</t>
        </is>
      </c>
      <c r="B26" s="99">
        <f>Расходы!C11</f>
        <v>-0.005</v>
      </c>
      <c r="C26" s="99">
        <f>Расходы!D11</f>
        <v>-0</v>
      </c>
      <c r="D26" s="99">
        <f>Расходы!E11</f>
        <v>-0.005</v>
      </c>
      <c r="E26" s="99">
        <f>Расходы!F11</f>
        <v>-0.005</v>
      </c>
      <c r="F26" s="99">
        <f>Расходы!G11</f>
        <v>-0.005</v>
      </c>
      <c r="G26" s="99">
        <f>Расходы!H11</f>
        <v>-0</v>
      </c>
      <c r="H26" s="99">
        <f>Расходы!I11</f>
        <v>-0.005</v>
      </c>
      <c r="I26" s="99">
        <f>Расходы!J11</f>
        <v>-0</v>
      </c>
      <c r="J26" s="99">
        <f>Расходы!K11</f>
        <v>-0.005</v>
      </c>
      <c r="K26" s="99">
        <f>Расходы!L11</f>
        <v>-0</v>
      </c>
      <c r="L26" s="99">
        <f>Расходы!M11</f>
        <v>-0.005</v>
      </c>
      <c r="M26" s="99">
        <f>Расходы!N11</f>
        <v>-0.005</v>
      </c>
      <c r="N26" s="99">
        <f>SUM(B26:M26)</f>
        <v>-0.04</v>
      </c>
      <c r="O26" s="100">
        <f>Расходы!P11</f>
        <v>-0.4</v>
      </c>
    </row>
    <row r="27" ht="15" hidden="1" customHeight="1" outlineLevel="1" x14ac:dyDescent="0.15">
      <c r="A27" s="95" t="inlineStr">
        <is>
          <t xml:space="preserve">Затраты на корп. мероприятие кроме проезда и проживания</t>
        </is>
      </c>
      <c r="B27" s="99">
        <f>Расходы!C12</f>
        <v>-0.375</v>
      </c>
      <c r="C27" s="99">
        <f>Расходы!D12</f>
        <v>-0.375</v>
      </c>
      <c r="D27" s="99">
        <f>Расходы!E12</f>
        <v>-0.51</v>
      </c>
      <c r="E27" s="99">
        <f>Расходы!F12</f>
        <v>-0.375</v>
      </c>
      <c r="F27" s="99">
        <f>Расходы!G12</f>
        <v>-0.375</v>
      </c>
      <c r="G27" s="99">
        <f>Расходы!H12</f>
        <v>-0.375</v>
      </c>
      <c r="H27" s="99">
        <f>Расходы!I12</f>
        <v>-0.51</v>
      </c>
      <c r="I27" s="99">
        <f>Расходы!J12</f>
        <v>-0.375</v>
      </c>
      <c r="J27" s="99">
        <f>Расходы!K12</f>
        <v>-0.375</v>
      </c>
      <c r="K27" s="99">
        <f>Расходы!L12</f>
        <v>-0.375</v>
      </c>
      <c r="L27" s="99">
        <f>Расходы!M12</f>
        <v>-0.375</v>
      </c>
      <c r="M27" s="99">
        <f>Расходы!N12</f>
        <v>-0.375</v>
      </c>
      <c r="N27" s="99">
        <f>SUM(B27:M27)</f>
        <v>-4.77</v>
      </c>
      <c r="O27" s="100">
        <f>Расходы!P12</f>
        <v>-3</v>
      </c>
    </row>
    <row r="28" ht="15" hidden="1" customHeight="1" outlineLevel="1" x14ac:dyDescent="0.15">
      <c r="A28" s="95" t="inlineStr">
        <is>
          <t xml:space="preserve">ДМС и НС</t>
        </is>
      </c>
      <c r="B28" s="99">
        <f>Расходы!C13</f>
        <v>-0.869198133256529</v>
      </c>
      <c r="C28" s="99">
        <f>Расходы!D13</f>
        <v>-0.869198133256529</v>
      </c>
      <c r="D28" s="99">
        <f>Расходы!E13</f>
        <v>-0.869198133256529</v>
      </c>
      <c r="E28" s="99">
        <f>Расходы!F13</f>
        <v>-0.869198133256529</v>
      </c>
      <c r="F28" s="99">
        <f>Расходы!G13</f>
        <v>-0.869198133256529</v>
      </c>
      <c r="G28" s="99">
        <f>Расходы!H13</f>
        <v>-0.869198133256529</v>
      </c>
      <c r="H28" s="99">
        <f>Расходы!I13</f>
        <v>-0.869198133256529</v>
      </c>
      <c r="I28" s="99">
        <f>Расходы!J13</f>
        <v>-0.869198133256529</v>
      </c>
      <c r="J28" s="99">
        <f>Расходы!K13</f>
        <v>-0.869198133256529</v>
      </c>
      <c r="K28" s="99">
        <f>Расходы!L13</f>
        <v>-0.869198133256529</v>
      </c>
      <c r="L28" s="99">
        <f>Расходы!M13</f>
        <v>-0.882419923960377</v>
      </c>
      <c r="M28" s="99">
        <f>Расходы!N13</f>
        <v>-0.972502982022831</v>
      </c>
      <c r="N28" s="99">
        <f>SUM(B28:M28)</f>
        <v>-10.5469042385485</v>
      </c>
      <c r="O28" s="100">
        <f>Расходы!P13</f>
        <v>-6.5</v>
      </c>
    </row>
    <row r="29" ht="15" hidden="1" customHeight="1" outlineLevel="1" x14ac:dyDescent="0.15">
      <c r="A29" s="95" t="inlineStr">
        <is>
          <t xml:space="preserve">Подбор массовых позиций</t>
        </is>
      </c>
      <c r="B29" s="99">
        <f>Расходы!C14</f>
        <v>-0</v>
      </c>
      <c r="C29" s="99">
        <f>Расходы!D14</f>
        <v>-0</v>
      </c>
      <c r="D29" s="99">
        <f>Расходы!E14</f>
        <v>-0</v>
      </c>
      <c r="E29" s="99">
        <f>Расходы!F14</f>
        <v>-0</v>
      </c>
      <c r="F29" s="99">
        <f>Расходы!G14</f>
        <v>-0</v>
      </c>
      <c r="G29" s="99">
        <f>Расходы!H14</f>
        <v>-0</v>
      </c>
      <c r="H29" s="99">
        <f>Расходы!I14</f>
        <v>-0</v>
      </c>
      <c r="I29" s="99">
        <f>Расходы!J14</f>
        <v>-0</v>
      </c>
      <c r="J29" s="99">
        <f>Расходы!K14</f>
        <v>-0</v>
      </c>
      <c r="K29" s="99">
        <f>Расходы!L14</f>
        <v>-0</v>
      </c>
      <c r="L29" s="99">
        <f>Расходы!M14</f>
        <v>-0</v>
      </c>
      <c r="M29" s="99">
        <f>Расходы!N14</f>
        <v>-0</v>
      </c>
      <c r="N29" s="99">
        <f>SUM(B29:M29)</f>
        <v>0</v>
      </c>
      <c r="O29" s="100">
        <f>Расходы!P14</f>
        <v>-4.9</v>
      </c>
    </row>
    <row r="30" ht="15" hidden="1" customHeight="1" outlineLevel="1" x14ac:dyDescent="0.15">
      <c r="A30" s="95" t="inlineStr">
        <is>
          <t xml:space="preserve">Подбор офисных позиций</t>
        </is>
      </c>
      <c r="B30" s="99">
        <f>Расходы!C15</f>
        <v>-0.037333</v>
      </c>
      <c r="C30" s="99">
        <f>Расходы!D15</f>
        <v>-0.037333</v>
      </c>
      <c r="D30" s="99">
        <f>Расходы!E15</f>
        <v>-0.037333</v>
      </c>
      <c r="E30" s="99">
        <f>Расходы!F15</f>
        <v>-0.37233367</v>
      </c>
      <c r="F30" s="99">
        <f>Расходы!G15</f>
        <v>-0.037333</v>
      </c>
      <c r="G30" s="99">
        <f>Расходы!H15</f>
        <v>-0.037333</v>
      </c>
      <c r="H30" s="99">
        <f>Расходы!I15</f>
        <v>-0.037333</v>
      </c>
      <c r="I30" s="99">
        <f>Расходы!J15</f>
        <v>-0.377003</v>
      </c>
      <c r="J30" s="99">
        <f>Расходы!K15</f>
        <v>-0.037333</v>
      </c>
      <c r="K30" s="99">
        <f>Расходы!L15</f>
        <v>-0.037333</v>
      </c>
      <c r="L30" s="99">
        <f>Расходы!M15</f>
        <v>-0.037333</v>
      </c>
      <c r="M30" s="99">
        <f>Расходы!N15</f>
        <v>-0.037333</v>
      </c>
      <c r="N30" s="99">
        <f>SUM(B30:M30)</f>
        <v>-1.12266667</v>
      </c>
      <c r="O30" s="100">
        <f>Расходы!P15</f>
        <v>0</v>
      </c>
    </row>
    <row r="31" ht="15" hidden="1" customHeight="1" outlineLevel="1" x14ac:dyDescent="0.15">
      <c r="A31" s="95" t="inlineStr">
        <is>
          <t xml:space="preserve">Расходы на внешнее обучение</t>
        </is>
      </c>
      <c r="B31" s="99">
        <f>Расходы!C16</f>
        <v>-0</v>
      </c>
      <c r="C31" s="99">
        <f>Расходы!D16</f>
        <v>-0</v>
      </c>
      <c r="D31" s="99">
        <f>Расходы!E16</f>
        <v>-0.51209</v>
      </c>
      <c r="E31" s="99">
        <f>Расходы!F16</f>
        <v>-0.51209</v>
      </c>
      <c r="F31" s="99">
        <f>Расходы!G16</f>
        <v>-0.51209</v>
      </c>
      <c r="G31" s="99">
        <f>Расходы!H16</f>
        <v>-0.51209</v>
      </c>
      <c r="H31" s="99">
        <f>Расходы!I16</f>
        <v>-0.51209</v>
      </c>
      <c r="I31" s="99">
        <f>Расходы!J16</f>
        <v>-0.51209</v>
      </c>
      <c r="J31" s="99">
        <f>Расходы!K16</f>
        <v>-0.51209</v>
      </c>
      <c r="K31" s="99">
        <f>Расходы!L16</f>
        <v>-0.51209</v>
      </c>
      <c r="L31" s="99">
        <f>Расходы!M16</f>
        <v>-0.51209</v>
      </c>
      <c r="M31" s="99">
        <f>Расходы!N16</f>
        <v>-0.51209</v>
      </c>
      <c r="N31" s="99">
        <f>SUM(B31:M31)</f>
        <v>-5.1209</v>
      </c>
      <c r="O31" s="100">
        <f>Расходы!P16</f>
        <v>-5.7</v>
      </c>
    </row>
    <row r="32" ht="15" hidden="1" customHeight="1" outlineLevel="1" x14ac:dyDescent="0.15">
      <c r="A32" s="95" t="inlineStr">
        <is>
          <t xml:space="preserve">Развитие HR бренда</t>
        </is>
      </c>
      <c r="B32" s="99">
        <f>Расходы!C17</f>
        <v>-0</v>
      </c>
      <c r="C32" s="99">
        <f>Расходы!D17</f>
        <v>-4</v>
      </c>
      <c r="D32" s="99">
        <f>Расходы!E17</f>
        <v>-0</v>
      </c>
      <c r="E32" s="99">
        <f>Расходы!F17</f>
        <v>-10.25</v>
      </c>
      <c r="F32" s="99">
        <f>Расходы!G17</f>
        <v>-0</v>
      </c>
      <c r="G32" s="99">
        <f>Расходы!H17</f>
        <v>-0</v>
      </c>
      <c r="H32" s="99">
        <f>Расходы!I17</f>
        <v>-6</v>
      </c>
      <c r="I32" s="99">
        <f>Расходы!J17</f>
        <v>-0</v>
      </c>
      <c r="J32" s="99">
        <f>Расходы!K17</f>
        <v>-0</v>
      </c>
      <c r="K32" s="99">
        <f>Расходы!L17</f>
        <v>-0</v>
      </c>
      <c r="L32" s="99">
        <f>Расходы!M17</f>
        <v>-0</v>
      </c>
      <c r="M32" s="99">
        <f>Расходы!N17</f>
        <v>-0</v>
      </c>
      <c r="N32" s="99">
        <f>SUM(B32:M32)</f>
        <v>-20.25</v>
      </c>
      <c r="O32" s="100">
        <f>Расходы!P17</f>
        <v>-14</v>
      </c>
    </row>
    <row r="33" ht="15" hidden="1" customHeight="1" outlineLevel="1" x14ac:dyDescent="0.15">
      <c r="A33" s="95" t="inlineStr">
        <is>
          <t xml:space="preserve">Карты лояльности (мотивация сотрудников)</t>
        </is>
      </c>
      <c r="B33" s="99">
        <f>Расходы!C18</f>
        <v>-0.02799675</v>
      </c>
      <c r="C33" s="99">
        <f>Расходы!D18</f>
        <v>-0.02799675</v>
      </c>
      <c r="D33" s="99">
        <f>Расходы!E18</f>
        <v>-0.02799675</v>
      </c>
      <c r="E33" s="99">
        <f>Расходы!F18</f>
        <v>-0.02799675</v>
      </c>
      <c r="F33" s="99">
        <f>Расходы!G18</f>
        <v>-0.02799675</v>
      </c>
      <c r="G33" s="99">
        <f>Расходы!H18</f>
        <v>-0.02799675</v>
      </c>
      <c r="H33" s="99">
        <f>Расходы!I18</f>
        <v>-0.02799675</v>
      </c>
      <c r="I33" s="99">
        <f>Расходы!J18</f>
        <v>-0.02799675</v>
      </c>
      <c r="J33" s="99">
        <f>Расходы!K18</f>
        <v>-0.02799675</v>
      </c>
      <c r="K33" s="99">
        <f>Расходы!L18</f>
        <v>-0.02799675</v>
      </c>
      <c r="L33" s="99">
        <f>Расходы!M18</f>
        <v>-0.02799675</v>
      </c>
      <c r="M33" s="99">
        <f>Расходы!N18</f>
        <v>-0.02799675</v>
      </c>
      <c r="N33" s="99">
        <f>SUM(B33:M33)</f>
        <v>-0.335961</v>
      </c>
      <c r="O33" s="100">
        <f>Расходы!P18</f>
        <v>0</v>
      </c>
    </row>
    <row r="34" ht="15" hidden="1" customHeight="1" outlineLevel="1" x14ac:dyDescent="0.15">
      <c r="A34" s="95" t="inlineStr">
        <is>
          <t xml:space="preserve">Прочие компенсации и льготы</t>
        </is>
      </c>
      <c r="B34" s="99">
        <f>Расходы!C19</f>
        <v>-0.0416666666666667</v>
      </c>
      <c r="C34" s="99">
        <f>Расходы!D19</f>
        <v>-0.0416666666666667</v>
      </c>
      <c r="D34" s="99">
        <f>Расходы!E19</f>
        <v>-0.0416666666666667</v>
      </c>
      <c r="E34" s="99">
        <f>Расходы!F19</f>
        <v>-0.0416666666666667</v>
      </c>
      <c r="F34" s="99">
        <f>Расходы!G19</f>
        <v>-0.0416666666666667</v>
      </c>
      <c r="G34" s="99">
        <f>Расходы!H19</f>
        <v>-0.0416666666666667</v>
      </c>
      <c r="H34" s="99">
        <f>Расходы!I19</f>
        <v>-0.0416666666666667</v>
      </c>
      <c r="I34" s="99">
        <f>Расходы!J19</f>
        <v>-0.0416666666666667</v>
      </c>
      <c r="J34" s="99">
        <f>Расходы!K19</f>
        <v>-0.0416666666666667</v>
      </c>
      <c r="K34" s="99">
        <f>Расходы!L19</f>
        <v>-0.0416666666666667</v>
      </c>
      <c r="L34" s="99">
        <f>Расходы!M19</f>
        <v>-0.0416666666666667</v>
      </c>
      <c r="M34" s="99">
        <f>Расходы!N19</f>
        <v>-0.0416666666666667</v>
      </c>
      <c r="N34" s="99">
        <f>SUM(B34:M34)</f>
        <v>-0.5</v>
      </c>
      <c r="O34" s="100">
        <f>Расходы!P19</f>
        <v>-1.2</v>
      </c>
    </row>
    <row r="35" ht="15" hidden="1" customHeight="1" outlineLevel="1" x14ac:dyDescent="0.15">
      <c r="A35" s="95" t="inlineStr">
        <is>
          <t xml:space="preserve">Резерв на оплату отпусков</t>
        </is>
      </c>
      <c r="B35" s="99">
        <f>Расходы!C20</f>
        <v>0.2</v>
      </c>
      <c r="C35" s="99">
        <f>Расходы!D20</f>
        <v>0.2</v>
      </c>
      <c r="D35" s="99">
        <f>Расходы!E20</f>
        <v>0.2</v>
      </c>
      <c r="E35" s="99">
        <f>Расходы!F20</f>
        <v>0.2</v>
      </c>
      <c r="F35" s="99">
        <f>Расходы!G20</f>
        <v>0.2</v>
      </c>
      <c r="G35" s="99">
        <f>Расходы!H20</f>
        <v>0.2</v>
      </c>
      <c r="H35" s="99">
        <f>Расходы!I20</f>
        <v>0.2</v>
      </c>
      <c r="I35" s="99">
        <f>Расходы!J20</f>
        <v>0.2</v>
      </c>
      <c r="J35" s="99">
        <f>Расходы!K20</f>
        <v>0.2</v>
      </c>
      <c r="K35" s="99">
        <f>Расходы!L20</f>
        <v>0.2</v>
      </c>
      <c r="L35" s="99">
        <f>Расходы!M20</f>
        <v>0.2</v>
      </c>
      <c r="M35" s="99">
        <f>Расходы!N20</f>
        <v>0.2</v>
      </c>
      <c r="N35" s="99">
        <f>SUM(B35:M35)</f>
        <v>2.4</v>
      </c>
      <c r="O35" s="100">
        <f>Расходы!P20</f>
        <v>3</v>
      </c>
    </row>
    <row r="36" ht="15.5" customHeight="1" collapsed="1" thickTop="1" thickBot="1" x14ac:dyDescent="0.2">
      <c r="A36" s="237" t="inlineStr">
        <is>
          <t xml:space="preserve">Other PEX</t>
        </is>
      </c>
      <c r="B36" s="138">
        <f>SUM(B26:B35)</f>
        <v>-1.1561945499232</v>
      </c>
      <c r="C36" s="138">
        <f>SUM(C26:C35)</f>
        <v>-5.1511945499232</v>
      </c>
      <c r="D36" s="138">
        <f>SUM(D26:D35)</f>
        <v>-1.8032845499232</v>
      </c>
      <c r="E36" s="138">
        <f>SUM(E26:E35)</f>
        <v>-12.2532852199232</v>
      </c>
      <c r="F36" s="138">
        <f>SUM(F26:F35)</f>
        <v>-1.6682845499232</v>
      </c>
      <c r="G36" s="138">
        <f>SUM(G26:G35)</f>
        <v>-1.6632845499232</v>
      </c>
      <c r="H36" s="138">
        <f>SUM(H26:H35)</f>
        <v>-7.8032845499232</v>
      </c>
      <c r="I36" s="138">
        <f>SUM(I26:I35)</f>
        <v>-2.0029545499232</v>
      </c>
      <c r="J36" s="138">
        <f>SUM(J26:J35)</f>
        <v>-1.6682845499232</v>
      </c>
      <c r="K36" s="138">
        <f>SUM(K26:K35)</f>
        <v>-1.6632845499232</v>
      </c>
      <c r="L36" s="138">
        <f>SUM(L26:L35)</f>
        <v>-1.68150634062704</v>
      </c>
      <c r="M36" s="138">
        <f>SUM(M26:M35)</f>
        <v>-1.7715893986895</v>
      </c>
      <c r="N36" s="138">
        <f>SUM(B36:M36)</f>
        <v>-40.2864319085485</v>
      </c>
      <c r="O36" s="104">
        <f>SUM(O26:O35)</f>
        <v>-32.7</v>
      </c>
    </row>
    <row r="37" ht="15" hidden="1" customHeight="1" outlineLevel="1" thickTop="1" x14ac:dyDescent="0.15">
      <c r="A37" s="95" t="inlineStr">
        <is>
          <t xml:space="preserve">PR/GR</t>
        </is>
      </c>
      <c r="B37" s="99">
        <f>Расходы!C22</f>
        <v>-0.675</v>
      </c>
      <c r="C37" s="99">
        <f>Расходы!D22</f>
        <v>-3.525</v>
      </c>
      <c r="D37" s="99">
        <f>Расходы!E22</f>
        <v>-4.25</v>
      </c>
      <c r="E37" s="99">
        <f>Расходы!F22</f>
        <v>-2.675</v>
      </c>
      <c r="F37" s="99">
        <f>Расходы!G22</f>
        <v>-0.875</v>
      </c>
      <c r="G37" s="99">
        <f>Расходы!H22</f>
        <v>-1.9</v>
      </c>
      <c r="H37" s="99">
        <f>Расходы!I22</f>
        <v>-4.675</v>
      </c>
      <c r="I37" s="99">
        <f>Расходы!J22</f>
        <v>-2.025</v>
      </c>
      <c r="J37" s="99">
        <f>Расходы!K22</f>
        <v>-3.45</v>
      </c>
      <c r="K37" s="99">
        <f>Расходы!L22</f>
        <v>-1.975</v>
      </c>
      <c r="L37" s="99">
        <f>Расходы!M22</f>
        <v>-5.875</v>
      </c>
      <c r="M37" s="99">
        <f>Расходы!N22</f>
        <v>-1.4</v>
      </c>
      <c r="N37" s="99">
        <f>SUM(B37:M37)</f>
        <v>-33.3</v>
      </c>
      <c r="O37" s="100">
        <f>Расходы!P22</f>
        <v>-23.25</v>
      </c>
    </row>
    <row r="38" ht="15" hidden="1" customHeight="1" outlineLevel="1" x14ac:dyDescent="0.15">
      <c r="A38" s="95" t="inlineStr">
        <is>
          <t xml:space="preserve">Организация бизнес-мероприятий для партнеров</t>
        </is>
      </c>
      <c r="B38" s="99">
        <f>Расходы!C23</f>
        <v>-0</v>
      </c>
      <c r="C38" s="99">
        <f>Расходы!D23</f>
        <v>-1.5</v>
      </c>
      <c r="D38" s="99">
        <f>Расходы!E23</f>
        <v>-0</v>
      </c>
      <c r="E38" s="99">
        <f>Расходы!F23</f>
        <v>-0</v>
      </c>
      <c r="F38" s="99">
        <f>Расходы!G23</f>
        <v>-0</v>
      </c>
      <c r="G38" s="99">
        <f>Расходы!H23</f>
        <v>-0.15</v>
      </c>
      <c r="H38" s="99">
        <f>Расходы!I23</f>
        <v>-0</v>
      </c>
      <c r="I38" s="99">
        <f>Расходы!J23</f>
        <v>-0</v>
      </c>
      <c r="J38" s="99">
        <f>Расходы!K23</f>
        <v>-0.15</v>
      </c>
      <c r="K38" s="99">
        <f>Расходы!L23</f>
        <v>-0</v>
      </c>
      <c r="L38" s="99">
        <f>Расходы!M23</f>
        <v>-0</v>
      </c>
      <c r="M38" s="99">
        <f>Расходы!N23</f>
        <v>-0</v>
      </c>
      <c r="N38" s="99">
        <f>SUM(B38:M38)</f>
        <v>-1.8</v>
      </c>
      <c r="O38" s="100">
        <f>Расходы!P23</f>
        <v>-3.5</v>
      </c>
    </row>
    <row r="39" ht="15" hidden="1" customHeight="1" outlineLevel="1" x14ac:dyDescent="0.15">
      <c r="A39" s="95" t="inlineStr">
        <is>
          <t xml:space="preserve">Маркетинговые исследования</t>
        </is>
      </c>
      <c r="B39" s="99">
        <f>Расходы!C24</f>
        <v>-1.1260256</v>
      </c>
      <c r="C39" s="99">
        <f>Расходы!D24</f>
        <v>-1.1260256</v>
      </c>
      <c r="D39" s="99">
        <f>Расходы!E24</f>
        <v>-1.1260256</v>
      </c>
      <c r="E39" s="99">
        <f>Расходы!F24</f>
        <v>-1.1260256</v>
      </c>
      <c r="F39" s="99">
        <f>Расходы!G24</f>
        <v>-1.1260256</v>
      </c>
      <c r="G39" s="99">
        <f>Расходы!H24</f>
        <v>-1.1260256</v>
      </c>
      <c r="H39" s="99">
        <f>Расходы!I24</f>
        <v>-1.4670104</v>
      </c>
      <c r="I39" s="99">
        <f>Расходы!J24</f>
        <v>-1.4670104</v>
      </c>
      <c r="J39" s="99">
        <f>Расходы!K24</f>
        <v>-1.4670104</v>
      </c>
      <c r="K39" s="99">
        <f>Расходы!L24</f>
        <v>-1.4670104</v>
      </c>
      <c r="L39" s="99">
        <f>Расходы!M24</f>
        <v>-1.4670104</v>
      </c>
      <c r="M39" s="99">
        <f>Расходы!N24</f>
        <v>-1.4670104</v>
      </c>
      <c r="N39" s="99">
        <f>SUM(B39:M39)</f>
        <v>-15.558216</v>
      </c>
      <c r="O39" s="100">
        <f>Расходы!P24</f>
        <v>-8.3</v>
      </c>
    </row>
    <row r="40" ht="15" hidden="1" customHeight="1" outlineLevel="1" x14ac:dyDescent="0.15">
      <c r="A40" s="95" t="inlineStr">
        <is>
          <t xml:space="preserve">Маркетинг ВГО (не поставщики)</t>
        </is>
      </c>
      <c r="B40" s="99">
        <f>Расходы!C25</f>
        <v>-4.16666666666667</v>
      </c>
      <c r="C40" s="99">
        <f>Расходы!D25</f>
        <v>-4.16666666666667</v>
      </c>
      <c r="D40" s="99">
        <f>Расходы!E25</f>
        <v>-4.16666666666667</v>
      </c>
      <c r="E40" s="99">
        <f>Расходы!F25</f>
        <v>-4.16666666666667</v>
      </c>
      <c r="F40" s="99">
        <f>Расходы!G25</f>
        <v>-4.16666666666667</v>
      </c>
      <c r="G40" s="99">
        <f>Расходы!H25</f>
        <v>-4.16666666666667</v>
      </c>
      <c r="H40" s="99">
        <f>Расходы!I25</f>
        <v>-4.16666666666667</v>
      </c>
      <c r="I40" s="99">
        <f>Расходы!J25</f>
        <v>-4.16666666666667</v>
      </c>
      <c r="J40" s="99">
        <f>Расходы!K25</f>
        <v>-4.16666666666667</v>
      </c>
      <c r="K40" s="99">
        <f>Расходы!L25</f>
        <v>-4.16666666666667</v>
      </c>
      <c r="L40" s="99">
        <f>Расходы!M25</f>
        <v>-4.16666666666667</v>
      </c>
      <c r="M40" s="99">
        <f>Расходы!N25</f>
        <v>-4.16666666666667</v>
      </c>
      <c r="N40" s="99">
        <f>SUM(B40:M40)</f>
        <v>-50</v>
      </c>
      <c r="O40" s="100">
        <f>Расходы!P25</f>
        <v>-20.2</v>
      </c>
    </row>
    <row r="41" ht="15.5" customHeight="1" collapsed="1" thickTop="1" thickBot="1" x14ac:dyDescent="0.2">
      <c r="A41" s="237" t="inlineStr">
        <is>
          <t xml:space="preserve">Marketing</t>
        </is>
      </c>
      <c r="B41" s="138">
        <f>SUM(B37:B40)</f>
        <v>-5.96769226666667</v>
      </c>
      <c r="C41" s="138">
        <f>SUM(C37:C40)</f>
        <v>-10.3176922666667</v>
      </c>
      <c r="D41" s="138">
        <f>SUM(D37:D40)</f>
        <v>-9.54269226666667</v>
      </c>
      <c r="E41" s="138">
        <f>SUM(E37:E40)</f>
        <v>-7.96769226666667</v>
      </c>
      <c r="F41" s="138">
        <f>SUM(F37:F40)</f>
        <v>-6.16769226666667</v>
      </c>
      <c r="G41" s="138">
        <f>SUM(G37:G40)</f>
        <v>-7.34269226666667</v>
      </c>
      <c r="H41" s="138">
        <f>SUM(H37:H40)</f>
        <v>-10.3086770666667</v>
      </c>
      <c r="I41" s="138">
        <f>SUM(I37:I40)</f>
        <v>-7.65867706666667</v>
      </c>
      <c r="J41" s="138">
        <f>SUM(J37:J40)</f>
        <v>-9.23367706666667</v>
      </c>
      <c r="K41" s="138">
        <f>SUM(K37:K40)</f>
        <v>-7.60867706666667</v>
      </c>
      <c r="L41" s="138">
        <f>SUM(L37:L40)</f>
        <v>-11.5086770666667</v>
      </c>
      <c r="M41" s="138">
        <f>SUM(M37:M40)</f>
        <v>-7.03367706666667</v>
      </c>
      <c r="N41" s="138">
        <f>SUM(B41:M41)</f>
        <v>-100.658216</v>
      </c>
      <c r="O41" s="104">
        <f>SUM(O37:O40)</f>
        <v>-55.25</v>
      </c>
    </row>
    <row r="42" ht="15" hidden="1" customHeight="1" outlineLevel="1" thickTop="1" x14ac:dyDescent="0.15">
      <c r="A42" s="95" t="inlineStr">
        <is>
          <t xml:space="preserve">Техподдержка и сопровождение программного обеспечения</t>
        </is>
      </c>
      <c r="B42" s="99">
        <f>Расходы!C30</f>
        <v>-6.44907272921417</v>
      </c>
      <c r="C42" s="99">
        <f>Расходы!D30</f>
        <v>-6.44907272921417</v>
      </c>
      <c r="D42" s="99">
        <f>Расходы!E30</f>
        <v>-6.84907272921417</v>
      </c>
      <c r="E42" s="99">
        <f>Расходы!F30</f>
        <v>-6.64907272921417</v>
      </c>
      <c r="F42" s="99">
        <f>Расходы!G30</f>
        <v>-7.14907272921417</v>
      </c>
      <c r="G42" s="99">
        <f>Расходы!H30</f>
        <v>-7.09957968014875</v>
      </c>
      <c r="H42" s="99">
        <f>Расходы!I30</f>
        <v>-7.04200677321728</v>
      </c>
      <c r="I42" s="99">
        <f>Расходы!J30</f>
        <v>-7.30994301384494</v>
      </c>
      <c r="J42" s="99">
        <f>Расходы!K30</f>
        <v>-8.82134158688551</v>
      </c>
      <c r="K42" s="99">
        <f>Расходы!L30</f>
        <v>-9.42744069455684</v>
      </c>
      <c r="L42" s="99">
        <f>Расходы!M30</f>
        <v>-9.42744069455684</v>
      </c>
      <c r="M42" s="99">
        <f>Расходы!N30</f>
        <v>-9.42744069455684</v>
      </c>
      <c r="N42" s="99">
        <f>SUM(B42:M42)</f>
        <v>-92.1005567838379</v>
      </c>
      <c r="O42" s="99">
        <f>Расходы!P30</f>
        <v>-58.6</v>
      </c>
    </row>
    <row r="43" ht="15.5" customHeight="1" collapsed="1" thickTop="1" thickBot="1" x14ac:dyDescent="0.2">
      <c r="A43" s="237" t="inlineStr">
        <is>
          <t xml:space="preserve">IT</t>
        </is>
      </c>
      <c r="B43" s="138">
        <f>B42</f>
        <v>-6.44907272921417</v>
      </c>
      <c r="C43" s="138">
        <f>C42</f>
        <v>-6.44907272921417</v>
      </c>
      <c r="D43" s="138">
        <f>D42</f>
        <v>-6.84907272921417</v>
      </c>
      <c r="E43" s="138">
        <f>E42</f>
        <v>-6.64907272921417</v>
      </c>
      <c r="F43" s="138">
        <f>F42</f>
        <v>-7.14907272921417</v>
      </c>
      <c r="G43" s="138">
        <f>G42</f>
        <v>-7.09957968014875</v>
      </c>
      <c r="H43" s="138">
        <f>H42</f>
        <v>-7.04200677321728</v>
      </c>
      <c r="I43" s="138">
        <f>I42</f>
        <v>-7.30994301384494</v>
      </c>
      <c r="J43" s="138">
        <f>J42</f>
        <v>-8.82134158688551</v>
      </c>
      <c r="K43" s="138">
        <f>K42</f>
        <v>-9.42744069455684</v>
      </c>
      <c r="L43" s="138">
        <f>L42</f>
        <v>-9.42744069455684</v>
      </c>
      <c r="M43" s="138">
        <f>M42</f>
        <v>-9.42744069455684</v>
      </c>
      <c r="N43" s="138">
        <f>SUM(B43:M43)</f>
        <v>-92.1005567838379</v>
      </c>
      <c r="O43" s="104">
        <f>O42</f>
        <v>-58.6</v>
      </c>
    </row>
    <row r="44" ht="15" hidden="1" customHeight="1" outlineLevel="1" thickTop="1" x14ac:dyDescent="0.15">
      <c r="A44" s="95" t="inlineStr">
        <is>
          <t xml:space="preserve">Аренда</t>
        </is>
      </c>
      <c r="B44" s="99">
        <f>Расходы!C32</f>
        <v>-0</v>
      </c>
      <c r="C44" s="99">
        <f>Расходы!D32</f>
        <v>-0</v>
      </c>
      <c r="D44" s="99">
        <f>Расходы!E32</f>
        <v>-0</v>
      </c>
      <c r="E44" s="99">
        <f>Расходы!F32</f>
        <v>-0</v>
      </c>
      <c r="F44" s="99">
        <f>Расходы!G32</f>
        <v>-0</v>
      </c>
      <c r="G44" s="99">
        <f>Расходы!H32</f>
        <v>-0</v>
      </c>
      <c r="H44" s="99">
        <f>Расходы!I32</f>
        <v>-0</v>
      </c>
      <c r="I44" s="99">
        <f>Расходы!J32</f>
        <v>-0</v>
      </c>
      <c r="J44" s="99">
        <f>Расходы!K32</f>
        <v>-0</v>
      </c>
      <c r="K44" s="99">
        <f>Расходы!L32</f>
        <v>-0</v>
      </c>
      <c r="L44" s="99">
        <f>Расходы!M32</f>
        <v>-0</v>
      </c>
      <c r="M44" s="99">
        <f>Расходы!N32</f>
        <v>-0</v>
      </c>
      <c r="N44" s="99">
        <f>SUM(B44:M44)</f>
        <v>0</v>
      </c>
      <c r="O44" s="100">
        <f>Расходы!P32</f>
        <v>0</v>
      </c>
    </row>
    <row r="45" ht="15" hidden="1" customHeight="1" outlineLevel="1" x14ac:dyDescent="0.15">
      <c r="A45" s="95" t="inlineStr">
        <is>
          <t xml:space="preserve">Сервисный договор</t>
        </is>
      </c>
      <c r="B45" s="99">
        <f>Расходы!C33</f>
        <v>-0.313333333333333</v>
      </c>
      <c r="C45" s="99">
        <f>Расходы!D33</f>
        <v>-0.313333333333333</v>
      </c>
      <c r="D45" s="99">
        <f>Расходы!E33</f>
        <v>-0.313333333333333</v>
      </c>
      <c r="E45" s="99">
        <f>Расходы!F33</f>
        <v>-0.313333333333333</v>
      </c>
      <c r="F45" s="99">
        <f>Расходы!G33</f>
        <v>-0.313333333333333</v>
      </c>
      <c r="G45" s="99">
        <f>Расходы!H33</f>
        <v>-0.313333333333333</v>
      </c>
      <c r="H45" s="99">
        <f>Расходы!I33</f>
        <v>-0.313333333333333</v>
      </c>
      <c r="I45" s="99">
        <f>Расходы!J33</f>
        <v>-0.313333333333333</v>
      </c>
      <c r="J45" s="99">
        <f>Расходы!K33</f>
        <v>-0.313333333333333</v>
      </c>
      <c r="K45" s="99">
        <f>Расходы!L33</f>
        <v>-0.313333333333333</v>
      </c>
      <c r="L45" s="99">
        <f>Расходы!M33</f>
        <v>-0.313333333333333</v>
      </c>
      <c r="M45" s="99">
        <f>Расходы!N33</f>
        <v>-0.313333333333333</v>
      </c>
      <c r="N45" s="99">
        <f>SUM(B45:M45)</f>
        <v>-3.76</v>
      </c>
      <c r="O45" s="100">
        <f>Расходы!P33</f>
        <v>-5</v>
      </c>
    </row>
    <row r="46" ht="15" hidden="1" customHeight="1" outlineLevel="1" x14ac:dyDescent="0.15">
      <c r="A46" s="95" t="inlineStr">
        <is>
          <t xml:space="preserve">Рекламный сбор</t>
        </is>
      </c>
      <c r="B46" s="99">
        <f>Расходы!C34</f>
        <v>-2.01434793760495</v>
      </c>
      <c r="C46" s="99">
        <f>Расходы!D34</f>
        <v>-5.03586984401236</v>
      </c>
      <c r="D46" s="99">
        <f>Расходы!E34</f>
        <v>-7.05021778161731</v>
      </c>
      <c r="E46" s="99">
        <f>Расходы!F34</f>
        <v>-7.05021778161731</v>
      </c>
      <c r="F46" s="99">
        <f>Расходы!G34</f>
        <v>-7.05021778161732</v>
      </c>
      <c r="G46" s="99">
        <f>Расходы!H34</f>
        <v>-7.05021778161732</v>
      </c>
      <c r="H46" s="99">
        <f>Расходы!I34</f>
        <v>-7.05021778161731</v>
      </c>
      <c r="I46" s="99">
        <f>Расходы!J34</f>
        <v>-8.05739175041977</v>
      </c>
      <c r="J46" s="99">
        <f>Расходы!K34</f>
        <v>-8.05739175041979</v>
      </c>
      <c r="K46" s="99">
        <f>Расходы!L34</f>
        <v>-11.0789136568272</v>
      </c>
      <c r="L46" s="99">
        <f>Расходы!M34</f>
        <v>-14.1004355632346</v>
      </c>
      <c r="M46" s="99">
        <f>Расходы!N34</f>
        <v>-17.121957469642</v>
      </c>
      <c r="N46" s="99">
        <f>SUM(B46:M46)</f>
        <v>-100.717396880247</v>
      </c>
      <c r="O46" s="100">
        <f>Расходы!P34</f>
        <v>-80.7</v>
      </c>
    </row>
    <row r="47" ht="15" hidden="1" customHeight="1" outlineLevel="1" x14ac:dyDescent="0.15">
      <c r="A47" s="95" t="inlineStr">
        <is>
          <t xml:space="preserve">Командировочные - Проезд</t>
        </is>
      </c>
      <c r="B47" s="99">
        <f>Расходы!C35</f>
        <v>-0.0858333333333333</v>
      </c>
      <c r="C47" s="99">
        <f>Расходы!D35</f>
        <v>-0.0858333333333333</v>
      </c>
      <c r="D47" s="99">
        <f>Расходы!E35</f>
        <v>-0.0858333333333333</v>
      </c>
      <c r="E47" s="99">
        <f>Расходы!F35</f>
        <v>-0.0858333333333333</v>
      </c>
      <c r="F47" s="99">
        <f>Расходы!G35</f>
        <v>-0.0858333333333333</v>
      </c>
      <c r="G47" s="99">
        <f>Расходы!H35</f>
        <v>-0.0858333333333333</v>
      </c>
      <c r="H47" s="99">
        <f>Расходы!I35</f>
        <v>-0.0858333333333333</v>
      </c>
      <c r="I47" s="99">
        <f>Расходы!J35</f>
        <v>-0.0858333333333333</v>
      </c>
      <c r="J47" s="99">
        <f>Расходы!K35</f>
        <v>-0.0858333333333333</v>
      </c>
      <c r="K47" s="99">
        <f>Расходы!L35</f>
        <v>-0.0858333333333333</v>
      </c>
      <c r="L47" s="99">
        <f>Расходы!M35</f>
        <v>-0.0858333333333333</v>
      </c>
      <c r="M47" s="99">
        <f>Расходы!N35</f>
        <v>-0.0858333333333333</v>
      </c>
      <c r="N47" s="99">
        <f>SUM(B47:M47)</f>
        <v>-1.03</v>
      </c>
      <c r="O47" s="100">
        <f>Расходы!P35</f>
        <v>-2.6</v>
      </c>
    </row>
    <row r="48" ht="15" hidden="1" customHeight="1" outlineLevel="1" x14ac:dyDescent="0.15">
      <c r="A48" s="95" t="inlineStr">
        <is>
          <t xml:space="preserve">Командировочные - Проживание</t>
        </is>
      </c>
      <c r="B48" s="99">
        <f>Расходы!C36</f>
        <v>-0.06</v>
      </c>
      <c r="C48" s="99">
        <f>Расходы!D36</f>
        <v>-0.06</v>
      </c>
      <c r="D48" s="99">
        <f>Расходы!E36</f>
        <v>-0.06</v>
      </c>
      <c r="E48" s="99">
        <f>Расходы!F36</f>
        <v>-0.06</v>
      </c>
      <c r="F48" s="99">
        <f>Расходы!G36</f>
        <v>-0.06</v>
      </c>
      <c r="G48" s="99">
        <f>Расходы!H36</f>
        <v>-0.06</v>
      </c>
      <c r="H48" s="99">
        <f>Расходы!I36</f>
        <v>-0.06</v>
      </c>
      <c r="I48" s="99">
        <f>Расходы!J36</f>
        <v>-0.06</v>
      </c>
      <c r="J48" s="99">
        <f>Расходы!K36</f>
        <v>-0.06</v>
      </c>
      <c r="K48" s="99">
        <f>Расходы!L36</f>
        <v>-0.06</v>
      </c>
      <c r="L48" s="99">
        <f>Расходы!M36</f>
        <v>-0.06</v>
      </c>
      <c r="M48" s="99">
        <f>Расходы!N36</f>
        <v>-0.06</v>
      </c>
      <c r="N48" s="99">
        <f>SUM(B48:M48)</f>
        <v>-0.72</v>
      </c>
      <c r="O48" s="100">
        <f>Расходы!P36</f>
        <v>-1.9</v>
      </c>
    </row>
    <row r="49" ht="15" hidden="1" customHeight="1" outlineLevel="1" x14ac:dyDescent="0.15">
      <c r="A49" s="95" t="inlineStr">
        <is>
          <t xml:space="preserve">Командировочные - Суточные</t>
        </is>
      </c>
      <c r="B49" s="99">
        <f>Расходы!C37</f>
        <v>-0.02</v>
      </c>
      <c r="C49" s="99">
        <f>Расходы!D37</f>
        <v>-0.02</v>
      </c>
      <c r="D49" s="99">
        <f>Расходы!E37</f>
        <v>-0.02</v>
      </c>
      <c r="E49" s="99">
        <f>Расходы!F37</f>
        <v>-0.02</v>
      </c>
      <c r="F49" s="99">
        <f>Расходы!G37</f>
        <v>-0.02</v>
      </c>
      <c r="G49" s="99">
        <f>Расходы!H37</f>
        <v>-0.02</v>
      </c>
      <c r="H49" s="99">
        <f>Расходы!I37</f>
        <v>-0.02</v>
      </c>
      <c r="I49" s="99">
        <f>Расходы!J37</f>
        <v>-0.02</v>
      </c>
      <c r="J49" s="99">
        <f>Расходы!K37</f>
        <v>-0.02</v>
      </c>
      <c r="K49" s="99">
        <f>Расходы!L37</f>
        <v>-0.02</v>
      </c>
      <c r="L49" s="99">
        <f>Расходы!M37</f>
        <v>-0.02</v>
      </c>
      <c r="M49" s="99">
        <f>Расходы!N37</f>
        <v>-0.02</v>
      </c>
      <c r="N49" s="99">
        <f>SUM(B49:M49)</f>
        <v>-0.24</v>
      </c>
      <c r="O49" s="100">
        <f>Расходы!P37</f>
        <v>-0.2</v>
      </c>
    </row>
    <row r="50" ht="15" hidden="1" customHeight="1" outlineLevel="1" x14ac:dyDescent="0.15">
      <c r="A50" s="95" t="inlineStr">
        <is>
          <t xml:space="preserve">Представительские расходы</t>
        </is>
      </c>
      <c r="B50" s="99">
        <f>Расходы!C38</f>
        <v>-0.0458333333333333</v>
      </c>
      <c r="C50" s="99">
        <f>Расходы!D38</f>
        <v>-0.0458333333333333</v>
      </c>
      <c r="D50" s="99">
        <f>Расходы!E38</f>
        <v>-0.0458333333333333</v>
      </c>
      <c r="E50" s="99">
        <f>Расходы!F38</f>
        <v>-0.0458333333333333</v>
      </c>
      <c r="F50" s="99">
        <f>Расходы!G38</f>
        <v>-0.0458333333333333</v>
      </c>
      <c r="G50" s="99">
        <f>Расходы!H38</f>
        <v>-0.0458333333333333</v>
      </c>
      <c r="H50" s="99">
        <f>Расходы!I38</f>
        <v>-0.0458333333333333</v>
      </c>
      <c r="I50" s="99">
        <f>Расходы!J38</f>
        <v>-0.0458333333333333</v>
      </c>
      <c r="J50" s="99">
        <f>Расходы!K38</f>
        <v>-0.0458333333333333</v>
      </c>
      <c r="K50" s="99">
        <f>Расходы!L38</f>
        <v>-0.0458333333333333</v>
      </c>
      <c r="L50" s="99">
        <f>Расходы!M38</f>
        <v>-0.0458333333333333</v>
      </c>
      <c r="M50" s="99">
        <f>Расходы!N38</f>
        <v>-0.0458333333333333</v>
      </c>
      <c r="N50" s="99">
        <f>SUM(B50:M50)</f>
        <v>-0.55</v>
      </c>
      <c r="O50" s="100">
        <f>Расходы!P38</f>
        <v>-0.7</v>
      </c>
    </row>
    <row r="51" ht="15" hidden="1" customHeight="1" outlineLevel="1" x14ac:dyDescent="0.15">
      <c r="A51" s="95" t="inlineStr">
        <is>
          <t xml:space="preserve">Почтовые, курьерские услуги</t>
        </is>
      </c>
      <c r="B51" s="99">
        <f>Расходы!C39</f>
        <v>0</v>
      </c>
      <c r="C51" s="99">
        <f>Расходы!D39</f>
        <v>0</v>
      </c>
      <c r="D51" s="99">
        <f>Расходы!E39</f>
        <v>0</v>
      </c>
      <c r="E51" s="99">
        <f>Расходы!F39</f>
        <v>0</v>
      </c>
      <c r="F51" s="99">
        <f>Расходы!G39</f>
        <v>0</v>
      </c>
      <c r="G51" s="99">
        <f>Расходы!H39</f>
        <v>0</v>
      </c>
      <c r="H51" s="99">
        <f>Расходы!I39</f>
        <v>0</v>
      </c>
      <c r="I51" s="99">
        <f>Расходы!J39</f>
        <v>0</v>
      </c>
      <c r="J51" s="99">
        <f>Расходы!K39</f>
        <v>0</v>
      </c>
      <c r="K51" s="99">
        <f>Расходы!L39</f>
        <v>0</v>
      </c>
      <c r="L51" s="99">
        <f>Расходы!M39</f>
        <v>0</v>
      </c>
      <c r="M51" s="99">
        <f>Расходы!N39</f>
        <v>0</v>
      </c>
      <c r="N51" s="99">
        <f>SUM(B51:M51)</f>
        <v>0</v>
      </c>
      <c r="O51" s="100">
        <f>Расходы!P39</f>
        <v>-0.5</v>
      </c>
    </row>
    <row r="52" ht="15.5" customHeight="1" collapsed="1" thickTop="1" thickBot="1" x14ac:dyDescent="0.2">
      <c r="A52" s="237" t="inlineStr">
        <is>
          <t xml:space="preserve">Other OPEX</t>
        </is>
      </c>
      <c r="B52" s="138">
        <f>SUM(B44:B51)</f>
        <v>-2.53934793760495</v>
      </c>
      <c r="C52" s="138">
        <f>SUM(C44:C51)</f>
        <v>-5.56086984401236</v>
      </c>
      <c r="D52" s="138">
        <f>SUM(D44:D51)</f>
        <v>-7.57521778161731</v>
      </c>
      <c r="E52" s="138">
        <f>SUM(E44:E51)</f>
        <v>-7.5752177816173</v>
      </c>
      <c r="F52" s="138">
        <f>SUM(F44:F51)</f>
        <v>-7.57521778161732</v>
      </c>
      <c r="G52" s="138">
        <f>SUM(G44:G51)</f>
        <v>-7.57521778161732</v>
      </c>
      <c r="H52" s="138">
        <f>SUM(H44:H51)</f>
        <v>-7.57521778161731</v>
      </c>
      <c r="I52" s="138">
        <f>SUM(I44:I51)</f>
        <v>-8.58239175041977</v>
      </c>
      <c r="J52" s="138">
        <f>SUM(J44:J51)</f>
        <v>-8.58239175041978</v>
      </c>
      <c r="K52" s="138">
        <f>SUM(K44:K51)</f>
        <v>-11.6039136568272</v>
      </c>
      <c r="L52" s="138">
        <f>SUM(L44:L51)</f>
        <v>-14.6254355632346</v>
      </c>
      <c r="M52" s="138">
        <f>SUM(M44:M51)</f>
        <v>-17.646957469642</v>
      </c>
      <c r="N52" s="138">
        <f>SUM(B52:M52)</f>
        <v>-107.017396880247</v>
      </c>
      <c r="O52" s="104">
        <f>SUM(O44:O51)</f>
        <v>-91.6</v>
      </c>
    </row>
    <row r="53" ht="15.5" customHeight="1" thickTop="1" thickBot="1" x14ac:dyDescent="0.2">
      <c r="A53" s="150" t="inlineStr">
        <is>
          <t xml:space="preserve">OPEX</t>
        </is>
      </c>
      <c r="B53" s="137">
        <f>B25+B36+B41+B43+B52</f>
        <v>-130.07635433583</v>
      </c>
      <c r="C53" s="137">
        <f>C25+C36+C41+C43+C52</f>
        <v>-143.584993817606</v>
      </c>
      <c r="D53" s="137">
        <f>D25+D36+D41+D43+D52</f>
        <v>-142.48083660429</v>
      </c>
      <c r="E53" s="137">
        <f>E25+E36+E41+E43+E52</f>
        <v>-153.108110970482</v>
      </c>
      <c r="F53" s="137">
        <f>F25+F36+F41+F43+F52</f>
        <v>-143.438316527809</v>
      </c>
      <c r="G53" s="137">
        <f>G25+G36+G41+G43+G52</f>
        <v>-141.519376029721</v>
      </c>
      <c r="H53" s="137">
        <f>H25+H36+H41+H43+H52</f>
        <v>-153.513265216335</v>
      </c>
      <c r="I53" s="137">
        <f>I25+I36+I41+I43+I52</f>
        <v>-128.437585825562</v>
      </c>
      <c r="J53" s="137">
        <f>J25+J36+J41+J43+J52</f>
        <v>-148.150674335577</v>
      </c>
      <c r="K53" s="137">
        <f>K25+K36+K41+K43+K52</f>
        <v>-158.272288045417</v>
      </c>
      <c r="L53" s="137">
        <f>L25+L36+L41+L43+L52</f>
        <v>-165.260926854495</v>
      </c>
      <c r="M53" s="137">
        <f>M25+M36+M41+M43+M52</f>
        <v>-168.582809609476</v>
      </c>
      <c r="N53" s="137">
        <f>SUM(B53:M53)</f>
        <v>-1776.4255381726</v>
      </c>
      <c r="O53" s="102">
        <f>O25+O36+O41+O43+O52</f>
        <v>-1358.22144</v>
      </c>
    </row>
    <row r="54" ht="15.5" customHeight="1" thickTop="1" thickBot="1" x14ac:dyDescent="0.2">
      <c r="A54" s="150" t="inlineStr">
        <is>
          <t xml:space="preserve">EBITDA</t>
        </is>
      </c>
      <c r="B54" s="137">
        <f>B17+B53</f>
        <v>84.8225197083574</v>
      </c>
      <c r="C54" s="137">
        <f>C17+C53</f>
        <v>493.061147501408</v>
      </c>
      <c r="D54" s="137">
        <f>D17+D53</f>
        <v>775.370039727764</v>
      </c>
      <c r="E54" s="137">
        <f>E17+E53</f>
        <v>760.958866629307</v>
      </c>
      <c r="F54" s="137">
        <f>F17+F53</f>
        <v>769.599261004818</v>
      </c>
      <c r="G54" s="137">
        <f>G17+G53</f>
        <v>770.609822122501</v>
      </c>
      <c r="H54" s="137">
        <f>H17+H53</f>
        <v>758.662618554222</v>
      </c>
      <c r="I54" s="137">
        <f>I17+I53</f>
        <v>926.139115405336</v>
      </c>
      <c r="J54" s="137">
        <f>J17+J53</f>
        <v>908.960389618857</v>
      </c>
      <c r="K54" s="137">
        <f>K17+K53</f>
        <v>1320.7934072003</v>
      </c>
      <c r="L54" s="137">
        <f>L17+L53</f>
        <v>1749.12667910488</v>
      </c>
      <c r="M54" s="137">
        <f>M17+M53</f>
        <v>2172.81329452054</v>
      </c>
      <c r="N54" s="137">
        <f>SUM(B54:M54)</f>
        <v>11490.9171610983</v>
      </c>
      <c r="O54" s="102">
        <f>O17+O53</f>
        <v>8084.6877963</v>
      </c>
    </row>
    <row r="55" ht="15" hidden="1" customHeight="1" outlineLevel="1" thickTop="1" x14ac:dyDescent="0.15">
      <c r="A55" s="95" t="inlineStr">
        <is>
          <t xml:space="preserve">Разработка рекламной платформы</t>
        </is>
      </c>
      <c r="B55" s="99">
        <f>Расходы!C42</f>
        <v>-42.4589221570622</v>
      </c>
      <c r="C55" s="99">
        <f>Расходы!D42</f>
        <v>-43.0455801144657</v>
      </c>
      <c r="D55" s="99">
        <f>Расходы!E42</f>
        <v>-44.5059008430205</v>
      </c>
      <c r="E55" s="99">
        <f>Расходы!F42</f>
        <v>-44.3697992096137</v>
      </c>
      <c r="F55" s="99">
        <f>Расходы!G42</f>
        <v>-44.5288118210764</v>
      </c>
      <c r="G55" s="99">
        <f>Расходы!H42</f>
        <v>-44.1829047514327</v>
      </c>
      <c r="H55" s="99">
        <f>Расходы!I42</f>
        <v>-47.1088453652662</v>
      </c>
      <c r="I55" s="99">
        <f>Расходы!J42</f>
        <v>-46.6230449100597</v>
      </c>
      <c r="J55" s="99">
        <f>Расходы!K42</f>
        <v>-46.2426262744877</v>
      </c>
      <c r="K55" s="99">
        <f>Расходы!L42</f>
        <v>-46.092339570551</v>
      </c>
      <c r="L55" s="99">
        <f>Расходы!M42</f>
        <v>-45.9706611366441</v>
      </c>
      <c r="M55" s="99">
        <f>Расходы!N42</f>
        <v>-45.904436886102</v>
      </c>
      <c r="N55" s="99">
        <f>SUM(B55:M55)</f>
        <v>-541.033873039782</v>
      </c>
      <c r="O55" s="100">
        <f>Расходы!P42</f>
        <v>-447.2</v>
      </c>
    </row>
    <row r="56" hidden="1" outlineLevel="1" x14ac:dyDescent="0.15">
      <c r="A56" s="95" t="inlineStr">
        <is>
          <t xml:space="preserve">Проекты Digital Instore (оснащение ТТ)</t>
        </is>
      </c>
      <c r="B56" s="99">
        <f>Расходы!C43</f>
        <v>-0</v>
      </c>
      <c r="C56" s="99">
        <f>Расходы!D43</f>
        <v>-0</v>
      </c>
      <c r="D56" s="99">
        <f>Расходы!E43</f>
        <v>-0</v>
      </c>
      <c r="E56" s="99">
        <f>Расходы!F43</f>
        <v>-10.23056</v>
      </c>
      <c r="F56" s="99">
        <f>Расходы!G43</f>
        <v>-18.36096</v>
      </c>
      <c r="G56" s="99">
        <f>Расходы!H43</f>
        <v>-52.57255814</v>
      </c>
      <c r="H56" s="99">
        <f>Расходы!I43</f>
        <v>-45.67833721</v>
      </c>
      <c r="I56" s="99">
        <f>Расходы!J43</f>
        <v>-56.6199534892</v>
      </c>
      <c r="J56" s="99">
        <f>Расходы!K43</f>
        <v>-155.41</v>
      </c>
      <c r="K56" s="99">
        <f>Расходы!L43</f>
        <v>-170.7335</v>
      </c>
      <c r="L56" s="99">
        <f>Расходы!M43</f>
        <v>-0</v>
      </c>
      <c r="M56" s="99">
        <f>Расходы!N43</f>
        <v>-100</v>
      </c>
      <c r="N56" s="99">
        <f>SUM(B56:M56)</f>
        <v>-609.6058688392</v>
      </c>
      <c r="O56" s="100">
        <f>Расходы!P43</f>
        <v>-732.4</v>
      </c>
    </row>
    <row r="57" ht="15" customHeight="1" collapsed="1" thickTop="1" thickBot="1" x14ac:dyDescent="0.2">
      <c r="A57" s="150" t="inlineStr">
        <is>
          <t xml:space="preserve">CAPEX</t>
        </is>
      </c>
      <c r="B57" s="137">
        <f>SUM(B55:B56)</f>
        <v>-42.4589221570622</v>
      </c>
      <c r="C57" s="137">
        <f>SUM(C55:C56)</f>
        <v>-43.0455801144657</v>
      </c>
      <c r="D57" s="137">
        <f>SUM(D55:D56)</f>
        <v>-44.5059008430205</v>
      </c>
      <c r="E57" s="137">
        <f>SUM(E55:E56)</f>
        <v>-54.6003592096137</v>
      </c>
      <c r="F57" s="137">
        <f>SUM(F55:F56)</f>
        <v>-62.8897718210764</v>
      </c>
      <c r="G57" s="137">
        <f>SUM(G55:G56)</f>
        <v>-96.7554628914327</v>
      </c>
      <c r="H57" s="137">
        <f>SUM(H55:H56)</f>
        <v>-92.7871825752662</v>
      </c>
      <c r="I57" s="137">
        <f>SUM(I55:I56)</f>
        <v>-103.24299839926</v>
      </c>
      <c r="J57" s="137">
        <f>SUM(J55:J56)</f>
        <v>-201.652626274488</v>
      </c>
      <c r="K57" s="137">
        <f>SUM(K55:K56)</f>
        <v>-216.825839570551</v>
      </c>
      <c r="L57" s="137">
        <f>SUM(L55:L56)</f>
        <v>-45.9706611366441</v>
      </c>
      <c r="M57" s="137">
        <f>SUM(M55:M56)</f>
        <v>-145.904436886102</v>
      </c>
      <c r="N57" s="137">
        <f>SUM(N55:N56)</f>
        <v>-1150.63974187898</v>
      </c>
      <c r="O57" s="102">
        <f>SUM(O55:O56)</f>
        <v>-1179.6</v>
      </c>
    </row>
    <row r="58" ht="15.5" customHeight="1" thickTop="1" thickBot="1" x14ac:dyDescent="0.2">
      <c r="A58" s="150" t="inlineStr">
        <is>
          <t xml:space="preserve">FCF</t>
        </is>
      </c>
      <c r="B58" s="137">
        <f>B54+B57</f>
        <v>42.3635975512952</v>
      </c>
      <c r="C58" s="137">
        <f>C54+C57</f>
        <v>450.015567386943</v>
      </c>
      <c r="D58" s="137">
        <f>D54+D57</f>
        <v>730.864138884744</v>
      </c>
      <c r="E58" s="137">
        <f>E54+E57</f>
        <v>706.358507419693</v>
      </c>
      <c r="F58" s="137">
        <f>F54+F57</f>
        <v>706.709489183741</v>
      </c>
      <c r="G58" s="137">
        <f>G54+G57</f>
        <v>673.854359231068</v>
      </c>
      <c r="H58" s="137">
        <f>H54+H57</f>
        <v>665.875435978955</v>
      </c>
      <c r="I58" s="137">
        <f>I54+I57</f>
        <v>822.896117006077</v>
      </c>
      <c r="J58" s="137">
        <f>J54+J57</f>
        <v>707.307763344369</v>
      </c>
      <c r="K58" s="137">
        <f>K54+K57</f>
        <v>1103.96756762974</v>
      </c>
      <c r="L58" s="137">
        <f>L54+L57</f>
        <v>1703.15601796824</v>
      </c>
      <c r="M58" s="137">
        <f>M54+M57</f>
        <v>2026.90885763444</v>
      </c>
      <c r="N58" s="137">
        <f>SUM(B58:M58)</f>
        <v>10340.2774192193</v>
      </c>
      <c r="O58" s="102">
        <f>O54+O57</f>
        <v>6905.0877963</v>
      </c>
    </row>
    <row r="59" ht="15" customHeight="1" thickTop="1" x14ac:dyDescent="0.15"/>
    <row r="60" x14ac:dyDescent="0.15">
      <c r="A60" s="134" t="inlineStr">
        <is>
          <t xml:space="preserve">СПРАВОЧНО</t>
        </is>
      </c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238"/>
      <c r="N60" s="134"/>
      <c r="O60" s="134"/>
    </row>
    <row r="61" x14ac:dyDescent="0.15">
      <c r="A61" s="46" t="inlineStr">
        <is>
          <t xml:space="preserve">Выручка М+</t>
        </is>
      </c>
      <c r="B61" s="34">
        <f>'М+ справочно'!C34</f>
        <v>337.892813337882</v>
      </c>
      <c r="C61" s="34">
        <f>'М+ справочно'!D34</f>
        <v>365.733248557982</v>
      </c>
      <c r="D61" s="34">
        <f>'М+ справочно'!E34</f>
        <v>377.391899028058</v>
      </c>
      <c r="E61" s="34">
        <f>'М+ справочно'!F34</f>
        <v>394.581850118611</v>
      </c>
      <c r="F61" s="34">
        <f>'М+ справочно'!G34</f>
        <v>414.447459792765</v>
      </c>
      <c r="G61" s="34">
        <f>'М+ справочно'!H34</f>
        <v>435.072522501306</v>
      </c>
      <c r="H61" s="34">
        <f>'М+ справочно'!I34</f>
        <v>455.651586281225</v>
      </c>
      <c r="I61" s="34">
        <f>'М+ справочно'!J34</f>
        <v>478.679739499093</v>
      </c>
      <c r="J61" s="34">
        <f>'М+ справочно'!K34</f>
        <v>507.061642781086</v>
      </c>
      <c r="K61" s="34">
        <f>'М+ справочно'!L34</f>
        <v>532.802642929373</v>
      </c>
      <c r="L61" s="34">
        <f>'М+ справочно'!M34</f>
        <v>559.060379177406</v>
      </c>
      <c r="M61" s="34">
        <f>'М+ справочно'!N34</f>
        <v>586.026104037395</v>
      </c>
      <c r="N61" s="34">
        <f>SUM(B61:M61)</f>
        <v>5444.40188804218</v>
      </c>
      <c r="O61" s="34">
        <f>'М+ справочно'!P34</f>
        <v>3007</v>
      </c>
      <c r="P61" s="59">
        <f>IFERROR(N61/O61-1,"")</f>
        <v>0.810575952125767</v>
      </c>
    </row>
    <row r="62" x14ac:dyDescent="0.15">
      <c r="A62" s="1"/>
      <c r="M62" s="79"/>
      <c r="N62" s="80"/>
      <c r="O62" s="80"/>
    </row>
    <row r="63" x14ac:dyDescent="0.15">
      <c r="M63" s="79"/>
      <c r="O63" s="239"/>
    </row>
    <row r="70" ht="14" x14ac:dyDescent="0.2">
      <c r="I70" s="253"/>
    </row>
    <row r="1048574"/>
    <row r="1048575"/>
    <row r="1048576"/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R9"/>
  <sheetViews>
    <sheetView showGridLines="0" zoomScaleNormal="100" workbookViewId="0"/>
  </sheetViews>
  <sheetFormatPr baseColWidth="10" defaultColWidth="8.6640625" defaultRowHeight="13" x14ac:dyDescent="0.15"/>
  <cols>
    <col min="1" max="1" width="10.1640625" style="47" customWidth="1"/>
    <col min="2" max="2" width="26.33203125" style="47" bestFit="1" customWidth="1"/>
    <col min="3" max="3" width="8.6640625" style="47" customWidth="1"/>
    <col min="4" max="16384" width="8.6640625" style="47"/>
  </cols>
  <sheetData>
    <row r="1" spans="1:18" x14ac:dyDescent="0.15">
      <c r="A1" s="86" t="s">
        <v>372</v>
      </c>
      <c r="B1" s="47" t="s">
        <v>68</v>
      </c>
      <c r="R1" s="193" t="s">
        <v>602</v>
      </c>
    </row>
    <row r="2" spans="1:18" ht="13" customHeight="1" x14ac:dyDescent="0.15">
      <c r="A2" s="56" t="s">
        <v>69</v>
      </c>
      <c r="B2" s="57" t="s">
        <v>70</v>
      </c>
      <c r="C2" s="58" t="s">
        <v>71</v>
      </c>
      <c r="D2" s="58" t="s">
        <v>72</v>
      </c>
      <c r="E2" s="58" t="s">
        <v>73</v>
      </c>
      <c r="F2" s="58" t="s">
        <v>74</v>
      </c>
      <c r="G2" s="58" t="s">
        <v>75</v>
      </c>
      <c r="H2" s="58" t="s">
        <v>76</v>
      </c>
      <c r="I2" s="58" t="s">
        <v>77</v>
      </c>
      <c r="J2" s="58" t="s">
        <v>78</v>
      </c>
      <c r="K2" s="58" t="s">
        <v>79</v>
      </c>
      <c r="L2" s="58" t="s">
        <v>80</v>
      </c>
      <c r="M2" s="58" t="s">
        <v>81</v>
      </c>
      <c r="N2" s="58" t="s">
        <v>82</v>
      </c>
      <c r="O2" s="58" t="s">
        <v>83</v>
      </c>
    </row>
    <row r="3" spans="1:18" x14ac:dyDescent="0.15">
      <c r="A3" s="48">
        <v>2026</v>
      </c>
      <c r="B3" s="49" t="s">
        <v>84</v>
      </c>
      <c r="C3" s="50">
        <v>21.478605999999999</v>
      </c>
      <c r="D3" s="50">
        <v>21.386288</v>
      </c>
      <c r="E3" s="50">
        <v>22.602233999999999</v>
      </c>
      <c r="F3" s="50">
        <v>22.935127000000001</v>
      </c>
      <c r="G3" s="50">
        <v>24.267083</v>
      </c>
      <c r="H3" s="50">
        <v>24.884086</v>
      </c>
      <c r="I3" s="50">
        <v>25.381996000000001</v>
      </c>
      <c r="J3" s="51">
        <v>25.928896000000002</v>
      </c>
      <c r="K3" s="51">
        <v>26.261094799109465</v>
      </c>
      <c r="L3" s="51">
        <v>26.775543009357907</v>
      </c>
      <c r="M3" s="51">
        <v>27.00709472649017</v>
      </c>
      <c r="N3" s="51">
        <v>28.106857496467011</v>
      </c>
      <c r="O3" s="51">
        <f>SUM(C3:N3)</f>
        <v>297.01490603142457</v>
      </c>
      <c r="P3" s="52"/>
      <c r="Q3" s="53" t="s">
        <v>85</v>
      </c>
    </row>
    <row r="4" spans="1:18" x14ac:dyDescent="0.15">
      <c r="A4" s="48">
        <v>2027</v>
      </c>
      <c r="B4" s="49" t="s">
        <v>84</v>
      </c>
      <c r="C4" s="51">
        <v>27.468360670734871</v>
      </c>
      <c r="D4" s="51">
        <v>27.419363352190018</v>
      </c>
      <c r="E4" s="51">
        <v>28.267229918247075</v>
      </c>
      <c r="F4" s="51">
        <v>28.523835991561576</v>
      </c>
      <c r="G4" s="51">
        <v>28.980585424896262</v>
      </c>
      <c r="H4" s="51">
        <v>29.181437315365663</v>
      </c>
      <c r="I4" s="51">
        <v>29.584271385692158</v>
      </c>
      <c r="J4" s="51">
        <v>29.800068052047415</v>
      </c>
      <c r="K4" s="51">
        <v>29.950203799315751</v>
      </c>
      <c r="L4" s="51">
        <v>30.361133732501838</v>
      </c>
      <c r="M4" s="51">
        <v>30.534305762847431</v>
      </c>
      <c r="N4" s="51">
        <v>31.140700217208224</v>
      </c>
      <c r="O4" s="51">
        <f>SUM(C4:N4)</f>
        <v>351.21149562260831</v>
      </c>
      <c r="P4" s="52"/>
      <c r="Q4" s="54" t="s">
        <v>86</v>
      </c>
    </row>
    <row r="6" spans="1:18" x14ac:dyDescent="0.15">
      <c r="B6" s="63" t="s">
        <v>87</v>
      </c>
      <c r="C6" s="64">
        <f t="shared" ref="C6:O6" si="0">C4/$O$4</f>
        <v>7.8210312057241979E-2</v>
      </c>
      <c r="D6" s="64">
        <f t="shared" si="0"/>
        <v>7.8070802618753946E-2</v>
      </c>
      <c r="E6" s="64">
        <f t="shared" si="0"/>
        <v>8.0484922249303065E-2</v>
      </c>
      <c r="F6" s="64">
        <f t="shared" si="0"/>
        <v>8.12155534402315E-2</v>
      </c>
      <c r="G6" s="64">
        <f t="shared" si="0"/>
        <v>8.2516050260601756E-2</v>
      </c>
      <c r="H6" s="64">
        <f t="shared" si="0"/>
        <v>8.3087933279730561E-2</v>
      </c>
      <c r="I6" s="64">
        <f t="shared" si="0"/>
        <v>8.4234917576507001E-2</v>
      </c>
      <c r="J6" s="64">
        <f t="shared" si="0"/>
        <v>8.484935266489356E-2</v>
      </c>
      <c r="K6" s="64">
        <f t="shared" si="0"/>
        <v>8.5276832258071977E-2</v>
      </c>
      <c r="L6" s="64">
        <f t="shared" si="0"/>
        <v>8.6446867801634172E-2</v>
      </c>
      <c r="M6" s="64">
        <f t="shared" si="0"/>
        <v>8.6939938309017764E-2</v>
      </c>
      <c r="N6" s="64">
        <f t="shared" si="0"/>
        <v>8.8666517484012622E-2</v>
      </c>
      <c r="O6" s="64">
        <f t="shared" si="0"/>
        <v>1</v>
      </c>
    </row>
    <row r="8" spans="1:18" x14ac:dyDescent="0.15">
      <c r="A8" s="87" t="s">
        <v>373</v>
      </c>
    </row>
    <row r="9" spans="1:18" ht="13" customHeight="1" x14ac:dyDescent="0.2">
      <c r="A9" s="55"/>
      <c r="B9"/>
      <c r="C9"/>
      <c r="D9"/>
      <c r="E9"/>
      <c r="F9"/>
      <c r="G9"/>
      <c r="H9"/>
      <c r="I9"/>
      <c r="J9"/>
      <c r="K9"/>
      <c r="L9"/>
      <c r="M9"/>
      <c r="N9"/>
      <c r="O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M92"/>
  <sheetViews>
    <sheetView showGridLines="0" zoomScaleNormal="100" workbookViewId="0"/>
  </sheetViews>
  <sheetFormatPr baseColWidth="10" defaultColWidth="8.83203125" defaultRowHeight="15" x14ac:dyDescent="0.2"/>
  <cols>
    <col min="1" max="1" width="48" customWidth="1"/>
    <col min="2" max="2" width="12" customWidth="1"/>
    <col min="3" max="10" width="13" customWidth="1"/>
    <col min="11" max="11" width="16" customWidth="1"/>
    <col min="12" max="12" width="13" customWidth="1"/>
  </cols>
  <sheetData>
    <row r="1" spans="1:13" x14ac:dyDescent="0.2">
      <c r="A1" s="86" t="s">
        <v>374</v>
      </c>
    </row>
    <row r="2" spans="1:13" x14ac:dyDescent="0.2">
      <c r="A2" s="1" t="s">
        <v>444</v>
      </c>
    </row>
    <row r="4" spans="1:13" x14ac:dyDescent="0.2">
      <c r="A4" s="88" t="s">
        <v>375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193" t="s">
        <v>603</v>
      </c>
    </row>
    <row r="5" spans="1:13" x14ac:dyDescent="0.2">
      <c r="A5" s="89" t="s">
        <v>88</v>
      </c>
      <c r="B5" s="89"/>
      <c r="C5" s="89" t="s">
        <v>14</v>
      </c>
      <c r="D5" s="89" t="s">
        <v>15</v>
      </c>
      <c r="E5" s="89" t="s">
        <v>16</v>
      </c>
      <c r="F5" s="89" t="s">
        <v>17</v>
      </c>
      <c r="G5" s="89" t="s">
        <v>18</v>
      </c>
      <c r="H5" s="89" t="s">
        <v>19</v>
      </c>
      <c r="I5" s="89" t="s">
        <v>20</v>
      </c>
      <c r="J5" s="89" t="s">
        <v>21</v>
      </c>
      <c r="K5" s="89" t="s">
        <v>89</v>
      </c>
      <c r="L5" s="89" t="s">
        <v>90</v>
      </c>
    </row>
    <row r="6" spans="1:13" x14ac:dyDescent="0.2">
      <c r="A6" s="95" t="s">
        <v>91</v>
      </c>
      <c r="C6" s="107">
        <v>108751651</v>
      </c>
      <c r="D6" s="107">
        <v>120234971</v>
      </c>
      <c r="E6" s="107">
        <v>207868368</v>
      </c>
      <c r="F6" s="107">
        <v>128867024</v>
      </c>
      <c r="G6" s="107">
        <v>162792943</v>
      </c>
      <c r="H6" s="107">
        <v>209915491</v>
      </c>
      <c r="I6" s="107">
        <v>204852089</v>
      </c>
      <c r="J6" s="107">
        <v>202538053</v>
      </c>
      <c r="K6" s="108">
        <f t="shared" ref="K6:K28" si="0">SUM(C6:J6)</f>
        <v>1345820590</v>
      </c>
      <c r="L6" s="94">
        <f t="shared" ref="L6:L29" si="1">IFERROR(K6/K33,0)</f>
        <v>0.31211892484006809</v>
      </c>
    </row>
    <row r="7" spans="1:13" x14ac:dyDescent="0.2">
      <c r="A7" s="95" t="s">
        <v>92</v>
      </c>
      <c r="C7" s="107">
        <v>64339578</v>
      </c>
      <c r="D7" s="107">
        <v>51573093</v>
      </c>
      <c r="E7" s="107">
        <v>98229351</v>
      </c>
      <c r="F7" s="107">
        <v>93689400</v>
      </c>
      <c r="G7" s="107">
        <v>104305180</v>
      </c>
      <c r="H7" s="107">
        <v>88426327</v>
      </c>
      <c r="I7" s="107">
        <v>54438687</v>
      </c>
      <c r="J7" s="107">
        <v>45714667</v>
      </c>
      <c r="K7" s="108">
        <f t="shared" si="0"/>
        <v>600716283</v>
      </c>
      <c r="L7" s="94">
        <f t="shared" si="1"/>
        <v>0.56371213445088297</v>
      </c>
    </row>
    <row r="8" spans="1:13" x14ac:dyDescent="0.2">
      <c r="A8" s="95" t="s">
        <v>93</v>
      </c>
      <c r="C8" s="107">
        <v>103401163</v>
      </c>
      <c r="D8" s="107">
        <v>84692074</v>
      </c>
      <c r="E8" s="107">
        <v>51773130</v>
      </c>
      <c r="F8" s="107">
        <v>36534804</v>
      </c>
      <c r="G8" s="107">
        <v>37458883</v>
      </c>
      <c r="H8" s="107">
        <v>39211676</v>
      </c>
      <c r="I8" s="107">
        <v>41838843</v>
      </c>
      <c r="J8" s="107">
        <v>43468782</v>
      </c>
      <c r="K8" s="108">
        <f t="shared" si="0"/>
        <v>438379355</v>
      </c>
      <c r="L8" s="94">
        <f t="shared" si="1"/>
        <v>0.56157144163853479</v>
      </c>
    </row>
    <row r="9" spans="1:13" x14ac:dyDescent="0.2">
      <c r="A9" s="95" t="s">
        <v>94</v>
      </c>
      <c r="C9" s="107">
        <v>57723291</v>
      </c>
      <c r="D9" s="107">
        <v>45723567</v>
      </c>
      <c r="E9" s="107">
        <v>42867338</v>
      </c>
      <c r="F9" s="107">
        <v>55101658</v>
      </c>
      <c r="G9" s="107">
        <v>56349529</v>
      </c>
      <c r="H9" s="107">
        <v>49654255</v>
      </c>
      <c r="I9" s="107">
        <v>57138982</v>
      </c>
      <c r="J9" s="107">
        <v>48851421</v>
      </c>
      <c r="K9" s="108">
        <f t="shared" si="0"/>
        <v>413410041</v>
      </c>
      <c r="L9" s="94">
        <f t="shared" si="1"/>
        <v>0.55369609484575699</v>
      </c>
    </row>
    <row r="10" spans="1:13" x14ac:dyDescent="0.2">
      <c r="A10" s="95" t="s">
        <v>95</v>
      </c>
      <c r="C10" s="107">
        <v>85297467</v>
      </c>
      <c r="D10" s="107">
        <v>62769757</v>
      </c>
      <c r="E10" s="107">
        <v>33282253</v>
      </c>
      <c r="F10" s="107">
        <v>31456586</v>
      </c>
      <c r="G10" s="107">
        <v>33250726</v>
      </c>
      <c r="H10" s="107">
        <v>27346069</v>
      </c>
      <c r="I10" s="107">
        <v>30837230</v>
      </c>
      <c r="J10" s="107">
        <v>39006865</v>
      </c>
      <c r="K10" s="108">
        <f t="shared" si="0"/>
        <v>343246953</v>
      </c>
      <c r="L10" s="94">
        <f t="shared" si="1"/>
        <v>0.49103948205923081</v>
      </c>
    </row>
    <row r="11" spans="1:13" x14ac:dyDescent="0.2">
      <c r="A11" s="95" t="s">
        <v>96</v>
      </c>
      <c r="C11" s="107">
        <v>39729799</v>
      </c>
      <c r="D11" s="107">
        <v>36814242</v>
      </c>
      <c r="E11" s="107">
        <v>22921405</v>
      </c>
      <c r="F11" s="107">
        <v>23624048</v>
      </c>
      <c r="G11" s="107">
        <v>23650226</v>
      </c>
      <c r="H11" s="107">
        <v>23968440</v>
      </c>
      <c r="I11" s="107">
        <v>19421256</v>
      </c>
      <c r="J11" s="107">
        <v>34895910</v>
      </c>
      <c r="K11" s="108">
        <f t="shared" si="0"/>
        <v>225025326</v>
      </c>
      <c r="L11" s="94">
        <f t="shared" si="1"/>
        <v>0.68732322070083263</v>
      </c>
    </row>
    <row r="12" spans="1:13" x14ac:dyDescent="0.2">
      <c r="A12" s="95" t="s">
        <v>97</v>
      </c>
      <c r="C12" s="107">
        <v>1507439</v>
      </c>
      <c r="D12" s="107">
        <v>11254903</v>
      </c>
      <c r="E12" s="107">
        <v>10190399</v>
      </c>
      <c r="F12" s="107">
        <v>25739949</v>
      </c>
      <c r="G12" s="107">
        <v>26997253</v>
      </c>
      <c r="H12" s="107">
        <v>26585981</v>
      </c>
      <c r="I12" s="107">
        <v>50199127</v>
      </c>
      <c r="J12" s="107">
        <v>19155738</v>
      </c>
      <c r="K12" s="108">
        <f t="shared" si="0"/>
        <v>171630789</v>
      </c>
      <c r="L12" s="94">
        <f t="shared" si="1"/>
        <v>0.16565300884654713</v>
      </c>
    </row>
    <row r="13" spans="1:13" x14ac:dyDescent="0.2">
      <c r="A13" s="95" t="s">
        <v>98</v>
      </c>
      <c r="C13" s="107">
        <v>14189577</v>
      </c>
      <c r="D13" s="107">
        <v>12493652</v>
      </c>
      <c r="E13" s="107">
        <v>10282061</v>
      </c>
      <c r="F13" s="107">
        <v>9260885</v>
      </c>
      <c r="G13" s="107">
        <v>11501486</v>
      </c>
      <c r="H13" s="107">
        <v>11467352</v>
      </c>
      <c r="I13" s="107">
        <v>7558322</v>
      </c>
      <c r="J13" s="107">
        <v>11265492</v>
      </c>
      <c r="K13" s="108">
        <f t="shared" si="0"/>
        <v>88018827</v>
      </c>
      <c r="L13" s="94">
        <f t="shared" si="1"/>
        <v>0.76206633447277417</v>
      </c>
    </row>
    <row r="14" spans="1:13" x14ac:dyDescent="0.2">
      <c r="A14" s="95" t="s">
        <v>99</v>
      </c>
      <c r="C14" s="107">
        <v>11323073</v>
      </c>
      <c r="D14" s="107">
        <v>12145830</v>
      </c>
      <c r="E14" s="107">
        <v>11431551</v>
      </c>
      <c r="F14" s="107">
        <v>5770352</v>
      </c>
      <c r="G14" s="107">
        <v>6922152</v>
      </c>
      <c r="H14" s="107">
        <v>6401635</v>
      </c>
      <c r="I14" s="107">
        <v>4267962</v>
      </c>
      <c r="J14" s="107">
        <v>8074738</v>
      </c>
      <c r="K14" s="108">
        <f t="shared" si="0"/>
        <v>66337293</v>
      </c>
      <c r="L14" s="94">
        <f t="shared" si="1"/>
        <v>0.42127938256237352</v>
      </c>
    </row>
    <row r="15" spans="1:13" x14ac:dyDescent="0.2">
      <c r="A15" s="95" t="s">
        <v>100</v>
      </c>
      <c r="C15" s="107">
        <v>5459276</v>
      </c>
      <c r="D15" s="107">
        <v>6092449</v>
      </c>
      <c r="E15" s="107">
        <v>12593411</v>
      </c>
      <c r="F15" s="107">
        <v>7380444</v>
      </c>
      <c r="G15" s="107">
        <v>7685516</v>
      </c>
      <c r="H15" s="107">
        <v>3988078</v>
      </c>
      <c r="I15" s="107">
        <v>2254953</v>
      </c>
      <c r="J15" s="107">
        <v>2817949</v>
      </c>
      <c r="K15" s="108">
        <f t="shared" si="0"/>
        <v>48272076</v>
      </c>
      <c r="L15" s="94">
        <f t="shared" si="1"/>
        <v>0.296605405875705</v>
      </c>
    </row>
    <row r="16" spans="1:13" x14ac:dyDescent="0.2">
      <c r="A16" s="95" t="s">
        <v>101</v>
      </c>
      <c r="C16" s="107">
        <v>1765279</v>
      </c>
      <c r="D16" s="107">
        <v>3439965</v>
      </c>
      <c r="E16" s="107">
        <v>3563608</v>
      </c>
      <c r="F16" s="107">
        <v>3829073</v>
      </c>
      <c r="G16" s="107">
        <v>2621846</v>
      </c>
      <c r="H16" s="107">
        <v>2831652</v>
      </c>
      <c r="I16" s="107">
        <v>2858266</v>
      </c>
      <c r="J16" s="107">
        <v>2195808</v>
      </c>
      <c r="K16" s="108">
        <f t="shared" si="0"/>
        <v>23105497</v>
      </c>
      <c r="L16" s="94">
        <f t="shared" si="1"/>
        <v>0.63150421341316709</v>
      </c>
    </row>
    <row r="17" spans="1:13" x14ac:dyDescent="0.2">
      <c r="A17" s="95" t="s">
        <v>102</v>
      </c>
      <c r="C17" s="107">
        <v>8641675</v>
      </c>
      <c r="D17" s="107">
        <v>4862984</v>
      </c>
      <c r="E17" s="107">
        <v>3455250</v>
      </c>
      <c r="F17" s="107">
        <v>1234565</v>
      </c>
      <c r="G17" s="107">
        <v>2027552</v>
      </c>
      <c r="H17" s="107">
        <v>771797</v>
      </c>
      <c r="I17" s="107">
        <v>594381</v>
      </c>
      <c r="J17" s="107">
        <v>703133</v>
      </c>
      <c r="K17" s="108">
        <f t="shared" si="0"/>
        <v>22291337</v>
      </c>
      <c r="L17" s="94">
        <f t="shared" si="1"/>
        <v>0.35113763739877657</v>
      </c>
    </row>
    <row r="18" spans="1:13" x14ac:dyDescent="0.2">
      <c r="A18" s="95" t="s">
        <v>103</v>
      </c>
      <c r="C18" s="107">
        <v>0</v>
      </c>
      <c r="D18" s="107">
        <v>0</v>
      </c>
      <c r="E18" s="107">
        <v>0</v>
      </c>
      <c r="F18" s="107">
        <v>3709762</v>
      </c>
      <c r="G18" s="107">
        <v>5711347</v>
      </c>
      <c r="H18" s="107">
        <v>351778</v>
      </c>
      <c r="I18" s="107">
        <v>91378</v>
      </c>
      <c r="J18" s="107">
        <v>286</v>
      </c>
      <c r="K18" s="108">
        <f t="shared" si="0"/>
        <v>9864551</v>
      </c>
      <c r="L18" s="94">
        <f t="shared" si="1"/>
        <v>0.50101314395308783</v>
      </c>
    </row>
    <row r="19" spans="1:13" x14ac:dyDescent="0.2">
      <c r="A19" s="95" t="s">
        <v>104</v>
      </c>
      <c r="C19" s="107">
        <v>874106</v>
      </c>
      <c r="D19" s="107">
        <v>837382</v>
      </c>
      <c r="E19" s="107">
        <v>672419</v>
      </c>
      <c r="F19" s="107">
        <v>584962</v>
      </c>
      <c r="G19" s="107">
        <v>620857</v>
      </c>
      <c r="H19" s="107">
        <v>505250</v>
      </c>
      <c r="I19" s="107">
        <v>256696</v>
      </c>
      <c r="J19" s="107">
        <v>326921</v>
      </c>
      <c r="K19" s="108">
        <f t="shared" si="0"/>
        <v>4678593</v>
      </c>
      <c r="L19" s="94">
        <f t="shared" si="1"/>
        <v>1</v>
      </c>
    </row>
    <row r="20" spans="1:13" x14ac:dyDescent="0.2">
      <c r="A20" s="95" t="s">
        <v>105</v>
      </c>
      <c r="C20" s="107">
        <v>1471213</v>
      </c>
      <c r="D20" s="107">
        <v>13811</v>
      </c>
      <c r="E20" s="107">
        <v>279272</v>
      </c>
      <c r="F20" s="107">
        <v>135608</v>
      </c>
      <c r="G20" s="107">
        <v>217676</v>
      </c>
      <c r="H20" s="107">
        <v>16</v>
      </c>
      <c r="I20" s="107">
        <v>334312</v>
      </c>
      <c r="J20" s="107">
        <v>1600187</v>
      </c>
      <c r="K20" s="108">
        <f t="shared" si="0"/>
        <v>4052095</v>
      </c>
      <c r="L20" s="94">
        <f t="shared" si="1"/>
        <v>2.6935681162079613E-2</v>
      </c>
    </row>
    <row r="21" spans="1:13" x14ac:dyDescent="0.2">
      <c r="A21" s="95" t="s">
        <v>106</v>
      </c>
      <c r="C21" s="107">
        <v>815091</v>
      </c>
      <c r="D21" s="107">
        <v>782488</v>
      </c>
      <c r="E21" s="107">
        <v>997135</v>
      </c>
      <c r="F21" s="107">
        <v>172215</v>
      </c>
      <c r="G21" s="107">
        <v>364248</v>
      </c>
      <c r="H21" s="107">
        <v>151680</v>
      </c>
      <c r="I21" s="107">
        <v>77</v>
      </c>
      <c r="J21" s="107">
        <v>77102</v>
      </c>
      <c r="K21" s="108">
        <f t="shared" si="0"/>
        <v>3360036</v>
      </c>
      <c r="L21" s="94">
        <f t="shared" si="1"/>
        <v>0.49140985292523937</v>
      </c>
    </row>
    <row r="22" spans="1:13" x14ac:dyDescent="0.2">
      <c r="A22" s="95" t="s">
        <v>107</v>
      </c>
      <c r="C22" s="107">
        <v>176786</v>
      </c>
      <c r="D22" s="107">
        <v>427314</v>
      </c>
      <c r="E22" s="107">
        <v>392154</v>
      </c>
      <c r="F22" s="107">
        <v>363660</v>
      </c>
      <c r="G22" s="107">
        <v>361457</v>
      </c>
      <c r="H22" s="107">
        <v>362934</v>
      </c>
      <c r="I22" s="107">
        <v>231489</v>
      </c>
      <c r="J22" s="107">
        <v>66950</v>
      </c>
      <c r="K22" s="108">
        <f t="shared" si="0"/>
        <v>2382744</v>
      </c>
      <c r="L22" s="94">
        <f t="shared" si="1"/>
        <v>0.65543820462707114</v>
      </c>
    </row>
    <row r="23" spans="1:13" x14ac:dyDescent="0.2">
      <c r="A23" s="95" t="s">
        <v>108</v>
      </c>
      <c r="C23" s="107">
        <v>2</v>
      </c>
      <c r="D23" s="107">
        <v>102664</v>
      </c>
      <c r="E23" s="107">
        <v>228851</v>
      </c>
      <c r="F23" s="107">
        <v>120942</v>
      </c>
      <c r="G23" s="107">
        <v>123930</v>
      </c>
      <c r="H23" s="107">
        <v>25271</v>
      </c>
      <c r="I23" s="107">
        <v>221461</v>
      </c>
      <c r="J23" s="107">
        <v>669098</v>
      </c>
      <c r="K23" s="108">
        <f t="shared" si="0"/>
        <v>1492219</v>
      </c>
      <c r="L23" s="94">
        <f t="shared" si="1"/>
        <v>0.3288164433452207</v>
      </c>
    </row>
    <row r="24" spans="1:13" x14ac:dyDescent="0.2">
      <c r="A24" s="95" t="s">
        <v>109</v>
      </c>
      <c r="C24" s="107">
        <v>213733</v>
      </c>
      <c r="D24" s="107">
        <v>18322</v>
      </c>
      <c r="E24" s="107">
        <v>1</v>
      </c>
      <c r="F24" s="107">
        <v>223050</v>
      </c>
      <c r="G24" s="107">
        <v>512054</v>
      </c>
      <c r="H24" s="107">
        <v>47560</v>
      </c>
      <c r="I24" s="107">
        <v>4</v>
      </c>
      <c r="J24" s="107">
        <v>20050</v>
      </c>
      <c r="K24" s="108">
        <f t="shared" si="0"/>
        <v>1034774</v>
      </c>
      <c r="L24" s="94">
        <f t="shared" si="1"/>
        <v>5.6758024992698004E-2</v>
      </c>
    </row>
    <row r="25" spans="1:13" x14ac:dyDescent="0.2">
      <c r="A25" s="95" t="s">
        <v>110</v>
      </c>
      <c r="C25" s="107">
        <v>0</v>
      </c>
      <c r="D25" s="107">
        <v>0</v>
      </c>
      <c r="E25" s="107">
        <v>187639</v>
      </c>
      <c r="F25" s="107">
        <v>33</v>
      </c>
      <c r="G25" s="107">
        <v>4</v>
      </c>
      <c r="H25" s="107">
        <v>5</v>
      </c>
      <c r="I25" s="107">
        <v>0</v>
      </c>
      <c r="J25" s="107">
        <v>3</v>
      </c>
      <c r="K25" s="108">
        <f t="shared" si="0"/>
        <v>187684</v>
      </c>
      <c r="L25" s="94">
        <f t="shared" si="1"/>
        <v>2.1597850111491002E-2</v>
      </c>
    </row>
    <row r="26" spans="1:13" x14ac:dyDescent="0.2">
      <c r="A26" s="95" t="s">
        <v>111</v>
      </c>
      <c r="C26" s="107">
        <v>0</v>
      </c>
      <c r="D26" s="107">
        <v>0</v>
      </c>
      <c r="E26" s="107">
        <v>0</v>
      </c>
      <c r="F26" s="107">
        <v>0</v>
      </c>
      <c r="G26" s="107">
        <v>0</v>
      </c>
      <c r="H26" s="107">
        <v>0</v>
      </c>
      <c r="I26" s="107">
        <v>0</v>
      </c>
      <c r="J26" s="107">
        <v>94778</v>
      </c>
      <c r="K26" s="108">
        <f t="shared" si="0"/>
        <v>94778</v>
      </c>
      <c r="L26" s="94">
        <f t="shared" si="1"/>
        <v>2.9933297648645005E-4</v>
      </c>
    </row>
    <row r="27" spans="1:13" x14ac:dyDescent="0.2">
      <c r="A27" s="95" t="s">
        <v>112</v>
      </c>
      <c r="C27" s="107">
        <v>0</v>
      </c>
      <c r="D27" s="107">
        <v>0</v>
      </c>
      <c r="E27" s="107">
        <v>0</v>
      </c>
      <c r="F27" s="107">
        <v>0</v>
      </c>
      <c r="G27" s="107">
        <v>0</v>
      </c>
      <c r="H27" s="107">
        <v>0</v>
      </c>
      <c r="I27" s="107">
        <v>0</v>
      </c>
      <c r="J27" s="107">
        <v>0</v>
      </c>
      <c r="K27" s="108">
        <f t="shared" si="0"/>
        <v>0</v>
      </c>
      <c r="L27" s="94">
        <f t="shared" si="1"/>
        <v>0</v>
      </c>
    </row>
    <row r="28" spans="1:13" x14ac:dyDescent="0.2">
      <c r="A28" s="95" t="s">
        <v>113</v>
      </c>
      <c r="C28" s="107">
        <v>0</v>
      </c>
      <c r="D28" s="107">
        <v>0</v>
      </c>
      <c r="E28" s="107">
        <v>0</v>
      </c>
      <c r="F28" s="107">
        <v>0</v>
      </c>
      <c r="G28" s="107">
        <v>0</v>
      </c>
      <c r="H28" s="107">
        <v>0</v>
      </c>
      <c r="I28" s="107">
        <v>0</v>
      </c>
      <c r="J28" s="107">
        <v>0</v>
      </c>
      <c r="K28" s="108">
        <f t="shared" si="0"/>
        <v>0</v>
      </c>
      <c r="L28" s="94">
        <f t="shared" si="1"/>
        <v>0</v>
      </c>
    </row>
    <row r="29" spans="1:13" x14ac:dyDescent="0.2">
      <c r="A29" s="86" t="s">
        <v>114</v>
      </c>
      <c r="C29" s="109">
        <f t="shared" ref="C29:K29" si="2">SUM(C6:C28)</f>
        <v>505680199</v>
      </c>
      <c r="D29" s="109">
        <f t="shared" si="2"/>
        <v>454279468</v>
      </c>
      <c r="E29" s="109">
        <f t="shared" si="2"/>
        <v>511215596</v>
      </c>
      <c r="F29" s="109">
        <f t="shared" si="2"/>
        <v>427799020</v>
      </c>
      <c r="G29" s="109">
        <f t="shared" si="2"/>
        <v>483474865</v>
      </c>
      <c r="H29" s="109">
        <f t="shared" si="2"/>
        <v>492013247</v>
      </c>
      <c r="I29" s="109">
        <f t="shared" si="2"/>
        <v>477395515</v>
      </c>
      <c r="J29" s="109">
        <f t="shared" si="2"/>
        <v>461543931</v>
      </c>
      <c r="K29" s="109">
        <f t="shared" si="2"/>
        <v>3813401841</v>
      </c>
      <c r="L29" s="93">
        <f t="shared" si="1"/>
        <v>0.37002102248768581</v>
      </c>
    </row>
    <row r="31" spans="1:13" x14ac:dyDescent="0.2">
      <c r="A31" s="88" t="s">
        <v>376</v>
      </c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193" t="s">
        <v>604</v>
      </c>
    </row>
    <row r="32" spans="1:13" x14ac:dyDescent="0.2">
      <c r="A32" s="89" t="s">
        <v>88</v>
      </c>
      <c r="B32" s="89"/>
      <c r="C32" s="89" t="s">
        <v>14</v>
      </c>
      <c r="D32" s="89" t="s">
        <v>15</v>
      </c>
      <c r="E32" s="89" t="s">
        <v>16</v>
      </c>
      <c r="F32" s="89" t="s">
        <v>17</v>
      </c>
      <c r="G32" s="89" t="s">
        <v>18</v>
      </c>
      <c r="H32" s="89" t="s">
        <v>19</v>
      </c>
      <c r="I32" s="89" t="s">
        <v>20</v>
      </c>
      <c r="J32" s="89" t="s">
        <v>21</v>
      </c>
      <c r="K32" s="89" t="s">
        <v>89</v>
      </c>
    </row>
    <row r="33" spans="1:11" x14ac:dyDescent="0.2">
      <c r="A33" s="95" t="s">
        <v>91</v>
      </c>
      <c r="C33" s="107">
        <v>601719364</v>
      </c>
      <c r="D33" s="107">
        <v>555654950</v>
      </c>
      <c r="E33" s="107">
        <v>595700137</v>
      </c>
      <c r="F33" s="107">
        <v>644446552</v>
      </c>
      <c r="G33" s="107">
        <v>509861663</v>
      </c>
      <c r="H33" s="107">
        <v>462252579</v>
      </c>
      <c r="I33" s="107">
        <v>446280527</v>
      </c>
      <c r="J33" s="107">
        <v>495968202</v>
      </c>
      <c r="K33" s="108">
        <f t="shared" ref="K33:K55" si="3">SUM(C33:J33)</f>
        <v>4311883974</v>
      </c>
    </row>
    <row r="34" spans="1:11" x14ac:dyDescent="0.2">
      <c r="A34" s="95" t="s">
        <v>92</v>
      </c>
      <c r="C34" s="107">
        <v>74706543</v>
      </c>
      <c r="D34" s="107">
        <v>64339540</v>
      </c>
      <c r="E34" s="107">
        <v>170148376</v>
      </c>
      <c r="F34" s="107">
        <v>200887650</v>
      </c>
      <c r="G34" s="107">
        <v>177471336</v>
      </c>
      <c r="H34" s="107">
        <v>176074297</v>
      </c>
      <c r="I34" s="107">
        <v>114435611</v>
      </c>
      <c r="J34" s="107">
        <v>87580344</v>
      </c>
      <c r="K34" s="108">
        <f t="shared" si="3"/>
        <v>1065643697</v>
      </c>
    </row>
    <row r="35" spans="1:11" x14ac:dyDescent="0.2">
      <c r="A35" s="95" t="s">
        <v>93</v>
      </c>
      <c r="C35" s="107">
        <v>130262413</v>
      </c>
      <c r="D35" s="107">
        <v>108921737</v>
      </c>
      <c r="E35" s="107">
        <v>90713173</v>
      </c>
      <c r="F35" s="107">
        <v>70286458</v>
      </c>
      <c r="G35" s="107">
        <v>71196370</v>
      </c>
      <c r="H35" s="107">
        <v>71280461</v>
      </c>
      <c r="I35" s="107">
        <v>71141519</v>
      </c>
      <c r="J35" s="107">
        <v>166827585</v>
      </c>
      <c r="K35" s="108">
        <f t="shared" si="3"/>
        <v>780629716</v>
      </c>
    </row>
    <row r="36" spans="1:11" x14ac:dyDescent="0.2">
      <c r="A36" s="95" t="s">
        <v>94</v>
      </c>
      <c r="C36" s="107">
        <v>84080510</v>
      </c>
      <c r="D36" s="107">
        <v>88172392</v>
      </c>
      <c r="E36" s="107">
        <v>80533230</v>
      </c>
      <c r="F36" s="107">
        <v>94842942</v>
      </c>
      <c r="G36" s="107">
        <v>94179074</v>
      </c>
      <c r="H36" s="107">
        <v>95052057</v>
      </c>
      <c r="I36" s="107">
        <v>106621308</v>
      </c>
      <c r="J36" s="107">
        <v>103155577</v>
      </c>
      <c r="K36" s="108">
        <f t="shared" si="3"/>
        <v>746637090</v>
      </c>
    </row>
    <row r="37" spans="1:11" x14ac:dyDescent="0.2">
      <c r="A37" s="95" t="s">
        <v>95</v>
      </c>
      <c r="C37" s="107">
        <v>134986016</v>
      </c>
      <c r="D37" s="107">
        <v>106511411</v>
      </c>
      <c r="E37" s="107">
        <v>82648980</v>
      </c>
      <c r="F37" s="107">
        <v>89550875</v>
      </c>
      <c r="G37" s="107">
        <v>75261204</v>
      </c>
      <c r="H37" s="107">
        <v>59821055</v>
      </c>
      <c r="I37" s="107">
        <v>56186105</v>
      </c>
      <c r="J37" s="107">
        <v>94055442</v>
      </c>
      <c r="K37" s="108">
        <f t="shared" si="3"/>
        <v>699021088</v>
      </c>
    </row>
    <row r="38" spans="1:11" x14ac:dyDescent="0.2">
      <c r="A38" s="95" t="s">
        <v>96</v>
      </c>
      <c r="C38" s="107">
        <v>39729799</v>
      </c>
      <c r="D38" s="107">
        <v>40148584</v>
      </c>
      <c r="E38" s="107">
        <v>29196321</v>
      </c>
      <c r="F38" s="107">
        <v>31478694</v>
      </c>
      <c r="G38" s="107">
        <v>37398813</v>
      </c>
      <c r="H38" s="107">
        <v>38221237</v>
      </c>
      <c r="I38" s="107">
        <v>33611834</v>
      </c>
      <c r="J38" s="107">
        <v>77608467</v>
      </c>
      <c r="K38" s="108">
        <f t="shared" si="3"/>
        <v>327393749</v>
      </c>
    </row>
    <row r="39" spans="1:11" x14ac:dyDescent="0.2">
      <c r="A39" s="95" t="s">
        <v>97</v>
      </c>
      <c r="C39" s="107">
        <v>18961577</v>
      </c>
      <c r="D39" s="107">
        <v>85461168</v>
      </c>
      <c r="E39" s="107">
        <v>114187249</v>
      </c>
      <c r="F39" s="107">
        <v>179616122</v>
      </c>
      <c r="G39" s="107">
        <v>152251557</v>
      </c>
      <c r="H39" s="107">
        <v>153132074</v>
      </c>
      <c r="I39" s="107">
        <v>185570597</v>
      </c>
      <c r="J39" s="107">
        <v>146905811</v>
      </c>
      <c r="K39" s="108">
        <f t="shared" si="3"/>
        <v>1036086155</v>
      </c>
    </row>
    <row r="40" spans="1:11" x14ac:dyDescent="0.2">
      <c r="A40" s="95" t="s">
        <v>98</v>
      </c>
      <c r="C40" s="107">
        <v>19573863</v>
      </c>
      <c r="D40" s="107">
        <v>17761714</v>
      </c>
      <c r="E40" s="107">
        <v>13804626</v>
      </c>
      <c r="F40" s="107">
        <v>10902630</v>
      </c>
      <c r="G40" s="107">
        <v>12900038</v>
      </c>
      <c r="H40" s="107">
        <v>13679384</v>
      </c>
      <c r="I40" s="107">
        <v>12806836</v>
      </c>
      <c r="J40" s="107">
        <v>14071126</v>
      </c>
      <c r="K40" s="108">
        <f t="shared" si="3"/>
        <v>115500217</v>
      </c>
    </row>
    <row r="41" spans="1:11" x14ac:dyDescent="0.2">
      <c r="A41" s="95" t="s">
        <v>99</v>
      </c>
      <c r="C41" s="107">
        <v>27970638</v>
      </c>
      <c r="D41" s="107">
        <v>27779619</v>
      </c>
      <c r="E41" s="107">
        <v>20755485</v>
      </c>
      <c r="F41" s="107">
        <v>14052032</v>
      </c>
      <c r="G41" s="107">
        <v>14587063</v>
      </c>
      <c r="H41" s="107">
        <v>13787197</v>
      </c>
      <c r="I41" s="107">
        <v>12273374</v>
      </c>
      <c r="J41" s="107">
        <v>26260862</v>
      </c>
      <c r="K41" s="108">
        <f t="shared" si="3"/>
        <v>157466270</v>
      </c>
    </row>
    <row r="42" spans="1:11" x14ac:dyDescent="0.2">
      <c r="A42" s="95" t="s">
        <v>100</v>
      </c>
      <c r="C42" s="107">
        <v>21678655</v>
      </c>
      <c r="D42" s="107">
        <v>21009966</v>
      </c>
      <c r="E42" s="107">
        <v>23596349</v>
      </c>
      <c r="F42" s="107">
        <v>25803769</v>
      </c>
      <c r="G42" s="107">
        <v>19969747</v>
      </c>
      <c r="H42" s="107">
        <v>15818330</v>
      </c>
      <c r="I42" s="107">
        <v>11124296</v>
      </c>
      <c r="J42" s="107">
        <v>23747358</v>
      </c>
      <c r="K42" s="108">
        <f t="shared" si="3"/>
        <v>162748470</v>
      </c>
    </row>
    <row r="43" spans="1:11" x14ac:dyDescent="0.2">
      <c r="A43" s="95" t="s">
        <v>101</v>
      </c>
      <c r="C43" s="107">
        <v>2950246</v>
      </c>
      <c r="D43" s="107">
        <v>5374537</v>
      </c>
      <c r="E43" s="107">
        <v>5647822</v>
      </c>
      <c r="F43" s="107">
        <v>4274596</v>
      </c>
      <c r="G43" s="107">
        <v>4370905</v>
      </c>
      <c r="H43" s="107">
        <v>4456288</v>
      </c>
      <c r="I43" s="107">
        <v>4693646</v>
      </c>
      <c r="J43" s="107">
        <v>4819993</v>
      </c>
      <c r="K43" s="108">
        <f t="shared" si="3"/>
        <v>36588033</v>
      </c>
    </row>
    <row r="44" spans="1:11" x14ac:dyDescent="0.2">
      <c r="A44" s="95" t="s">
        <v>102</v>
      </c>
      <c r="C44" s="107">
        <v>10640661</v>
      </c>
      <c r="D44" s="107">
        <v>6208138</v>
      </c>
      <c r="E44" s="107">
        <v>4941827</v>
      </c>
      <c r="F44" s="107">
        <v>2907389</v>
      </c>
      <c r="G44" s="107">
        <v>3774871</v>
      </c>
      <c r="H44" s="107">
        <v>1978707</v>
      </c>
      <c r="I44" s="107">
        <v>3889858</v>
      </c>
      <c r="J44" s="107">
        <v>29141738</v>
      </c>
      <c r="K44" s="108">
        <f t="shared" si="3"/>
        <v>63483189</v>
      </c>
    </row>
    <row r="45" spans="1:11" x14ac:dyDescent="0.2">
      <c r="A45" s="95" t="s">
        <v>103</v>
      </c>
      <c r="C45" s="107">
        <v>864</v>
      </c>
      <c r="D45" s="107">
        <v>321</v>
      </c>
      <c r="E45" s="107">
        <v>1174</v>
      </c>
      <c r="F45" s="107">
        <v>7366077</v>
      </c>
      <c r="G45" s="107">
        <v>11661978</v>
      </c>
      <c r="H45" s="107">
        <v>562703</v>
      </c>
      <c r="I45" s="107">
        <v>95747</v>
      </c>
      <c r="J45" s="107">
        <v>342</v>
      </c>
      <c r="K45" s="108">
        <f t="shared" si="3"/>
        <v>19689206</v>
      </c>
    </row>
    <row r="46" spans="1:11" x14ac:dyDescent="0.2">
      <c r="A46" s="95" t="s">
        <v>104</v>
      </c>
      <c r="C46" s="107">
        <v>874106</v>
      </c>
      <c r="D46" s="107">
        <v>837382</v>
      </c>
      <c r="E46" s="107">
        <v>672419</v>
      </c>
      <c r="F46" s="107">
        <v>584962</v>
      </c>
      <c r="G46" s="107">
        <v>620857</v>
      </c>
      <c r="H46" s="107">
        <v>505250</v>
      </c>
      <c r="I46" s="107">
        <v>256696</v>
      </c>
      <c r="J46" s="107">
        <v>326921</v>
      </c>
      <c r="K46" s="108">
        <f t="shared" si="3"/>
        <v>4678593</v>
      </c>
    </row>
    <row r="47" spans="1:11" x14ac:dyDescent="0.2">
      <c r="A47" s="95" t="s">
        <v>105</v>
      </c>
      <c r="C47" s="107">
        <v>16418496</v>
      </c>
      <c r="D47" s="107">
        <v>15543593</v>
      </c>
      <c r="E47" s="107">
        <v>12480804</v>
      </c>
      <c r="F47" s="107">
        <v>34528552</v>
      </c>
      <c r="G47" s="107">
        <v>19072092</v>
      </c>
      <c r="H47" s="107">
        <v>14687523</v>
      </c>
      <c r="I47" s="107">
        <v>13642377</v>
      </c>
      <c r="J47" s="107">
        <v>24062521</v>
      </c>
      <c r="K47" s="108">
        <f t="shared" si="3"/>
        <v>150435958</v>
      </c>
    </row>
    <row r="48" spans="1:11" x14ac:dyDescent="0.2">
      <c r="A48" s="95" t="s">
        <v>106</v>
      </c>
      <c r="C48" s="107">
        <v>1226315</v>
      </c>
      <c r="D48" s="107">
        <v>1215749</v>
      </c>
      <c r="E48" s="107">
        <v>1312112</v>
      </c>
      <c r="F48" s="107">
        <v>443376</v>
      </c>
      <c r="G48" s="107">
        <v>530707</v>
      </c>
      <c r="H48" s="107">
        <v>475647</v>
      </c>
      <c r="I48" s="107">
        <v>818390</v>
      </c>
      <c r="J48" s="107">
        <v>815247</v>
      </c>
      <c r="K48" s="108">
        <f t="shared" si="3"/>
        <v>6837543</v>
      </c>
    </row>
    <row r="49" spans="1:13" x14ac:dyDescent="0.2">
      <c r="A49" s="95" t="s">
        <v>107</v>
      </c>
      <c r="C49" s="107">
        <v>312815</v>
      </c>
      <c r="D49" s="107">
        <v>427314</v>
      </c>
      <c r="E49" s="107">
        <v>392155</v>
      </c>
      <c r="F49" s="107">
        <v>371255</v>
      </c>
      <c r="G49" s="107">
        <v>501877</v>
      </c>
      <c r="H49" s="107">
        <v>648296</v>
      </c>
      <c r="I49" s="107">
        <v>547592</v>
      </c>
      <c r="J49" s="107">
        <v>434041</v>
      </c>
      <c r="K49" s="108">
        <f t="shared" si="3"/>
        <v>3635345</v>
      </c>
    </row>
    <row r="50" spans="1:13" x14ac:dyDescent="0.2">
      <c r="A50" s="95" t="s">
        <v>108</v>
      </c>
      <c r="C50" s="107">
        <v>475874</v>
      </c>
      <c r="D50" s="107">
        <v>444532</v>
      </c>
      <c r="E50" s="107">
        <v>670264</v>
      </c>
      <c r="F50" s="107">
        <v>493254</v>
      </c>
      <c r="G50" s="107">
        <v>469587</v>
      </c>
      <c r="H50" s="107">
        <v>452848</v>
      </c>
      <c r="I50" s="107">
        <v>619536</v>
      </c>
      <c r="J50" s="107">
        <v>912257</v>
      </c>
      <c r="K50" s="108">
        <f t="shared" si="3"/>
        <v>4538152</v>
      </c>
    </row>
    <row r="51" spans="1:13" x14ac:dyDescent="0.2">
      <c r="A51" s="95" t="s">
        <v>109</v>
      </c>
      <c r="C51" s="107">
        <v>2831999</v>
      </c>
      <c r="D51" s="107">
        <v>3218195</v>
      </c>
      <c r="E51" s="107">
        <v>2610871</v>
      </c>
      <c r="F51" s="107">
        <v>2004867</v>
      </c>
      <c r="G51" s="107">
        <v>1889486</v>
      </c>
      <c r="H51" s="107">
        <v>1589633</v>
      </c>
      <c r="I51" s="107">
        <v>1242452</v>
      </c>
      <c r="J51" s="107">
        <v>2843822</v>
      </c>
      <c r="K51" s="108">
        <f t="shared" si="3"/>
        <v>18231325</v>
      </c>
    </row>
    <row r="52" spans="1:13" x14ac:dyDescent="0.2">
      <c r="A52" s="95" t="s">
        <v>110</v>
      </c>
      <c r="C52" s="107">
        <v>609085</v>
      </c>
      <c r="D52" s="107">
        <v>779887</v>
      </c>
      <c r="E52" s="107">
        <v>1198402</v>
      </c>
      <c r="F52" s="107">
        <v>1975196</v>
      </c>
      <c r="G52" s="107">
        <v>2043621</v>
      </c>
      <c r="H52" s="107">
        <v>1002935</v>
      </c>
      <c r="I52" s="107">
        <v>764438</v>
      </c>
      <c r="J52" s="107">
        <v>316375</v>
      </c>
      <c r="K52" s="108">
        <f t="shared" si="3"/>
        <v>8689939</v>
      </c>
    </row>
    <row r="53" spans="1:13" x14ac:dyDescent="0.2">
      <c r="A53" s="95" t="s">
        <v>111</v>
      </c>
      <c r="C53" s="107">
        <v>243337963</v>
      </c>
      <c r="D53" s="107">
        <v>29213501</v>
      </c>
      <c r="E53" s="107">
        <v>36808</v>
      </c>
      <c r="F53" s="107">
        <v>803560</v>
      </c>
      <c r="G53" s="107">
        <v>1281</v>
      </c>
      <c r="H53" s="107">
        <v>1153</v>
      </c>
      <c r="I53" s="107">
        <v>43141045</v>
      </c>
      <c r="J53" s="107">
        <v>95356</v>
      </c>
      <c r="K53" s="108">
        <f t="shared" si="3"/>
        <v>316630667</v>
      </c>
    </row>
    <row r="54" spans="1:13" x14ac:dyDescent="0.2">
      <c r="A54" s="95" t="s">
        <v>112</v>
      </c>
      <c r="C54" s="107">
        <v>69727226</v>
      </c>
      <c r="D54" s="107">
        <v>51082023</v>
      </c>
      <c r="E54" s="107">
        <v>39655003</v>
      </c>
      <c r="F54" s="107">
        <v>17182562</v>
      </c>
      <c r="G54" s="107">
        <v>143</v>
      </c>
      <c r="H54" s="107">
        <v>17</v>
      </c>
      <c r="I54" s="107">
        <v>10</v>
      </c>
      <c r="J54" s="107">
        <v>9</v>
      </c>
      <c r="K54" s="108">
        <f t="shared" si="3"/>
        <v>177646993</v>
      </c>
    </row>
    <row r="55" spans="1:13" x14ac:dyDescent="0.2">
      <c r="A55" s="95" t="s">
        <v>113</v>
      </c>
      <c r="C55" s="107">
        <v>29824330</v>
      </c>
      <c r="D55" s="107">
        <v>38540242</v>
      </c>
      <c r="E55" s="107">
        <v>9872031</v>
      </c>
      <c r="F55" s="107">
        <v>6897916</v>
      </c>
      <c r="G55" s="107">
        <v>6181995</v>
      </c>
      <c r="H55" s="107">
        <v>493516</v>
      </c>
      <c r="I55" s="107">
        <v>237</v>
      </c>
      <c r="J55" s="107">
        <v>270</v>
      </c>
      <c r="K55" s="108">
        <f t="shared" si="3"/>
        <v>91810537</v>
      </c>
    </row>
    <row r="56" spans="1:13" x14ac:dyDescent="0.2">
      <c r="A56" s="86" t="s">
        <v>114</v>
      </c>
      <c r="C56" s="109">
        <f t="shared" ref="C56:K56" si="4">SUM(C33:C55)</f>
        <v>1532899358</v>
      </c>
      <c r="D56" s="109">
        <f t="shared" si="4"/>
        <v>1268646495</v>
      </c>
      <c r="E56" s="109">
        <f t="shared" si="4"/>
        <v>1300775618</v>
      </c>
      <c r="F56" s="109">
        <f t="shared" si="4"/>
        <v>1441701286</v>
      </c>
      <c r="G56" s="109">
        <f t="shared" si="4"/>
        <v>1216196265</v>
      </c>
      <c r="H56" s="109">
        <f t="shared" si="4"/>
        <v>1125973187</v>
      </c>
      <c r="I56" s="109">
        <f t="shared" si="4"/>
        <v>1119764031</v>
      </c>
      <c r="J56" s="109">
        <f t="shared" si="4"/>
        <v>1299949666</v>
      </c>
      <c r="K56" s="109">
        <f t="shared" si="4"/>
        <v>10305905906</v>
      </c>
    </row>
    <row r="58" spans="1:13" x14ac:dyDescent="0.2">
      <c r="A58" s="88" t="s">
        <v>377</v>
      </c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193" t="s">
        <v>605</v>
      </c>
    </row>
    <row r="59" spans="1:13" x14ac:dyDescent="0.2">
      <c r="A59" s="89" t="s">
        <v>0</v>
      </c>
      <c r="B59" s="89"/>
      <c r="C59" s="89" t="s">
        <v>14</v>
      </c>
      <c r="D59" s="89" t="s">
        <v>15</v>
      </c>
      <c r="E59" s="89" t="s">
        <v>16</v>
      </c>
      <c r="F59" s="89" t="s">
        <v>17</v>
      </c>
      <c r="G59" s="89" t="s">
        <v>18</v>
      </c>
      <c r="H59" s="89" t="s">
        <v>19</v>
      </c>
      <c r="I59" s="89" t="s">
        <v>20</v>
      </c>
      <c r="J59" s="89" t="s">
        <v>21</v>
      </c>
      <c r="K59" s="89" t="s">
        <v>89</v>
      </c>
      <c r="L59" s="89" t="s">
        <v>115</v>
      </c>
    </row>
    <row r="60" spans="1:13" x14ac:dyDescent="0.2">
      <c r="A60" s="95" t="s">
        <v>378</v>
      </c>
      <c r="C60" s="107">
        <v>2662</v>
      </c>
      <c r="D60" s="107">
        <v>3136</v>
      </c>
      <c r="E60" s="107">
        <v>4079</v>
      </c>
      <c r="F60" s="107">
        <v>4817</v>
      </c>
      <c r="G60" s="107">
        <v>4587</v>
      </c>
      <c r="H60" s="107">
        <v>5179</v>
      </c>
      <c r="I60" s="107">
        <v>5358</v>
      </c>
      <c r="J60" s="107">
        <v>6364</v>
      </c>
      <c r="K60" s="108">
        <f>SUM(C60:J60)</f>
        <v>36182</v>
      </c>
      <c r="L60" s="108">
        <f>AVERAGE(C60:J60)</f>
        <v>4522.75</v>
      </c>
    </row>
    <row r="61" spans="1:13" x14ac:dyDescent="0.2">
      <c r="A61" s="86" t="s">
        <v>379</v>
      </c>
      <c r="C61" s="108">
        <v>895</v>
      </c>
      <c r="D61" s="108">
        <v>964</v>
      </c>
      <c r="E61" s="108">
        <v>1113</v>
      </c>
      <c r="F61" s="108">
        <v>1340</v>
      </c>
      <c r="G61" s="108">
        <v>1443</v>
      </c>
      <c r="H61" s="108">
        <v>1685</v>
      </c>
      <c r="I61" s="108">
        <v>1714</v>
      </c>
      <c r="J61" s="108">
        <v>1851</v>
      </c>
      <c r="K61" s="108">
        <f>SUM(C61:J61)</f>
        <v>11005</v>
      </c>
      <c r="L61" s="108">
        <f>AVERAGE(C61:J61)</f>
        <v>1375.625</v>
      </c>
    </row>
    <row r="62" spans="1:13" x14ac:dyDescent="0.2">
      <c r="A62" s="95" t="s">
        <v>116</v>
      </c>
      <c r="C62" s="94">
        <f t="shared" ref="C62:K62" si="5">IFERROR(C61/C60,0)</f>
        <v>0.33621337340345603</v>
      </c>
      <c r="D62" s="94">
        <f t="shared" si="5"/>
        <v>0.30739795918367346</v>
      </c>
      <c r="E62" s="94">
        <f t="shared" si="5"/>
        <v>0.27286099534199559</v>
      </c>
      <c r="F62" s="94">
        <f t="shared" si="5"/>
        <v>0.2781814407307453</v>
      </c>
      <c r="G62" s="94">
        <f t="shared" si="5"/>
        <v>0.31458469587965993</v>
      </c>
      <c r="H62" s="94">
        <f t="shared" si="5"/>
        <v>0.32535238463023752</v>
      </c>
      <c r="I62" s="94">
        <f t="shared" si="5"/>
        <v>0.31989548338932439</v>
      </c>
      <c r="J62" s="94">
        <f t="shared" si="5"/>
        <v>0.29085480829666877</v>
      </c>
      <c r="K62" s="94">
        <f t="shared" si="5"/>
        <v>0.30415676303134154</v>
      </c>
    </row>
    <row r="64" spans="1:13" x14ac:dyDescent="0.2">
      <c r="A64" s="95" t="s">
        <v>380</v>
      </c>
      <c r="C64" s="107">
        <v>1336</v>
      </c>
      <c r="D64" s="107">
        <v>1344</v>
      </c>
      <c r="E64" s="107">
        <v>1420</v>
      </c>
      <c r="F64" s="107">
        <v>1650</v>
      </c>
      <c r="G64" s="107">
        <v>1528</v>
      </c>
      <c r="H64" s="107">
        <v>1589</v>
      </c>
      <c r="I64" s="107">
        <v>1693</v>
      </c>
      <c r="J64" s="107">
        <v>1706</v>
      </c>
      <c r="K64" s="108">
        <f>SUM(C64:J64)</f>
        <v>12266</v>
      </c>
      <c r="L64" s="108">
        <f>AVERAGE(C64:J64)</f>
        <v>1533.25</v>
      </c>
    </row>
    <row r="65" spans="1:13" x14ac:dyDescent="0.2">
      <c r="A65" s="86" t="s">
        <v>381</v>
      </c>
      <c r="C65" s="108">
        <v>227</v>
      </c>
      <c r="D65" s="108">
        <v>208</v>
      </c>
      <c r="E65" s="108">
        <v>219</v>
      </c>
      <c r="F65" s="108">
        <v>282</v>
      </c>
      <c r="G65" s="108">
        <v>255</v>
      </c>
      <c r="H65" s="108">
        <v>289</v>
      </c>
      <c r="I65" s="108">
        <v>320</v>
      </c>
      <c r="J65" s="108">
        <v>315</v>
      </c>
      <c r="K65" s="108">
        <f>SUM(C65:J65)</f>
        <v>2115</v>
      </c>
      <c r="L65" s="108">
        <f>AVERAGE(C65:J65)</f>
        <v>264.375</v>
      </c>
    </row>
    <row r="66" spans="1:13" x14ac:dyDescent="0.2">
      <c r="A66" s="95" t="s">
        <v>116</v>
      </c>
      <c r="C66" s="94">
        <f t="shared" ref="C66:K66" si="6">IFERROR(C65/C64,0)</f>
        <v>0.16991017964071856</v>
      </c>
      <c r="D66" s="94">
        <f t="shared" si="6"/>
        <v>0.15476190476190477</v>
      </c>
      <c r="E66" s="94">
        <f t="shared" si="6"/>
        <v>0.15422535211267605</v>
      </c>
      <c r="F66" s="94">
        <f t="shared" si="6"/>
        <v>0.1709090909090909</v>
      </c>
      <c r="G66" s="94">
        <f t="shared" si="6"/>
        <v>0.16688481675392669</v>
      </c>
      <c r="H66" s="94">
        <f t="shared" si="6"/>
        <v>0.18187539332913782</v>
      </c>
      <c r="I66" s="94">
        <f t="shared" si="6"/>
        <v>0.18901358535144713</v>
      </c>
      <c r="J66" s="94">
        <f t="shared" si="6"/>
        <v>0.18464243845252051</v>
      </c>
      <c r="K66" s="94">
        <f t="shared" si="6"/>
        <v>0.17242784933963803</v>
      </c>
    </row>
    <row r="68" spans="1:13" x14ac:dyDescent="0.2">
      <c r="A68" s="95" t="s">
        <v>382</v>
      </c>
      <c r="C68" s="107">
        <v>3678</v>
      </c>
      <c r="D68" s="107">
        <v>3238</v>
      </c>
      <c r="E68" s="107">
        <v>3405</v>
      </c>
      <c r="F68" s="107">
        <v>3063</v>
      </c>
      <c r="G68" s="107">
        <v>3200</v>
      </c>
      <c r="H68" s="107">
        <v>3794</v>
      </c>
      <c r="I68" s="107">
        <v>4558</v>
      </c>
      <c r="J68" s="107">
        <v>4271</v>
      </c>
      <c r="K68" s="108">
        <f>SUM(C68:J68)</f>
        <v>29207</v>
      </c>
      <c r="L68" s="108">
        <f>AVERAGE(C68:J68)</f>
        <v>3650.875</v>
      </c>
    </row>
    <row r="69" spans="1:13" x14ac:dyDescent="0.2">
      <c r="A69" s="86" t="s">
        <v>383</v>
      </c>
      <c r="C69" s="108">
        <v>2198</v>
      </c>
      <c r="D69" s="108">
        <v>1619</v>
      </c>
      <c r="E69" s="108">
        <v>1672</v>
      </c>
      <c r="F69" s="108">
        <v>1577</v>
      </c>
      <c r="G69" s="108">
        <v>1532</v>
      </c>
      <c r="H69" s="108">
        <v>2010</v>
      </c>
      <c r="I69" s="108">
        <v>2174</v>
      </c>
      <c r="J69" s="108">
        <v>2155</v>
      </c>
      <c r="K69" s="108">
        <f>SUM(C69:J69)</f>
        <v>14937</v>
      </c>
      <c r="L69" s="108">
        <f>AVERAGE(C69:J69)</f>
        <v>1867.125</v>
      </c>
    </row>
    <row r="70" spans="1:13" x14ac:dyDescent="0.2">
      <c r="A70" s="95" t="s">
        <v>116</v>
      </c>
      <c r="C70" s="94">
        <f t="shared" ref="C70:K70" si="7">IFERROR(C69/C68,0)</f>
        <v>0.59760739532354545</v>
      </c>
      <c r="D70" s="94">
        <f t="shared" si="7"/>
        <v>0.5</v>
      </c>
      <c r="E70" s="94">
        <f t="shared" si="7"/>
        <v>0.49104258443465493</v>
      </c>
      <c r="F70" s="94">
        <f t="shared" si="7"/>
        <v>0.51485471759712698</v>
      </c>
      <c r="G70" s="94">
        <f t="shared" si="7"/>
        <v>0.47875000000000001</v>
      </c>
      <c r="H70" s="94">
        <f t="shared" si="7"/>
        <v>0.52978386926726406</v>
      </c>
      <c r="I70" s="94">
        <f t="shared" si="7"/>
        <v>0.47696358051777094</v>
      </c>
      <c r="J70" s="94">
        <f t="shared" si="7"/>
        <v>0.50456567548583475</v>
      </c>
      <c r="K70" s="94">
        <f t="shared" si="7"/>
        <v>0.51141849556613139</v>
      </c>
    </row>
    <row r="72" spans="1:13" x14ac:dyDescent="0.2">
      <c r="A72" s="88" t="s">
        <v>384</v>
      </c>
      <c r="B72" s="88"/>
      <c r="C72" s="88"/>
      <c r="D72" s="194"/>
      <c r="E72" s="88"/>
      <c r="F72" s="88"/>
      <c r="G72" s="88"/>
      <c r="H72" s="88"/>
      <c r="I72" s="88"/>
      <c r="J72" s="88"/>
      <c r="K72" s="88"/>
      <c r="L72" s="88"/>
      <c r="M72" s="193" t="s">
        <v>606</v>
      </c>
    </row>
    <row r="73" spans="1:13" ht="28" x14ac:dyDescent="0.2">
      <c r="A73" s="89" t="s">
        <v>117</v>
      </c>
      <c r="B73" s="89" t="s">
        <v>118</v>
      </c>
      <c r="C73" s="89" t="s">
        <v>119</v>
      </c>
    </row>
    <row r="74" spans="1:13" x14ac:dyDescent="0.2">
      <c r="A74" s="95" t="s">
        <v>120</v>
      </c>
      <c r="B74" s="105">
        <v>16500</v>
      </c>
      <c r="C74" s="105">
        <v>12</v>
      </c>
    </row>
    <row r="75" spans="1:13" x14ac:dyDescent="0.2">
      <c r="A75" s="95" t="s">
        <v>385</v>
      </c>
      <c r="B75" s="105">
        <v>40500</v>
      </c>
      <c r="C75" s="105">
        <v>3</v>
      </c>
    </row>
    <row r="76" spans="1:13" x14ac:dyDescent="0.2">
      <c r="A76" s="95" t="s">
        <v>121</v>
      </c>
      <c r="B76" s="105">
        <v>25</v>
      </c>
      <c r="C76" s="105">
        <v>12</v>
      </c>
    </row>
    <row r="77" spans="1:13" x14ac:dyDescent="0.2">
      <c r="A77" s="95" t="s">
        <v>386</v>
      </c>
      <c r="B77" s="105">
        <v>2725</v>
      </c>
      <c r="C77" s="105">
        <v>3</v>
      </c>
    </row>
    <row r="78" spans="1:13" x14ac:dyDescent="0.2">
      <c r="A78" s="95" t="s">
        <v>122</v>
      </c>
      <c r="B78" s="105">
        <v>400</v>
      </c>
      <c r="C78" s="105">
        <v>12</v>
      </c>
    </row>
    <row r="79" spans="1:13" x14ac:dyDescent="0.2">
      <c r="A79" s="95" t="s">
        <v>387</v>
      </c>
      <c r="B79" s="105">
        <v>831</v>
      </c>
      <c r="C79" s="105">
        <v>4</v>
      </c>
    </row>
    <row r="80" spans="1:13" x14ac:dyDescent="0.2">
      <c r="A80" s="95" t="s">
        <v>123</v>
      </c>
      <c r="B80" s="105">
        <v>2310</v>
      </c>
      <c r="C80" s="105">
        <v>12</v>
      </c>
    </row>
    <row r="81" spans="1:3" x14ac:dyDescent="0.2">
      <c r="A81" s="95" t="s">
        <v>124</v>
      </c>
      <c r="B81" s="105">
        <v>6121</v>
      </c>
      <c r="C81" s="105">
        <v>12</v>
      </c>
    </row>
    <row r="82" spans="1:3" x14ac:dyDescent="0.2">
      <c r="A82" s="95" t="s">
        <v>125</v>
      </c>
      <c r="B82" s="105">
        <v>3821</v>
      </c>
      <c r="C82" s="105">
        <v>12</v>
      </c>
    </row>
    <row r="83" spans="1:3" x14ac:dyDescent="0.2">
      <c r="A83" s="95" t="s">
        <v>126</v>
      </c>
      <c r="B83" s="105">
        <v>4408</v>
      </c>
      <c r="C83" s="105">
        <v>12</v>
      </c>
    </row>
    <row r="84" spans="1:3" x14ac:dyDescent="0.2">
      <c r="A84" s="95" t="s">
        <v>127</v>
      </c>
      <c r="B84" s="105">
        <v>0</v>
      </c>
      <c r="C84" s="105">
        <v>12</v>
      </c>
    </row>
    <row r="85" spans="1:3" x14ac:dyDescent="0.2">
      <c r="A85" s="95" t="s">
        <v>388</v>
      </c>
      <c r="B85" s="105">
        <v>1</v>
      </c>
      <c r="C85" s="105">
        <v>4</v>
      </c>
    </row>
    <row r="86" spans="1:3" x14ac:dyDescent="0.2">
      <c r="A86" s="95" t="s">
        <v>128</v>
      </c>
      <c r="B86" s="105">
        <v>79</v>
      </c>
      <c r="C86" s="105">
        <v>12</v>
      </c>
    </row>
    <row r="87" spans="1:3" x14ac:dyDescent="0.2">
      <c r="A87" s="86" t="s">
        <v>129</v>
      </c>
      <c r="B87" s="109">
        <f>SUM(B74:B86)</f>
        <v>77721</v>
      </c>
    </row>
    <row r="88" spans="1:3" x14ac:dyDescent="0.2">
      <c r="A88" s="95" t="s">
        <v>130</v>
      </c>
      <c r="B88" s="108">
        <f>B74+B76+B78+B80+B81+B82+B83+B84+B86</f>
        <v>33664</v>
      </c>
    </row>
    <row r="89" spans="1:3" x14ac:dyDescent="0.2">
      <c r="A89" s="95" t="s">
        <v>131</v>
      </c>
      <c r="B89" s="108">
        <f>B75+B77+B79+B85</f>
        <v>44057</v>
      </c>
    </row>
    <row r="90" spans="1:3" x14ac:dyDescent="0.2">
      <c r="A90" s="95" t="s">
        <v>132</v>
      </c>
      <c r="B90" s="109">
        <f>SUMPRODUCT(B74:B86,C74:C86)/12</f>
        <v>44747.583333333336</v>
      </c>
    </row>
    <row r="91" spans="1:3" x14ac:dyDescent="0.2">
      <c r="A91" s="95" t="s">
        <v>133</v>
      </c>
      <c r="B91" s="110">
        <v>34638</v>
      </c>
    </row>
    <row r="92" spans="1:3" x14ac:dyDescent="0.2">
      <c r="A92" s="95" t="s">
        <v>134</v>
      </c>
      <c r="B92" s="109">
        <f>B88-B91</f>
        <v>-974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H94"/>
  <sheetViews>
    <sheetView showGridLines="0" zoomScaleNormal="100" workbookViewId="0"/>
  </sheetViews>
  <sheetFormatPr baseColWidth="10" defaultColWidth="8.83203125" defaultRowHeight="15" x14ac:dyDescent="0.2"/>
  <cols>
    <col min="1" max="1" width="52" customWidth="1"/>
    <col min="2" max="2" width="22" customWidth="1"/>
    <col min="3" max="3" width="14" customWidth="1"/>
    <col min="4" max="5" width="15" customWidth="1"/>
    <col min="6" max="6" width="10" customWidth="1"/>
    <col min="7" max="7" width="18" customWidth="1"/>
  </cols>
  <sheetData>
    <row r="1" spans="1:7" x14ac:dyDescent="0.2">
      <c r="A1" s="86" t="s">
        <v>389</v>
      </c>
      <c r="B1" s="193" t="s">
        <v>636</v>
      </c>
    </row>
    <row r="3" spans="1:7" x14ac:dyDescent="0.2">
      <c r="A3" s="88" t="s">
        <v>390</v>
      </c>
      <c r="B3" s="194"/>
      <c r="C3" s="88"/>
      <c r="D3" s="88"/>
      <c r="E3" s="88"/>
      <c r="F3" s="88"/>
      <c r="G3" s="88"/>
    </row>
    <row r="4" spans="1:7" ht="28" x14ac:dyDescent="0.2">
      <c r="A4" s="89" t="s">
        <v>135</v>
      </c>
      <c r="B4" s="89" t="s">
        <v>136</v>
      </c>
      <c r="C4" s="89" t="s">
        <v>65</v>
      </c>
      <c r="D4" s="89" t="s">
        <v>137</v>
      </c>
      <c r="E4" s="89" t="s">
        <v>138</v>
      </c>
      <c r="F4" s="89" t="s">
        <v>3</v>
      </c>
      <c r="G4" s="89" t="s">
        <v>139</v>
      </c>
    </row>
    <row r="5" spans="1:7" x14ac:dyDescent="0.2">
      <c r="A5" s="95" t="s">
        <v>140</v>
      </c>
      <c r="B5" s="95" t="s">
        <v>141</v>
      </c>
      <c r="C5" s="106" t="s">
        <v>67</v>
      </c>
      <c r="D5" s="105">
        <v>80000</v>
      </c>
      <c r="E5" s="105">
        <v>90000</v>
      </c>
      <c r="F5" s="94">
        <f t="shared" ref="F5:F36" si="0">IFERROR(E5/D5-1,"")</f>
        <v>0.125</v>
      </c>
      <c r="G5" s="105">
        <v>3125000</v>
      </c>
    </row>
    <row r="6" spans="1:7" x14ac:dyDescent="0.2">
      <c r="A6" s="95" t="s">
        <v>142</v>
      </c>
      <c r="B6" s="95" t="s">
        <v>143</v>
      </c>
      <c r="C6" s="106" t="s">
        <v>66</v>
      </c>
      <c r="D6" s="105">
        <v>600</v>
      </c>
      <c r="E6" s="105">
        <v>600</v>
      </c>
      <c r="F6" s="94">
        <f t="shared" si="0"/>
        <v>0</v>
      </c>
      <c r="G6" s="105">
        <v>0</v>
      </c>
    </row>
    <row r="7" spans="1:7" x14ac:dyDescent="0.2">
      <c r="A7" s="95" t="s">
        <v>144</v>
      </c>
      <c r="B7" s="95" t="s">
        <v>143</v>
      </c>
      <c r="C7" s="106" t="s">
        <v>66</v>
      </c>
      <c r="D7" s="105">
        <v>600</v>
      </c>
      <c r="E7" s="105">
        <v>600</v>
      </c>
      <c r="F7" s="94">
        <f t="shared" si="0"/>
        <v>0</v>
      </c>
      <c r="G7" s="105">
        <v>0</v>
      </c>
    </row>
    <row r="8" spans="1:7" x14ac:dyDescent="0.2">
      <c r="A8" s="95" t="s">
        <v>145</v>
      </c>
      <c r="B8" s="95" t="s">
        <v>143</v>
      </c>
      <c r="C8" s="106" t="s">
        <v>66</v>
      </c>
      <c r="D8" s="105">
        <v>450</v>
      </c>
      <c r="E8" s="105">
        <v>450</v>
      </c>
      <c r="F8" s="94">
        <f t="shared" si="0"/>
        <v>0</v>
      </c>
      <c r="G8" s="105">
        <v>8100000</v>
      </c>
    </row>
    <row r="9" spans="1:7" x14ac:dyDescent="0.2">
      <c r="A9" s="95" t="s">
        <v>146</v>
      </c>
      <c r="B9" s="95" t="s">
        <v>143</v>
      </c>
      <c r="C9" s="106" t="s">
        <v>66</v>
      </c>
      <c r="D9" s="105">
        <v>350</v>
      </c>
      <c r="E9" s="105">
        <v>400</v>
      </c>
      <c r="F9" s="94">
        <f t="shared" si="0"/>
        <v>0.14285714285714279</v>
      </c>
      <c r="G9" s="105">
        <v>175000</v>
      </c>
    </row>
    <row r="10" spans="1:7" x14ac:dyDescent="0.2">
      <c r="A10" s="95" t="s">
        <v>147</v>
      </c>
      <c r="B10" s="95" t="s">
        <v>143</v>
      </c>
      <c r="C10" s="106" t="s">
        <v>66</v>
      </c>
      <c r="D10" s="105">
        <v>350</v>
      </c>
      <c r="E10" s="105">
        <v>400</v>
      </c>
      <c r="F10" s="94">
        <f t="shared" si="0"/>
        <v>0.14285714285714279</v>
      </c>
      <c r="G10" s="105">
        <v>1200000</v>
      </c>
    </row>
    <row r="11" spans="1:7" x14ac:dyDescent="0.2">
      <c r="A11" s="95" t="s">
        <v>100</v>
      </c>
      <c r="B11" s="95" t="s">
        <v>143</v>
      </c>
      <c r="C11" s="106" t="s">
        <v>66</v>
      </c>
      <c r="D11" s="105">
        <v>350</v>
      </c>
      <c r="E11" s="105">
        <v>400</v>
      </c>
      <c r="F11" s="94">
        <f t="shared" si="0"/>
        <v>0.14285714285714279</v>
      </c>
      <c r="G11" s="105">
        <v>1550000</v>
      </c>
    </row>
    <row r="12" spans="1:7" x14ac:dyDescent="0.2">
      <c r="A12" s="95" t="s">
        <v>148</v>
      </c>
      <c r="B12" s="95" t="s">
        <v>143</v>
      </c>
      <c r="C12" s="106" t="s">
        <v>66</v>
      </c>
      <c r="D12" s="105">
        <v>350</v>
      </c>
      <c r="E12" s="105">
        <v>400</v>
      </c>
      <c r="F12" s="94">
        <f t="shared" si="0"/>
        <v>0.14285714285714279</v>
      </c>
      <c r="G12" s="105">
        <v>12000000</v>
      </c>
    </row>
    <row r="13" spans="1:7" x14ac:dyDescent="0.2">
      <c r="A13" s="95" t="s">
        <v>149</v>
      </c>
      <c r="B13" s="95" t="s">
        <v>143</v>
      </c>
      <c r="C13" s="106" t="s">
        <v>66</v>
      </c>
      <c r="D13" s="105">
        <v>350</v>
      </c>
      <c r="E13" s="105">
        <v>400</v>
      </c>
      <c r="F13" s="94">
        <f t="shared" si="0"/>
        <v>0.14285714285714279</v>
      </c>
      <c r="G13" s="105">
        <v>0</v>
      </c>
    </row>
    <row r="14" spans="1:7" x14ac:dyDescent="0.2">
      <c r="A14" s="95" t="s">
        <v>150</v>
      </c>
      <c r="B14" s="95" t="s">
        <v>143</v>
      </c>
      <c r="C14" s="106" t="s">
        <v>66</v>
      </c>
      <c r="D14" s="105">
        <v>350</v>
      </c>
      <c r="E14" s="105">
        <v>400</v>
      </c>
      <c r="F14" s="94">
        <f t="shared" si="0"/>
        <v>0.14285714285714279</v>
      </c>
      <c r="G14" s="105">
        <v>0</v>
      </c>
    </row>
    <row r="15" spans="1:7" x14ac:dyDescent="0.2">
      <c r="A15" s="95" t="s">
        <v>151</v>
      </c>
      <c r="B15" s="95" t="s">
        <v>141</v>
      </c>
      <c r="C15" s="106" t="s">
        <v>67</v>
      </c>
      <c r="D15" s="105">
        <v>90000</v>
      </c>
      <c r="E15" s="105">
        <v>110000</v>
      </c>
      <c r="F15" s="94">
        <f t="shared" si="0"/>
        <v>0.22222222222222232</v>
      </c>
      <c r="G15" s="105">
        <v>3977777.7779999999</v>
      </c>
    </row>
    <row r="16" spans="1:7" x14ac:dyDescent="0.2">
      <c r="A16" s="95" t="s">
        <v>152</v>
      </c>
      <c r="B16" s="95" t="s">
        <v>143</v>
      </c>
      <c r="C16" s="106" t="s">
        <v>66</v>
      </c>
      <c r="D16" s="105">
        <v>350</v>
      </c>
      <c r="E16" s="105">
        <v>400</v>
      </c>
      <c r="F16" s="94">
        <f t="shared" si="0"/>
        <v>0.14285714285714279</v>
      </c>
      <c r="G16" s="105">
        <v>4550000</v>
      </c>
    </row>
    <row r="17" spans="1:7" x14ac:dyDescent="0.2">
      <c r="A17" s="95" t="s">
        <v>153</v>
      </c>
      <c r="B17" s="95" t="s">
        <v>143</v>
      </c>
      <c r="C17" s="106" t="s">
        <v>66</v>
      </c>
      <c r="D17" s="105">
        <v>350</v>
      </c>
      <c r="E17" s="105">
        <v>400</v>
      </c>
      <c r="F17" s="94">
        <f t="shared" si="0"/>
        <v>0.14285714285714279</v>
      </c>
      <c r="G17" s="105">
        <v>100000</v>
      </c>
    </row>
    <row r="18" spans="1:7" x14ac:dyDescent="0.2">
      <c r="A18" s="95" t="s">
        <v>154</v>
      </c>
      <c r="B18" s="95" t="s">
        <v>143</v>
      </c>
      <c r="C18" s="106" t="s">
        <v>66</v>
      </c>
      <c r="D18" s="105">
        <v>350</v>
      </c>
      <c r="E18" s="105">
        <v>400</v>
      </c>
      <c r="F18" s="94">
        <f t="shared" si="0"/>
        <v>0.14285714285714279</v>
      </c>
      <c r="G18" s="105">
        <v>0</v>
      </c>
    </row>
    <row r="19" spans="1:7" x14ac:dyDescent="0.2">
      <c r="A19" s="95" t="s">
        <v>110</v>
      </c>
      <c r="B19" s="95" t="s">
        <v>143</v>
      </c>
      <c r="C19" s="106" t="s">
        <v>66</v>
      </c>
      <c r="D19" s="105">
        <v>350</v>
      </c>
      <c r="E19" s="105">
        <v>400</v>
      </c>
      <c r="F19" s="94">
        <f t="shared" si="0"/>
        <v>0.14285714285714279</v>
      </c>
      <c r="G19" s="105">
        <v>50000</v>
      </c>
    </row>
    <row r="20" spans="1:7" x14ac:dyDescent="0.2">
      <c r="A20" s="95" t="s">
        <v>155</v>
      </c>
      <c r="B20" s="95" t="s">
        <v>156</v>
      </c>
      <c r="C20" s="106" t="s">
        <v>66</v>
      </c>
      <c r="D20" s="105">
        <v>350</v>
      </c>
      <c r="E20" s="105">
        <v>350</v>
      </c>
      <c r="F20" s="94">
        <f t="shared" si="0"/>
        <v>0</v>
      </c>
      <c r="G20" s="105">
        <v>0</v>
      </c>
    </row>
    <row r="21" spans="1:7" x14ac:dyDescent="0.2">
      <c r="A21" s="95" t="s">
        <v>157</v>
      </c>
      <c r="B21" s="95" t="s">
        <v>143</v>
      </c>
      <c r="C21" s="106" t="s">
        <v>66</v>
      </c>
      <c r="D21" s="105">
        <v>450</v>
      </c>
      <c r="E21" s="105">
        <v>600</v>
      </c>
      <c r="F21" s="94">
        <f t="shared" si="0"/>
        <v>0.33333333333333326</v>
      </c>
      <c r="G21" s="105">
        <v>0</v>
      </c>
    </row>
    <row r="22" spans="1:7" x14ac:dyDescent="0.2">
      <c r="A22" s="95" t="s">
        <v>158</v>
      </c>
      <c r="B22" s="95" t="s">
        <v>143</v>
      </c>
      <c r="C22" s="106" t="s">
        <v>67</v>
      </c>
      <c r="D22" s="105">
        <v>70000</v>
      </c>
      <c r="E22" s="105">
        <v>100000</v>
      </c>
      <c r="F22" s="94">
        <f t="shared" si="0"/>
        <v>0.4285714285714286</v>
      </c>
      <c r="G22" s="105">
        <v>7200000</v>
      </c>
    </row>
    <row r="23" spans="1:7" x14ac:dyDescent="0.2">
      <c r="A23" s="95" t="s">
        <v>159</v>
      </c>
      <c r="B23" s="95" t="s">
        <v>141</v>
      </c>
      <c r="C23" s="106" t="s">
        <v>67</v>
      </c>
      <c r="D23" s="105">
        <v>160000</v>
      </c>
      <c r="E23" s="105">
        <v>160000</v>
      </c>
      <c r="F23" s="94">
        <f t="shared" si="0"/>
        <v>0</v>
      </c>
      <c r="G23" s="105">
        <v>0</v>
      </c>
    </row>
    <row r="24" spans="1:7" x14ac:dyDescent="0.2">
      <c r="A24" s="95" t="s">
        <v>160</v>
      </c>
      <c r="B24" s="95" t="s">
        <v>141</v>
      </c>
      <c r="C24" s="106" t="s">
        <v>67</v>
      </c>
      <c r="D24" s="105">
        <v>50000</v>
      </c>
      <c r="E24" s="105">
        <v>50000</v>
      </c>
      <c r="F24" s="94">
        <f t="shared" si="0"/>
        <v>0</v>
      </c>
      <c r="G24" s="105">
        <v>0</v>
      </c>
    </row>
    <row r="25" spans="1:7" x14ac:dyDescent="0.2">
      <c r="A25" s="95" t="s">
        <v>391</v>
      </c>
      <c r="B25" s="95" t="s">
        <v>141</v>
      </c>
      <c r="C25" s="106" t="s">
        <v>67</v>
      </c>
      <c r="D25" s="105">
        <v>25000</v>
      </c>
      <c r="E25" s="105">
        <v>25000</v>
      </c>
      <c r="F25" s="94">
        <f t="shared" si="0"/>
        <v>0</v>
      </c>
      <c r="G25" s="105">
        <v>0</v>
      </c>
    </row>
    <row r="26" spans="1:7" x14ac:dyDescent="0.2">
      <c r="A26" s="95" t="s">
        <v>391</v>
      </c>
      <c r="B26" s="95" t="s">
        <v>141</v>
      </c>
      <c r="C26" s="106" t="s">
        <v>67</v>
      </c>
      <c r="D26" s="105">
        <v>10000</v>
      </c>
      <c r="E26" s="105">
        <v>10000</v>
      </c>
      <c r="F26" s="94">
        <f t="shared" si="0"/>
        <v>0</v>
      </c>
      <c r="G26" s="105">
        <v>0</v>
      </c>
    </row>
    <row r="27" spans="1:7" x14ac:dyDescent="0.2">
      <c r="A27" s="95" t="s">
        <v>161</v>
      </c>
      <c r="B27" s="95" t="s">
        <v>141</v>
      </c>
      <c r="C27" s="106" t="s">
        <v>67</v>
      </c>
      <c r="D27" s="105">
        <v>50000</v>
      </c>
      <c r="E27" s="105">
        <v>50000</v>
      </c>
      <c r="F27" s="94">
        <f t="shared" si="0"/>
        <v>0</v>
      </c>
      <c r="G27" s="105">
        <v>0</v>
      </c>
    </row>
    <row r="28" spans="1:7" x14ac:dyDescent="0.2">
      <c r="A28" s="95" t="s">
        <v>162</v>
      </c>
      <c r="B28" s="95" t="s">
        <v>141</v>
      </c>
      <c r="C28" s="106" t="s">
        <v>67</v>
      </c>
      <c r="D28" s="105">
        <v>7000</v>
      </c>
      <c r="E28" s="105">
        <v>10000</v>
      </c>
      <c r="F28" s="94">
        <f t="shared" si="0"/>
        <v>0.4285714285714286</v>
      </c>
      <c r="G28" s="105">
        <v>25714285.710000001</v>
      </c>
    </row>
    <row r="29" spans="1:7" x14ac:dyDescent="0.2">
      <c r="A29" s="95" t="s">
        <v>163</v>
      </c>
      <c r="B29" s="95" t="s">
        <v>141</v>
      </c>
      <c r="C29" s="106" t="s">
        <v>67</v>
      </c>
      <c r="D29" s="105">
        <v>40000</v>
      </c>
      <c r="E29" s="105">
        <v>40000</v>
      </c>
      <c r="F29" s="94">
        <f t="shared" si="0"/>
        <v>0</v>
      </c>
      <c r="G29" s="105">
        <v>0</v>
      </c>
    </row>
    <row r="30" spans="1:7" x14ac:dyDescent="0.2">
      <c r="A30" s="95" t="s">
        <v>164</v>
      </c>
      <c r="B30" s="95" t="s">
        <v>141</v>
      </c>
      <c r="C30" s="106" t="s">
        <v>67</v>
      </c>
      <c r="D30" s="105">
        <v>120000</v>
      </c>
      <c r="E30" s="105">
        <v>120000</v>
      </c>
      <c r="F30" s="94">
        <f t="shared" si="0"/>
        <v>0</v>
      </c>
      <c r="G30" s="105">
        <v>0</v>
      </c>
    </row>
    <row r="31" spans="1:7" x14ac:dyDescent="0.2">
      <c r="A31" s="95" t="s">
        <v>165</v>
      </c>
      <c r="B31" s="95" t="s">
        <v>141</v>
      </c>
      <c r="C31" s="106" t="s">
        <v>392</v>
      </c>
      <c r="D31" s="105">
        <v>200000</v>
      </c>
      <c r="E31" s="105">
        <v>200000</v>
      </c>
      <c r="F31" s="94">
        <f t="shared" si="0"/>
        <v>0</v>
      </c>
      <c r="G31" s="105">
        <v>0</v>
      </c>
    </row>
    <row r="32" spans="1:7" x14ac:dyDescent="0.2">
      <c r="A32" s="95" t="s">
        <v>166</v>
      </c>
      <c r="B32" s="95" t="s">
        <v>141</v>
      </c>
      <c r="C32" s="106" t="s">
        <v>67</v>
      </c>
      <c r="D32" s="105">
        <v>50000</v>
      </c>
      <c r="E32" s="105">
        <v>50000</v>
      </c>
      <c r="F32" s="94">
        <f t="shared" si="0"/>
        <v>0</v>
      </c>
      <c r="G32" s="105">
        <v>0</v>
      </c>
    </row>
    <row r="33" spans="1:7" x14ac:dyDescent="0.2">
      <c r="A33" s="95" t="s">
        <v>391</v>
      </c>
      <c r="B33" s="95" t="s">
        <v>141</v>
      </c>
      <c r="C33" s="106" t="s">
        <v>67</v>
      </c>
      <c r="D33" s="105">
        <v>25000</v>
      </c>
      <c r="E33" s="105">
        <v>25000</v>
      </c>
      <c r="F33" s="94">
        <f t="shared" si="0"/>
        <v>0</v>
      </c>
      <c r="G33" s="105">
        <v>0</v>
      </c>
    </row>
    <row r="34" spans="1:7" x14ac:dyDescent="0.2">
      <c r="A34" s="95" t="s">
        <v>391</v>
      </c>
      <c r="B34" s="95" t="s">
        <v>141</v>
      </c>
      <c r="C34" s="106" t="s">
        <v>67</v>
      </c>
      <c r="D34" s="105">
        <v>10000</v>
      </c>
      <c r="E34" s="105">
        <v>10000</v>
      </c>
      <c r="F34" s="94">
        <f t="shared" si="0"/>
        <v>0</v>
      </c>
      <c r="G34" s="105">
        <v>0</v>
      </c>
    </row>
    <row r="35" spans="1:7" x14ac:dyDescent="0.2">
      <c r="A35" s="95" t="s">
        <v>167</v>
      </c>
      <c r="B35" s="95" t="s">
        <v>143</v>
      </c>
      <c r="C35" s="106" t="s">
        <v>67</v>
      </c>
      <c r="D35" s="105">
        <v>50000</v>
      </c>
      <c r="E35" s="105">
        <v>50000</v>
      </c>
      <c r="F35" s="94">
        <f t="shared" si="0"/>
        <v>0</v>
      </c>
      <c r="G35" s="105">
        <v>0</v>
      </c>
    </row>
    <row r="36" spans="1:7" x14ac:dyDescent="0.2">
      <c r="A36" s="95" t="s">
        <v>168</v>
      </c>
      <c r="B36" s="95" t="s">
        <v>141</v>
      </c>
      <c r="C36" s="106" t="s">
        <v>67</v>
      </c>
      <c r="D36" s="105">
        <v>38000</v>
      </c>
      <c r="E36" s="105">
        <v>38000</v>
      </c>
      <c r="F36" s="94">
        <f t="shared" si="0"/>
        <v>0</v>
      </c>
      <c r="G36" s="105">
        <v>0</v>
      </c>
    </row>
    <row r="37" spans="1:7" x14ac:dyDescent="0.2">
      <c r="A37" s="95" t="s">
        <v>391</v>
      </c>
      <c r="B37" s="95" t="s">
        <v>141</v>
      </c>
      <c r="C37" s="106" t="s">
        <v>67</v>
      </c>
      <c r="D37" s="105">
        <v>24000</v>
      </c>
      <c r="E37" s="105">
        <v>24000</v>
      </c>
      <c r="F37" s="94">
        <f t="shared" ref="F37:F63" si="1">IFERROR(E37/D37-1,"")</f>
        <v>0</v>
      </c>
      <c r="G37" s="105">
        <v>0</v>
      </c>
    </row>
    <row r="38" spans="1:7" x14ac:dyDescent="0.2">
      <c r="A38" s="95" t="s">
        <v>391</v>
      </c>
      <c r="B38" s="95" t="s">
        <v>141</v>
      </c>
      <c r="C38" s="106" t="s">
        <v>67</v>
      </c>
      <c r="D38" s="105">
        <v>12000</v>
      </c>
      <c r="E38" s="105">
        <v>12000</v>
      </c>
      <c r="F38" s="94">
        <f t="shared" si="1"/>
        <v>0</v>
      </c>
      <c r="G38" s="105">
        <v>0</v>
      </c>
    </row>
    <row r="39" spans="1:7" x14ac:dyDescent="0.2">
      <c r="A39" s="95" t="s">
        <v>169</v>
      </c>
      <c r="B39" s="95" t="s">
        <v>143</v>
      </c>
      <c r="C39" s="106" t="s">
        <v>66</v>
      </c>
      <c r="D39" s="105">
        <v>600</v>
      </c>
      <c r="E39" s="105">
        <v>1000</v>
      </c>
      <c r="F39" s="94">
        <f t="shared" si="1"/>
        <v>0.66666666666666674</v>
      </c>
      <c r="G39" s="105">
        <v>54400000</v>
      </c>
    </row>
    <row r="40" spans="1:7" x14ac:dyDescent="0.2">
      <c r="A40" s="95" t="s">
        <v>170</v>
      </c>
      <c r="B40" s="95" t="s">
        <v>143</v>
      </c>
      <c r="C40" s="106" t="s">
        <v>66</v>
      </c>
      <c r="D40" s="105">
        <v>600</v>
      </c>
      <c r="E40" s="105">
        <v>1000</v>
      </c>
      <c r="F40" s="94">
        <f t="shared" si="1"/>
        <v>0.66666666666666674</v>
      </c>
      <c r="G40" s="105">
        <v>7200000</v>
      </c>
    </row>
    <row r="41" spans="1:7" x14ac:dyDescent="0.2">
      <c r="A41" s="95" t="s">
        <v>171</v>
      </c>
      <c r="B41" s="95" t="s">
        <v>141</v>
      </c>
      <c r="C41" s="106" t="s">
        <v>67</v>
      </c>
      <c r="D41" s="105">
        <v>64000</v>
      </c>
      <c r="E41" s="105">
        <v>64000</v>
      </c>
      <c r="F41" s="94">
        <f t="shared" si="1"/>
        <v>0</v>
      </c>
      <c r="G41" s="105">
        <v>0</v>
      </c>
    </row>
    <row r="42" spans="1:7" x14ac:dyDescent="0.2">
      <c r="A42" s="95" t="s">
        <v>391</v>
      </c>
      <c r="B42" s="95" t="s">
        <v>141</v>
      </c>
      <c r="C42" s="106" t="s">
        <v>67</v>
      </c>
      <c r="D42" s="105">
        <v>50000</v>
      </c>
      <c r="E42" s="105">
        <v>50000</v>
      </c>
      <c r="F42" s="94">
        <f t="shared" si="1"/>
        <v>0</v>
      </c>
      <c r="G42" s="105">
        <v>0</v>
      </c>
    </row>
    <row r="43" spans="1:7" x14ac:dyDescent="0.2">
      <c r="A43" s="95" t="s">
        <v>391</v>
      </c>
      <c r="B43" s="95" t="s">
        <v>141</v>
      </c>
      <c r="C43" s="106" t="s">
        <v>67</v>
      </c>
      <c r="D43" s="105">
        <v>39000</v>
      </c>
      <c r="E43" s="105">
        <v>39000</v>
      </c>
      <c r="F43" s="94">
        <f t="shared" si="1"/>
        <v>0</v>
      </c>
      <c r="G43" s="105">
        <v>0</v>
      </c>
    </row>
    <row r="44" spans="1:7" x14ac:dyDescent="0.2">
      <c r="A44" s="95" t="s">
        <v>391</v>
      </c>
      <c r="B44" s="95" t="s">
        <v>141</v>
      </c>
      <c r="C44" s="106" t="s">
        <v>67</v>
      </c>
      <c r="D44" s="105">
        <v>25000</v>
      </c>
      <c r="E44" s="105">
        <v>25000</v>
      </c>
      <c r="F44" s="94">
        <f t="shared" si="1"/>
        <v>0</v>
      </c>
      <c r="G44" s="105">
        <v>0</v>
      </c>
    </row>
    <row r="45" spans="1:7" x14ac:dyDescent="0.2">
      <c r="A45" s="95" t="s">
        <v>391</v>
      </c>
      <c r="B45" s="95" t="s">
        <v>141</v>
      </c>
      <c r="C45" s="106" t="s">
        <v>67</v>
      </c>
      <c r="D45" s="105">
        <v>18000</v>
      </c>
      <c r="E45" s="105">
        <v>18000</v>
      </c>
      <c r="F45" s="94">
        <f t="shared" si="1"/>
        <v>0</v>
      </c>
      <c r="G45" s="105">
        <v>0</v>
      </c>
    </row>
    <row r="46" spans="1:7" x14ac:dyDescent="0.2">
      <c r="A46" s="95" t="s">
        <v>172</v>
      </c>
      <c r="B46" s="95" t="s">
        <v>141</v>
      </c>
      <c r="C46" s="106" t="s">
        <v>67</v>
      </c>
      <c r="D46" s="105">
        <v>30000</v>
      </c>
      <c r="E46" s="105">
        <v>30000</v>
      </c>
      <c r="F46" s="94">
        <f t="shared" si="1"/>
        <v>0</v>
      </c>
      <c r="G46" s="105">
        <v>0</v>
      </c>
    </row>
    <row r="47" spans="1:7" x14ac:dyDescent="0.2">
      <c r="A47" s="95" t="s">
        <v>173</v>
      </c>
      <c r="B47" s="95" t="s">
        <v>141</v>
      </c>
      <c r="C47" s="106" t="s">
        <v>67</v>
      </c>
      <c r="D47" s="105">
        <v>90000</v>
      </c>
      <c r="E47" s="105">
        <v>90000</v>
      </c>
      <c r="F47" s="94">
        <f t="shared" si="1"/>
        <v>0</v>
      </c>
      <c r="G47" s="105">
        <v>0</v>
      </c>
    </row>
    <row r="48" spans="1:7" x14ac:dyDescent="0.2">
      <c r="A48" s="95" t="s">
        <v>391</v>
      </c>
      <c r="B48" s="95" t="s">
        <v>141</v>
      </c>
      <c r="C48" s="106" t="s">
        <v>67</v>
      </c>
      <c r="D48" s="105">
        <v>30000</v>
      </c>
      <c r="E48" s="105">
        <v>30000</v>
      </c>
      <c r="F48" s="94">
        <f t="shared" si="1"/>
        <v>0</v>
      </c>
      <c r="G48" s="105">
        <v>0</v>
      </c>
    </row>
    <row r="49" spans="1:7" x14ac:dyDescent="0.2">
      <c r="A49" s="95" t="s">
        <v>391</v>
      </c>
      <c r="B49" s="95" t="s">
        <v>141</v>
      </c>
      <c r="C49" s="106" t="s">
        <v>67</v>
      </c>
      <c r="D49" s="105">
        <v>20000</v>
      </c>
      <c r="E49" s="105">
        <v>20000</v>
      </c>
      <c r="F49" s="94">
        <f t="shared" si="1"/>
        <v>0</v>
      </c>
      <c r="G49" s="105">
        <v>0</v>
      </c>
    </row>
    <row r="50" spans="1:7" x14ac:dyDescent="0.2">
      <c r="A50" s="95" t="s">
        <v>174</v>
      </c>
      <c r="B50" s="95" t="s">
        <v>141</v>
      </c>
      <c r="C50" s="106" t="s">
        <v>67</v>
      </c>
      <c r="D50" s="105">
        <v>140000</v>
      </c>
      <c r="E50" s="105">
        <v>140000</v>
      </c>
      <c r="F50" s="94">
        <f t="shared" si="1"/>
        <v>0</v>
      </c>
      <c r="G50" s="105">
        <v>0</v>
      </c>
    </row>
    <row r="51" spans="1:7" x14ac:dyDescent="0.2">
      <c r="A51" s="95" t="s">
        <v>391</v>
      </c>
      <c r="B51" s="95" t="s">
        <v>141</v>
      </c>
      <c r="C51" s="106" t="s">
        <v>67</v>
      </c>
      <c r="D51" s="105">
        <v>40000</v>
      </c>
      <c r="E51" s="105">
        <v>40000</v>
      </c>
      <c r="F51" s="94">
        <f t="shared" si="1"/>
        <v>0</v>
      </c>
      <c r="G51" s="105">
        <v>0</v>
      </c>
    </row>
    <row r="52" spans="1:7" x14ac:dyDescent="0.2">
      <c r="A52" s="95" t="s">
        <v>391</v>
      </c>
      <c r="B52" s="95" t="s">
        <v>141</v>
      </c>
      <c r="C52" s="106" t="s">
        <v>67</v>
      </c>
      <c r="D52" s="105">
        <v>30000</v>
      </c>
      <c r="E52" s="105">
        <v>30000</v>
      </c>
      <c r="F52" s="94">
        <f t="shared" si="1"/>
        <v>0</v>
      </c>
      <c r="G52" s="105">
        <v>0</v>
      </c>
    </row>
    <row r="53" spans="1:7" x14ac:dyDescent="0.2">
      <c r="A53" s="95" t="s">
        <v>175</v>
      </c>
      <c r="B53" s="95" t="s">
        <v>141</v>
      </c>
      <c r="C53" s="106" t="s">
        <v>67</v>
      </c>
      <c r="D53" s="105">
        <v>30000</v>
      </c>
      <c r="E53" s="105">
        <v>30000</v>
      </c>
      <c r="F53" s="94">
        <f t="shared" si="1"/>
        <v>0</v>
      </c>
      <c r="G53" s="105">
        <v>0</v>
      </c>
    </row>
    <row r="54" spans="1:7" x14ac:dyDescent="0.2">
      <c r="A54" s="95" t="s">
        <v>391</v>
      </c>
      <c r="B54" s="95" t="s">
        <v>141</v>
      </c>
      <c r="C54" s="106" t="s">
        <v>67</v>
      </c>
      <c r="D54" s="105">
        <v>20000</v>
      </c>
      <c r="E54" s="105">
        <v>20000</v>
      </c>
      <c r="F54" s="94">
        <f t="shared" si="1"/>
        <v>0</v>
      </c>
      <c r="G54" s="105">
        <v>0</v>
      </c>
    </row>
    <row r="55" spans="1:7" x14ac:dyDescent="0.2">
      <c r="A55" s="95" t="s">
        <v>176</v>
      </c>
      <c r="B55" s="95" t="s">
        <v>141</v>
      </c>
      <c r="C55" s="106" t="s">
        <v>67</v>
      </c>
      <c r="D55" s="105">
        <v>50000</v>
      </c>
      <c r="E55" s="105">
        <v>50000</v>
      </c>
      <c r="F55" s="94">
        <f t="shared" si="1"/>
        <v>0</v>
      </c>
      <c r="G55" s="105">
        <v>0</v>
      </c>
    </row>
    <row r="56" spans="1:7" x14ac:dyDescent="0.2">
      <c r="A56" s="95" t="s">
        <v>391</v>
      </c>
      <c r="B56" s="95" t="s">
        <v>141</v>
      </c>
      <c r="C56" s="106" t="s">
        <v>67</v>
      </c>
      <c r="D56" s="105">
        <v>30000</v>
      </c>
      <c r="E56" s="105">
        <v>30000</v>
      </c>
      <c r="F56" s="94">
        <f t="shared" si="1"/>
        <v>0</v>
      </c>
      <c r="G56" s="105">
        <v>0</v>
      </c>
    </row>
    <row r="57" spans="1:7" x14ac:dyDescent="0.2">
      <c r="A57" s="95" t="s">
        <v>177</v>
      </c>
      <c r="B57" s="95" t="s">
        <v>141</v>
      </c>
      <c r="C57" s="106" t="s">
        <v>67</v>
      </c>
      <c r="D57" s="105">
        <v>60000</v>
      </c>
      <c r="E57" s="105">
        <v>60000</v>
      </c>
      <c r="F57" s="94">
        <f t="shared" si="1"/>
        <v>0</v>
      </c>
      <c r="G57" s="105">
        <v>0</v>
      </c>
    </row>
    <row r="58" spans="1:7" x14ac:dyDescent="0.2">
      <c r="A58" s="95" t="s">
        <v>391</v>
      </c>
      <c r="B58" s="95" t="s">
        <v>141</v>
      </c>
      <c r="C58" s="106" t="s">
        <v>67</v>
      </c>
      <c r="D58" s="105">
        <v>25000</v>
      </c>
      <c r="E58" s="105">
        <v>25000</v>
      </c>
      <c r="F58" s="94">
        <f t="shared" si="1"/>
        <v>0</v>
      </c>
      <c r="G58" s="105">
        <v>0</v>
      </c>
    </row>
    <row r="59" spans="1:7" x14ac:dyDescent="0.2">
      <c r="A59" s="95" t="s">
        <v>178</v>
      </c>
      <c r="B59" s="95" t="s">
        <v>179</v>
      </c>
      <c r="C59" s="106" t="s">
        <v>67</v>
      </c>
      <c r="D59" s="105">
        <v>45600</v>
      </c>
      <c r="E59" s="105">
        <v>45600</v>
      </c>
      <c r="F59" s="94">
        <f t="shared" si="1"/>
        <v>0</v>
      </c>
      <c r="G59" s="105">
        <v>0</v>
      </c>
    </row>
    <row r="60" spans="1:7" x14ac:dyDescent="0.2">
      <c r="A60" s="95" t="s">
        <v>180</v>
      </c>
      <c r="B60" s="95" t="s">
        <v>181</v>
      </c>
      <c r="C60" s="106" t="s">
        <v>392</v>
      </c>
      <c r="D60" s="105">
        <v>30000</v>
      </c>
      <c r="E60" s="105">
        <v>30000</v>
      </c>
      <c r="F60" s="94">
        <f t="shared" si="1"/>
        <v>0</v>
      </c>
      <c r="G60" s="105">
        <v>0</v>
      </c>
    </row>
    <row r="61" spans="1:7" x14ac:dyDescent="0.2">
      <c r="A61" s="95" t="s">
        <v>182</v>
      </c>
      <c r="B61" s="95" t="s">
        <v>181</v>
      </c>
      <c r="C61" s="106" t="s">
        <v>392</v>
      </c>
      <c r="D61" s="105">
        <v>3000</v>
      </c>
      <c r="E61" s="105">
        <v>3000</v>
      </c>
      <c r="F61" s="94">
        <f t="shared" si="1"/>
        <v>0</v>
      </c>
      <c r="G61" s="105">
        <v>0</v>
      </c>
    </row>
    <row r="62" spans="1:7" x14ac:dyDescent="0.2">
      <c r="A62" s="95" t="s">
        <v>391</v>
      </c>
      <c r="B62" s="95" t="s">
        <v>181</v>
      </c>
      <c r="C62" s="106" t="s">
        <v>392</v>
      </c>
      <c r="D62" s="105">
        <v>6000</v>
      </c>
      <c r="E62" s="105">
        <v>6000</v>
      </c>
      <c r="F62" s="94">
        <f t="shared" si="1"/>
        <v>0</v>
      </c>
      <c r="G62" s="105">
        <v>0</v>
      </c>
    </row>
    <row r="63" spans="1:7" x14ac:dyDescent="0.2">
      <c r="A63" s="95" t="s">
        <v>183</v>
      </c>
      <c r="B63" s="95" t="s">
        <v>181</v>
      </c>
      <c r="C63" s="106" t="s">
        <v>66</v>
      </c>
      <c r="D63" s="105">
        <v>100</v>
      </c>
      <c r="E63" s="105">
        <v>100</v>
      </c>
      <c r="F63" s="94">
        <f t="shared" si="1"/>
        <v>0</v>
      </c>
      <c r="G63" s="105">
        <v>0</v>
      </c>
    </row>
    <row r="64" spans="1:7" x14ac:dyDescent="0.2">
      <c r="A64" s="86" t="s">
        <v>184</v>
      </c>
      <c r="G64" s="109">
        <f>SUM(G5:G63)</f>
        <v>129342063.48800001</v>
      </c>
    </row>
    <row r="66" spans="1:8" x14ac:dyDescent="0.2">
      <c r="A66" s="97" t="s">
        <v>185</v>
      </c>
      <c r="C66" s="97"/>
      <c r="D66" s="97"/>
      <c r="E66" s="97"/>
      <c r="F66" s="97"/>
      <c r="G66" s="97"/>
      <c r="H66" s="195" t="s">
        <v>607</v>
      </c>
    </row>
    <row r="67" spans="1:8" x14ac:dyDescent="0.2">
      <c r="A67" s="87"/>
    </row>
    <row r="68" spans="1:8" x14ac:dyDescent="0.2">
      <c r="A68" s="86" t="s">
        <v>186</v>
      </c>
      <c r="G68" s="109">
        <f>SUMIFS($G$5:$G$63,$B$5:$B$63,"Медийный инвентарь",$C$5:$C$63,"CPM")</f>
        <v>89325000</v>
      </c>
    </row>
    <row r="69" spans="1:8" x14ac:dyDescent="0.2">
      <c r="A69" s="86" t="s">
        <v>187</v>
      </c>
      <c r="G69" s="109">
        <f>SUMIFS($G$5:$G$63,$B$5:$B$63,"Медийный инвентарь",$C$5:$C$63,"CPD")</f>
        <v>7200000</v>
      </c>
    </row>
    <row r="70" spans="1:8" x14ac:dyDescent="0.2">
      <c r="A70" s="86" t="s">
        <v>188</v>
      </c>
      <c r="G70" s="109">
        <f>SUMIFS($G$5:$G$63,$B$5:$B$63,"Перфоманс",$C$5:$C$63,"CPD")</f>
        <v>32817063.488000002</v>
      </c>
    </row>
    <row r="71" spans="1:8" x14ac:dyDescent="0.2">
      <c r="A71" s="86" t="s">
        <v>189</v>
      </c>
      <c r="G71" s="109">
        <f>G64-SUMIFS($G$5:$G$63,$B$5:$B$63,"Медийный инвентарь",$C$5:$C$63,"CPM")-SUMIFS($G$5:$G$63,$B$5:$B$63,"Медийный инвентарь",$C$5:$C$63,"CPD")-SUMIFS($G$5:$G$63,$B$5:$B$63,"Перфоманс",$C$5:$C$63,"CPD")</f>
        <v>0</v>
      </c>
    </row>
    <row r="72" spans="1:8" x14ac:dyDescent="0.2">
      <c r="A72" s="86" t="s">
        <v>114</v>
      </c>
      <c r="G72" s="109">
        <f>SUM(G68:G71)</f>
        <v>129342063.48800001</v>
      </c>
    </row>
    <row r="74" spans="1:8" x14ac:dyDescent="0.2">
      <c r="A74" s="88" t="s">
        <v>393</v>
      </c>
      <c r="B74" s="88"/>
      <c r="D74" s="88"/>
      <c r="E74" s="194" t="s">
        <v>608</v>
      </c>
      <c r="F74" s="88"/>
      <c r="G74" s="88"/>
    </row>
    <row r="75" spans="1:8" x14ac:dyDescent="0.2">
      <c r="A75" s="89" t="s">
        <v>117</v>
      </c>
      <c r="B75" s="89" t="s">
        <v>2</v>
      </c>
      <c r="C75" s="89" t="s">
        <v>1</v>
      </c>
      <c r="D75" s="89" t="s">
        <v>190</v>
      </c>
    </row>
    <row r="76" spans="1:8" x14ac:dyDescent="0.2">
      <c r="A76" s="95" t="s">
        <v>120</v>
      </c>
      <c r="B76" s="105">
        <v>4809</v>
      </c>
      <c r="C76" s="105">
        <v>2885.4</v>
      </c>
      <c r="D76" s="94">
        <f t="shared" ref="D76:D88" si="2">IFERROR(C76/B76-1,"")</f>
        <v>-0.4</v>
      </c>
    </row>
    <row r="77" spans="1:8" x14ac:dyDescent="0.2">
      <c r="A77" s="95" t="s">
        <v>385</v>
      </c>
      <c r="B77" s="105">
        <v>4809</v>
      </c>
      <c r="C77" s="105">
        <v>2885.4</v>
      </c>
      <c r="D77" s="94">
        <f t="shared" si="2"/>
        <v>-0.4</v>
      </c>
    </row>
    <row r="78" spans="1:8" x14ac:dyDescent="0.2">
      <c r="A78" s="95" t="s">
        <v>121</v>
      </c>
      <c r="B78" s="105">
        <v>28800</v>
      </c>
      <c r="C78" s="105">
        <v>30240</v>
      </c>
      <c r="D78" s="94">
        <f t="shared" si="2"/>
        <v>5.0000000000000044E-2</v>
      </c>
    </row>
    <row r="79" spans="1:8" x14ac:dyDescent="0.2">
      <c r="A79" s="95" t="s">
        <v>386</v>
      </c>
      <c r="B79" s="105">
        <v>28800</v>
      </c>
      <c r="C79" s="105">
        <v>30240</v>
      </c>
      <c r="D79" s="94">
        <f t="shared" si="2"/>
        <v>5.0000000000000044E-2</v>
      </c>
    </row>
    <row r="80" spans="1:8" x14ac:dyDescent="0.2">
      <c r="A80" s="95" t="s">
        <v>122</v>
      </c>
      <c r="B80" s="105">
        <v>30214</v>
      </c>
      <c r="C80" s="105">
        <v>24171.200000000001</v>
      </c>
      <c r="D80" s="94">
        <f t="shared" si="2"/>
        <v>-0.19999999999999996</v>
      </c>
    </row>
    <row r="81" spans="1:7" x14ac:dyDescent="0.2">
      <c r="A81" s="95" t="s">
        <v>387</v>
      </c>
      <c r="B81" s="105">
        <v>30214</v>
      </c>
      <c r="C81" s="105">
        <v>24171.200000000001</v>
      </c>
      <c r="D81" s="94">
        <f t="shared" si="2"/>
        <v>-0.19999999999999996</v>
      </c>
    </row>
    <row r="82" spans="1:7" x14ac:dyDescent="0.2">
      <c r="A82" s="95" t="s">
        <v>123</v>
      </c>
      <c r="B82" s="105">
        <v>14350</v>
      </c>
      <c r="C82" s="105">
        <v>11480</v>
      </c>
      <c r="D82" s="94">
        <f t="shared" si="2"/>
        <v>-0.19999999999999996</v>
      </c>
    </row>
    <row r="83" spans="1:7" x14ac:dyDescent="0.2">
      <c r="A83" s="95" t="s">
        <v>124</v>
      </c>
      <c r="B83" s="105">
        <v>1784</v>
      </c>
      <c r="C83" s="105">
        <v>1784</v>
      </c>
      <c r="D83" s="94">
        <f t="shared" si="2"/>
        <v>0</v>
      </c>
    </row>
    <row r="84" spans="1:7" x14ac:dyDescent="0.2">
      <c r="A84" s="95" t="s">
        <v>125</v>
      </c>
      <c r="B84" s="105">
        <v>506</v>
      </c>
      <c r="C84" s="105">
        <v>2024</v>
      </c>
      <c r="D84" s="94">
        <f t="shared" si="2"/>
        <v>3</v>
      </c>
    </row>
    <row r="85" spans="1:7" x14ac:dyDescent="0.2">
      <c r="A85" s="95" t="s">
        <v>126</v>
      </c>
      <c r="B85" s="105">
        <v>1112</v>
      </c>
      <c r="C85" s="105">
        <v>1112</v>
      </c>
      <c r="D85" s="94">
        <f t="shared" si="2"/>
        <v>0</v>
      </c>
    </row>
    <row r="86" spans="1:7" x14ac:dyDescent="0.2">
      <c r="A86" s="95" t="s">
        <v>127</v>
      </c>
      <c r="B86" s="105">
        <v>200000</v>
      </c>
      <c r="C86" s="105">
        <v>240000</v>
      </c>
      <c r="D86" s="94">
        <f t="shared" si="2"/>
        <v>0.19999999999999996</v>
      </c>
    </row>
    <row r="87" spans="1:7" x14ac:dyDescent="0.2">
      <c r="A87" s="95" t="s">
        <v>388</v>
      </c>
      <c r="B87" s="105">
        <v>200000</v>
      </c>
      <c r="C87" s="105">
        <v>240000</v>
      </c>
      <c r="D87" s="94">
        <f t="shared" si="2"/>
        <v>0.19999999999999996</v>
      </c>
    </row>
    <row r="88" spans="1:7" x14ac:dyDescent="0.2">
      <c r="A88" s="95" t="s">
        <v>128</v>
      </c>
      <c r="B88" s="105">
        <v>7136</v>
      </c>
      <c r="C88" s="105">
        <v>7136</v>
      </c>
      <c r="D88" s="94">
        <f t="shared" si="2"/>
        <v>0</v>
      </c>
    </row>
    <row r="90" spans="1:7" x14ac:dyDescent="0.2">
      <c r="A90" s="88" t="s">
        <v>394</v>
      </c>
      <c r="C90" s="194" t="s">
        <v>609</v>
      </c>
      <c r="D90" s="88"/>
      <c r="E90" s="88"/>
      <c r="F90" s="88"/>
      <c r="G90" s="88"/>
    </row>
    <row r="91" spans="1:7" x14ac:dyDescent="0.2">
      <c r="A91" s="95" t="s">
        <v>191</v>
      </c>
      <c r="B91" s="111">
        <v>0.75</v>
      </c>
    </row>
    <row r="92" spans="1:7" x14ac:dyDescent="0.2">
      <c r="A92" s="95" t="s">
        <v>437</v>
      </c>
      <c r="B92" s="112"/>
    </row>
    <row r="93" spans="1:7" x14ac:dyDescent="0.2">
      <c r="A93" s="86" t="s">
        <v>192</v>
      </c>
      <c r="B93" s="113">
        <f>B91*(1+B92)</f>
        <v>0.75</v>
      </c>
    </row>
    <row r="94" spans="1:7" x14ac:dyDescent="0.2">
      <c r="A94" s="95" t="s">
        <v>193</v>
      </c>
      <c r="B94" s="105">
        <f>60000/0.94</f>
        <v>63829.78723404256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6F3C"/>
  </sheetPr>
  <dimension ref="A1:R55"/>
  <sheetViews>
    <sheetView showGridLines="0" zoomScaleNormal="100" workbookViewId="0"/>
  </sheetViews>
  <sheetFormatPr baseColWidth="10" defaultColWidth="8.6640625" defaultRowHeight="15" x14ac:dyDescent="0.2"/>
  <cols>
    <col min="1" max="1" width="40" customWidth="1"/>
    <col min="2" max="2" width="15.33203125" bestFit="1" customWidth="1"/>
    <col min="3" max="3" width="19.1640625" customWidth="1"/>
    <col min="4" max="4" width="13.5" bestFit="1" customWidth="1"/>
    <col min="5" max="5" width="8" bestFit="1" customWidth="1"/>
    <col min="6" max="6" width="13.83203125" bestFit="1" customWidth="1"/>
    <col min="7" max="7" width="7.1640625" bestFit="1" customWidth="1"/>
    <col min="8" max="9" width="15.33203125" bestFit="1" customWidth="1"/>
    <col min="10" max="11" width="9.5" bestFit="1" customWidth="1"/>
    <col min="12" max="12" width="8" bestFit="1" customWidth="1"/>
    <col min="13" max="14" width="10" customWidth="1"/>
    <col min="15" max="16" width="13" customWidth="1"/>
    <col min="17" max="17" width="59.33203125" bestFit="1" customWidth="1"/>
  </cols>
  <sheetData>
    <row r="1" spans="1:14" x14ac:dyDescent="0.2">
      <c r="A1" s="46" t="s">
        <v>395</v>
      </c>
    </row>
    <row r="2" spans="1:14" x14ac:dyDescent="0.2">
      <c r="A2" s="1" t="s">
        <v>432</v>
      </c>
    </row>
    <row r="4" spans="1:14" x14ac:dyDescent="0.2">
      <c r="A4" s="46" t="s">
        <v>194</v>
      </c>
      <c r="B4" s="13">
        <v>1</v>
      </c>
      <c r="C4" s="31" t="s">
        <v>637</v>
      </c>
    </row>
    <row r="5" spans="1:14" x14ac:dyDescent="0.2">
      <c r="A5" s="37" t="s">
        <v>196</v>
      </c>
      <c r="B5" s="72" t="s">
        <v>14</v>
      </c>
      <c r="C5" s="72" t="s">
        <v>15</v>
      </c>
      <c r="D5" s="72" t="s">
        <v>16</v>
      </c>
      <c r="E5" s="72" t="s">
        <v>17</v>
      </c>
      <c r="F5" s="72" t="s">
        <v>18</v>
      </c>
      <c r="G5" s="72" t="s">
        <v>19</v>
      </c>
      <c r="H5" s="72" t="s">
        <v>20</v>
      </c>
      <c r="I5" s="72" t="s">
        <v>21</v>
      </c>
      <c r="J5" s="72" t="s">
        <v>22</v>
      </c>
      <c r="K5" s="72" t="s">
        <v>23</v>
      </c>
      <c r="L5" s="72" t="s">
        <v>24</v>
      </c>
      <c r="M5" s="72" t="s">
        <v>25</v>
      </c>
      <c r="N5" s="73" t="s">
        <v>197</v>
      </c>
    </row>
    <row r="6" spans="1:14" ht="15" customHeight="1" thickBot="1" x14ac:dyDescent="0.25">
      <c r="A6" s="75" t="s">
        <v>198</v>
      </c>
      <c r="B6" s="74">
        <v>1</v>
      </c>
      <c r="C6" s="74">
        <v>1.1000000000000001</v>
      </c>
      <c r="D6" s="74">
        <v>1.2</v>
      </c>
      <c r="E6" s="74">
        <v>1.1000000000000001</v>
      </c>
      <c r="F6" s="74">
        <v>1.2</v>
      </c>
      <c r="G6" s="74">
        <v>1</v>
      </c>
      <c r="H6" s="74">
        <v>1</v>
      </c>
      <c r="I6" s="74">
        <v>1.1000000000000001</v>
      </c>
      <c r="J6" s="74">
        <v>1.1000000000000001</v>
      </c>
      <c r="K6" s="74">
        <v>1.2</v>
      </c>
      <c r="L6" s="74">
        <v>1.4</v>
      </c>
      <c r="M6" s="74">
        <v>1.7</v>
      </c>
      <c r="N6" s="74">
        <f>SUM(B6:M6)</f>
        <v>14.1</v>
      </c>
    </row>
    <row r="7" spans="1:14" ht="15" customHeight="1" thickTop="1" x14ac:dyDescent="0.2"/>
    <row r="8" spans="1:14" x14ac:dyDescent="0.2">
      <c r="A8" s="45" t="s">
        <v>199</v>
      </c>
      <c r="B8" s="196"/>
      <c r="C8" s="192" t="s">
        <v>610</v>
      </c>
    </row>
    <row r="9" spans="1:14" x14ac:dyDescent="0.2">
      <c r="A9" s="2" t="s">
        <v>0</v>
      </c>
      <c r="B9" s="2" t="s">
        <v>11</v>
      </c>
    </row>
    <row r="10" spans="1:14" x14ac:dyDescent="0.2">
      <c r="A10" s="3" t="s">
        <v>200</v>
      </c>
      <c r="B10" s="14">
        <f>Вводные!O3</f>
        <v>297.01490603142457</v>
      </c>
    </row>
    <row r="11" spans="1:14" x14ac:dyDescent="0.2">
      <c r="A11" s="3" t="s">
        <v>201</v>
      </c>
      <c r="B11" s="14">
        <f>SUM(Вводные!C3:J3)</f>
        <v>188.86431600000003</v>
      </c>
    </row>
    <row r="12" spans="1:14" x14ac:dyDescent="0.2">
      <c r="A12" s="3" t="s">
        <v>202</v>
      </c>
      <c r="B12" s="14">
        <f>Вводные!O4</f>
        <v>351.21149562260831</v>
      </c>
    </row>
    <row r="13" spans="1:14" x14ac:dyDescent="0.2">
      <c r="A13" s="46" t="s">
        <v>203</v>
      </c>
      <c r="B13" s="15">
        <f>B10/B11</f>
        <v>1.5726364425105297</v>
      </c>
    </row>
    <row r="14" spans="1:14" x14ac:dyDescent="0.2">
      <c r="A14" s="46" t="s">
        <v>204</v>
      </c>
      <c r="B14" s="16">
        <f>B12/B10-1</f>
        <v>0.18247094166193012</v>
      </c>
    </row>
    <row r="15" spans="1:14" x14ac:dyDescent="0.2">
      <c r="A15" s="44" t="s">
        <v>205</v>
      </c>
      <c r="B15" s="14">
        <v>1</v>
      </c>
      <c r="C15" s="43"/>
    </row>
    <row r="17" spans="1:17" x14ac:dyDescent="0.2">
      <c r="A17" s="45" t="s">
        <v>396</v>
      </c>
      <c r="B17" s="32"/>
      <c r="C17" s="196"/>
      <c r="D17" s="32"/>
      <c r="E17" s="32"/>
      <c r="F17" s="32"/>
      <c r="G17" s="32"/>
      <c r="H17" s="32"/>
      <c r="I17" s="32"/>
      <c r="J17" s="32"/>
      <c r="K17" s="32"/>
      <c r="L17" s="192" t="s">
        <v>611</v>
      </c>
    </row>
    <row r="18" spans="1:17" ht="31.5" customHeight="1" x14ac:dyDescent="0.2">
      <c r="A18" s="2" t="s">
        <v>88</v>
      </c>
      <c r="B18" s="2" t="s">
        <v>206</v>
      </c>
      <c r="C18" s="2" t="s">
        <v>207</v>
      </c>
      <c r="D18" s="2" t="s">
        <v>208</v>
      </c>
      <c r="E18" s="2" t="s">
        <v>209</v>
      </c>
      <c r="F18" s="30" t="s">
        <v>210</v>
      </c>
      <c r="G18" s="2" t="s">
        <v>211</v>
      </c>
      <c r="H18" s="2" t="s">
        <v>212</v>
      </c>
      <c r="I18" s="2" t="s">
        <v>213</v>
      </c>
      <c r="J18" s="2" t="s">
        <v>214</v>
      </c>
      <c r="K18" s="2" t="s">
        <v>215</v>
      </c>
    </row>
    <row r="19" spans="1:17" x14ac:dyDescent="0.2">
      <c r="A19" s="3" t="s">
        <v>91</v>
      </c>
      <c r="B19" s="114">
        <f>DATA!K33</f>
        <v>4311883974</v>
      </c>
      <c r="C19" s="114">
        <f>DATA!K6</f>
        <v>1345820590</v>
      </c>
      <c r="D19" s="18">
        <f t="shared" ref="D19:D39" si="0">IFERROR(C19/B19,0)</f>
        <v>0.31211892484006809</v>
      </c>
      <c r="E19" s="19">
        <f t="shared" ref="E19:E38" si="1">D19</f>
        <v>0.31211892484006809</v>
      </c>
      <c r="F19" s="114">
        <f>ПРАЙС!D7</f>
        <v>600</v>
      </c>
      <c r="G19" s="114">
        <f>ПРАЙС!E7</f>
        <v>600</v>
      </c>
      <c r="H19" s="20">
        <f>C19*'APP Медиа'!$B$13</f>
        <v>2116486504.9150221</v>
      </c>
      <c r="I19" s="20">
        <f>B19*'APP Медиа'!$B$13*(1+'APP Медиа'!$B$14)*'APP Медиа'!$B$15*E19</f>
        <v>2502683790.4816337</v>
      </c>
      <c r="J19" s="33">
        <f t="shared" ref="J19:J38" si="2">(C19*F19+(H19-C19)*G19)/1000000000</f>
        <v>1269.8919029490132</v>
      </c>
      <c r="K19" s="33">
        <f t="shared" ref="K19:K38" si="3">I19*G19/1000000000</f>
        <v>1501.6102742889802</v>
      </c>
    </row>
    <row r="20" spans="1:17" x14ac:dyDescent="0.2">
      <c r="A20" s="3" t="s">
        <v>92</v>
      </c>
      <c r="B20" s="114">
        <f>DATA!K34</f>
        <v>1065643697</v>
      </c>
      <c r="C20" s="114">
        <f>DATA!K7</f>
        <v>600716283</v>
      </c>
      <c r="D20" s="18">
        <f t="shared" si="0"/>
        <v>0.56371213445088297</v>
      </c>
      <c r="E20" s="19">
        <f t="shared" si="1"/>
        <v>0.56371213445088297</v>
      </c>
      <c r="F20" s="114">
        <f>ПРАЙС!D12</f>
        <v>350</v>
      </c>
      <c r="G20" s="114">
        <f>ПРАЙС!E12</f>
        <v>400</v>
      </c>
      <c r="H20" s="20">
        <f>C20*'APP Медиа'!$B$13</f>
        <v>944708318.25526857</v>
      </c>
      <c r="I20" s="20">
        <f>B20*'APP Медиа'!$B$13*(1+'APP Медиа'!$B$14)*'APP Медиа'!$B$15*E20</f>
        <v>1117090134.6831658</v>
      </c>
      <c r="J20" s="33">
        <f t="shared" si="2"/>
        <v>347.84751315210741</v>
      </c>
      <c r="K20" s="33">
        <f t="shared" si="3"/>
        <v>446.83605387326628</v>
      </c>
    </row>
    <row r="21" spans="1:17" x14ac:dyDescent="0.2">
      <c r="A21" s="3" t="s">
        <v>93</v>
      </c>
      <c r="B21" s="114">
        <f>DATA!K35</f>
        <v>780629716</v>
      </c>
      <c r="C21" s="114">
        <f>DATA!K8</f>
        <v>438379355</v>
      </c>
      <c r="D21" s="18">
        <f t="shared" si="0"/>
        <v>0.56157144163853479</v>
      </c>
      <c r="E21" s="19">
        <f t="shared" si="1"/>
        <v>0.56157144163853479</v>
      </c>
      <c r="F21" s="114">
        <f>ПРАЙС!D21</f>
        <v>450</v>
      </c>
      <c r="G21" s="114">
        <f>ПРАЙС!E21</f>
        <v>600</v>
      </c>
      <c r="H21" s="20">
        <f>C21*'APP Медиа'!$B$13</f>
        <v>689411349.31726062</v>
      </c>
      <c r="I21" s="20">
        <f>B21*'APP Медиа'!$B$13*(1+'APP Медиа'!$B$14)*'APP Медиа'!$B$15*E21</f>
        <v>815208887.41960287</v>
      </c>
      <c r="J21" s="33">
        <f t="shared" si="2"/>
        <v>347.88990634035639</v>
      </c>
      <c r="K21" s="33">
        <f t="shared" si="3"/>
        <v>489.12533245176172</v>
      </c>
    </row>
    <row r="22" spans="1:17" x14ac:dyDescent="0.2">
      <c r="A22" s="3" t="s">
        <v>216</v>
      </c>
      <c r="B22" s="114">
        <f>DATA!K36</f>
        <v>746637090</v>
      </c>
      <c r="C22" s="114">
        <f>DATA!K9</f>
        <v>413410041</v>
      </c>
      <c r="D22" s="18">
        <f t="shared" si="0"/>
        <v>0.55369609484575699</v>
      </c>
      <c r="E22" s="19">
        <f t="shared" si="1"/>
        <v>0.55369609484575699</v>
      </c>
      <c r="F22" s="114">
        <f>ПРАЙС!D39</f>
        <v>600</v>
      </c>
      <c r="G22" s="114">
        <f>ПРАЙС!E39</f>
        <v>1000</v>
      </c>
      <c r="H22" s="20">
        <f>C22*'APP Медиа'!$B$13</f>
        <v>650143696.17637217</v>
      </c>
      <c r="I22" s="20">
        <f>B22*'APP Медиа'!$B$13*(1+'APP Медиа'!$B$14)*'APP Медиа'!$B$15*E22</f>
        <v>768776028.63324261</v>
      </c>
      <c r="J22" s="33">
        <f t="shared" si="2"/>
        <v>484.77967977637218</v>
      </c>
      <c r="K22" s="33">
        <f t="shared" si="3"/>
        <v>768.7760286332425</v>
      </c>
    </row>
    <row r="23" spans="1:17" x14ac:dyDescent="0.2">
      <c r="A23" s="3" t="s">
        <v>95</v>
      </c>
      <c r="B23" s="114">
        <f>DATA!K37</f>
        <v>699021088</v>
      </c>
      <c r="C23" s="114">
        <f>DATA!K10</f>
        <v>343246953</v>
      </c>
      <c r="D23" s="18">
        <f t="shared" si="0"/>
        <v>0.49103948205923081</v>
      </c>
      <c r="E23" s="19">
        <f t="shared" si="1"/>
        <v>0.49103948205923081</v>
      </c>
      <c r="F23" s="114">
        <f>ПРАЙС!D12</f>
        <v>350</v>
      </c>
      <c r="G23" s="114">
        <f>ПРАЙС!E12</f>
        <v>400</v>
      </c>
      <c r="H23" s="20">
        <f>C23*'APP Медиа'!$B$13</f>
        <v>539802667.06849897</v>
      </c>
      <c r="I23" s="20">
        <f>B23*'APP Медиа'!$B$13*(1+'APP Медиа'!$B$14)*'APP Медиа'!$B$15*E23</f>
        <v>638300968.0401094</v>
      </c>
      <c r="J23" s="33">
        <f t="shared" si="2"/>
        <v>198.7587191773996</v>
      </c>
      <c r="K23" s="33">
        <f t="shared" si="3"/>
        <v>255.32038721604377</v>
      </c>
    </row>
    <row r="24" spans="1:17" x14ac:dyDescent="0.2">
      <c r="A24" s="3" t="s">
        <v>96</v>
      </c>
      <c r="B24" s="114">
        <f>DATA!K38</f>
        <v>327393749</v>
      </c>
      <c r="C24" s="114">
        <f>DATA!K11</f>
        <v>225025326</v>
      </c>
      <c r="D24" s="18">
        <f t="shared" si="0"/>
        <v>0.68732322070083263</v>
      </c>
      <c r="E24" s="19">
        <f t="shared" si="1"/>
        <v>0.68732322070083263</v>
      </c>
      <c r="F24" s="114">
        <f>ПРАЙС!D8</f>
        <v>450</v>
      </c>
      <c r="G24" s="114">
        <f>ПРАЙС!E8</f>
        <v>450</v>
      </c>
      <c r="H24" s="20">
        <f>C24*'APP Медиа'!$B$13</f>
        <v>353883028.1554122</v>
      </c>
      <c r="I24" s="20">
        <f>B24*'APP Медиа'!$B$13*(1+'APP Медиа'!$B$14)*'APP Медиа'!$B$15*E24</f>
        <v>418456397.54110557</v>
      </c>
      <c r="J24" s="33">
        <f t="shared" si="2"/>
        <v>159.24736266993548</v>
      </c>
      <c r="K24" s="33">
        <f t="shared" si="3"/>
        <v>188.3053788934975</v>
      </c>
    </row>
    <row r="25" spans="1:17" x14ac:dyDescent="0.2">
      <c r="A25" s="3" t="s">
        <v>97</v>
      </c>
      <c r="B25" s="114">
        <f>DATA!K39</f>
        <v>1036086155</v>
      </c>
      <c r="C25" s="114">
        <f>DATA!K12</f>
        <v>171630789</v>
      </c>
      <c r="D25" s="18">
        <f t="shared" si="0"/>
        <v>0.16565300884654713</v>
      </c>
      <c r="E25" s="19">
        <f t="shared" si="1"/>
        <v>0.16565300884654713</v>
      </c>
      <c r="F25" s="114">
        <f>ПРАЙС!D6</f>
        <v>600</v>
      </c>
      <c r="G25" s="114">
        <f>ПРАЙС!E6</f>
        <v>600</v>
      </c>
      <c r="H25" s="20">
        <f>C25*'APP Медиа'!$B$13</f>
        <v>269912833.43823534</v>
      </c>
      <c r="I25" s="20">
        <f>B25*'APP Медиа'!$B$13*(1+'APP Медиа'!$B$14)*'APP Медиа'!$B$15*E25</f>
        <v>319164082.32234991</v>
      </c>
      <c r="J25" s="33">
        <f t="shared" si="2"/>
        <v>161.94770006294124</v>
      </c>
      <c r="K25" s="33">
        <f t="shared" si="3"/>
        <v>191.49844939340994</v>
      </c>
    </row>
    <row r="26" spans="1:17" x14ac:dyDescent="0.2">
      <c r="A26" s="3" t="s">
        <v>98</v>
      </c>
      <c r="B26" s="114">
        <f>DATA!K40</f>
        <v>115500217</v>
      </c>
      <c r="C26" s="114">
        <f>DATA!K13</f>
        <v>88018827</v>
      </c>
      <c r="D26" s="18">
        <f t="shared" si="0"/>
        <v>0.76206633447277417</v>
      </c>
      <c r="E26" s="19">
        <f t="shared" si="1"/>
        <v>0.76206633447277417</v>
      </c>
      <c r="F26" s="114">
        <f>ПРАЙС!D10</f>
        <v>350</v>
      </c>
      <c r="G26" s="114">
        <f>ПРАЙС!E10</f>
        <v>400</v>
      </c>
      <c r="H26" s="20">
        <f>C26*'APP Медиа'!$B$13</f>
        <v>138421614.96722975</v>
      </c>
      <c r="I26" s="20">
        <f>B26*'APP Медиа'!$B$13*(1+'APP Медиа'!$B$14)*'APP Медиа'!$B$15*E26</f>
        <v>163679537.39666528</v>
      </c>
      <c r="J26" s="33">
        <f t="shared" si="2"/>
        <v>50.967704636891909</v>
      </c>
      <c r="K26" s="33">
        <f t="shared" si="3"/>
        <v>65.471814958666101</v>
      </c>
    </row>
    <row r="27" spans="1:17" x14ac:dyDescent="0.2">
      <c r="A27" s="3" t="s">
        <v>99</v>
      </c>
      <c r="B27" s="114">
        <f>DATA!K41</f>
        <v>157466270</v>
      </c>
      <c r="C27" s="114">
        <f>DATA!K14</f>
        <v>66337293</v>
      </c>
      <c r="D27" s="18">
        <f t="shared" si="0"/>
        <v>0.42127938256237352</v>
      </c>
      <c r="E27" s="19">
        <f t="shared" si="1"/>
        <v>0.42127938256237352</v>
      </c>
      <c r="F27" s="114">
        <f>ПРАЙС!D40</f>
        <v>600</v>
      </c>
      <c r="G27" s="114">
        <f>ПРАЙС!E40</f>
        <v>1000</v>
      </c>
      <c r="H27" s="20">
        <f>C27*'APP Медиа'!$B$13</f>
        <v>104324444.46929866</v>
      </c>
      <c r="I27" s="20">
        <f>B27*'APP Медиа'!$B$13*(1+'APP Медиа'!$B$14)*'APP Медиа'!$B$15*E27</f>
        <v>123360624.08996932</v>
      </c>
      <c r="J27" s="33">
        <f t="shared" si="2"/>
        <v>77.789527269298659</v>
      </c>
      <c r="K27" s="33">
        <f t="shared" si="3"/>
        <v>123.36062408996932</v>
      </c>
    </row>
    <row r="28" spans="1:17" x14ac:dyDescent="0.2">
      <c r="A28" s="3" t="s">
        <v>100</v>
      </c>
      <c r="B28" s="114">
        <f>DATA!K42</f>
        <v>162748470</v>
      </c>
      <c r="C28" s="114">
        <f>DATA!K15</f>
        <v>48272076</v>
      </c>
      <c r="D28" s="18">
        <f t="shared" si="0"/>
        <v>0.296605405875705</v>
      </c>
      <c r="E28" s="19">
        <f t="shared" si="1"/>
        <v>0.296605405875705</v>
      </c>
      <c r="F28" s="114">
        <f>ПРАЙС!D11</f>
        <v>350</v>
      </c>
      <c r="G28" s="114">
        <f>ПРАЙС!E11</f>
        <v>400</v>
      </c>
      <c r="H28" s="20">
        <f>C28*'APP Медиа'!$B$13</f>
        <v>75914425.873237923</v>
      </c>
      <c r="I28" s="20">
        <f>B28*'APP Медиа'!$B$13*(1+'APP Медиа'!$B$14)*'APP Медиа'!$B$15*E28</f>
        <v>89766602.648052439</v>
      </c>
      <c r="J28" s="33">
        <f t="shared" si="2"/>
        <v>27.952166549295171</v>
      </c>
      <c r="K28" s="33">
        <f t="shared" si="3"/>
        <v>35.906641059220981</v>
      </c>
    </row>
    <row r="29" spans="1:17" x14ac:dyDescent="0.2">
      <c r="A29" s="3" t="s">
        <v>101</v>
      </c>
      <c r="B29" s="114">
        <f>DATA!K43</f>
        <v>36588033</v>
      </c>
      <c r="C29" s="114">
        <f>DATA!K16</f>
        <v>23105497</v>
      </c>
      <c r="D29" s="18">
        <f t="shared" si="0"/>
        <v>0.63150421341316709</v>
      </c>
      <c r="E29" s="19">
        <f t="shared" si="1"/>
        <v>0.63150421341316709</v>
      </c>
      <c r="F29" s="114">
        <f>ПРАЙС!D16</f>
        <v>350</v>
      </c>
      <c r="G29" s="114">
        <f>ПРАЙС!E16</f>
        <v>400</v>
      </c>
      <c r="H29" s="20">
        <f>C29*'APP Медиа'!$B$13</f>
        <v>36336546.604517713</v>
      </c>
      <c r="I29" s="20">
        <f>B29*'APP Медиа'!$B$13*(1+'APP Медиа'!$B$14)*'APP Медиа'!$B$15*E29</f>
        <v>42966910.480186671</v>
      </c>
      <c r="J29" s="33">
        <f t="shared" si="2"/>
        <v>13.379343791807084</v>
      </c>
      <c r="K29" s="33">
        <f t="shared" si="3"/>
        <v>17.186764192074669</v>
      </c>
    </row>
    <row r="30" spans="1:17" x14ac:dyDescent="0.2">
      <c r="A30" s="3" t="s">
        <v>102</v>
      </c>
      <c r="B30" s="114">
        <f>DATA!K44</f>
        <v>63483189</v>
      </c>
      <c r="C30" s="114">
        <f>DATA!K17</f>
        <v>22291337</v>
      </c>
      <c r="D30" s="18">
        <f t="shared" si="0"/>
        <v>0.35113763739877657</v>
      </c>
      <c r="E30" s="19">
        <f t="shared" si="1"/>
        <v>0.35113763739877657</v>
      </c>
      <c r="F30" s="114">
        <f>ПРАЙС!D9</f>
        <v>350</v>
      </c>
      <c r="G30" s="114">
        <f>ПРАЙС!E9</f>
        <v>400</v>
      </c>
      <c r="H30" s="20">
        <f>C30*'APP Медиа'!$B$13</f>
        <v>35056168.918483347</v>
      </c>
      <c r="I30" s="20">
        <f>B30*'APP Медиа'!$B$13*(1+'APP Медиа'!$B$14)*'APP Медиа'!$B$15*E30</f>
        <v>41452901.072098687</v>
      </c>
      <c r="J30" s="33">
        <f t="shared" si="2"/>
        <v>12.907900717393339</v>
      </c>
      <c r="K30" s="33">
        <f t="shared" si="3"/>
        <v>16.581160428839475</v>
      </c>
    </row>
    <row r="31" spans="1:17" x14ac:dyDescent="0.2">
      <c r="A31" s="3" t="s">
        <v>103</v>
      </c>
      <c r="B31" s="114">
        <f>DATA!K45</f>
        <v>19689206</v>
      </c>
      <c r="C31" s="114">
        <f>DATA!K18</f>
        <v>9864551</v>
      </c>
      <c r="D31" s="18">
        <f t="shared" si="0"/>
        <v>0.50101314395308783</v>
      </c>
      <c r="E31" s="19">
        <f t="shared" si="1"/>
        <v>0.50101314395308783</v>
      </c>
      <c r="F31" s="17">
        <v>400</v>
      </c>
      <c r="G31" s="115">
        <v>450</v>
      </c>
      <c r="H31" s="115">
        <f>C31*'APP Медиа'!$B$13</f>
        <v>15513352.391603688</v>
      </c>
      <c r="I31" s="20">
        <f>B31*'APP Медиа'!$B$13*(1+'APP Медиа'!$B$14)*'APP Медиа'!$B$15*E31</f>
        <v>18344088.410832971</v>
      </c>
      <c r="J31" s="33">
        <f t="shared" si="2"/>
        <v>6.4877810262216595</v>
      </c>
      <c r="K31" s="33">
        <f t="shared" si="3"/>
        <v>8.2548397848748376</v>
      </c>
      <c r="Q31" s="92"/>
    </row>
    <row r="32" spans="1:17" x14ac:dyDescent="0.2">
      <c r="A32" s="3" t="s">
        <v>104</v>
      </c>
      <c r="B32" s="114">
        <f>DATA!K46</f>
        <v>4678593</v>
      </c>
      <c r="C32" s="114">
        <f>DATA!K19</f>
        <v>4678593</v>
      </c>
      <c r="D32" s="18">
        <f t="shared" si="0"/>
        <v>1</v>
      </c>
      <c r="E32" s="19">
        <f t="shared" si="1"/>
        <v>1</v>
      </c>
      <c r="F32" s="114">
        <f>ПРАЙС!D8</f>
        <v>450</v>
      </c>
      <c r="G32" s="114">
        <f>ПРАЙС!E8</f>
        <v>450</v>
      </c>
      <c r="H32" s="20">
        <f>C32*'APP Медиа'!$B$13</f>
        <v>7357725.851474667</v>
      </c>
      <c r="I32" s="20">
        <f>B32*'APP Медиа'!$B$13*(1+'APP Медиа'!$B$14)*'APP Медиа'!$B$15*E32</f>
        <v>8700297.0160835758</v>
      </c>
      <c r="J32" s="33">
        <f t="shared" si="2"/>
        <v>3.3109766331635999</v>
      </c>
      <c r="K32" s="33">
        <f t="shared" si="3"/>
        <v>3.9151336572376088</v>
      </c>
    </row>
    <row r="33" spans="1:18" x14ac:dyDescent="0.2">
      <c r="A33" s="3" t="s">
        <v>105</v>
      </c>
      <c r="B33" s="114">
        <f>DATA!K47</f>
        <v>150435958</v>
      </c>
      <c r="C33" s="114">
        <f>DATA!K20</f>
        <v>4052095</v>
      </c>
      <c r="D33" s="18">
        <f t="shared" si="0"/>
        <v>2.6935681162079613E-2</v>
      </c>
      <c r="E33" s="19">
        <f t="shared" si="1"/>
        <v>2.6935681162079613E-2</v>
      </c>
      <c r="F33" s="114">
        <f>ПРАЙС!D11</f>
        <v>350</v>
      </c>
      <c r="G33" s="114">
        <f>ПРАЙС!E11</f>
        <v>400</v>
      </c>
      <c r="H33" s="20">
        <f>C33*'APP Медиа'!$B$13</f>
        <v>6372472.2655147044</v>
      </c>
      <c r="I33" s="20">
        <f>B33*'APP Медиа'!$B$13*(1+'APP Медиа'!$B$14)*'APP Медиа'!$B$15*E33</f>
        <v>7535263.2805177057</v>
      </c>
      <c r="J33" s="33">
        <f t="shared" si="2"/>
        <v>2.3463841562058816</v>
      </c>
      <c r="K33" s="33">
        <f t="shared" si="3"/>
        <v>3.0141053122070822</v>
      </c>
    </row>
    <row r="34" spans="1:18" x14ac:dyDescent="0.2">
      <c r="A34" s="3" t="s">
        <v>106</v>
      </c>
      <c r="B34" s="114">
        <f>DATA!K48</f>
        <v>6837543</v>
      </c>
      <c r="C34" s="114">
        <f>DATA!K21</f>
        <v>3360036</v>
      </c>
      <c r="D34" s="18">
        <f t="shared" si="0"/>
        <v>0.49140985292523937</v>
      </c>
      <c r="E34" s="19">
        <f t="shared" si="1"/>
        <v>0.49140985292523937</v>
      </c>
      <c r="F34" s="114">
        <f>ПРАЙС!D40</f>
        <v>600</v>
      </c>
      <c r="G34" s="114">
        <f>ПРАЙС!E40</f>
        <v>1000</v>
      </c>
      <c r="H34" s="20">
        <f>C34*'APP Медиа'!$B$13</f>
        <v>5284115.0617473098</v>
      </c>
      <c r="I34" s="20">
        <f>B34*'APP Медиа'!$B$13*(1+'APP Медиа'!$B$14)*'APP Медиа'!$B$15*E34</f>
        <v>6248312.5129143298</v>
      </c>
      <c r="J34" s="33">
        <f t="shared" si="2"/>
        <v>3.9401006617473096</v>
      </c>
      <c r="K34" s="33">
        <f t="shared" si="3"/>
        <v>6.2483125129143291</v>
      </c>
    </row>
    <row r="35" spans="1:18" x14ac:dyDescent="0.2">
      <c r="A35" s="3" t="s">
        <v>107</v>
      </c>
      <c r="B35" s="114">
        <f>DATA!K49</f>
        <v>3635345</v>
      </c>
      <c r="C35" s="114">
        <f>DATA!K22</f>
        <v>2382744</v>
      </c>
      <c r="D35" s="18">
        <f t="shared" si="0"/>
        <v>0.65543820462707114</v>
      </c>
      <c r="E35" s="19">
        <f t="shared" si="1"/>
        <v>0.65543820462707114</v>
      </c>
      <c r="F35" s="114">
        <f>ПРАЙС!D16</f>
        <v>350</v>
      </c>
      <c r="G35" s="114">
        <f>ПРАЙС!E16</f>
        <v>400</v>
      </c>
      <c r="H35" s="20">
        <f>C35*'APP Медиа'!$B$13</f>
        <v>3747190.0475733094</v>
      </c>
      <c r="I35" s="20">
        <f>B35*'APP Медиа'!$B$13*(1+'APP Медиа'!$B$14)*'APP Медиа'!$B$15*E35</f>
        <v>4430943.3441402242</v>
      </c>
      <c r="J35" s="33">
        <f t="shared" si="2"/>
        <v>1.3797388190293238</v>
      </c>
      <c r="K35" s="33">
        <f t="shared" si="3"/>
        <v>1.7723773376560898</v>
      </c>
    </row>
    <row r="36" spans="1:18" x14ac:dyDescent="0.2">
      <c r="A36" s="3" t="s">
        <v>108</v>
      </c>
      <c r="B36" s="114">
        <f>DATA!K50</f>
        <v>4538152</v>
      </c>
      <c r="C36" s="114">
        <f>DATA!K23</f>
        <v>1492219</v>
      </c>
      <c r="D36" s="18">
        <f t="shared" si="0"/>
        <v>0.3288164433452207</v>
      </c>
      <c r="E36" s="19">
        <f t="shared" si="1"/>
        <v>0.3288164433452207</v>
      </c>
      <c r="F36" s="114">
        <f>ПРАЙС!D13</f>
        <v>350</v>
      </c>
      <c r="G36" s="114">
        <f>ПРАЙС!E13</f>
        <v>400</v>
      </c>
      <c r="H36" s="20">
        <f>C36*'APP Медиа'!$B$13</f>
        <v>2346717.97960662</v>
      </c>
      <c r="I36" s="20">
        <f>B36*'APP Медиа'!$B$13*(1+'APP Медиа'!$B$14)*'APP Медиа'!$B$15*E36</f>
        <v>2774925.8191604218</v>
      </c>
      <c r="J36" s="33">
        <f t="shared" si="2"/>
        <v>0.86407624184264797</v>
      </c>
      <c r="K36" s="33">
        <f t="shared" si="3"/>
        <v>1.1099703276641688</v>
      </c>
    </row>
    <row r="37" spans="1:18" x14ac:dyDescent="0.2">
      <c r="A37" s="3" t="s">
        <v>109</v>
      </c>
      <c r="B37" s="114">
        <f>DATA!K51</f>
        <v>18231325</v>
      </c>
      <c r="C37" s="114">
        <f>DATA!K24</f>
        <v>1034774</v>
      </c>
      <c r="D37" s="18">
        <f t="shared" si="0"/>
        <v>5.6758024992698004E-2</v>
      </c>
      <c r="E37" s="19">
        <f t="shared" si="1"/>
        <v>5.6758024992698004E-2</v>
      </c>
      <c r="F37" s="114">
        <f>ПРАЙС!D17</f>
        <v>350</v>
      </c>
      <c r="G37" s="114">
        <f>ПРАЙС!E17</f>
        <v>400</v>
      </c>
      <c r="H37" s="20">
        <f>C37*'APP Медиа'!$B$13</f>
        <v>1627323.3021623909</v>
      </c>
      <c r="I37" s="20">
        <f>B37*'APP Медиа'!$B$13*(1+'APP Медиа'!$B$14)*'APP Медиа'!$B$15*E37</f>
        <v>1924262.5174963637</v>
      </c>
      <c r="J37" s="33">
        <f t="shared" si="2"/>
        <v>0.59919062086495634</v>
      </c>
      <c r="K37" s="33">
        <f t="shared" si="3"/>
        <v>0.76970500699854549</v>
      </c>
    </row>
    <row r="38" spans="1:18" x14ac:dyDescent="0.2">
      <c r="A38" s="3" t="s">
        <v>110</v>
      </c>
      <c r="B38" s="114">
        <f>DATA!K52</f>
        <v>8689939</v>
      </c>
      <c r="C38" s="114">
        <f>DATA!K25</f>
        <v>187684</v>
      </c>
      <c r="D38" s="18">
        <f t="shared" si="0"/>
        <v>2.1597850111491002E-2</v>
      </c>
      <c r="E38" s="19">
        <f t="shared" si="1"/>
        <v>2.1597850111491002E-2</v>
      </c>
      <c r="F38" s="114">
        <f>ПРАЙС!D19</f>
        <v>350</v>
      </c>
      <c r="G38" s="114">
        <f>ПРАЙС!E19</f>
        <v>400</v>
      </c>
      <c r="H38" s="20">
        <f>C38*'APP Медиа'!$B$13</f>
        <v>295158.69807614625</v>
      </c>
      <c r="I38" s="20">
        <f>B38*'APP Медиа'!$B$13*(1+'APP Медиа'!$B$14)*'APP Медиа'!$B$15*E38</f>
        <v>349016.58365381003</v>
      </c>
      <c r="J38" s="33">
        <f t="shared" si="2"/>
        <v>0.1086792792304585</v>
      </c>
      <c r="K38" s="33">
        <f t="shared" si="3"/>
        <v>0.13960663346152402</v>
      </c>
    </row>
    <row r="39" spans="1:18" ht="15" customHeight="1" thickBot="1" x14ac:dyDescent="0.25">
      <c r="A39" s="65" t="s">
        <v>114</v>
      </c>
      <c r="B39" s="66">
        <f>SUM(B19:B38)</f>
        <v>9719817709</v>
      </c>
      <c r="C39" s="66">
        <f>SUM(C19:C38)</f>
        <v>3813307063</v>
      </c>
      <c r="D39" s="67">
        <f t="shared" si="0"/>
        <v>0.39232289917012475</v>
      </c>
      <c r="E39" s="67">
        <f>IFERROR(I39/(B39*'APP Медиа'!$B$13*(1+'APP Медиа'!$B$14)*'APP Медиа'!$B$15),0)</f>
        <v>0.39232289917012475</v>
      </c>
      <c r="F39" s="66">
        <f>IFERROR(SUMPRODUCT(C19:C38,F19:F38)/C39,0)</f>
        <v>498.80554668828148</v>
      </c>
      <c r="G39" s="66">
        <f>IFERROR(SUMPRODUCT(I19:I38,G19:G38)/I39,0)</f>
        <v>581.7343793328821</v>
      </c>
      <c r="H39" s="66">
        <f>SUM(H19:H38)</f>
        <v>5996945653.7565956</v>
      </c>
      <c r="I39" s="66">
        <f>SUM(I19:I38)</f>
        <v>7091213974.2929811</v>
      </c>
      <c r="J39" s="68">
        <f>SUM(J19:J38)</f>
        <v>3172.3963545311171</v>
      </c>
      <c r="K39" s="68">
        <f>SUM(K19:K38)</f>
        <v>4125.2029600519882</v>
      </c>
      <c r="M39" s="43" t="s">
        <v>217</v>
      </c>
    </row>
    <row r="40" spans="1:18" ht="15" customHeight="1" thickTop="1" x14ac:dyDescent="0.2"/>
    <row r="41" spans="1:18" x14ac:dyDescent="0.2">
      <c r="A41" s="45" t="s">
        <v>397</v>
      </c>
      <c r="B41" s="32"/>
      <c r="C41" s="32"/>
      <c r="D41" s="196"/>
      <c r="E41" s="32"/>
      <c r="F41" s="32"/>
      <c r="G41" s="32"/>
      <c r="H41" s="32"/>
      <c r="I41" s="32"/>
      <c r="J41" s="32"/>
      <c r="K41" s="32"/>
      <c r="L41" s="192" t="s">
        <v>612</v>
      </c>
    </row>
    <row r="42" spans="1:18" x14ac:dyDescent="0.2">
      <c r="A42" s="2" t="s">
        <v>0</v>
      </c>
      <c r="B42" s="2" t="s">
        <v>2</v>
      </c>
      <c r="C42" s="2" t="s">
        <v>1</v>
      </c>
      <c r="D42" s="2" t="s">
        <v>218</v>
      </c>
    </row>
    <row r="43" spans="1:18" x14ac:dyDescent="0.2">
      <c r="A43" s="3" t="s">
        <v>219</v>
      </c>
      <c r="B43" s="116">
        <f>DATA!L65</f>
        <v>264.375</v>
      </c>
      <c r="C43" s="10">
        <f>B43*(1+'APP Медиа'!$B$14)</f>
        <v>312.61575520187279</v>
      </c>
      <c r="D43" s="24" t="s">
        <v>220</v>
      </c>
      <c r="F43" s="31"/>
      <c r="M43" s="1" t="s">
        <v>429</v>
      </c>
    </row>
    <row r="44" spans="1:18" x14ac:dyDescent="0.2">
      <c r="A44" s="3" t="s">
        <v>221</v>
      </c>
      <c r="B44" s="25">
        <v>0.91</v>
      </c>
      <c r="C44" s="25">
        <f>B44</f>
        <v>0.91</v>
      </c>
      <c r="D44" s="24" t="s">
        <v>222</v>
      </c>
      <c r="F44" s="31"/>
    </row>
    <row r="45" spans="1:18" x14ac:dyDescent="0.2">
      <c r="A45" s="3" t="s">
        <v>223</v>
      </c>
      <c r="B45" s="114">
        <f>ПРАЙС!D22</f>
        <v>70000</v>
      </c>
      <c r="C45" s="114">
        <f>ПРАЙС!E22</f>
        <v>100000</v>
      </c>
      <c r="D45" s="106" t="s">
        <v>224</v>
      </c>
      <c r="F45" s="31"/>
      <c r="M45" s="92" t="s">
        <v>398</v>
      </c>
    </row>
    <row r="46" spans="1:18" ht="15" customHeight="1" thickBot="1" x14ac:dyDescent="0.25">
      <c r="A46" s="65" t="s">
        <v>225</v>
      </c>
      <c r="B46" s="69">
        <f>(B43*B44*(8*B45+4*C45))/1000000</f>
        <v>230.958</v>
      </c>
      <c r="C46" s="69">
        <f>(C43*C44*12*C45)/1000000</f>
        <v>341.37640468044509</v>
      </c>
      <c r="D46" s="70" t="s">
        <v>226</v>
      </c>
      <c r="F46" s="31"/>
    </row>
    <row r="47" spans="1:18" ht="15" customHeight="1" thickTop="1" x14ac:dyDescent="0.2"/>
    <row r="48" spans="1:18" x14ac:dyDescent="0.2">
      <c r="A48" s="45" t="s">
        <v>227</v>
      </c>
      <c r="B48" s="196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192" t="s">
        <v>613</v>
      </c>
    </row>
    <row r="49" spans="1:17" x14ac:dyDescent="0.2">
      <c r="A49" s="2" t="s">
        <v>0</v>
      </c>
      <c r="B49" s="2" t="s">
        <v>218</v>
      </c>
      <c r="C49" s="2" t="s">
        <v>14</v>
      </c>
      <c r="D49" s="2" t="s">
        <v>15</v>
      </c>
      <c r="E49" s="2" t="s">
        <v>16</v>
      </c>
      <c r="F49" s="30" t="s">
        <v>17</v>
      </c>
      <c r="G49" s="2" t="s">
        <v>18</v>
      </c>
      <c r="H49" s="2" t="s">
        <v>19</v>
      </c>
      <c r="I49" s="2" t="s">
        <v>20</v>
      </c>
      <c r="J49" s="2" t="s">
        <v>21</v>
      </c>
      <c r="K49" s="2" t="s">
        <v>22</v>
      </c>
      <c r="L49" s="2" t="s">
        <v>23</v>
      </c>
      <c r="M49" s="30" t="s">
        <v>24</v>
      </c>
      <c r="N49" s="2" t="s">
        <v>25</v>
      </c>
      <c r="O49" s="2" t="s">
        <v>1</v>
      </c>
      <c r="P49" s="2" t="s">
        <v>2</v>
      </c>
      <c r="Q49" s="2" t="s">
        <v>4</v>
      </c>
    </row>
    <row r="50" spans="1:17" x14ac:dyDescent="0.2">
      <c r="A50" s="3" t="s">
        <v>228</v>
      </c>
      <c r="B50" s="24" t="s">
        <v>229</v>
      </c>
      <c r="C50" s="19">
        <f>Вводные!C6</f>
        <v>7.8210312057241979E-2</v>
      </c>
      <c r="D50" s="19">
        <f>Вводные!D6</f>
        <v>7.8070802618753946E-2</v>
      </c>
      <c r="E50" s="19">
        <f>Вводные!E6</f>
        <v>8.0484922249303065E-2</v>
      </c>
      <c r="F50" s="19">
        <f>Вводные!F6</f>
        <v>8.12155534402315E-2</v>
      </c>
      <c r="G50" s="19">
        <f>Вводные!G6</f>
        <v>8.2516050260601756E-2</v>
      </c>
      <c r="H50" s="19">
        <f>Вводные!H6</f>
        <v>8.3087933279730561E-2</v>
      </c>
      <c r="I50" s="19">
        <f>Вводные!I6</f>
        <v>8.4234917576507001E-2</v>
      </c>
      <c r="J50" s="19">
        <f>Вводные!J6</f>
        <v>8.484935266489356E-2</v>
      </c>
      <c r="K50" s="19">
        <f>Вводные!K6</f>
        <v>8.5276832258071977E-2</v>
      </c>
      <c r="L50" s="19">
        <f>Вводные!L6</f>
        <v>8.6446867801634172E-2</v>
      </c>
      <c r="M50" s="19">
        <f>Вводные!M6</f>
        <v>8.6939938309017764E-2</v>
      </c>
      <c r="N50" s="19">
        <f>Вводные!N6</f>
        <v>8.8666517484012622E-2</v>
      </c>
      <c r="O50" s="22">
        <f>SUM(C50:N50)</f>
        <v>0.99999999999999989</v>
      </c>
      <c r="Q50" s="92" t="s">
        <v>230</v>
      </c>
    </row>
    <row r="51" spans="1:17" x14ac:dyDescent="0.2">
      <c r="A51" s="3" t="s">
        <v>670</v>
      </c>
      <c r="B51" s="24" t="s">
        <v>232</v>
      </c>
      <c r="C51" s="25">
        <v>0.30166696147677252</v>
      </c>
      <c r="D51" s="25">
        <v>0.75551507103344551</v>
      </c>
      <c r="E51" s="25">
        <v>1.0259950916622691</v>
      </c>
      <c r="F51" s="25">
        <v>1.0167650367780214</v>
      </c>
      <c r="G51" s="25">
        <v>1.000740279252456</v>
      </c>
      <c r="H51" s="25">
        <v>0.99385231911586291</v>
      </c>
      <c r="I51" s="25">
        <v>0.98031953442113884</v>
      </c>
      <c r="J51" s="25">
        <v>1.1122520775209248</v>
      </c>
      <c r="K51" s="25">
        <v>1.1066765295904908</v>
      </c>
      <c r="L51" s="25">
        <v>1.5010846878487834</v>
      </c>
      <c r="M51" s="25">
        <v>1.8996363877575715</v>
      </c>
      <c r="N51" s="25">
        <v>2.2617835553207142</v>
      </c>
      <c r="O51" s="27">
        <f>IF('APP Медиа'!$B$4=1,N6,1)</f>
        <v>14.1</v>
      </c>
      <c r="P51" s="6"/>
      <c r="Q51" s="92" t="s">
        <v>399</v>
      </c>
    </row>
    <row r="52" spans="1:17" x14ac:dyDescent="0.2">
      <c r="A52" s="3" t="s">
        <v>400</v>
      </c>
      <c r="B52" s="24" t="s">
        <v>226</v>
      </c>
      <c r="C52" s="33">
        <f t="shared" ref="C52:N52" si="4">$K$39*C50*C51</f>
        <v>97.327840708469154</v>
      </c>
      <c r="D52" s="33">
        <f t="shared" si="4"/>
        <v>243.31960177117313</v>
      </c>
      <c r="E52" s="33">
        <f t="shared" si="4"/>
        <v>340.647442479642</v>
      </c>
      <c r="F52" s="33">
        <f t="shared" si="4"/>
        <v>340.64744247964222</v>
      </c>
      <c r="G52" s="33">
        <f t="shared" si="4"/>
        <v>340.647442479642</v>
      </c>
      <c r="H52" s="33">
        <f t="shared" si="4"/>
        <v>340.64744247964205</v>
      </c>
      <c r="I52" s="33">
        <f t="shared" si="4"/>
        <v>340.64744247964222</v>
      </c>
      <c r="J52" s="33">
        <f t="shared" si="4"/>
        <v>389.31136283387656</v>
      </c>
      <c r="K52" s="33">
        <f t="shared" si="4"/>
        <v>389.31136283387673</v>
      </c>
      <c r="L52" s="33">
        <f t="shared" si="4"/>
        <v>535.30312389658047</v>
      </c>
      <c r="M52" s="33">
        <f t="shared" si="4"/>
        <v>681.2948849592841</v>
      </c>
      <c r="N52" s="33">
        <f t="shared" si="4"/>
        <v>827.28664602198853</v>
      </c>
      <c r="O52" s="33">
        <f>SUM(C52:N52)</f>
        <v>4866.3920354234588</v>
      </c>
      <c r="P52" s="36">
        <f>J39</f>
        <v>3172.3963545311171</v>
      </c>
      <c r="Q52" s="117" t="s">
        <v>233</v>
      </c>
    </row>
    <row r="53" spans="1:17" x14ac:dyDescent="0.2">
      <c r="A53" s="3" t="s">
        <v>401</v>
      </c>
      <c r="B53" s="24" t="s">
        <v>226</v>
      </c>
      <c r="C53" s="33">
        <f t="shared" ref="C53:N53" si="5">$C$46*C50*C51</f>
        <v>8.0542530047902279</v>
      </c>
      <c r="D53" s="33">
        <f t="shared" si="5"/>
        <v>20.135632511975587</v>
      </c>
      <c r="E53" s="33">
        <f t="shared" si="5"/>
        <v>28.189885516765791</v>
      </c>
      <c r="F53" s="33">
        <f t="shared" si="5"/>
        <v>28.189885516765809</v>
      </c>
      <c r="G53" s="33">
        <f t="shared" si="5"/>
        <v>28.189885516765791</v>
      </c>
      <c r="H53" s="33">
        <f t="shared" si="5"/>
        <v>28.189885516765795</v>
      </c>
      <c r="I53" s="33">
        <f t="shared" si="5"/>
        <v>28.189885516765809</v>
      </c>
      <c r="J53" s="33">
        <f t="shared" si="5"/>
        <v>32.217012019160904</v>
      </c>
      <c r="K53" s="33">
        <f t="shared" si="5"/>
        <v>32.217012019160912</v>
      </c>
      <c r="L53" s="33">
        <f t="shared" si="5"/>
        <v>44.298391526346258</v>
      </c>
      <c r="M53" s="33">
        <f t="shared" si="5"/>
        <v>56.37977103353159</v>
      </c>
      <c r="N53" s="33">
        <f t="shared" si="5"/>
        <v>68.461150540716986</v>
      </c>
      <c r="O53" s="33">
        <f>SUM(C53:N53)</f>
        <v>402.71265023951145</v>
      </c>
      <c r="P53" s="36">
        <f>B46</f>
        <v>230.958</v>
      </c>
      <c r="Q53" s="117" t="s">
        <v>234</v>
      </c>
    </row>
    <row r="54" spans="1:17" ht="15" customHeight="1" thickBot="1" x14ac:dyDescent="0.25">
      <c r="A54" s="60" t="s">
        <v>235</v>
      </c>
      <c r="B54" s="61" t="s">
        <v>226</v>
      </c>
      <c r="C54" s="62">
        <f t="shared" ref="C54:N54" si="6">C52+C53</f>
        <v>105.38209371325938</v>
      </c>
      <c r="D54" s="62">
        <f t="shared" si="6"/>
        <v>263.45523428314868</v>
      </c>
      <c r="E54" s="62">
        <f t="shared" si="6"/>
        <v>368.83732799640779</v>
      </c>
      <c r="F54" s="62">
        <f t="shared" si="6"/>
        <v>368.83732799640802</v>
      </c>
      <c r="G54" s="62">
        <f t="shared" si="6"/>
        <v>368.83732799640779</v>
      </c>
      <c r="H54" s="62">
        <f t="shared" si="6"/>
        <v>368.83732799640785</v>
      </c>
      <c r="I54" s="62">
        <f t="shared" si="6"/>
        <v>368.83732799640802</v>
      </c>
      <c r="J54" s="62">
        <f t="shared" si="6"/>
        <v>421.52837485303746</v>
      </c>
      <c r="K54" s="62">
        <f t="shared" si="6"/>
        <v>421.52837485303763</v>
      </c>
      <c r="L54" s="62">
        <f t="shared" si="6"/>
        <v>579.6015154229267</v>
      </c>
      <c r="M54" s="62">
        <f t="shared" si="6"/>
        <v>737.6746559928157</v>
      </c>
      <c r="N54" s="62">
        <f t="shared" si="6"/>
        <v>895.7477965627055</v>
      </c>
      <c r="O54" s="62">
        <f>SUM(C54:N54)</f>
        <v>5269.104685662971</v>
      </c>
      <c r="P54" s="71">
        <f>SUM(P52:P53)*N6/12</f>
        <v>3998.9413665740626</v>
      </c>
      <c r="Q54" s="117" t="s">
        <v>236</v>
      </c>
    </row>
    <row r="55" spans="1:17" ht="15" customHeight="1" thickTop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6F3C"/>
  </sheetPr>
  <dimension ref="A1:Q48"/>
  <sheetViews>
    <sheetView showGridLines="0" zoomScaleNormal="100" workbookViewId="0"/>
  </sheetViews>
  <sheetFormatPr baseColWidth="10" defaultColWidth="8.6640625" defaultRowHeight="15" x14ac:dyDescent="0.2"/>
  <cols>
    <col min="1" max="1" width="44" customWidth="1"/>
    <col min="2" max="2" width="11" customWidth="1"/>
    <col min="3" max="13" width="10" customWidth="1"/>
    <col min="14" max="14" width="12.83203125" bestFit="1" customWidth="1"/>
    <col min="15" max="16" width="13" customWidth="1"/>
  </cols>
  <sheetData>
    <row r="1" spans="1:17" x14ac:dyDescent="0.2">
      <c r="A1" s="46" t="s">
        <v>402</v>
      </c>
    </row>
    <row r="2" spans="1:17" x14ac:dyDescent="0.2">
      <c r="A2" s="1" t="s">
        <v>403</v>
      </c>
    </row>
    <row r="4" spans="1:17" x14ac:dyDescent="0.2">
      <c r="A4" s="45" t="s">
        <v>237</v>
      </c>
      <c r="B4" s="32"/>
      <c r="C4" s="32"/>
    </row>
    <row r="5" spans="1:17" x14ac:dyDescent="0.2">
      <c r="A5" s="46" t="s">
        <v>194</v>
      </c>
      <c r="B5" s="13">
        <v>1</v>
      </c>
      <c r="C5" s="43" t="s">
        <v>195</v>
      </c>
    </row>
    <row r="7" spans="1:17" x14ac:dyDescent="0.2">
      <c r="A7" s="37" t="s">
        <v>196</v>
      </c>
      <c r="B7" s="72" t="s">
        <v>14</v>
      </c>
      <c r="C7" s="72" t="s">
        <v>15</v>
      </c>
      <c r="D7" s="72" t="s">
        <v>16</v>
      </c>
      <c r="E7" s="72" t="s">
        <v>17</v>
      </c>
      <c r="F7" s="72" t="s">
        <v>18</v>
      </c>
      <c r="G7" s="72" t="s">
        <v>19</v>
      </c>
      <c r="H7" s="72" t="s">
        <v>20</v>
      </c>
      <c r="I7" s="72" t="s">
        <v>21</v>
      </c>
      <c r="J7" s="72" t="s">
        <v>22</v>
      </c>
      <c r="K7" s="72" t="s">
        <v>23</v>
      </c>
      <c r="L7" s="72" t="s">
        <v>24</v>
      </c>
      <c r="M7" s="72" t="s">
        <v>25</v>
      </c>
      <c r="N7" s="73" t="s">
        <v>197</v>
      </c>
    </row>
    <row r="8" spans="1:17" ht="15" customHeight="1" thickBot="1" x14ac:dyDescent="0.25">
      <c r="A8" s="75" t="s">
        <v>198</v>
      </c>
      <c r="B8" s="74">
        <v>1</v>
      </c>
      <c r="C8" s="74">
        <v>1.1000000000000001</v>
      </c>
      <c r="D8" s="74">
        <v>1.2</v>
      </c>
      <c r="E8" s="74">
        <v>1.1000000000000001</v>
      </c>
      <c r="F8" s="74">
        <v>1.2</v>
      </c>
      <c r="G8" s="74">
        <v>1</v>
      </c>
      <c r="H8" s="74">
        <v>1</v>
      </c>
      <c r="I8" s="74">
        <v>1.1000000000000001</v>
      </c>
      <c r="J8" s="74">
        <v>1.1000000000000001</v>
      </c>
      <c r="K8" s="74">
        <v>1.2</v>
      </c>
      <c r="L8" s="74">
        <v>1.4</v>
      </c>
      <c r="M8" s="74">
        <v>1.7</v>
      </c>
      <c r="N8" s="74">
        <f>SUM(B8:M8)</f>
        <v>14.1</v>
      </c>
    </row>
    <row r="9" spans="1:17" ht="15" customHeight="1" thickTop="1" x14ac:dyDescent="0.2"/>
    <row r="10" spans="1:17" x14ac:dyDescent="0.2">
      <c r="A10" s="46" t="s">
        <v>204</v>
      </c>
      <c r="B10" s="16">
        <f>'APP Медиа'!B14</f>
        <v>0.18247094166193012</v>
      </c>
    </row>
    <row r="13" spans="1:17" x14ac:dyDescent="0.2">
      <c r="A13" s="45" t="s">
        <v>238</v>
      </c>
      <c r="B13" s="196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192" t="s">
        <v>614</v>
      </c>
    </row>
    <row r="14" spans="1:17" x14ac:dyDescent="0.2">
      <c r="A14" s="2" t="s">
        <v>0</v>
      </c>
      <c r="B14" s="2" t="s">
        <v>218</v>
      </c>
      <c r="C14" s="2" t="s">
        <v>14</v>
      </c>
      <c r="D14" s="2" t="s">
        <v>15</v>
      </c>
      <c r="E14" s="2" t="s">
        <v>16</v>
      </c>
      <c r="F14" s="2" t="s">
        <v>17</v>
      </c>
      <c r="G14" s="2" t="s">
        <v>18</v>
      </c>
      <c r="H14" s="2" t="s">
        <v>19</v>
      </c>
      <c r="I14" s="2" t="s">
        <v>20</v>
      </c>
      <c r="J14" s="2" t="s">
        <v>21</v>
      </c>
      <c r="K14" s="2" t="s">
        <v>22</v>
      </c>
      <c r="L14" s="2" t="s">
        <v>23</v>
      </c>
      <c r="M14" s="2" t="s">
        <v>24</v>
      </c>
      <c r="N14" s="2" t="s">
        <v>25</v>
      </c>
      <c r="O14" s="2" t="s">
        <v>1</v>
      </c>
      <c r="P14" s="2" t="s">
        <v>2</v>
      </c>
    </row>
    <row r="15" spans="1:17" x14ac:dyDescent="0.2">
      <c r="A15" s="3" t="s">
        <v>239</v>
      </c>
      <c r="B15" s="24" t="s">
        <v>220</v>
      </c>
      <c r="C15" s="118">
        <f>DATA!C69</f>
        <v>2198</v>
      </c>
      <c r="D15" s="118">
        <f>DATA!D69</f>
        <v>1619</v>
      </c>
      <c r="E15" s="118">
        <f>DATA!E69</f>
        <v>1672</v>
      </c>
      <c r="F15" s="118">
        <f>DATA!F69</f>
        <v>1577</v>
      </c>
      <c r="G15" s="118">
        <f>DATA!G69</f>
        <v>1532</v>
      </c>
      <c r="H15" s="118">
        <f>DATA!H69</f>
        <v>2010</v>
      </c>
      <c r="I15" s="118">
        <f>DATA!I69</f>
        <v>2174</v>
      </c>
      <c r="J15" s="118">
        <f>DATA!J69</f>
        <v>2155</v>
      </c>
      <c r="K15" s="33">
        <f>J15*1.02</f>
        <v>2198.1</v>
      </c>
      <c r="L15" s="33">
        <f>K15*1.047</f>
        <v>2301.4106999999999</v>
      </c>
      <c r="M15" s="33">
        <f>L15*1.05</f>
        <v>2416.4812350000002</v>
      </c>
      <c r="N15" s="33">
        <f>M15*1.05</f>
        <v>2537.3052967500003</v>
      </c>
      <c r="O15" s="33">
        <f>AVERAGE(C15:N15)</f>
        <v>2032.5247693125</v>
      </c>
    </row>
    <row r="16" spans="1:17" x14ac:dyDescent="0.2">
      <c r="A16" s="3" t="s">
        <v>240</v>
      </c>
      <c r="B16" s="24" t="s">
        <v>220</v>
      </c>
      <c r="C16" s="33">
        <f t="shared" ref="C16:N16" si="0">C15*(1+$B$10)</f>
        <v>2599.0711297729222</v>
      </c>
      <c r="D16" s="33">
        <f t="shared" si="0"/>
        <v>1914.4204545506648</v>
      </c>
      <c r="E16" s="33">
        <f t="shared" si="0"/>
        <v>1977.0914144587471</v>
      </c>
      <c r="F16" s="33">
        <f t="shared" si="0"/>
        <v>1864.7566750008639</v>
      </c>
      <c r="G16" s="33">
        <f t="shared" si="0"/>
        <v>1811.545482626077</v>
      </c>
      <c r="H16" s="33">
        <f t="shared" si="0"/>
        <v>2376.7665927404796</v>
      </c>
      <c r="I16" s="33">
        <f t="shared" si="0"/>
        <v>2570.691827173036</v>
      </c>
      <c r="J16" s="33">
        <f t="shared" si="0"/>
        <v>2548.2248792814594</v>
      </c>
      <c r="K16" s="33">
        <f t="shared" si="0"/>
        <v>2599.1893768670884</v>
      </c>
      <c r="L16" s="33">
        <f t="shared" si="0"/>
        <v>2721.3512775798417</v>
      </c>
      <c r="M16" s="33">
        <f t="shared" si="0"/>
        <v>2857.4188414588339</v>
      </c>
      <c r="N16" s="33">
        <f t="shared" si="0"/>
        <v>3000.2897835317758</v>
      </c>
      <c r="O16" s="33">
        <f>AVERAGE(C16:N16)</f>
        <v>2403.4014779201493</v>
      </c>
    </row>
    <row r="17" spans="1:17" x14ac:dyDescent="0.2">
      <c r="A17" s="3" t="s">
        <v>241</v>
      </c>
      <c r="B17" s="24" t="s">
        <v>224</v>
      </c>
      <c r="C17" s="118">
        <f t="shared" ref="C17:N17" si="1">$O$35</f>
        <v>67961.827116836328</v>
      </c>
      <c r="D17" s="118">
        <f t="shared" si="1"/>
        <v>67961.827116836328</v>
      </c>
      <c r="E17" s="118">
        <f t="shared" si="1"/>
        <v>67961.827116836328</v>
      </c>
      <c r="F17" s="118">
        <f t="shared" si="1"/>
        <v>67961.827116836328</v>
      </c>
      <c r="G17" s="118">
        <f t="shared" si="1"/>
        <v>67961.827116836328</v>
      </c>
      <c r="H17" s="118">
        <f t="shared" si="1"/>
        <v>67961.827116836328</v>
      </c>
      <c r="I17" s="118">
        <f t="shared" si="1"/>
        <v>67961.827116836328</v>
      </c>
      <c r="J17" s="118">
        <f t="shared" si="1"/>
        <v>67961.827116836328</v>
      </c>
      <c r="K17" s="118">
        <f t="shared" si="1"/>
        <v>67961.827116836328</v>
      </c>
      <c r="L17" s="118">
        <f t="shared" si="1"/>
        <v>67961.827116836328</v>
      </c>
      <c r="M17" s="118">
        <f t="shared" si="1"/>
        <v>67961.827116836328</v>
      </c>
      <c r="N17" s="118">
        <f t="shared" si="1"/>
        <v>67961.827116836328</v>
      </c>
      <c r="O17" s="33">
        <f>AVERAGE(C17:N17)</f>
        <v>67961.827116836328</v>
      </c>
    </row>
    <row r="18" spans="1:17" x14ac:dyDescent="0.2">
      <c r="A18" s="3" t="s">
        <v>242</v>
      </c>
      <c r="B18" s="24" t="s">
        <v>232</v>
      </c>
      <c r="C18" s="119">
        <f t="shared" ref="C18:N18" si="2">$O$48</f>
        <v>1.2586195055848992</v>
      </c>
      <c r="D18" s="119">
        <f t="shared" si="2"/>
        <v>1.2586195055848992</v>
      </c>
      <c r="E18" s="119">
        <f t="shared" si="2"/>
        <v>1.2586195055848992</v>
      </c>
      <c r="F18" s="119">
        <f t="shared" si="2"/>
        <v>1.2586195055848992</v>
      </c>
      <c r="G18" s="119">
        <f t="shared" si="2"/>
        <v>1.2586195055848992</v>
      </c>
      <c r="H18" s="119">
        <f t="shared" si="2"/>
        <v>1.2586195055848992</v>
      </c>
      <c r="I18" s="119">
        <f t="shared" si="2"/>
        <v>1.2586195055848992</v>
      </c>
      <c r="J18" s="119">
        <f t="shared" si="2"/>
        <v>1.2586195055848992</v>
      </c>
      <c r="K18" s="119">
        <f t="shared" si="2"/>
        <v>1.2586195055848992</v>
      </c>
      <c r="L18" s="119">
        <f t="shared" si="2"/>
        <v>1.2586195055848992</v>
      </c>
      <c r="M18" s="119">
        <f t="shared" si="2"/>
        <v>1.2586195055848992</v>
      </c>
      <c r="N18" s="119">
        <f t="shared" si="2"/>
        <v>1.2586195055848992</v>
      </c>
      <c r="O18" s="120">
        <f>AVERAGE(C18:N18)</f>
        <v>1.2586195055848994</v>
      </c>
    </row>
    <row r="19" spans="1:17" x14ac:dyDescent="0.2">
      <c r="A19" s="3" t="s">
        <v>243</v>
      </c>
      <c r="B19" s="24" t="s">
        <v>224</v>
      </c>
      <c r="C19" s="33">
        <f t="shared" ref="C19:N19" si="3">C17*C18</f>
        <v>85538.08124443893</v>
      </c>
      <c r="D19" s="33">
        <f t="shared" si="3"/>
        <v>85538.08124443893</v>
      </c>
      <c r="E19" s="33">
        <f t="shared" si="3"/>
        <v>85538.08124443893</v>
      </c>
      <c r="F19" s="33">
        <f t="shared" si="3"/>
        <v>85538.08124443893</v>
      </c>
      <c r="G19" s="33">
        <f t="shared" si="3"/>
        <v>85538.08124443893</v>
      </c>
      <c r="H19" s="33">
        <f t="shared" si="3"/>
        <v>85538.08124443893</v>
      </c>
      <c r="I19" s="33">
        <f t="shared" si="3"/>
        <v>85538.08124443893</v>
      </c>
      <c r="J19" s="33">
        <f t="shared" si="3"/>
        <v>85538.08124443893</v>
      </c>
      <c r="K19" s="33">
        <f t="shared" si="3"/>
        <v>85538.08124443893</v>
      </c>
      <c r="L19" s="33">
        <f t="shared" si="3"/>
        <v>85538.08124443893</v>
      </c>
      <c r="M19" s="33">
        <f t="shared" si="3"/>
        <v>85538.08124443893</v>
      </c>
      <c r="N19" s="33">
        <f t="shared" si="3"/>
        <v>85538.08124443893</v>
      </c>
      <c r="O19" s="33">
        <f>AVERAGE(C19:N19)</f>
        <v>85538.081244438916</v>
      </c>
    </row>
    <row r="20" spans="1:17" x14ac:dyDescent="0.2">
      <c r="A20" s="3" t="s">
        <v>231</v>
      </c>
      <c r="B20" s="24" t="s">
        <v>232</v>
      </c>
      <c r="C20" s="120">
        <f t="shared" ref="C20:N20" si="4">IF($B$5=1,B8,1)</f>
        <v>1</v>
      </c>
      <c r="D20" s="120">
        <f t="shared" si="4"/>
        <v>1.1000000000000001</v>
      </c>
      <c r="E20" s="120">
        <f t="shared" si="4"/>
        <v>1.2</v>
      </c>
      <c r="F20" s="120">
        <f t="shared" si="4"/>
        <v>1.1000000000000001</v>
      </c>
      <c r="G20" s="120">
        <f t="shared" si="4"/>
        <v>1.2</v>
      </c>
      <c r="H20" s="120">
        <f t="shared" si="4"/>
        <v>1</v>
      </c>
      <c r="I20" s="120">
        <f t="shared" si="4"/>
        <v>1</v>
      </c>
      <c r="J20" s="120">
        <f t="shared" si="4"/>
        <v>1.1000000000000001</v>
      </c>
      <c r="K20" s="120">
        <f t="shared" si="4"/>
        <v>1.1000000000000001</v>
      </c>
      <c r="L20" s="120">
        <f t="shared" si="4"/>
        <v>1.2</v>
      </c>
      <c r="M20" s="120">
        <f t="shared" si="4"/>
        <v>1.4</v>
      </c>
      <c r="N20" s="120">
        <f t="shared" si="4"/>
        <v>1.7</v>
      </c>
      <c r="O20" s="33"/>
    </row>
    <row r="21" spans="1:17" x14ac:dyDescent="0.2">
      <c r="A21" s="3" t="s">
        <v>668</v>
      </c>
      <c r="B21" s="24" t="s">
        <v>232</v>
      </c>
      <c r="C21" s="255">
        <v>0.263776119867834</v>
      </c>
      <c r="D21" s="255">
        <v>0.81388611301799596</v>
      </c>
      <c r="E21" s="255">
        <v>1.01137843408256</v>
      </c>
      <c r="F21" s="255">
        <v>1.16978710448103</v>
      </c>
      <c r="G21" s="255">
        <v>1.1038020507741799</v>
      </c>
      <c r="H21" s="255">
        <v>1.0095670100215199</v>
      </c>
      <c r="I21" s="255">
        <v>0.93340832113304995</v>
      </c>
      <c r="J21" s="255">
        <v>0.97832509845096005</v>
      </c>
      <c r="K21" s="255">
        <v>0.95914225338329395</v>
      </c>
      <c r="L21" s="255">
        <v>1.1546503169708899</v>
      </c>
      <c r="M21" s="255">
        <v>1.1996366929567699</v>
      </c>
      <c r="N21" s="255">
        <v>1.1425111361493101</v>
      </c>
      <c r="O21" s="33">
        <f>AVERAGE(C21:N21)</f>
        <v>0.97832255427411619</v>
      </c>
    </row>
    <row r="22" spans="1:17" x14ac:dyDescent="0.2">
      <c r="A22" s="45" t="s">
        <v>244</v>
      </c>
      <c r="B22" s="196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192" t="s">
        <v>615</v>
      </c>
    </row>
    <row r="23" spans="1:17" x14ac:dyDescent="0.2">
      <c r="A23" s="34" t="s">
        <v>245</v>
      </c>
      <c r="B23" s="76" t="s">
        <v>226</v>
      </c>
      <c r="C23" s="33">
        <f t="shared" ref="C23:J23" si="5">C15*C17*C20/1000000</f>
        <v>149.38009600280625</v>
      </c>
      <c r="D23" s="33">
        <f t="shared" si="5"/>
        <v>121.03321791237383</v>
      </c>
      <c r="E23" s="33">
        <f t="shared" si="5"/>
        <v>136.35860992722041</v>
      </c>
      <c r="F23" s="33">
        <f t="shared" si="5"/>
        <v>117.89338149957601</v>
      </c>
      <c r="G23" s="33">
        <f t="shared" si="5"/>
        <v>124.94102297159191</v>
      </c>
      <c r="H23" s="33">
        <f t="shared" si="5"/>
        <v>136.60327250484102</v>
      </c>
      <c r="I23" s="33">
        <f t="shared" si="5"/>
        <v>147.74901215200219</v>
      </c>
      <c r="J23" s="33">
        <f t="shared" si="5"/>
        <v>161.10351118046054</v>
      </c>
      <c r="K23" s="33">
        <f>K15*K17*K18*K20/1000000</f>
        <v>206.82338202174137</v>
      </c>
      <c r="L23" s="33">
        <f>L15*L17*L18*L20/1000000</f>
        <v>236.22990652010523</v>
      </c>
      <c r="M23" s="33">
        <f>M15*M17*M18*M20/1000000</f>
        <v>289.38163548712902</v>
      </c>
      <c r="N23" s="33">
        <f>N15*N17*N18*N20/1000000</f>
        <v>368.96158524608944</v>
      </c>
      <c r="O23" s="33">
        <f>SUM(C23:N23)</f>
        <v>2196.458633425937</v>
      </c>
      <c r="P23" s="34"/>
    </row>
    <row r="24" spans="1:17" ht="15" customHeight="1" thickBot="1" x14ac:dyDescent="0.25">
      <c r="A24" s="77" t="s">
        <v>246</v>
      </c>
      <c r="B24" s="78" t="s">
        <v>226</v>
      </c>
      <c r="C24" s="68">
        <f t="shared" ref="C24:N24" si="6">C16*C19*C20*C21/1000000</f>
        <v>58.642590237161343</v>
      </c>
      <c r="D24" s="68">
        <f t="shared" si="6"/>
        <v>146.60647559290351</v>
      </c>
      <c r="E24" s="68">
        <f t="shared" si="6"/>
        <v>205.24906583006486</v>
      </c>
      <c r="F24" s="68">
        <f t="shared" si="6"/>
        <v>205.24906583006432</v>
      </c>
      <c r="G24" s="68">
        <f t="shared" si="6"/>
        <v>205.24906583006529</v>
      </c>
      <c r="H24" s="68">
        <f t="shared" si="6"/>
        <v>205.24906583006555</v>
      </c>
      <c r="I24" s="68">
        <f t="shared" si="6"/>
        <v>205.24906583006509</v>
      </c>
      <c r="J24" s="68">
        <f t="shared" si="6"/>
        <v>234.57036094864583</v>
      </c>
      <c r="K24" s="68">
        <f t="shared" si="6"/>
        <v>234.57036094864574</v>
      </c>
      <c r="L24" s="68">
        <f t="shared" si="6"/>
        <v>322.53424630438656</v>
      </c>
      <c r="M24" s="68">
        <f t="shared" si="6"/>
        <v>410.49813166012876</v>
      </c>
      <c r="N24" s="68">
        <f t="shared" si="6"/>
        <v>498.46201701587313</v>
      </c>
      <c r="O24" s="68">
        <f>SUM(C24:N24)</f>
        <v>2932.1295118580701</v>
      </c>
      <c r="P24" s="68">
        <f>O23</f>
        <v>2196.458633425937</v>
      </c>
    </row>
    <row r="25" spans="1:17" ht="15" customHeight="1" thickTop="1" x14ac:dyDescent="0.2"/>
    <row r="26" spans="1:17" x14ac:dyDescent="0.2">
      <c r="A26" s="88" t="s">
        <v>247</v>
      </c>
      <c r="B26" s="88"/>
      <c r="C26" s="88"/>
      <c r="D26" s="88"/>
      <c r="E26" s="194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193" t="s">
        <v>616</v>
      </c>
    </row>
    <row r="27" spans="1:17" x14ac:dyDescent="0.2">
      <c r="A27" s="87" t="s">
        <v>248</v>
      </c>
      <c r="O27" s="29"/>
    </row>
    <row r="28" spans="1:17" x14ac:dyDescent="0.2">
      <c r="A28" s="95" t="s">
        <v>430</v>
      </c>
      <c r="O28" s="121">
        <v>6195.4</v>
      </c>
    </row>
    <row r="29" spans="1:17" x14ac:dyDescent="0.2">
      <c r="A29" s="95" t="s">
        <v>249</v>
      </c>
      <c r="O29" s="122">
        <f>'APP Медиа'!P54</f>
        <v>3998.9413665740626</v>
      </c>
    </row>
    <row r="30" spans="1:17" x14ac:dyDescent="0.2">
      <c r="A30" s="86" t="s">
        <v>250</v>
      </c>
      <c r="O30" s="90">
        <f>O28-O29</f>
        <v>2196.458633425937</v>
      </c>
    </row>
    <row r="31" spans="1:17" x14ac:dyDescent="0.2">
      <c r="A31" s="95" t="s">
        <v>251</v>
      </c>
      <c r="O31" s="123">
        <f>SUMPRODUCT(C15:J15,C20:J20)</f>
        <v>16112.9</v>
      </c>
    </row>
    <row r="32" spans="1:17" x14ac:dyDescent="0.2">
      <c r="A32" s="95" t="s">
        <v>252</v>
      </c>
      <c r="O32" s="123">
        <f>SUMPRODUCT(K15:N15,K20:N20)</f>
        <v>12876.095573474999</v>
      </c>
    </row>
    <row r="33" spans="1:17" x14ac:dyDescent="0.2">
      <c r="A33" s="95" t="s">
        <v>253</v>
      </c>
      <c r="O33" s="124">
        <f>O47</f>
        <v>17576.254127602599</v>
      </c>
    </row>
    <row r="34" spans="1:17" x14ac:dyDescent="0.2">
      <c r="A34" s="95" t="s">
        <v>254</v>
      </c>
      <c r="O34" s="91">
        <f>O32*O33/1000000</f>
        <v>226.3135279706955</v>
      </c>
    </row>
    <row r="35" spans="1:17" x14ac:dyDescent="0.2">
      <c r="A35" s="86" t="s">
        <v>255</v>
      </c>
      <c r="O35" s="109">
        <f>(O30-O34)*1000000/(O31+O32)</f>
        <v>67961.827116836328</v>
      </c>
    </row>
    <row r="37" spans="1:17" x14ac:dyDescent="0.2">
      <c r="A37" s="88" t="s">
        <v>256</v>
      </c>
      <c r="B37" s="88"/>
      <c r="C37" s="194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193" t="s">
        <v>617</v>
      </c>
    </row>
    <row r="38" spans="1:17" x14ac:dyDescent="0.2">
      <c r="A38" s="87"/>
    </row>
    <row r="39" spans="1:17" x14ac:dyDescent="0.2">
      <c r="A39" s="95" t="s">
        <v>257</v>
      </c>
      <c r="O39" s="124">
        <f>ПРАЙС!G28</f>
        <v>25714285.710000001</v>
      </c>
    </row>
    <row r="40" spans="1:17" x14ac:dyDescent="0.2">
      <c r="A40" s="95" t="s">
        <v>140</v>
      </c>
      <c r="O40" s="124">
        <f>ПРАЙС!G5</f>
        <v>3125000</v>
      </c>
    </row>
    <row r="41" spans="1:17" x14ac:dyDescent="0.2">
      <c r="A41" s="95" t="s">
        <v>258</v>
      </c>
      <c r="O41" s="124">
        <f>ПРАЙС!G15</f>
        <v>3977777.7779999999</v>
      </c>
    </row>
    <row r="42" spans="1:17" x14ac:dyDescent="0.2">
      <c r="A42" s="86" t="s">
        <v>259</v>
      </c>
      <c r="O42" s="109">
        <f>ПРАЙС!G70</f>
        <v>32817063.488000002</v>
      </c>
    </row>
    <row r="43" spans="1:17" x14ac:dyDescent="0.2">
      <c r="A43" s="95" t="s">
        <v>260</v>
      </c>
      <c r="O43" s="124">
        <f>ПРАЙС!G68</f>
        <v>89325000</v>
      </c>
    </row>
    <row r="44" spans="1:17" x14ac:dyDescent="0.2">
      <c r="A44" s="95" t="s">
        <v>261</v>
      </c>
      <c r="O44" s="124">
        <f>ПРАЙС!G69</f>
        <v>7200000</v>
      </c>
    </row>
    <row r="46" spans="1:17" x14ac:dyDescent="0.2">
      <c r="A46" s="95" t="s">
        <v>262</v>
      </c>
      <c r="O46" s="124">
        <f>AVERAGE(C15:J15)</f>
        <v>1867.125</v>
      </c>
    </row>
    <row r="47" spans="1:17" x14ac:dyDescent="0.2">
      <c r="A47" s="86" t="s">
        <v>263</v>
      </c>
      <c r="O47" s="109">
        <f>O42/O46</f>
        <v>17576.254127602599</v>
      </c>
    </row>
    <row r="48" spans="1:17" x14ac:dyDescent="0.2">
      <c r="A48" s="86" t="s">
        <v>264</v>
      </c>
      <c r="O48" s="113">
        <f>1+O47/O35</f>
        <v>1.2586195055848992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6F3C"/>
  </sheetPr>
  <dimension ref="A1:R35"/>
  <sheetViews>
    <sheetView showGridLines="0" zoomScaleNormal="80" workbookViewId="0"/>
  </sheetViews>
  <sheetFormatPr baseColWidth="10" defaultColWidth="8.6640625" defaultRowHeight="15" x14ac:dyDescent="0.2"/>
  <cols>
    <col min="1" max="1" width="26" customWidth="1"/>
    <col min="2" max="13" width="11.5" customWidth="1"/>
    <col min="14" max="14" width="12.83203125" bestFit="1" customWidth="1"/>
    <col min="15" max="16" width="11.5" customWidth="1"/>
    <col min="17" max="17" width="90" bestFit="1" customWidth="1"/>
    <col min="26" max="26" width="12.83203125" bestFit="1" customWidth="1"/>
  </cols>
  <sheetData>
    <row r="1" spans="1:15" x14ac:dyDescent="0.2">
      <c r="A1" s="46" t="s">
        <v>404</v>
      </c>
    </row>
    <row r="2" spans="1:15" x14ac:dyDescent="0.2">
      <c r="A2" s="1" t="s">
        <v>431</v>
      </c>
    </row>
    <row r="4" spans="1:15" x14ac:dyDescent="0.2">
      <c r="A4" s="37" t="s">
        <v>196</v>
      </c>
      <c r="B4" s="72" t="s">
        <v>14</v>
      </c>
      <c r="C4" s="72" t="s">
        <v>15</v>
      </c>
      <c r="D4" s="72" t="s">
        <v>16</v>
      </c>
      <c r="E4" s="72" t="s">
        <v>17</v>
      </c>
      <c r="F4" s="72" t="s">
        <v>18</v>
      </c>
      <c r="G4" s="72" t="s">
        <v>19</v>
      </c>
      <c r="H4" s="72" t="s">
        <v>20</v>
      </c>
      <c r="I4" s="72" t="s">
        <v>21</v>
      </c>
      <c r="J4" s="72" t="s">
        <v>22</v>
      </c>
      <c r="K4" s="72" t="s">
        <v>23</v>
      </c>
      <c r="L4" s="72" t="s">
        <v>24</v>
      </c>
      <c r="M4" s="72" t="s">
        <v>25</v>
      </c>
      <c r="N4" s="73" t="s">
        <v>197</v>
      </c>
      <c r="O4" s="192" t="s">
        <v>675</v>
      </c>
    </row>
    <row r="5" spans="1:15" ht="15" customHeight="1" thickBot="1" x14ac:dyDescent="0.25">
      <c r="A5" s="75" t="s">
        <v>198</v>
      </c>
      <c r="B5" s="74">
        <v>1</v>
      </c>
      <c r="C5" s="74">
        <v>1.1000000000000001</v>
      </c>
      <c r="D5" s="74">
        <v>1.2</v>
      </c>
      <c r="E5" s="74">
        <v>1.1000000000000001</v>
      </c>
      <c r="F5" s="74">
        <v>1.2</v>
      </c>
      <c r="G5" s="74">
        <v>1</v>
      </c>
      <c r="H5" s="74">
        <v>1</v>
      </c>
      <c r="I5" s="74">
        <v>1.1000000000000001</v>
      </c>
      <c r="J5" s="74">
        <v>1.1000000000000001</v>
      </c>
      <c r="K5" s="74">
        <v>1.2</v>
      </c>
      <c r="L5" s="74">
        <v>1.4</v>
      </c>
      <c r="M5" s="74">
        <v>1.7</v>
      </c>
      <c r="N5" s="74">
        <f>SUM(B5:M5)</f>
        <v>14.1</v>
      </c>
    </row>
    <row r="6" spans="1:15" ht="15" customHeight="1" thickTop="1" thickBot="1" x14ac:dyDescent="0.25">
      <c r="A6" s="75" t="s">
        <v>692</v>
      </c>
      <c r="B6" s="257">
        <v>0.18</v>
      </c>
      <c r="C6" s="257">
        <v>0.40909090909090873</v>
      </c>
      <c r="D6" s="257">
        <v>0.52499999999999991</v>
      </c>
      <c r="E6" s="257">
        <v>0.57272727272727297</v>
      </c>
      <c r="F6" s="257">
        <v>0.52499999999999991</v>
      </c>
      <c r="G6" s="257">
        <v>0.63</v>
      </c>
      <c r="H6" s="257">
        <v>0.63</v>
      </c>
      <c r="I6" s="257">
        <v>0.65454545454545476</v>
      </c>
      <c r="J6" s="257">
        <v>0.65454545454545476</v>
      </c>
      <c r="K6" s="257">
        <v>0.82500000000000007</v>
      </c>
      <c r="L6" s="257">
        <v>0.89999999999999991</v>
      </c>
      <c r="M6" s="257">
        <v>0.89999999999999991</v>
      </c>
      <c r="N6" s="257">
        <v>0.63829787234042556</v>
      </c>
    </row>
    <row r="7" spans="1:15" ht="15" customHeight="1" thickTop="1" thickBot="1" x14ac:dyDescent="0.25">
      <c r="A7" s="75" t="s">
        <v>693</v>
      </c>
      <c r="B7" s="257">
        <v>6.985604133065855E-2</v>
      </c>
      <c r="C7" s="257">
        <v>0.15594075371685306</v>
      </c>
      <c r="D7" s="257">
        <v>0.15250181017517311</v>
      </c>
      <c r="E7" s="257">
        <v>0.1064458574146931</v>
      </c>
      <c r="F7" s="257">
        <v>0.33938425399864031</v>
      </c>
      <c r="G7" s="257">
        <v>0.70163249248481596</v>
      </c>
      <c r="H7" s="257">
        <v>0.89999999999999991</v>
      </c>
      <c r="I7" s="257">
        <v>0.55313782646312748</v>
      </c>
      <c r="J7" s="257">
        <v>0.68662284789313988</v>
      </c>
      <c r="K7" s="257">
        <v>0.45257033491876852</v>
      </c>
      <c r="L7" s="257">
        <v>0.51916772737902117</v>
      </c>
      <c r="M7" s="257">
        <v>0.60824823279651041</v>
      </c>
      <c r="N7" s="257">
        <v>0.44099681140765001</v>
      </c>
    </row>
    <row r="8" spans="1:15" ht="16" thickTop="1" x14ac:dyDescent="0.2"/>
    <row r="9" spans="1:15" x14ac:dyDescent="0.2">
      <c r="A9" s="45" t="s">
        <v>265</v>
      </c>
      <c r="B9" s="32"/>
      <c r="C9" s="196"/>
      <c r="D9" s="32"/>
      <c r="E9" s="32"/>
      <c r="F9" s="32"/>
      <c r="G9" s="32"/>
      <c r="H9" s="32"/>
      <c r="I9" s="32"/>
      <c r="J9" s="32"/>
      <c r="K9" s="32"/>
      <c r="L9" s="192" t="s">
        <v>618</v>
      </c>
    </row>
    <row r="10" spans="1:15" ht="31.5" customHeight="1" x14ac:dyDescent="0.2">
      <c r="A10" s="2" t="s">
        <v>117</v>
      </c>
      <c r="B10" s="2" t="s">
        <v>266</v>
      </c>
      <c r="C10" s="2" t="s">
        <v>267</v>
      </c>
      <c r="D10" s="2" t="s">
        <v>268</v>
      </c>
      <c r="E10" s="2" t="s">
        <v>269</v>
      </c>
      <c r="F10" s="2" t="s">
        <v>270</v>
      </c>
      <c r="G10" s="2" t="s">
        <v>271</v>
      </c>
      <c r="H10" s="2" t="s">
        <v>272</v>
      </c>
      <c r="I10" s="2" t="s">
        <v>273</v>
      </c>
      <c r="J10" s="2" t="s">
        <v>214</v>
      </c>
      <c r="K10" s="2" t="s">
        <v>215</v>
      </c>
    </row>
    <row r="11" spans="1:15" x14ac:dyDescent="0.2">
      <c r="A11" s="3" t="s">
        <v>120</v>
      </c>
      <c r="B11" s="114">
        <f>DATA!B74</f>
        <v>16500</v>
      </c>
      <c r="C11" s="17">
        <v>57000</v>
      </c>
      <c r="D11" s="114">
        <f>ПРАЙС!B76</f>
        <v>4809</v>
      </c>
      <c r="E11" s="114">
        <f>ПРАЙС!C76</f>
        <v>2885.4</v>
      </c>
      <c r="F11" s="116">
        <f>DATA!C74</f>
        <v>12</v>
      </c>
      <c r="G11" s="23">
        <v>12</v>
      </c>
      <c r="H11" s="19">
        <v>0.92500000000000004</v>
      </c>
      <c r="I11" s="19">
        <v>1</v>
      </c>
      <c r="J11" s="10">
        <f t="shared" ref="J11:J23" si="0">B11*D11*F11*H11/1000000</f>
        <v>880.76835000000005</v>
      </c>
      <c r="K11" s="10">
        <f t="shared" ref="K11:K23" si="1">C11*E11*G11*I11/1000000</f>
        <v>1973.6135999999999</v>
      </c>
    </row>
    <row r="12" spans="1:15" x14ac:dyDescent="0.2">
      <c r="A12" s="3" t="s">
        <v>385</v>
      </c>
      <c r="B12" s="114">
        <f>DATA!B75</f>
        <v>40500</v>
      </c>
      <c r="C12" s="17">
        <v>0</v>
      </c>
      <c r="D12" s="114">
        <f>ПРАЙС!B77</f>
        <v>4809</v>
      </c>
      <c r="E12" s="114">
        <f>ПРАЙС!C77</f>
        <v>2885.4</v>
      </c>
      <c r="F12" s="116">
        <f>DATA!C75</f>
        <v>3</v>
      </c>
      <c r="G12" s="23">
        <v>0</v>
      </c>
      <c r="H12" s="19">
        <v>0.92500000000000004</v>
      </c>
      <c r="I12" s="19">
        <v>1</v>
      </c>
      <c r="J12" s="10">
        <f t="shared" si="0"/>
        <v>540.47148749999997</v>
      </c>
      <c r="K12" s="10">
        <f t="shared" si="1"/>
        <v>0</v>
      </c>
    </row>
    <row r="13" spans="1:15" x14ac:dyDescent="0.2">
      <c r="A13" s="3" t="s">
        <v>121</v>
      </c>
      <c r="B13" s="114">
        <f>DATA!B76</f>
        <v>25</v>
      </c>
      <c r="C13" s="17">
        <v>2750</v>
      </c>
      <c r="D13" s="114">
        <f>ПРАЙС!B78</f>
        <v>28800</v>
      </c>
      <c r="E13" s="114">
        <f>ПРАЙС!C78</f>
        <v>30240</v>
      </c>
      <c r="F13" s="116">
        <f>DATA!C76</f>
        <v>12</v>
      </c>
      <c r="G13" s="23">
        <v>12</v>
      </c>
      <c r="H13" s="19">
        <v>0.92500000000000004</v>
      </c>
      <c r="I13" s="19">
        <v>1</v>
      </c>
      <c r="J13" s="10">
        <f t="shared" si="0"/>
        <v>7.992</v>
      </c>
      <c r="K13" s="10">
        <f t="shared" si="1"/>
        <v>997.92</v>
      </c>
    </row>
    <row r="14" spans="1:15" x14ac:dyDescent="0.2">
      <c r="A14" s="3" t="s">
        <v>386</v>
      </c>
      <c r="B14" s="114">
        <f>DATA!B77</f>
        <v>2725</v>
      </c>
      <c r="C14" s="17">
        <v>3250</v>
      </c>
      <c r="D14" s="114">
        <f>ПРАЙС!B79</f>
        <v>28800</v>
      </c>
      <c r="E14" s="114">
        <f>ПРАЙС!C79</f>
        <v>30240</v>
      </c>
      <c r="F14" s="116">
        <f>DATA!C77</f>
        <v>3</v>
      </c>
      <c r="G14" s="23">
        <v>2</v>
      </c>
      <c r="H14" s="19">
        <v>0.92500000000000004</v>
      </c>
      <c r="I14" s="19">
        <v>1</v>
      </c>
      <c r="J14" s="10">
        <f t="shared" si="0"/>
        <v>217.78200000000001</v>
      </c>
      <c r="K14" s="10">
        <f t="shared" si="1"/>
        <v>196.56</v>
      </c>
    </row>
    <row r="15" spans="1:15" x14ac:dyDescent="0.2">
      <c r="A15" s="3" t="s">
        <v>122</v>
      </c>
      <c r="B15" s="114">
        <f>DATA!B78</f>
        <v>400</v>
      </c>
      <c r="C15" s="17">
        <v>1231</v>
      </c>
      <c r="D15" s="114">
        <f>ПРАЙС!B80</f>
        <v>30214</v>
      </c>
      <c r="E15" s="114">
        <f>ПРАЙС!C80</f>
        <v>24171.200000000001</v>
      </c>
      <c r="F15" s="116">
        <f>DATA!C78</f>
        <v>12</v>
      </c>
      <c r="G15" s="23">
        <v>12</v>
      </c>
      <c r="H15" s="19">
        <v>0.92500000000000004</v>
      </c>
      <c r="I15" s="19">
        <v>1</v>
      </c>
      <c r="J15" s="10">
        <f t="shared" si="0"/>
        <v>134.15016</v>
      </c>
      <c r="K15" s="10">
        <f t="shared" si="1"/>
        <v>357.05696639999996</v>
      </c>
    </row>
    <row r="16" spans="1:15" x14ac:dyDescent="0.2">
      <c r="A16" s="3" t="s">
        <v>387</v>
      </c>
      <c r="B16" s="114">
        <f>DATA!B79</f>
        <v>831</v>
      </c>
      <c r="C16" s="17">
        <v>428</v>
      </c>
      <c r="D16" s="114">
        <f>ПРАЙС!B81</f>
        <v>30214</v>
      </c>
      <c r="E16" s="114">
        <f>ПРАЙС!C81</f>
        <v>24171.200000000001</v>
      </c>
      <c r="F16" s="116">
        <f>DATA!C79</f>
        <v>4</v>
      </c>
      <c r="G16" s="23">
        <v>4</v>
      </c>
      <c r="H16" s="19">
        <v>0.92500000000000004</v>
      </c>
      <c r="I16" s="19">
        <v>1</v>
      </c>
      <c r="J16" s="10">
        <f t="shared" si="0"/>
        <v>92.898985799999991</v>
      </c>
      <c r="K16" s="10">
        <f t="shared" si="1"/>
        <v>41.381094400000002</v>
      </c>
    </row>
    <row r="17" spans="1:18" x14ac:dyDescent="0.2">
      <c r="A17" s="3" t="s">
        <v>123</v>
      </c>
      <c r="B17" s="114">
        <f>DATA!B80</f>
        <v>2310</v>
      </c>
      <c r="C17" s="17">
        <v>2310</v>
      </c>
      <c r="D17" s="114">
        <f>ПРАЙС!B82</f>
        <v>14350</v>
      </c>
      <c r="E17" s="114">
        <f>ПРАЙС!C82</f>
        <v>11480</v>
      </c>
      <c r="F17" s="116">
        <f>DATA!C80</f>
        <v>12</v>
      </c>
      <c r="G17" s="23">
        <v>12</v>
      </c>
      <c r="H17" s="19">
        <v>0.92500000000000004</v>
      </c>
      <c r="I17" s="19">
        <v>1</v>
      </c>
      <c r="J17" s="10">
        <f t="shared" si="0"/>
        <v>367.94835</v>
      </c>
      <c r="K17" s="10">
        <f t="shared" si="1"/>
        <v>318.22559999999999</v>
      </c>
    </row>
    <row r="18" spans="1:18" x14ac:dyDescent="0.2">
      <c r="A18" s="3" t="s">
        <v>124</v>
      </c>
      <c r="B18" s="114">
        <f>DATA!B81</f>
        <v>6121</v>
      </c>
      <c r="C18" s="17">
        <v>6121</v>
      </c>
      <c r="D18" s="114">
        <f>ПРАЙС!B83</f>
        <v>1784</v>
      </c>
      <c r="E18" s="114">
        <f>ПРАЙС!C83</f>
        <v>1784</v>
      </c>
      <c r="F18" s="116">
        <f>DATA!C81</f>
        <v>12</v>
      </c>
      <c r="G18" s="23">
        <v>12</v>
      </c>
      <c r="H18" s="19">
        <v>0.92500000000000004</v>
      </c>
      <c r="I18" s="19">
        <v>1</v>
      </c>
      <c r="J18" s="10">
        <f t="shared" si="0"/>
        <v>121.21049040000001</v>
      </c>
      <c r="K18" s="10">
        <f t="shared" si="1"/>
        <v>131.03836799999999</v>
      </c>
    </row>
    <row r="19" spans="1:18" x14ac:dyDescent="0.2">
      <c r="A19" s="3" t="s">
        <v>125</v>
      </c>
      <c r="B19" s="114">
        <f>DATA!B82</f>
        <v>3821</v>
      </c>
      <c r="C19" s="17">
        <v>3821</v>
      </c>
      <c r="D19" s="114">
        <f>ПРАЙС!B84</f>
        <v>506</v>
      </c>
      <c r="E19" s="114">
        <f>ПРАЙС!C84</f>
        <v>2024</v>
      </c>
      <c r="F19" s="116">
        <f>DATA!C82</f>
        <v>12</v>
      </c>
      <c r="G19" s="23">
        <v>12</v>
      </c>
      <c r="H19" s="19">
        <v>0.92500000000000004</v>
      </c>
      <c r="I19" s="19">
        <v>1</v>
      </c>
      <c r="J19" s="10">
        <f t="shared" si="0"/>
        <v>21.461028600000002</v>
      </c>
      <c r="K19" s="10">
        <f t="shared" si="1"/>
        <v>92.804447999999994</v>
      </c>
    </row>
    <row r="20" spans="1:18" x14ac:dyDescent="0.2">
      <c r="A20" s="3" t="s">
        <v>126</v>
      </c>
      <c r="B20" s="114">
        <f>DATA!B83</f>
        <v>4408</v>
      </c>
      <c r="C20" s="17">
        <v>4408</v>
      </c>
      <c r="D20" s="114">
        <f>ПРАЙС!B85</f>
        <v>1112</v>
      </c>
      <c r="E20" s="114">
        <f>ПРАЙС!C85</f>
        <v>1112</v>
      </c>
      <c r="F20" s="116">
        <f>DATA!C83</f>
        <v>12</v>
      </c>
      <c r="G20" s="23">
        <v>12</v>
      </c>
      <c r="H20" s="19">
        <v>0.92500000000000004</v>
      </c>
      <c r="I20" s="19">
        <v>1</v>
      </c>
      <c r="J20" s="10">
        <f t="shared" si="0"/>
        <v>54.4088256</v>
      </c>
      <c r="K20" s="10">
        <f t="shared" si="1"/>
        <v>58.820352</v>
      </c>
    </row>
    <row r="21" spans="1:18" x14ac:dyDescent="0.2">
      <c r="A21" s="3" t="s">
        <v>127</v>
      </c>
      <c r="B21" s="114">
        <f>DATA!B84</f>
        <v>0</v>
      </c>
      <c r="C21" s="17">
        <v>1</v>
      </c>
      <c r="D21" s="114">
        <f>ПРАЙС!B86</f>
        <v>200000</v>
      </c>
      <c r="E21" s="114">
        <f>ПРАЙС!C86</f>
        <v>240000</v>
      </c>
      <c r="F21" s="116">
        <f>DATA!C84</f>
        <v>12</v>
      </c>
      <c r="G21" s="23">
        <v>12</v>
      </c>
      <c r="H21" s="19">
        <v>0.92500000000000004</v>
      </c>
      <c r="I21" s="19">
        <v>1</v>
      </c>
      <c r="J21" s="10">
        <f t="shared" si="0"/>
        <v>0</v>
      </c>
      <c r="K21" s="10">
        <f t="shared" si="1"/>
        <v>2.88</v>
      </c>
    </row>
    <row r="22" spans="1:18" x14ac:dyDescent="0.2">
      <c r="A22" s="3" t="s">
        <v>388</v>
      </c>
      <c r="B22" s="114">
        <f>DATA!B85</f>
        <v>1</v>
      </c>
      <c r="C22" s="17">
        <v>20</v>
      </c>
      <c r="D22" s="114">
        <f>ПРАЙС!B87</f>
        <v>200000</v>
      </c>
      <c r="E22" s="114">
        <f>ПРАЙС!C87</f>
        <v>240000</v>
      </c>
      <c r="F22" s="116">
        <f>DATA!C85</f>
        <v>4</v>
      </c>
      <c r="G22" s="23">
        <v>2</v>
      </c>
      <c r="H22" s="19">
        <v>0.92500000000000004</v>
      </c>
      <c r="I22" s="19">
        <v>1</v>
      </c>
      <c r="J22" s="10">
        <f t="shared" si="0"/>
        <v>0.74</v>
      </c>
      <c r="K22" s="10">
        <f t="shared" si="1"/>
        <v>9.6</v>
      </c>
    </row>
    <row r="23" spans="1:18" x14ac:dyDescent="0.2">
      <c r="A23" s="3" t="s">
        <v>128</v>
      </c>
      <c r="B23" s="114">
        <f>DATA!B86</f>
        <v>79</v>
      </c>
      <c r="C23" s="17">
        <v>79</v>
      </c>
      <c r="D23" s="114">
        <f>ПРАЙС!B88</f>
        <v>7136</v>
      </c>
      <c r="E23" s="114">
        <f>ПРАЙС!C88</f>
        <v>7136</v>
      </c>
      <c r="F23" s="116">
        <f>DATA!C86</f>
        <v>12</v>
      </c>
      <c r="G23" s="23">
        <v>12</v>
      </c>
      <c r="H23" s="19">
        <v>0.92500000000000004</v>
      </c>
      <c r="I23" s="19">
        <v>1</v>
      </c>
      <c r="J23" s="10">
        <f t="shared" si="0"/>
        <v>6.2575584000000006</v>
      </c>
      <c r="K23" s="10">
        <f t="shared" si="1"/>
        <v>6.7649280000000003</v>
      </c>
    </row>
    <row r="24" spans="1:18" x14ac:dyDescent="0.2">
      <c r="A24" s="86" t="s">
        <v>274</v>
      </c>
      <c r="B24" s="21">
        <f>SUM(B11:B23)</f>
        <v>77721</v>
      </c>
      <c r="C24" s="21">
        <f>SUM(C11:C23)</f>
        <v>81419</v>
      </c>
      <c r="J24" s="5">
        <f>SUM(J11:J23)</f>
        <v>2446.0892362999998</v>
      </c>
      <c r="K24" s="5">
        <f>SUM(K11:K23)</f>
        <v>4186.6653568000002</v>
      </c>
      <c r="Q24" s="92"/>
    </row>
    <row r="26" spans="1:18" x14ac:dyDescent="0.2">
      <c r="A26" s="45" t="s">
        <v>275</v>
      </c>
      <c r="B26" s="32"/>
      <c r="C26" s="196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192" t="s">
        <v>674</v>
      </c>
    </row>
    <row r="27" spans="1:18" x14ac:dyDescent="0.2">
      <c r="A27" s="2" t="s">
        <v>0</v>
      </c>
      <c r="B27" s="2" t="s">
        <v>218</v>
      </c>
      <c r="C27" s="2" t="s">
        <v>14</v>
      </c>
      <c r="D27" s="2" t="s">
        <v>15</v>
      </c>
      <c r="E27" s="2" t="s">
        <v>16</v>
      </c>
      <c r="F27" s="2" t="s">
        <v>17</v>
      </c>
      <c r="G27" s="2" t="s">
        <v>18</v>
      </c>
      <c r="H27" s="2" t="s">
        <v>19</v>
      </c>
      <c r="I27" s="2" t="s">
        <v>20</v>
      </c>
      <c r="J27" s="2" t="s">
        <v>21</v>
      </c>
      <c r="K27" s="2" t="s">
        <v>22</v>
      </c>
      <c r="L27" s="2" t="s">
        <v>23</v>
      </c>
      <c r="M27" s="2" t="s">
        <v>24</v>
      </c>
      <c r="N27" s="2" t="s">
        <v>25</v>
      </c>
      <c r="O27" s="2" t="s">
        <v>1</v>
      </c>
      <c r="P27" s="2" t="s">
        <v>2</v>
      </c>
    </row>
    <row r="28" spans="1:18" ht="15" customHeight="1" thickBot="1" x14ac:dyDescent="0.25">
      <c r="A28" s="82" t="s">
        <v>276</v>
      </c>
      <c r="B28" s="83" t="s">
        <v>226</v>
      </c>
      <c r="C28" s="84">
        <f>$K$24*B$5*B$6/SUMPRODUCT($B$5:$M$5,$B$6:$M$6)</f>
        <v>83.733307135999993</v>
      </c>
      <c r="D28" s="84">
        <f t="shared" ref="D28:N28" si="2">$K$24*C$5*C$6/SUMPRODUCT($B$5:$M$5,$B$6:$M$6)</f>
        <v>209.33326783999985</v>
      </c>
      <c r="E28" s="84">
        <f t="shared" si="2"/>
        <v>293.06657497599991</v>
      </c>
      <c r="F28" s="84">
        <f t="shared" si="2"/>
        <v>293.0665749760002</v>
      </c>
      <c r="G28" s="84">
        <f t="shared" si="2"/>
        <v>293.06657497599991</v>
      </c>
      <c r="H28" s="84">
        <f t="shared" si="2"/>
        <v>293.06657497600003</v>
      </c>
      <c r="I28" s="84">
        <f t="shared" si="2"/>
        <v>293.06657497600003</v>
      </c>
      <c r="J28" s="84">
        <f t="shared" si="2"/>
        <v>334.93322854400014</v>
      </c>
      <c r="K28" s="84">
        <f t="shared" si="2"/>
        <v>334.93322854400014</v>
      </c>
      <c r="L28" s="84">
        <f t="shared" si="2"/>
        <v>460.5331892480001</v>
      </c>
      <c r="M28" s="84">
        <f t="shared" si="2"/>
        <v>586.13314995199994</v>
      </c>
      <c r="N28" s="84">
        <f t="shared" si="2"/>
        <v>711.73311065600001</v>
      </c>
      <c r="O28" s="85">
        <f>SUM(C28:N28)</f>
        <v>4186.6653568000002</v>
      </c>
      <c r="P28" s="84">
        <f>J24</f>
        <v>2446.0892362999998</v>
      </c>
    </row>
    <row r="29" spans="1:18" x14ac:dyDescent="0.2">
      <c r="A29" s="125" t="s">
        <v>277</v>
      </c>
      <c r="B29" s="24" t="s">
        <v>226</v>
      </c>
      <c r="C29" s="34">
        <v>27.481634773852459</v>
      </c>
      <c r="D29" s="34">
        <v>67.482460131010896</v>
      </c>
      <c r="E29" s="34">
        <v>71.993756927868702</v>
      </c>
      <c r="F29" s="34">
        <v>46.063829742295141</v>
      </c>
      <c r="G29" s="34">
        <v>160.21808173593649</v>
      </c>
      <c r="H29" s="34">
        <v>276.02491547818312</v>
      </c>
      <c r="I29" s="34">
        <v>354.06345428870071</v>
      </c>
      <c r="J29" s="34">
        <v>239.36719832089639</v>
      </c>
      <c r="K29" s="34">
        <v>297.13207005605477</v>
      </c>
      <c r="L29" s="34">
        <v>213.65148811991119</v>
      </c>
      <c r="M29" s="34">
        <v>285.93960719493663</v>
      </c>
      <c r="N29" s="34">
        <v>406.78822180797943</v>
      </c>
      <c r="O29" s="33">
        <f>SUM(C29:N29)</f>
        <v>2446.2067185776259</v>
      </c>
      <c r="Q29" s="126"/>
    </row>
    <row r="30" spans="1:18" x14ac:dyDescent="0.2"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</row>
    <row r="31" spans="1:18" x14ac:dyDescent="0.2">
      <c r="A31" s="88" t="s">
        <v>405</v>
      </c>
      <c r="B31" s="98"/>
      <c r="C31" s="98"/>
      <c r="D31" s="197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192" t="s">
        <v>619</v>
      </c>
    </row>
    <row r="32" spans="1:18" x14ac:dyDescent="0.2">
      <c r="A32" s="95" t="s">
        <v>278</v>
      </c>
      <c r="O32" s="109">
        <f>B11+B13+B15+B17+B18+B19+B20+B21+B23</f>
        <v>33664</v>
      </c>
      <c r="Q32" s="92" t="s">
        <v>279</v>
      </c>
    </row>
    <row r="33" spans="1:17" x14ac:dyDescent="0.2">
      <c r="A33" s="95" t="s">
        <v>280</v>
      </c>
      <c r="O33" s="109">
        <f>B12+B14+B16+B22</f>
        <v>44057</v>
      </c>
      <c r="Q33" s="92" t="s">
        <v>406</v>
      </c>
    </row>
    <row r="34" spans="1:17" x14ac:dyDescent="0.2">
      <c r="A34" s="95" t="s">
        <v>281</v>
      </c>
      <c r="O34" s="109">
        <f>B24</f>
        <v>77721</v>
      </c>
      <c r="Q34" s="92" t="s">
        <v>407</v>
      </c>
    </row>
    <row r="35" spans="1:17" x14ac:dyDescent="0.2">
      <c r="A35" s="95" t="s">
        <v>132</v>
      </c>
      <c r="O35" s="109">
        <f>SUMPRODUCT(B11:B23,F11:F23)/12</f>
        <v>44747.583333333336</v>
      </c>
      <c r="Q35" s="92" t="s">
        <v>282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F3C"/>
  </sheetPr>
  <dimension ref="A1:R25"/>
  <sheetViews>
    <sheetView showGridLines="0" zoomScaleNormal="80" workbookViewId="0">
      <pane ySplit="5" topLeftCell="A6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2" width="11" customWidth="1"/>
    <col min="3" max="14" width="10" customWidth="1"/>
    <col min="15" max="16" width="13" customWidth="1"/>
    <col min="17" max="17" width="75.33203125" bestFit="1" customWidth="1"/>
  </cols>
  <sheetData>
    <row r="1" spans="1:18" x14ac:dyDescent="0.2">
      <c r="A1" s="46" t="s">
        <v>408</v>
      </c>
    </row>
    <row r="2" spans="1:18" x14ac:dyDescent="0.2">
      <c r="A2" s="1" t="s">
        <v>409</v>
      </c>
    </row>
    <row r="3" spans="1:18" x14ac:dyDescent="0.2">
      <c r="C3" s="254">
        <f>C9/$O$9</f>
        <v>0.02</v>
      </c>
      <c r="D3" s="254">
        <f t="shared" ref="D3:N3" si="0">D9/$O$9</f>
        <v>4.9999999999999996E-2</v>
      </c>
      <c r="E3" s="254">
        <f t="shared" si="0"/>
        <v>6.9999999999999993E-2</v>
      </c>
      <c r="F3" s="254">
        <f t="shared" si="0"/>
        <v>7.0000000000000007E-2</v>
      </c>
      <c r="G3" s="254">
        <f t="shared" si="0"/>
        <v>7.0000000000000007E-2</v>
      </c>
      <c r="H3" s="254">
        <f t="shared" si="0"/>
        <v>7.0000000000000007E-2</v>
      </c>
      <c r="I3" s="254">
        <f t="shared" si="0"/>
        <v>6.9999999999999993E-2</v>
      </c>
      <c r="J3" s="254">
        <f t="shared" si="0"/>
        <v>0.08</v>
      </c>
      <c r="K3" s="254">
        <f t="shared" si="0"/>
        <v>0.08</v>
      </c>
      <c r="L3" s="254">
        <f t="shared" si="0"/>
        <v>0.11</v>
      </c>
      <c r="M3" s="254">
        <f t="shared" si="0"/>
        <v>0.13999999999999999</v>
      </c>
      <c r="N3" s="254">
        <f t="shared" si="0"/>
        <v>0.16999999999999998</v>
      </c>
    </row>
    <row r="4" spans="1:18" x14ac:dyDescent="0.2">
      <c r="A4" s="45" t="s">
        <v>283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192" t="s">
        <v>620</v>
      </c>
    </row>
    <row r="5" spans="1:18" x14ac:dyDescent="0.2">
      <c r="A5" s="2" t="s">
        <v>0</v>
      </c>
      <c r="B5" s="2" t="s">
        <v>218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1</v>
      </c>
      <c r="P5" s="2" t="s">
        <v>2</v>
      </c>
      <c r="Q5" s="30" t="s">
        <v>4</v>
      </c>
    </row>
    <row r="6" spans="1:18" x14ac:dyDescent="0.2">
      <c r="A6" s="3" t="s">
        <v>284</v>
      </c>
      <c r="B6" s="24" t="s">
        <v>226</v>
      </c>
      <c r="C6" s="23">
        <v>7.3142857142857043</v>
      </c>
      <c r="D6" s="23">
        <v>23.999999999999961</v>
      </c>
      <c r="E6" s="23">
        <v>27.999999999999989</v>
      </c>
      <c r="F6" s="23">
        <v>24.888888888888882</v>
      </c>
      <c r="G6" s="23">
        <v>29.866666666666649</v>
      </c>
      <c r="H6" s="23">
        <v>31.359999999999989</v>
      </c>
      <c r="I6" s="23">
        <v>31.111111111111118</v>
      </c>
      <c r="J6" s="23">
        <v>25.599999999999977</v>
      </c>
      <c r="K6" s="23">
        <v>35.555555555555564</v>
      </c>
      <c r="L6" s="23">
        <v>52.79999999999994</v>
      </c>
      <c r="M6" s="23">
        <v>44.799999999999912</v>
      </c>
      <c r="N6" s="23">
        <v>57.263157894736892</v>
      </c>
      <c r="O6" s="5">
        <f>SUM(C6:N6)</f>
        <v>392.55966583124456</v>
      </c>
      <c r="Q6" s="31" t="s">
        <v>10</v>
      </c>
    </row>
    <row r="7" spans="1:18" x14ac:dyDescent="0.2">
      <c r="A7" s="3" t="s">
        <v>285</v>
      </c>
      <c r="B7" s="24" t="s">
        <v>226</v>
      </c>
      <c r="C7" s="23">
        <v>15.542857142857155</v>
      </c>
      <c r="D7" s="23">
        <v>33.333333333333329</v>
      </c>
      <c r="E7" s="23">
        <v>55.999999999999979</v>
      </c>
      <c r="F7" s="23">
        <v>62.2222222222222</v>
      </c>
      <c r="G7" s="23">
        <v>58.666666666666671</v>
      </c>
      <c r="H7" s="23">
        <v>55.999999999999979</v>
      </c>
      <c r="I7" s="23">
        <v>55.999999999999986</v>
      </c>
      <c r="J7" s="23">
        <v>70.399999999999977</v>
      </c>
      <c r="K7" s="23">
        <v>63.999999999999979</v>
      </c>
      <c r="L7" s="23">
        <v>79.199999999999989</v>
      </c>
      <c r="M7" s="23">
        <v>112.00000000000007</v>
      </c>
      <c r="N7" s="23">
        <v>124.54736842105235</v>
      </c>
      <c r="O7" s="5">
        <f>SUM(C7:N7)</f>
        <v>787.91244778613179</v>
      </c>
      <c r="Q7" s="31"/>
    </row>
    <row r="8" spans="1:18" x14ac:dyDescent="0.2">
      <c r="A8" s="3" t="s">
        <v>286</v>
      </c>
      <c r="B8" s="24" t="s">
        <v>226</v>
      </c>
      <c r="C8" s="23">
        <v>9.1428571428571299</v>
      </c>
      <c r="D8" s="23">
        <v>22.666666666666682</v>
      </c>
      <c r="E8" s="23">
        <v>27.999999999999989</v>
      </c>
      <c r="F8" s="23">
        <v>24.888888888888882</v>
      </c>
      <c r="G8" s="23">
        <v>23.466666666666654</v>
      </c>
      <c r="H8" s="23">
        <v>24.639999999999993</v>
      </c>
      <c r="I8" s="23">
        <v>24.888888888888861</v>
      </c>
      <c r="J8" s="23">
        <v>32.000000000000014</v>
      </c>
      <c r="K8" s="23">
        <v>28.444444444444414</v>
      </c>
      <c r="L8" s="23">
        <v>44.000000000000014</v>
      </c>
      <c r="M8" s="23">
        <v>67.199999999999932</v>
      </c>
      <c r="N8" s="23">
        <v>90.189473684210654</v>
      </c>
      <c r="O8" s="5">
        <f>SUM(C8:N8)</f>
        <v>419.52788638262319</v>
      </c>
      <c r="Q8" s="31"/>
    </row>
    <row r="9" spans="1:18" x14ac:dyDescent="0.2">
      <c r="A9" s="7" t="s">
        <v>287</v>
      </c>
      <c r="B9" s="28" t="s">
        <v>226</v>
      </c>
      <c r="C9" s="8">
        <f t="shared" ref="C9:N9" si="1">C6+C7+C8</f>
        <v>31.999999999999993</v>
      </c>
      <c r="D9" s="8">
        <f t="shared" si="1"/>
        <v>79.999999999999972</v>
      </c>
      <c r="E9" s="8">
        <f t="shared" si="1"/>
        <v>111.99999999999996</v>
      </c>
      <c r="F9" s="8">
        <f t="shared" si="1"/>
        <v>111.99999999999997</v>
      </c>
      <c r="G9" s="8">
        <f t="shared" si="1"/>
        <v>111.99999999999997</v>
      </c>
      <c r="H9" s="8">
        <f t="shared" si="1"/>
        <v>111.99999999999997</v>
      </c>
      <c r="I9" s="8">
        <f t="shared" si="1"/>
        <v>111.99999999999996</v>
      </c>
      <c r="J9" s="8">
        <f t="shared" si="1"/>
        <v>127.99999999999997</v>
      </c>
      <c r="K9" s="8">
        <f t="shared" si="1"/>
        <v>127.99999999999996</v>
      </c>
      <c r="L9" s="8">
        <f t="shared" si="1"/>
        <v>175.99999999999994</v>
      </c>
      <c r="M9" s="8">
        <f t="shared" si="1"/>
        <v>223.99999999999991</v>
      </c>
      <c r="N9" s="8">
        <f t="shared" si="1"/>
        <v>271.99999999999989</v>
      </c>
      <c r="O9" s="8">
        <f>SUM(C9:N9)</f>
        <v>1599.9999999999995</v>
      </c>
      <c r="P9" s="9">
        <f>O23</f>
        <v>986.99999999999989</v>
      </c>
      <c r="Q9" s="31"/>
    </row>
    <row r="11" spans="1:18" x14ac:dyDescent="0.2">
      <c r="A11" s="3" t="s">
        <v>288</v>
      </c>
      <c r="B11" s="24" t="s">
        <v>229</v>
      </c>
      <c r="C11" s="19">
        <v>0.24969524589106029</v>
      </c>
      <c r="D11" s="19">
        <v>0.24969524589106029</v>
      </c>
      <c r="E11" s="19">
        <v>0.24969524589106029</v>
      </c>
      <c r="F11" s="19">
        <v>0.24969524589106029</v>
      </c>
      <c r="G11" s="19">
        <v>0.24969524589106029</v>
      </c>
      <c r="H11" s="19">
        <v>0.24969524589106029</v>
      </c>
      <c r="I11" s="19">
        <v>0.24969524589106029</v>
      </c>
      <c r="J11" s="19">
        <v>0.24969524589106029</v>
      </c>
      <c r="K11" s="19">
        <v>0.24969524589106029</v>
      </c>
      <c r="L11" s="19">
        <v>0.24969524589106029</v>
      </c>
      <c r="M11" s="19">
        <v>0.24969524589106029</v>
      </c>
      <c r="N11" s="19">
        <v>0.24969524589106029</v>
      </c>
      <c r="O11" s="18">
        <f>AVERAGE(C11:N11)</f>
        <v>0.24969524589106037</v>
      </c>
      <c r="Q11" s="31"/>
    </row>
    <row r="12" spans="1:18" x14ac:dyDescent="0.2">
      <c r="A12" s="3" t="s">
        <v>289</v>
      </c>
      <c r="B12" s="24" t="s">
        <v>229</v>
      </c>
      <c r="C12" s="19">
        <v>0.43727143441829541</v>
      </c>
      <c r="D12" s="19">
        <v>0.37474603824255104</v>
      </c>
      <c r="E12" s="19">
        <v>0.43727143441829541</v>
      </c>
      <c r="F12" s="19">
        <v>0.37474603824255104</v>
      </c>
      <c r="G12" s="19">
        <v>0.37474603824255104</v>
      </c>
      <c r="H12" s="19">
        <v>0.37474603824255104</v>
      </c>
      <c r="I12" s="19">
        <v>0.37474603824255104</v>
      </c>
      <c r="J12" s="19">
        <v>0.37474603824255104</v>
      </c>
      <c r="K12" s="19">
        <v>0.43727143441829541</v>
      </c>
      <c r="L12" s="19">
        <v>0.37474603824255104</v>
      </c>
      <c r="M12" s="19">
        <v>0.43727143441829541</v>
      </c>
      <c r="N12" s="19">
        <v>0.43727143441829541</v>
      </c>
      <c r="O12" s="18">
        <f>AVERAGE(C12:N12)</f>
        <v>0.4007982866491111</v>
      </c>
      <c r="Q12" s="31"/>
    </row>
    <row r="13" spans="1:18" x14ac:dyDescent="0.2">
      <c r="A13" s="3" t="s">
        <v>290</v>
      </c>
      <c r="B13" s="24" t="s">
        <v>229</v>
      </c>
      <c r="C13" s="19">
        <v>0.43727143441829541</v>
      </c>
      <c r="D13" s="19">
        <v>0.43727143441829541</v>
      </c>
      <c r="E13" s="19">
        <v>0.43727143441829541</v>
      </c>
      <c r="F13" s="19">
        <v>0.43727143441829541</v>
      </c>
      <c r="G13" s="19">
        <v>0.43727143441829541</v>
      </c>
      <c r="H13" s="19">
        <v>0.43727143441829541</v>
      </c>
      <c r="I13" s="19">
        <v>0.43727143441829541</v>
      </c>
      <c r="J13" s="19">
        <v>0.43727143441829541</v>
      </c>
      <c r="K13" s="19">
        <v>0.43727143441829541</v>
      </c>
      <c r="L13" s="19">
        <v>0.43727143441829541</v>
      </c>
      <c r="M13" s="19">
        <v>0.43727143441829541</v>
      </c>
      <c r="N13" s="19">
        <v>0.43727143441829541</v>
      </c>
      <c r="O13" s="18">
        <f>AVERAGE(C13:N13)</f>
        <v>0.43727143441829536</v>
      </c>
      <c r="Q13" s="31"/>
    </row>
    <row r="14" spans="1:18" x14ac:dyDescent="0.2">
      <c r="A14" s="46" t="s">
        <v>291</v>
      </c>
      <c r="B14" s="24" t="s">
        <v>226</v>
      </c>
      <c r="C14" s="5">
        <f t="shared" ref="C14:N14" si="2">C6*(1-C11)+C7*(1-C12)+C8*(1-C13)</f>
        <v>19.379299934699461</v>
      </c>
      <c r="D14" s="5">
        <f>D6*(1-D11)+D7*(1-D12)+D8*(1-D13)</f>
        <v>51.604293643714797</v>
      </c>
      <c r="E14" s="5">
        <f t="shared" si="2"/>
        <v>68.277732623913479</v>
      </c>
      <c r="F14" s="5">
        <f t="shared" si="2"/>
        <v>71.584631354986172</v>
      </c>
      <c r="G14" s="5">
        <f t="shared" si="2"/>
        <v>72.296031418141325</v>
      </c>
      <c r="H14" s="5">
        <f t="shared" si="2"/>
        <v>72.409410803206669</v>
      </c>
      <c r="I14" s="5">
        <f t="shared" si="2"/>
        <v>72.36272517406212</v>
      </c>
      <c r="J14" s="5">
        <f t="shared" si="2"/>
        <v>81.232994711527795</v>
      </c>
      <c r="K14" s="5">
        <f t="shared" si="2"/>
        <v>78.698631986537634</v>
      </c>
      <c r="L14" s="5">
        <f t="shared" si="2"/>
        <v>113.89626167373693</v>
      </c>
      <c r="M14" s="5">
        <f t="shared" si="2"/>
        <v>134.4546119363219</v>
      </c>
      <c r="N14" s="5">
        <f t="shared" si="2"/>
        <v>163.80337473915159</v>
      </c>
      <c r="O14" s="5">
        <f>SUM(C14:N14)</f>
        <v>1000</v>
      </c>
      <c r="Q14" s="31"/>
    </row>
    <row r="15" spans="1:18" x14ac:dyDescent="0.2">
      <c r="A15" s="3" t="s">
        <v>292</v>
      </c>
      <c r="B15" s="24" t="s">
        <v>229</v>
      </c>
      <c r="C15" s="18">
        <f t="shared" ref="C15:O15" si="3">IFERROR(1-C14/C9,"")</f>
        <v>0.39439687704064175</v>
      </c>
      <c r="D15" s="18">
        <f t="shared" si="3"/>
        <v>0.35494632945356486</v>
      </c>
      <c r="E15" s="18">
        <f t="shared" si="3"/>
        <v>0.39037738728648652</v>
      </c>
      <c r="F15" s="18">
        <f t="shared" si="3"/>
        <v>0.36085150575905189</v>
      </c>
      <c r="G15" s="18">
        <f t="shared" si="3"/>
        <v>0.35449971948088088</v>
      </c>
      <c r="H15" s="18">
        <f t="shared" si="3"/>
        <v>0.3534874035427974</v>
      </c>
      <c r="I15" s="18">
        <f t="shared" si="3"/>
        <v>0.35390423951730221</v>
      </c>
      <c r="J15" s="18">
        <f t="shared" si="3"/>
        <v>0.36536722881618899</v>
      </c>
      <c r="K15" s="18">
        <f t="shared" si="3"/>
        <v>0.38516693760517451</v>
      </c>
      <c r="L15" s="18">
        <f t="shared" si="3"/>
        <v>0.35286214958104001</v>
      </c>
      <c r="M15" s="18">
        <f t="shared" si="3"/>
        <v>0.39975619671284846</v>
      </c>
      <c r="N15" s="18">
        <f t="shared" si="3"/>
        <v>0.39778171051782474</v>
      </c>
      <c r="O15" s="22">
        <f t="shared" si="3"/>
        <v>0.37499999999999978</v>
      </c>
      <c r="Q15" s="31"/>
    </row>
    <row r="17" spans="1:18" x14ac:dyDescent="0.2">
      <c r="A17" s="45" t="s">
        <v>293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192" t="s">
        <v>621</v>
      </c>
    </row>
    <row r="18" spans="1:18" x14ac:dyDescent="0.2">
      <c r="A18" s="3" t="s">
        <v>9</v>
      </c>
      <c r="B18" s="24" t="s">
        <v>226</v>
      </c>
      <c r="C18" s="23">
        <v>0.748</v>
      </c>
      <c r="D18" s="23">
        <v>2.8049999999999997</v>
      </c>
      <c r="E18" s="23">
        <v>4.3633333333333333</v>
      </c>
      <c r="F18" s="23">
        <v>3.4906666666666673</v>
      </c>
      <c r="G18" s="23">
        <v>4.3633333333333333</v>
      </c>
      <c r="H18" s="23">
        <v>3.6361111111111111</v>
      </c>
      <c r="I18" s="23">
        <v>3.4906666666666673</v>
      </c>
      <c r="J18" s="23">
        <v>3.3244444444444445</v>
      </c>
      <c r="K18" s="23">
        <v>4.9866666666666672</v>
      </c>
      <c r="L18" s="23">
        <v>6.8566666666666665</v>
      </c>
      <c r="M18" s="23">
        <v>8.7266666666666666</v>
      </c>
      <c r="N18" s="23">
        <v>7.3361538461538469</v>
      </c>
      <c r="O18" s="5">
        <f>SUM(C18:N18)</f>
        <v>54.12770940170941</v>
      </c>
      <c r="Q18" s="31" t="s">
        <v>10</v>
      </c>
    </row>
    <row r="19" spans="1:18" x14ac:dyDescent="0.2">
      <c r="A19" s="3" t="s">
        <v>294</v>
      </c>
      <c r="B19" s="24" t="s">
        <v>226</v>
      </c>
      <c r="C19" s="23">
        <v>2.992</v>
      </c>
      <c r="D19" s="23">
        <v>6.5449999999999999</v>
      </c>
      <c r="E19" s="23">
        <v>8.7266666666666666</v>
      </c>
      <c r="F19" s="23">
        <v>9.5993333333333339</v>
      </c>
      <c r="G19" s="23">
        <v>8.7266666666666666</v>
      </c>
      <c r="H19" s="23">
        <v>9.4538888888888906</v>
      </c>
      <c r="I19" s="23">
        <v>9.5993333333333339</v>
      </c>
      <c r="J19" s="23">
        <v>11.635555555555555</v>
      </c>
      <c r="K19" s="23">
        <v>9.9733333333333345</v>
      </c>
      <c r="L19" s="23">
        <v>13.713333333333333</v>
      </c>
      <c r="M19" s="23">
        <v>17.453333333333333</v>
      </c>
      <c r="N19" s="23">
        <v>24.453846153846158</v>
      </c>
      <c r="O19" s="5">
        <f>SUM(C19:N19)</f>
        <v>132.87229059829059</v>
      </c>
      <c r="Q19" s="31"/>
    </row>
    <row r="20" spans="1:18" x14ac:dyDescent="0.2">
      <c r="A20" s="7" t="s">
        <v>295</v>
      </c>
      <c r="B20" s="28" t="s">
        <v>226</v>
      </c>
      <c r="C20" s="8">
        <f t="shared" ref="C20:N20" si="4">C18+C19</f>
        <v>3.74</v>
      </c>
      <c r="D20" s="8">
        <f t="shared" si="4"/>
        <v>9.35</v>
      </c>
      <c r="E20" s="8">
        <f t="shared" si="4"/>
        <v>13.09</v>
      </c>
      <c r="F20" s="8">
        <f t="shared" si="4"/>
        <v>13.090000000000002</v>
      </c>
      <c r="G20" s="8">
        <f t="shared" si="4"/>
        <v>13.09</v>
      </c>
      <c r="H20" s="8">
        <f t="shared" si="4"/>
        <v>13.090000000000002</v>
      </c>
      <c r="I20" s="8">
        <f t="shared" si="4"/>
        <v>13.090000000000002</v>
      </c>
      <c r="J20" s="8">
        <f t="shared" si="4"/>
        <v>14.96</v>
      </c>
      <c r="K20" s="8">
        <f t="shared" si="4"/>
        <v>14.96</v>
      </c>
      <c r="L20" s="8">
        <f t="shared" si="4"/>
        <v>20.57</v>
      </c>
      <c r="M20" s="8">
        <f t="shared" si="4"/>
        <v>26.18</v>
      </c>
      <c r="N20" s="8">
        <f t="shared" si="4"/>
        <v>31.790000000000006</v>
      </c>
      <c r="O20" s="8">
        <f>SUM(C20:N20)</f>
        <v>187</v>
      </c>
      <c r="P20" s="9">
        <f>O24</f>
        <v>102.4</v>
      </c>
      <c r="Q20" s="31"/>
    </row>
    <row r="22" spans="1:18" x14ac:dyDescent="0.2">
      <c r="A22" s="45" t="s">
        <v>296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192" t="s">
        <v>622</v>
      </c>
    </row>
    <row r="23" spans="1:18" x14ac:dyDescent="0.2">
      <c r="A23" s="3" t="s">
        <v>297</v>
      </c>
      <c r="B23" s="24" t="s">
        <v>226</v>
      </c>
      <c r="C23" s="23">
        <v>16.899999999999999</v>
      </c>
      <c r="D23" s="23">
        <v>11.7</v>
      </c>
      <c r="E23" s="23">
        <v>3.4</v>
      </c>
      <c r="F23" s="23">
        <v>25.5</v>
      </c>
      <c r="G23" s="23">
        <v>57.6</v>
      </c>
      <c r="H23" s="23">
        <v>213.3</v>
      </c>
      <c r="I23" s="23">
        <v>71.900000000000006</v>
      </c>
      <c r="J23" s="23">
        <v>97.3</v>
      </c>
      <c r="K23" s="23">
        <v>120.8</v>
      </c>
      <c r="L23" s="23">
        <v>86.9</v>
      </c>
      <c r="M23" s="23">
        <v>116.3</v>
      </c>
      <c r="N23" s="23">
        <v>165.4</v>
      </c>
      <c r="O23" s="5">
        <f>SUM(C23:N23)</f>
        <v>986.99999999999989</v>
      </c>
      <c r="Q23" s="31"/>
    </row>
    <row r="24" spans="1:18" x14ac:dyDescent="0.2">
      <c r="A24" s="3" t="s">
        <v>298</v>
      </c>
      <c r="B24" s="24" t="s">
        <v>226</v>
      </c>
      <c r="C24" s="23">
        <v>4.5</v>
      </c>
      <c r="D24" s="23">
        <v>1.5</v>
      </c>
      <c r="E24" s="23">
        <v>4.2</v>
      </c>
      <c r="F24" s="23">
        <v>5.3</v>
      </c>
      <c r="G24" s="23">
        <v>4.0999999999999996</v>
      </c>
      <c r="H24" s="23">
        <v>8</v>
      </c>
      <c r="I24" s="23">
        <v>5.7</v>
      </c>
      <c r="J24" s="23">
        <v>11.5</v>
      </c>
      <c r="K24" s="23">
        <v>14.2</v>
      </c>
      <c r="L24" s="23">
        <v>10.199999999999999</v>
      </c>
      <c r="M24" s="23">
        <v>13.7</v>
      </c>
      <c r="N24" s="23">
        <v>19.5</v>
      </c>
      <c r="O24" s="5">
        <f>SUM(C24:N24)</f>
        <v>102.4</v>
      </c>
      <c r="Q24" s="31"/>
    </row>
    <row r="25" spans="1:18" x14ac:dyDescent="0.2">
      <c r="A25" s="3" t="s">
        <v>299</v>
      </c>
      <c r="B25" s="24" t="s">
        <v>226</v>
      </c>
      <c r="C25" s="23">
        <v>17.850000000000001</v>
      </c>
      <c r="D25" s="23">
        <v>23.25</v>
      </c>
      <c r="E25" s="23">
        <v>38.1</v>
      </c>
      <c r="F25" s="23">
        <v>30.84</v>
      </c>
      <c r="G25" s="23">
        <v>38</v>
      </c>
      <c r="H25" s="23">
        <v>37.5</v>
      </c>
      <c r="I25" s="23">
        <v>37.5</v>
      </c>
      <c r="J25" s="23">
        <v>37.5</v>
      </c>
      <c r="K25" s="23">
        <v>40</v>
      </c>
      <c r="L25" s="23">
        <v>45</v>
      </c>
      <c r="M25" s="23">
        <v>72.5</v>
      </c>
      <c r="N25" s="23">
        <v>92.5</v>
      </c>
      <c r="O25" s="5">
        <f>SUM(C25:N25)</f>
        <v>510.54</v>
      </c>
      <c r="Q25" s="31" t="s">
        <v>300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6F3C"/>
  </sheetPr>
  <dimension ref="A1:R38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x14ac:dyDescent="0.2"/>
  <cols>
    <col min="1" max="1" width="44" customWidth="1"/>
    <col min="2" max="2" width="11" customWidth="1"/>
    <col min="3" max="3" width="13.1640625" bestFit="1" customWidth="1"/>
    <col min="4" max="14" width="10" customWidth="1"/>
    <col min="15" max="16" width="13" customWidth="1"/>
  </cols>
  <sheetData>
    <row r="1" spans="1:17" x14ac:dyDescent="0.2">
      <c r="A1" s="46" t="s">
        <v>410</v>
      </c>
    </row>
    <row r="2" spans="1:17" x14ac:dyDescent="0.2">
      <c r="A2" s="1" t="s">
        <v>433</v>
      </c>
      <c r="N2" s="59"/>
    </row>
    <row r="4" spans="1:17" x14ac:dyDescent="0.2">
      <c r="A4" s="45" t="s">
        <v>301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192" t="s">
        <v>623</v>
      </c>
    </row>
    <row r="5" spans="1:17" x14ac:dyDescent="0.2">
      <c r="A5" s="2" t="s">
        <v>0</v>
      </c>
      <c r="B5" s="2" t="s">
        <v>218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1</v>
      </c>
      <c r="P5" s="2" t="s">
        <v>2</v>
      </c>
    </row>
    <row r="6" spans="1:17" x14ac:dyDescent="0.2">
      <c r="A6" s="3" t="s">
        <v>302</v>
      </c>
      <c r="B6" s="24" t="s">
        <v>220</v>
      </c>
      <c r="C6" s="23">
        <v>2</v>
      </c>
      <c r="D6" s="23">
        <v>4</v>
      </c>
      <c r="E6" s="23">
        <v>6</v>
      </c>
      <c r="F6" s="23">
        <v>6</v>
      </c>
      <c r="G6" s="23">
        <v>6</v>
      </c>
      <c r="H6" s="23">
        <v>6</v>
      </c>
      <c r="I6" s="23">
        <v>6</v>
      </c>
      <c r="J6" s="23">
        <v>6</v>
      </c>
      <c r="K6" s="23">
        <v>6</v>
      </c>
      <c r="L6" s="23">
        <v>6</v>
      </c>
      <c r="M6" s="23">
        <v>6</v>
      </c>
      <c r="N6" s="23">
        <v>6</v>
      </c>
      <c r="O6" s="10">
        <f>AVERAGE(C6:N6)</f>
        <v>5.5</v>
      </c>
    </row>
    <row r="7" spans="1:17" x14ac:dyDescent="0.2">
      <c r="A7" s="3" t="s">
        <v>303</v>
      </c>
      <c r="B7" s="24" t="s">
        <v>304</v>
      </c>
      <c r="C7" s="23">
        <v>25</v>
      </c>
      <c r="D7" s="23">
        <v>25</v>
      </c>
      <c r="E7" s="23">
        <v>25</v>
      </c>
      <c r="F7" s="23">
        <v>25</v>
      </c>
      <c r="G7" s="23">
        <v>25</v>
      </c>
      <c r="H7" s="23">
        <v>25</v>
      </c>
      <c r="I7" s="23">
        <v>25</v>
      </c>
      <c r="J7" s="23">
        <v>25</v>
      </c>
      <c r="K7" s="23">
        <v>25</v>
      </c>
      <c r="L7" s="23">
        <v>25</v>
      </c>
      <c r="M7" s="23">
        <v>25</v>
      </c>
      <c r="N7" s="23">
        <v>25</v>
      </c>
      <c r="O7" s="10">
        <f>AVERAGE(C7:N7)</f>
        <v>25</v>
      </c>
    </row>
    <row r="8" spans="1:17" x14ac:dyDescent="0.2">
      <c r="A8" s="3" t="s">
        <v>305</v>
      </c>
      <c r="B8" s="24" t="s">
        <v>220</v>
      </c>
      <c r="C8" s="23">
        <v>60</v>
      </c>
      <c r="D8" s="23">
        <v>60</v>
      </c>
      <c r="E8" s="23">
        <v>60</v>
      </c>
      <c r="F8" s="23">
        <v>60</v>
      </c>
      <c r="G8" s="23">
        <v>60</v>
      </c>
      <c r="H8" s="23">
        <v>60</v>
      </c>
      <c r="I8" s="23">
        <v>60</v>
      </c>
      <c r="J8" s="23">
        <v>60</v>
      </c>
      <c r="K8" s="23">
        <v>60</v>
      </c>
      <c r="L8" s="23">
        <v>70</v>
      </c>
      <c r="M8" s="23">
        <v>70</v>
      </c>
      <c r="N8" s="23">
        <v>70</v>
      </c>
      <c r="O8" s="10">
        <f>AVERAGE(C8:N8)</f>
        <v>62.5</v>
      </c>
    </row>
    <row r="9" spans="1:17" x14ac:dyDescent="0.2">
      <c r="A9" s="3" t="s">
        <v>306</v>
      </c>
      <c r="B9" s="24" t="s">
        <v>232</v>
      </c>
      <c r="C9" s="23">
        <v>4</v>
      </c>
      <c r="D9" s="23">
        <v>4</v>
      </c>
      <c r="E9" s="23">
        <v>4</v>
      </c>
      <c r="F9" s="23">
        <v>4</v>
      </c>
      <c r="G9" s="23">
        <v>4</v>
      </c>
      <c r="H9" s="23">
        <v>4</v>
      </c>
      <c r="I9" s="23">
        <v>4</v>
      </c>
      <c r="J9" s="23">
        <v>4</v>
      </c>
      <c r="K9" s="23">
        <v>4</v>
      </c>
      <c r="L9" s="23">
        <v>4</v>
      </c>
      <c r="M9" s="23">
        <v>4</v>
      </c>
      <c r="N9" s="23">
        <v>4</v>
      </c>
      <c r="O9" s="10">
        <f>AVERAGE(C9:N9)</f>
        <v>4</v>
      </c>
    </row>
    <row r="10" spans="1:17" x14ac:dyDescent="0.2">
      <c r="A10" s="3" t="s">
        <v>307</v>
      </c>
      <c r="B10" s="24" t="s">
        <v>220</v>
      </c>
      <c r="C10" s="20">
        <f>C6*C7*C8*C9</f>
        <v>12000</v>
      </c>
      <c r="D10" s="20">
        <f t="shared" ref="D10:N10" si="0">D6*D7*D8*D9</f>
        <v>24000</v>
      </c>
      <c r="E10" s="20">
        <f t="shared" si="0"/>
        <v>36000</v>
      </c>
      <c r="F10" s="20">
        <f t="shared" si="0"/>
        <v>36000</v>
      </c>
      <c r="G10" s="20">
        <f t="shared" si="0"/>
        <v>36000</v>
      </c>
      <c r="H10" s="20">
        <f t="shared" si="0"/>
        <v>36000</v>
      </c>
      <c r="I10" s="20">
        <f t="shared" si="0"/>
        <v>36000</v>
      </c>
      <c r="J10" s="20">
        <f t="shared" si="0"/>
        <v>36000</v>
      </c>
      <c r="K10" s="20">
        <f t="shared" si="0"/>
        <v>36000</v>
      </c>
      <c r="L10" s="20">
        <f t="shared" si="0"/>
        <v>42000</v>
      </c>
      <c r="M10" s="20">
        <f t="shared" si="0"/>
        <v>42000</v>
      </c>
      <c r="N10" s="20">
        <f t="shared" si="0"/>
        <v>42000</v>
      </c>
      <c r="O10" s="21">
        <f>SUM(C10:N10)</f>
        <v>414000</v>
      </c>
    </row>
    <row r="11" spans="1:17" x14ac:dyDescent="0.2">
      <c r="A11" s="3" t="s">
        <v>308</v>
      </c>
      <c r="B11" s="24" t="s">
        <v>220</v>
      </c>
      <c r="C11" s="17">
        <v>948</v>
      </c>
      <c r="D11" s="17">
        <v>1185</v>
      </c>
      <c r="E11" s="17">
        <v>1106</v>
      </c>
      <c r="F11" s="17">
        <v>1106</v>
      </c>
      <c r="G11" s="17">
        <v>1106</v>
      </c>
      <c r="H11" s="17">
        <v>1106</v>
      </c>
      <c r="I11" s="17">
        <v>1106</v>
      </c>
      <c r="J11" s="17">
        <v>1264</v>
      </c>
      <c r="K11" s="17">
        <v>1264</v>
      </c>
      <c r="L11" s="17">
        <v>1489.7142857142901</v>
      </c>
      <c r="M11" s="17">
        <v>1896</v>
      </c>
      <c r="N11" s="17">
        <v>2302.2857142857101</v>
      </c>
      <c r="O11" s="20">
        <f>AVERAGE(C11:N11)</f>
        <v>1323.25</v>
      </c>
    </row>
    <row r="12" spans="1:17" x14ac:dyDescent="0.2">
      <c r="A12" s="3" t="s">
        <v>309</v>
      </c>
      <c r="B12" s="24" t="s">
        <v>232</v>
      </c>
      <c r="C12" s="25"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>
        <v>1</v>
      </c>
      <c r="O12" s="26">
        <f>AVERAGE(C12:N12)</f>
        <v>1</v>
      </c>
    </row>
    <row r="13" spans="1:17" x14ac:dyDescent="0.2">
      <c r="A13" s="46" t="s">
        <v>310</v>
      </c>
      <c r="B13" s="24" t="s">
        <v>311</v>
      </c>
      <c r="C13" s="21">
        <f>C10*C11*C12/1000000</f>
        <v>11.375999999999999</v>
      </c>
      <c r="D13" s="21">
        <f t="shared" ref="D13:N13" si="1">D10*D11*D12/1000000</f>
        <v>28.44</v>
      </c>
      <c r="E13" s="21">
        <f t="shared" si="1"/>
        <v>39.816000000000003</v>
      </c>
      <c r="F13" s="21">
        <f t="shared" si="1"/>
        <v>39.816000000000003</v>
      </c>
      <c r="G13" s="21">
        <f t="shared" si="1"/>
        <v>39.816000000000003</v>
      </c>
      <c r="H13" s="21">
        <f t="shared" si="1"/>
        <v>39.816000000000003</v>
      </c>
      <c r="I13" s="21">
        <f t="shared" si="1"/>
        <v>39.816000000000003</v>
      </c>
      <c r="J13" s="21">
        <f t="shared" si="1"/>
        <v>45.503999999999998</v>
      </c>
      <c r="K13" s="21">
        <f t="shared" si="1"/>
        <v>45.503999999999998</v>
      </c>
      <c r="L13" s="21">
        <f t="shared" si="1"/>
        <v>62.56800000000019</v>
      </c>
      <c r="M13" s="21">
        <f t="shared" si="1"/>
        <v>79.632000000000005</v>
      </c>
      <c r="N13" s="21">
        <f t="shared" si="1"/>
        <v>96.695999999999827</v>
      </c>
      <c r="O13" s="21">
        <f>SUM(C13:N13)</f>
        <v>568.80000000000007</v>
      </c>
    </row>
    <row r="15" spans="1:17" x14ac:dyDescent="0.2">
      <c r="A15" s="45" t="s">
        <v>312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196"/>
      <c r="Q15" s="192" t="s">
        <v>624</v>
      </c>
    </row>
    <row r="16" spans="1:17" x14ac:dyDescent="0.2">
      <c r="A16" s="3" t="s">
        <v>313</v>
      </c>
      <c r="B16" s="24" t="s">
        <v>229</v>
      </c>
      <c r="C16" s="19">
        <v>0.5</v>
      </c>
      <c r="D16" s="19">
        <v>0.5</v>
      </c>
      <c r="E16" s="19">
        <v>0.5</v>
      </c>
      <c r="F16" s="19">
        <v>0.5</v>
      </c>
      <c r="G16" s="19">
        <v>0.5</v>
      </c>
      <c r="H16" s="19">
        <v>0.5</v>
      </c>
      <c r="I16" s="19">
        <v>0.5</v>
      </c>
      <c r="J16" s="19">
        <v>0.5</v>
      </c>
      <c r="K16" s="19">
        <v>0.5</v>
      </c>
      <c r="L16" s="19">
        <v>0.5</v>
      </c>
      <c r="M16" s="19">
        <v>0.5</v>
      </c>
      <c r="N16" s="19">
        <v>0.5</v>
      </c>
      <c r="O16" s="18">
        <f>AVERAGE(C16:N16)</f>
        <v>0.5</v>
      </c>
    </row>
    <row r="17" spans="1:18" x14ac:dyDescent="0.2">
      <c r="A17" s="3" t="s">
        <v>314</v>
      </c>
      <c r="B17" s="24" t="s">
        <v>311</v>
      </c>
      <c r="C17" s="20">
        <f t="shared" ref="C17:N17" si="2">C13*C16</f>
        <v>5.6879999999999997</v>
      </c>
      <c r="D17" s="20">
        <f t="shared" si="2"/>
        <v>14.22</v>
      </c>
      <c r="E17" s="20">
        <f t="shared" si="2"/>
        <v>19.908000000000001</v>
      </c>
      <c r="F17" s="20">
        <f t="shared" si="2"/>
        <v>19.908000000000001</v>
      </c>
      <c r="G17" s="20">
        <f t="shared" si="2"/>
        <v>19.908000000000001</v>
      </c>
      <c r="H17" s="20">
        <f t="shared" si="2"/>
        <v>19.908000000000001</v>
      </c>
      <c r="I17" s="20">
        <f t="shared" si="2"/>
        <v>19.908000000000001</v>
      </c>
      <c r="J17" s="20">
        <f t="shared" si="2"/>
        <v>22.751999999999999</v>
      </c>
      <c r="K17" s="20">
        <f t="shared" si="2"/>
        <v>22.751999999999999</v>
      </c>
      <c r="L17" s="20">
        <f t="shared" si="2"/>
        <v>31.284000000000095</v>
      </c>
      <c r="M17" s="20">
        <f t="shared" si="2"/>
        <v>39.816000000000003</v>
      </c>
      <c r="N17" s="20">
        <f t="shared" si="2"/>
        <v>48.347999999999914</v>
      </c>
      <c r="O17" s="21">
        <f>SUM(C17:N17)</f>
        <v>284.40000000000003</v>
      </c>
    </row>
    <row r="18" spans="1:18" x14ac:dyDescent="0.2">
      <c r="A18" s="3" t="s">
        <v>315</v>
      </c>
      <c r="B18" s="24" t="s">
        <v>311</v>
      </c>
      <c r="C18" s="20">
        <f>C13*(1-C16)</f>
        <v>5.6879999999999997</v>
      </c>
      <c r="D18" s="20">
        <f t="shared" ref="D18:N18" si="3">D13*(1-D16)</f>
        <v>14.22</v>
      </c>
      <c r="E18" s="20">
        <f t="shared" si="3"/>
        <v>19.908000000000001</v>
      </c>
      <c r="F18" s="20">
        <f t="shared" si="3"/>
        <v>19.908000000000001</v>
      </c>
      <c r="G18" s="20">
        <f t="shared" si="3"/>
        <v>19.908000000000001</v>
      </c>
      <c r="H18" s="20">
        <f t="shared" si="3"/>
        <v>19.908000000000001</v>
      </c>
      <c r="I18" s="20">
        <f t="shared" si="3"/>
        <v>19.908000000000001</v>
      </c>
      <c r="J18" s="20">
        <f t="shared" si="3"/>
        <v>22.751999999999999</v>
      </c>
      <c r="K18" s="20">
        <f t="shared" si="3"/>
        <v>22.751999999999999</v>
      </c>
      <c r="L18" s="20">
        <f t="shared" si="3"/>
        <v>31.284000000000095</v>
      </c>
      <c r="M18" s="20">
        <f t="shared" si="3"/>
        <v>39.816000000000003</v>
      </c>
      <c r="N18" s="20">
        <f t="shared" si="3"/>
        <v>48.347999999999914</v>
      </c>
      <c r="O18" s="21">
        <f>SUM(C18:N18)</f>
        <v>284.40000000000003</v>
      </c>
    </row>
    <row r="20" spans="1:18" x14ac:dyDescent="0.2">
      <c r="A20" s="45" t="s">
        <v>316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196"/>
      <c r="Q20" s="192" t="s">
        <v>625</v>
      </c>
    </row>
    <row r="21" spans="1:18" x14ac:dyDescent="0.2">
      <c r="A21" s="3" t="s">
        <v>317</v>
      </c>
      <c r="B21" s="24" t="s">
        <v>318</v>
      </c>
      <c r="C21" s="127">
        <f>ПРАЙС!$B$93</f>
        <v>0.75</v>
      </c>
      <c r="D21" s="127">
        <f>ПРАЙС!$B$93</f>
        <v>0.75</v>
      </c>
      <c r="E21" s="127">
        <f>ПРАЙС!$B$93</f>
        <v>0.75</v>
      </c>
      <c r="F21" s="127">
        <f>ПРАЙС!$B$93</f>
        <v>0.75</v>
      </c>
      <c r="G21" s="127">
        <f>ПРАЙС!$B$93</f>
        <v>0.75</v>
      </c>
      <c r="H21" s="127">
        <f>ПРАЙС!$B$93</f>
        <v>0.75</v>
      </c>
      <c r="I21" s="127">
        <f>ПРАЙС!$B$93</f>
        <v>0.75</v>
      </c>
      <c r="J21" s="127">
        <f>ПРАЙС!$B$93</f>
        <v>0.75</v>
      </c>
      <c r="K21" s="127">
        <f>ПРАЙС!$B$93</f>
        <v>0.75</v>
      </c>
      <c r="L21" s="127">
        <f>ПРАЙС!$B$93</f>
        <v>0.75</v>
      </c>
      <c r="M21" s="127">
        <f>ПРАЙС!$B$93</f>
        <v>0.75</v>
      </c>
      <c r="N21" s="127">
        <f>ПРАЙС!$B$93</f>
        <v>0.75</v>
      </c>
      <c r="O21" s="26">
        <f>AVERAGE(C21:N21)</f>
        <v>0.75</v>
      </c>
    </row>
    <row r="22" spans="1:18" x14ac:dyDescent="0.2">
      <c r="A22" s="95" t="s">
        <v>438</v>
      </c>
      <c r="B22" s="24" t="s">
        <v>318</v>
      </c>
      <c r="C22" s="127">
        <v>0.5</v>
      </c>
      <c r="D22" s="127">
        <v>0.5</v>
      </c>
      <c r="E22" s="127">
        <v>0.5</v>
      </c>
      <c r="F22" s="127">
        <v>0.5</v>
      </c>
      <c r="G22" s="127">
        <v>0.5</v>
      </c>
      <c r="H22" s="127">
        <v>0.5</v>
      </c>
      <c r="I22" s="127">
        <v>0.5</v>
      </c>
      <c r="J22" s="127">
        <v>0.5</v>
      </c>
      <c r="K22" s="127">
        <v>0.5</v>
      </c>
      <c r="L22" s="127">
        <v>0.5</v>
      </c>
      <c r="M22" s="127">
        <v>0.5</v>
      </c>
      <c r="N22" s="127">
        <v>0.5</v>
      </c>
      <c r="O22" s="26">
        <f>AVERAGE(C22:N22)</f>
        <v>0.5</v>
      </c>
    </row>
    <row r="23" spans="1:18" x14ac:dyDescent="0.2">
      <c r="A23" s="3" t="s">
        <v>319</v>
      </c>
      <c r="B23" s="24" t="s">
        <v>318</v>
      </c>
      <c r="C23" s="17">
        <f>80000*1.06</f>
        <v>84800</v>
      </c>
      <c r="D23" s="17">
        <f>70000*1.06</f>
        <v>74200</v>
      </c>
      <c r="E23" s="17">
        <f>90000*1.06</f>
        <v>95400</v>
      </c>
      <c r="F23" s="17">
        <f>93000*1.06</f>
        <v>98580</v>
      </c>
      <c r="G23" s="17">
        <f>95000*1.06</f>
        <v>100700</v>
      </c>
      <c r="H23" s="17">
        <f>100000*1.06</f>
        <v>106000</v>
      </c>
      <c r="I23" s="17">
        <f>100000*1.06</f>
        <v>106000</v>
      </c>
      <c r="J23" s="17">
        <f>107000*1.06</f>
        <v>113420</v>
      </c>
      <c r="K23" s="17">
        <f>107000*1.06</f>
        <v>113420</v>
      </c>
      <c r="L23" s="17">
        <f>107000*1.06</f>
        <v>113420</v>
      </c>
      <c r="M23" s="17">
        <f>115000*1.06</f>
        <v>121900</v>
      </c>
      <c r="N23" s="17">
        <f>120000*1.06</f>
        <v>127200</v>
      </c>
      <c r="O23" s="20">
        <f>AVERAGE(C23:N23)</f>
        <v>104586.66666666667</v>
      </c>
    </row>
    <row r="24" spans="1:18" x14ac:dyDescent="0.2">
      <c r="A24" s="3" t="s">
        <v>320</v>
      </c>
      <c r="B24" s="24" t="s">
        <v>321</v>
      </c>
      <c r="C24" s="10">
        <f>C6*C7*C23/1000000</f>
        <v>4.24</v>
      </c>
      <c r="D24" s="10">
        <f t="shared" ref="D24:N24" si="4">D6*D7*D23/1000000</f>
        <v>7.42</v>
      </c>
      <c r="E24" s="10">
        <f t="shared" si="4"/>
        <v>14.31</v>
      </c>
      <c r="F24" s="10">
        <f t="shared" si="4"/>
        <v>14.787000000000001</v>
      </c>
      <c r="G24" s="10">
        <f t="shared" si="4"/>
        <v>15.105</v>
      </c>
      <c r="H24" s="10">
        <f t="shared" si="4"/>
        <v>15.9</v>
      </c>
      <c r="I24" s="10">
        <f t="shared" si="4"/>
        <v>15.9</v>
      </c>
      <c r="J24" s="10">
        <f t="shared" si="4"/>
        <v>17.013000000000002</v>
      </c>
      <c r="K24" s="10">
        <f t="shared" si="4"/>
        <v>17.013000000000002</v>
      </c>
      <c r="L24" s="10">
        <f t="shared" si="4"/>
        <v>17.013000000000002</v>
      </c>
      <c r="M24" s="10">
        <f t="shared" si="4"/>
        <v>18.285</v>
      </c>
      <c r="N24" s="10">
        <f t="shared" si="4"/>
        <v>19.079999999999998</v>
      </c>
      <c r="O24" s="5">
        <f>SUM(C24:N24)</f>
        <v>176.06600000000003</v>
      </c>
    </row>
    <row r="25" spans="1:18" x14ac:dyDescent="0.2">
      <c r="A25" s="3" t="s">
        <v>702</v>
      </c>
      <c r="B25" s="24" t="s">
        <v>321</v>
      </c>
      <c r="C25" s="285">
        <f>1572580/1000000</f>
        <v>1.5725800000000001</v>
      </c>
      <c r="D25" s="285">
        <f>3387147/1000000</f>
        <v>3.3871470000000001</v>
      </c>
      <c r="E25" s="285">
        <f>4321588/1000000</f>
        <v>4.3215880000000002</v>
      </c>
      <c r="F25" s="285">
        <f>5328775/1000000</f>
        <v>5.3287750000000003</v>
      </c>
      <c r="G25" s="285">
        <f>6495575/1000000</f>
        <v>6.4955749999999997</v>
      </c>
      <c r="H25" s="285">
        <f>6617872/1000000</f>
        <v>6.6178720000000002</v>
      </c>
      <c r="I25" s="285">
        <f>6410866/1000000</f>
        <v>6.4108660000000004</v>
      </c>
      <c r="J25" s="285">
        <f>5760800/1000000</f>
        <v>5.7607999999999997</v>
      </c>
      <c r="K25" s="285">
        <f>6237729/1000000</f>
        <v>6.2377289999999999</v>
      </c>
      <c r="L25" s="285">
        <f>6595838/1000000</f>
        <v>6.5958379999999996</v>
      </c>
      <c r="M25" s="285">
        <f>6597352/1000000</f>
        <v>6.5973519999999999</v>
      </c>
      <c r="N25" s="285">
        <f>7082370/1000000</f>
        <v>7.0823700000000001</v>
      </c>
      <c r="O25" s="5">
        <f>SUM(C25:N25)</f>
        <v>66.408491999999995</v>
      </c>
    </row>
    <row r="26" spans="1:18" x14ac:dyDescent="0.2">
      <c r="A26" s="3" t="s">
        <v>322</v>
      </c>
      <c r="B26" s="24" t="s">
        <v>318</v>
      </c>
      <c r="C26" s="26">
        <f t="shared" ref="C26:N26" si="5">IFERROR((C24+C25)/C13,0)</f>
        <v>0.51095112517580876</v>
      </c>
      <c r="D26" s="26">
        <f t="shared" si="5"/>
        <v>0.3799981364275668</v>
      </c>
      <c r="E26" s="26">
        <f t="shared" si="5"/>
        <v>0.46794223427767728</v>
      </c>
      <c r="F26" s="26">
        <f t="shared" si="5"/>
        <v>0.50521837954591109</v>
      </c>
      <c r="G26" s="26">
        <f t="shared" si="5"/>
        <v>0.54250992063492054</v>
      </c>
      <c r="H26" s="26">
        <f t="shared" si="5"/>
        <v>0.56554832228249952</v>
      </c>
      <c r="I26" s="26">
        <f t="shared" si="5"/>
        <v>0.56034925658026924</v>
      </c>
      <c r="J26" s="26">
        <f t="shared" si="5"/>
        <v>0.50047907876230668</v>
      </c>
      <c r="K26" s="26">
        <f t="shared" si="5"/>
        <v>0.5109601133966245</v>
      </c>
      <c r="L26" s="26">
        <f t="shared" si="5"/>
        <v>0.37733087201125065</v>
      </c>
      <c r="M26" s="26">
        <f t="shared" si="5"/>
        <v>0.31246674703636729</v>
      </c>
      <c r="N26" s="26">
        <f t="shared" si="5"/>
        <v>0.27056310498883146</v>
      </c>
      <c r="O26" s="26">
        <f>AVERAGE(C26:N26)</f>
        <v>0.45869310759333609</v>
      </c>
    </row>
    <row r="27" spans="1:18" x14ac:dyDescent="0.2">
      <c r="A27" s="46" t="s">
        <v>439</v>
      </c>
      <c r="B27" s="24" t="s">
        <v>318</v>
      </c>
      <c r="C27" s="27">
        <f>C22-C26</f>
        <v>-1.0951125175808762E-2</v>
      </c>
      <c r="D27" s="27">
        <f t="shared" ref="D27:N27" si="6">D22-D26</f>
        <v>0.1200018635724332</v>
      </c>
      <c r="E27" s="27">
        <f t="shared" si="6"/>
        <v>3.2057765722322717E-2</v>
      </c>
      <c r="F27" s="27">
        <f t="shared" si="6"/>
        <v>-5.2183795459110893E-3</v>
      </c>
      <c r="G27" s="27">
        <f t="shared" si="6"/>
        <v>-4.2509920634920539E-2</v>
      </c>
      <c r="H27" s="27">
        <f t="shared" si="6"/>
        <v>-6.5548322282499516E-2</v>
      </c>
      <c r="I27" s="27">
        <f t="shared" si="6"/>
        <v>-6.0349256580269239E-2</v>
      </c>
      <c r="J27" s="27">
        <f t="shared" si="6"/>
        <v>-4.7907876230668389E-4</v>
      </c>
      <c r="K27" s="27">
        <f t="shared" si="6"/>
        <v>-1.0960113396624505E-2</v>
      </c>
      <c r="L27" s="27">
        <f t="shared" si="6"/>
        <v>0.12266912798874935</v>
      </c>
      <c r="M27" s="27">
        <f t="shared" si="6"/>
        <v>0.18753325296363271</v>
      </c>
      <c r="N27" s="27">
        <f t="shared" si="6"/>
        <v>0.22943689501116854</v>
      </c>
      <c r="O27" s="26">
        <f>AVERAGE(C27:N27)</f>
        <v>4.1306892406663846E-2</v>
      </c>
    </row>
    <row r="28" spans="1:18" x14ac:dyDescent="0.2">
      <c r="A28" s="46" t="s">
        <v>323</v>
      </c>
      <c r="B28" s="24" t="s">
        <v>318</v>
      </c>
      <c r="C28" s="27">
        <f t="shared" ref="C28:N28" si="7">C21-C26</f>
        <v>0.23904887482419124</v>
      </c>
      <c r="D28" s="27">
        <f t="shared" si="7"/>
        <v>0.3700018635724332</v>
      </c>
      <c r="E28" s="27">
        <f t="shared" si="7"/>
        <v>0.28205776572232272</v>
      </c>
      <c r="F28" s="27">
        <f t="shared" si="7"/>
        <v>0.24478162045408891</v>
      </c>
      <c r="G28" s="27">
        <f t="shared" si="7"/>
        <v>0.20749007936507946</v>
      </c>
      <c r="H28" s="27">
        <f t="shared" si="7"/>
        <v>0.18445167771750048</v>
      </c>
      <c r="I28" s="27">
        <f t="shared" si="7"/>
        <v>0.18965074341973076</v>
      </c>
      <c r="J28" s="27">
        <f t="shared" si="7"/>
        <v>0.24952092123769332</v>
      </c>
      <c r="K28" s="27">
        <f t="shared" si="7"/>
        <v>0.2390398866033755</v>
      </c>
      <c r="L28" s="27">
        <f t="shared" si="7"/>
        <v>0.37266912798874935</v>
      </c>
      <c r="M28" s="27">
        <f t="shared" si="7"/>
        <v>0.43753325296363271</v>
      </c>
      <c r="N28" s="27">
        <f t="shared" si="7"/>
        <v>0.47943689501116854</v>
      </c>
      <c r="O28" s="26">
        <f>AVERAGE(C28:N28)</f>
        <v>0.29130689240666391</v>
      </c>
    </row>
    <row r="30" spans="1:18" x14ac:dyDescent="0.2">
      <c r="A30" s="45" t="s">
        <v>324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192" t="s">
        <v>626</v>
      </c>
      <c r="R30" s="192"/>
    </row>
    <row r="31" spans="1:18" x14ac:dyDescent="0.2">
      <c r="A31" s="7" t="s">
        <v>411</v>
      </c>
      <c r="B31" s="28" t="s">
        <v>321</v>
      </c>
      <c r="C31" s="8">
        <f>C17*C21</f>
        <v>4.266</v>
      </c>
      <c r="D31" s="8">
        <f t="shared" ref="D31:N31" si="8">D17*D21</f>
        <v>10.665000000000001</v>
      </c>
      <c r="E31" s="8">
        <f t="shared" si="8"/>
        <v>14.931000000000001</v>
      </c>
      <c r="F31" s="8">
        <f t="shared" si="8"/>
        <v>14.931000000000001</v>
      </c>
      <c r="G31" s="8">
        <f t="shared" si="8"/>
        <v>14.931000000000001</v>
      </c>
      <c r="H31" s="8">
        <f t="shared" si="8"/>
        <v>14.931000000000001</v>
      </c>
      <c r="I31" s="8">
        <f t="shared" si="8"/>
        <v>14.931000000000001</v>
      </c>
      <c r="J31" s="8">
        <f t="shared" si="8"/>
        <v>17.064</v>
      </c>
      <c r="K31" s="8">
        <f t="shared" si="8"/>
        <v>17.064</v>
      </c>
      <c r="L31" s="8">
        <f t="shared" si="8"/>
        <v>23.463000000000072</v>
      </c>
      <c r="M31" s="8">
        <f t="shared" si="8"/>
        <v>29.862000000000002</v>
      </c>
      <c r="N31" s="8">
        <f t="shared" si="8"/>
        <v>36.260999999999939</v>
      </c>
      <c r="O31" s="8">
        <f t="shared" ref="O31:O37" si="9">SUM(C31:N31)</f>
        <v>213.3</v>
      </c>
      <c r="P31" s="12"/>
    </row>
    <row r="32" spans="1:18" x14ac:dyDescent="0.2">
      <c r="A32" s="7" t="s">
        <v>412</v>
      </c>
      <c r="B32" s="28" t="s">
        <v>321</v>
      </c>
      <c r="C32" s="8">
        <f>C18*C22</f>
        <v>2.8439999999999999</v>
      </c>
      <c r="D32" s="8">
        <f t="shared" ref="D32:N32" si="10">D18*D22</f>
        <v>7.11</v>
      </c>
      <c r="E32" s="8">
        <f t="shared" si="10"/>
        <v>9.9540000000000006</v>
      </c>
      <c r="F32" s="8">
        <f t="shared" si="10"/>
        <v>9.9540000000000006</v>
      </c>
      <c r="G32" s="8">
        <f t="shared" si="10"/>
        <v>9.9540000000000006</v>
      </c>
      <c r="H32" s="8">
        <f t="shared" si="10"/>
        <v>9.9540000000000006</v>
      </c>
      <c r="I32" s="8">
        <f t="shared" si="10"/>
        <v>9.9540000000000006</v>
      </c>
      <c r="J32" s="8">
        <f t="shared" si="10"/>
        <v>11.375999999999999</v>
      </c>
      <c r="K32" s="8">
        <f t="shared" si="10"/>
        <v>11.375999999999999</v>
      </c>
      <c r="L32" s="8">
        <f t="shared" si="10"/>
        <v>15.642000000000047</v>
      </c>
      <c r="M32" s="8">
        <f t="shared" si="10"/>
        <v>19.908000000000001</v>
      </c>
      <c r="N32" s="8">
        <f t="shared" si="10"/>
        <v>24.173999999999957</v>
      </c>
      <c r="O32" s="8">
        <f t="shared" si="9"/>
        <v>142.20000000000002</v>
      </c>
      <c r="P32" s="12">
        <v>11.448</v>
      </c>
    </row>
    <row r="33" spans="1:17" ht="16" thickBot="1" x14ac:dyDescent="0.25">
      <c r="A33" s="130" t="s">
        <v>325</v>
      </c>
      <c r="B33" s="131" t="s">
        <v>321</v>
      </c>
      <c r="C33" s="132">
        <f t="shared" ref="C33:N33" si="11">C31+C32</f>
        <v>7.1099999999999994</v>
      </c>
      <c r="D33" s="132">
        <f t="shared" si="11"/>
        <v>17.775000000000002</v>
      </c>
      <c r="E33" s="132">
        <f t="shared" si="11"/>
        <v>24.885000000000002</v>
      </c>
      <c r="F33" s="132">
        <f t="shared" si="11"/>
        <v>24.885000000000002</v>
      </c>
      <c r="G33" s="132">
        <f t="shared" si="11"/>
        <v>24.885000000000002</v>
      </c>
      <c r="H33" s="132">
        <f t="shared" si="11"/>
        <v>24.885000000000002</v>
      </c>
      <c r="I33" s="132">
        <f t="shared" si="11"/>
        <v>24.885000000000002</v>
      </c>
      <c r="J33" s="132">
        <f t="shared" si="11"/>
        <v>28.439999999999998</v>
      </c>
      <c r="K33" s="132">
        <f t="shared" si="11"/>
        <v>28.439999999999998</v>
      </c>
      <c r="L33" s="132">
        <f t="shared" si="11"/>
        <v>39.105000000000118</v>
      </c>
      <c r="M33" s="132">
        <f t="shared" si="11"/>
        <v>49.77</v>
      </c>
      <c r="N33" s="132">
        <f t="shared" si="11"/>
        <v>60.434999999999896</v>
      </c>
      <c r="O33" s="132">
        <f t="shared" si="9"/>
        <v>355.5</v>
      </c>
      <c r="P33" s="133"/>
      <c r="Q33" s="59">
        <f>O31/O33</f>
        <v>0.6</v>
      </c>
    </row>
    <row r="34" spans="1:17" ht="16" thickTop="1" x14ac:dyDescent="0.2">
      <c r="A34" s="3" t="s">
        <v>326</v>
      </c>
      <c r="B34" s="24" t="s">
        <v>321</v>
      </c>
      <c r="C34" s="10">
        <f>-C24</f>
        <v>-4.24</v>
      </c>
      <c r="D34" s="10">
        <f t="shared" ref="D34:N34" si="12">-D24</f>
        <v>-7.42</v>
      </c>
      <c r="E34" s="10">
        <f t="shared" si="12"/>
        <v>-14.31</v>
      </c>
      <c r="F34" s="10">
        <f t="shared" si="12"/>
        <v>-14.787000000000001</v>
      </c>
      <c r="G34" s="10">
        <f t="shared" si="12"/>
        <v>-15.105</v>
      </c>
      <c r="H34" s="10">
        <f t="shared" si="12"/>
        <v>-15.9</v>
      </c>
      <c r="I34" s="10">
        <f t="shared" si="12"/>
        <v>-15.9</v>
      </c>
      <c r="J34" s="10">
        <f t="shared" si="12"/>
        <v>-17.013000000000002</v>
      </c>
      <c r="K34" s="10">
        <f t="shared" si="12"/>
        <v>-17.013000000000002</v>
      </c>
      <c r="L34" s="10">
        <f t="shared" si="12"/>
        <v>-17.013000000000002</v>
      </c>
      <c r="M34" s="10">
        <f t="shared" si="12"/>
        <v>-18.285</v>
      </c>
      <c r="N34" s="10">
        <f t="shared" si="12"/>
        <v>-19.079999999999998</v>
      </c>
      <c r="O34" s="5">
        <f t="shared" si="9"/>
        <v>-176.06600000000003</v>
      </c>
    </row>
    <row r="35" spans="1:17" x14ac:dyDescent="0.2">
      <c r="A35" s="3" t="s">
        <v>703</v>
      </c>
      <c r="B35" s="24" t="s">
        <v>321</v>
      </c>
      <c r="C35" s="10">
        <f t="shared" ref="C35:N35" si="13">-C25</f>
        <v>-1.5725800000000001</v>
      </c>
      <c r="D35" s="10">
        <f t="shared" si="13"/>
        <v>-3.3871470000000001</v>
      </c>
      <c r="E35" s="10">
        <f t="shared" si="13"/>
        <v>-4.3215880000000002</v>
      </c>
      <c r="F35" s="10">
        <f t="shared" si="13"/>
        <v>-5.3287750000000003</v>
      </c>
      <c r="G35" s="10">
        <f t="shared" si="13"/>
        <v>-6.4955749999999997</v>
      </c>
      <c r="H35" s="10">
        <f t="shared" si="13"/>
        <v>-6.6178720000000002</v>
      </c>
      <c r="I35" s="10">
        <f t="shared" si="13"/>
        <v>-6.4108660000000004</v>
      </c>
      <c r="J35" s="10">
        <f t="shared" si="13"/>
        <v>-5.7607999999999997</v>
      </c>
      <c r="K35" s="10">
        <f t="shared" si="13"/>
        <v>-6.2377289999999999</v>
      </c>
      <c r="L35" s="10">
        <f t="shared" si="13"/>
        <v>-6.5958379999999996</v>
      </c>
      <c r="M35" s="10">
        <f t="shared" si="13"/>
        <v>-6.5973519999999999</v>
      </c>
      <c r="N35" s="10">
        <f t="shared" si="13"/>
        <v>-7.0823700000000001</v>
      </c>
      <c r="O35" s="5">
        <f t="shared" si="9"/>
        <v>-66.408491999999995</v>
      </c>
    </row>
    <row r="36" spans="1:17" ht="16" thickBot="1" x14ac:dyDescent="0.25">
      <c r="A36" s="130" t="s">
        <v>363</v>
      </c>
      <c r="B36" s="131" t="s">
        <v>321</v>
      </c>
      <c r="C36" s="132">
        <f t="shared" ref="C36" si="14">C34+C35</f>
        <v>-5.8125800000000005</v>
      </c>
      <c r="D36" s="132">
        <f t="shared" ref="D36" si="15">D34+D35</f>
        <v>-10.807147000000001</v>
      </c>
      <c r="E36" s="132">
        <f t="shared" ref="E36" si="16">E34+E35</f>
        <v>-18.631588000000001</v>
      </c>
      <c r="F36" s="132">
        <f t="shared" ref="F36" si="17">F34+F35</f>
        <v>-20.115774999999999</v>
      </c>
      <c r="G36" s="132">
        <f t="shared" ref="G36" si="18">G34+G35</f>
        <v>-21.600574999999999</v>
      </c>
      <c r="H36" s="132">
        <f t="shared" ref="H36" si="19">H34+H35</f>
        <v>-22.517872000000001</v>
      </c>
      <c r="I36" s="132">
        <f t="shared" ref="I36" si="20">I34+I35</f>
        <v>-22.310866000000001</v>
      </c>
      <c r="J36" s="132">
        <f t="shared" ref="J36" si="21">J34+J35</f>
        <v>-22.773800000000001</v>
      </c>
      <c r="K36" s="132">
        <f t="shared" ref="K36" si="22">K34+K35</f>
        <v>-23.250729</v>
      </c>
      <c r="L36" s="132">
        <f t="shared" ref="L36" si="23">L34+L35</f>
        <v>-23.608838000000002</v>
      </c>
      <c r="M36" s="132">
        <f t="shared" ref="M36" si="24">M34+M35</f>
        <v>-24.882352000000001</v>
      </c>
      <c r="N36" s="132">
        <f t="shared" ref="N36" si="25">N34+N35</f>
        <v>-26.162369999999999</v>
      </c>
      <c r="O36" s="132">
        <f t="shared" ref="O36" si="26">SUM(C36:N36)</f>
        <v>-242.47449200000003</v>
      </c>
      <c r="P36" s="133"/>
    </row>
    <row r="37" spans="1:17" ht="16" thickTop="1" x14ac:dyDescent="0.2">
      <c r="A37" s="46" t="s">
        <v>327</v>
      </c>
      <c r="B37" s="24" t="s">
        <v>321</v>
      </c>
      <c r="C37" s="5">
        <f>C33+C34+C35</f>
        <v>1.2974199999999991</v>
      </c>
      <c r="D37" s="5">
        <f t="shared" ref="D37:N37" si="27">D33+D34+D35</f>
        <v>6.9678530000000016</v>
      </c>
      <c r="E37" s="5">
        <f t="shared" si="27"/>
        <v>6.2534120000000009</v>
      </c>
      <c r="F37" s="5">
        <f t="shared" si="27"/>
        <v>4.7692250000000005</v>
      </c>
      <c r="G37" s="5">
        <f t="shared" si="27"/>
        <v>3.2844250000000015</v>
      </c>
      <c r="H37" s="5">
        <f t="shared" si="27"/>
        <v>2.367128000000001</v>
      </c>
      <c r="I37" s="5">
        <f t="shared" si="27"/>
        <v>2.5741340000000008</v>
      </c>
      <c r="J37" s="5">
        <f t="shared" si="27"/>
        <v>5.6661999999999964</v>
      </c>
      <c r="K37" s="5">
        <f t="shared" si="27"/>
        <v>5.1892709999999962</v>
      </c>
      <c r="L37" s="5">
        <f t="shared" si="27"/>
        <v>15.496162000000115</v>
      </c>
      <c r="M37" s="5">
        <f t="shared" si="27"/>
        <v>24.887648000000002</v>
      </c>
      <c r="N37" s="5">
        <f t="shared" si="27"/>
        <v>34.2726299999999</v>
      </c>
      <c r="O37" s="5">
        <f t="shared" si="9"/>
        <v>113.02550800000003</v>
      </c>
      <c r="Q37" s="192"/>
    </row>
    <row r="38" spans="1:17" x14ac:dyDescent="0.2">
      <c r="A38" s="3" t="s">
        <v>328</v>
      </c>
      <c r="B38" s="24" t="s">
        <v>229</v>
      </c>
      <c r="C38" s="18">
        <f t="shared" ref="C38:O38" si="28">IFERROR(C37/C33,0)</f>
        <v>0.18247819971870594</v>
      </c>
      <c r="D38" s="18">
        <f t="shared" si="28"/>
        <v>0.39200298171589315</v>
      </c>
      <c r="E38" s="18">
        <f t="shared" si="28"/>
        <v>0.25129242515571631</v>
      </c>
      <c r="F38" s="18">
        <f t="shared" si="28"/>
        <v>0.19165059272654211</v>
      </c>
      <c r="G38" s="18">
        <f t="shared" si="28"/>
        <v>0.13198412698412704</v>
      </c>
      <c r="H38" s="18">
        <f t="shared" si="28"/>
        <v>9.5122684348000835E-2</v>
      </c>
      <c r="I38" s="18">
        <f t="shared" si="28"/>
        <v>0.10344118947156924</v>
      </c>
      <c r="J38" s="18">
        <f t="shared" si="28"/>
        <v>0.1992334739803093</v>
      </c>
      <c r="K38" s="18">
        <f t="shared" si="28"/>
        <v>0.18246381856540073</v>
      </c>
      <c r="L38" s="18">
        <f t="shared" si="28"/>
        <v>0.39627060478199894</v>
      </c>
      <c r="M38" s="18">
        <f t="shared" si="28"/>
        <v>0.50005320474181236</v>
      </c>
      <c r="N38" s="18">
        <f t="shared" si="28"/>
        <v>0.56709903201786971</v>
      </c>
      <c r="O38" s="22">
        <f t="shared" si="28"/>
        <v>0.31793391842475394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6F3C"/>
  </sheetPr>
  <dimension ref="A1:N18"/>
  <sheetViews>
    <sheetView showGridLines="0" zoomScaleNormal="100" workbookViewId="0"/>
  </sheetViews>
  <sheetFormatPr baseColWidth="10" defaultColWidth="8.6640625" defaultRowHeight="15" x14ac:dyDescent="0.2"/>
  <cols>
    <col min="1" max="1" width="34.83203125" style="42" bestFit="1" customWidth="1"/>
    <col min="2" max="14" width="12" style="42" customWidth="1"/>
    <col min="15" max="16384" width="8.6640625" style="42"/>
  </cols>
  <sheetData>
    <row r="1" spans="1:14" x14ac:dyDescent="0.2">
      <c r="A1" s="46" t="s">
        <v>689</v>
      </c>
      <c r="B1" s="296"/>
      <c r="C1" s="198" t="s">
        <v>687</v>
      </c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296"/>
    </row>
    <row r="2" spans="1:14" x14ac:dyDescent="0.2">
      <c r="A2" s="297" t="s">
        <v>329</v>
      </c>
      <c r="B2" s="297" t="s">
        <v>688</v>
      </c>
      <c r="C2" s="296"/>
      <c r="D2" s="92"/>
      <c r="E2" s="296"/>
      <c r="F2" s="296"/>
      <c r="G2" s="296"/>
      <c r="H2" s="296"/>
      <c r="I2" s="296"/>
      <c r="J2" s="296"/>
      <c r="K2" s="296"/>
      <c r="L2" s="296"/>
      <c r="M2" s="296"/>
      <c r="N2" s="296"/>
    </row>
    <row r="3" spans="1:14" x14ac:dyDescent="0.2">
      <c r="A3" s="296" t="s">
        <v>676</v>
      </c>
      <c r="B3" s="298">
        <v>100000000</v>
      </c>
      <c r="C3" s="296"/>
      <c r="D3" s="296"/>
      <c r="E3" s="296"/>
      <c r="F3" s="296"/>
      <c r="G3" s="296"/>
      <c r="H3" s="296"/>
      <c r="I3" s="296"/>
      <c r="J3" s="296"/>
      <c r="K3" s="296"/>
      <c r="L3" s="296"/>
      <c r="M3" s="296"/>
      <c r="N3" s="296"/>
    </row>
    <row r="4" spans="1:14" x14ac:dyDescent="0.2">
      <c r="A4" s="296" t="s">
        <v>677</v>
      </c>
      <c r="B4" s="298">
        <v>100000000</v>
      </c>
      <c r="C4" s="296"/>
      <c r="D4" s="296"/>
      <c r="E4" s="296"/>
      <c r="F4" s="296"/>
      <c r="G4" s="296"/>
      <c r="H4" s="296"/>
      <c r="I4" s="296"/>
      <c r="J4" s="296"/>
      <c r="K4" s="296"/>
      <c r="L4" s="296"/>
      <c r="M4" s="296"/>
      <c r="N4" s="296"/>
    </row>
    <row r="5" spans="1:14" x14ac:dyDescent="0.2">
      <c r="A5" s="296" t="s">
        <v>678</v>
      </c>
      <c r="B5" s="298">
        <v>100000000</v>
      </c>
      <c r="C5" s="296"/>
      <c r="D5" s="296"/>
      <c r="E5" s="296"/>
      <c r="F5" s="296"/>
      <c r="G5" s="296"/>
      <c r="H5" s="296"/>
      <c r="I5" s="296"/>
      <c r="J5" s="296"/>
      <c r="K5" s="296"/>
      <c r="L5" s="296"/>
      <c r="M5" s="296"/>
      <c r="N5" s="296"/>
    </row>
    <row r="6" spans="1:14" x14ac:dyDescent="0.2">
      <c r="A6" s="296" t="s">
        <v>679</v>
      </c>
      <c r="B6" s="298">
        <v>20000000</v>
      </c>
      <c r="C6" s="296"/>
      <c r="D6" s="296"/>
      <c r="E6" s="296"/>
      <c r="F6" s="296"/>
      <c r="G6" s="296"/>
      <c r="H6" s="296"/>
      <c r="I6" s="296"/>
      <c r="J6" s="296"/>
      <c r="K6" s="296"/>
      <c r="L6" s="296"/>
      <c r="M6" s="296"/>
      <c r="N6" s="296"/>
    </row>
    <row r="7" spans="1:14" x14ac:dyDescent="0.2">
      <c r="A7" s="296" t="s">
        <v>680</v>
      </c>
      <c r="B7" s="298">
        <v>100000000</v>
      </c>
      <c r="C7" s="296"/>
      <c r="D7" s="296"/>
      <c r="E7" s="296"/>
      <c r="F7" s="296"/>
      <c r="G7" s="296"/>
      <c r="H7" s="296"/>
      <c r="I7" s="296"/>
      <c r="J7" s="296"/>
      <c r="K7" s="296"/>
      <c r="L7" s="296"/>
      <c r="M7" s="296"/>
      <c r="N7" s="296"/>
    </row>
    <row r="8" spans="1:14" x14ac:dyDescent="0.2">
      <c r="A8" s="296" t="s">
        <v>681</v>
      </c>
      <c r="B8" s="298">
        <v>60000000</v>
      </c>
      <c r="C8" s="296"/>
      <c r="D8" s="296"/>
      <c r="E8" s="296"/>
      <c r="F8" s="296"/>
      <c r="G8" s="296"/>
      <c r="H8" s="296"/>
      <c r="I8" s="296"/>
      <c r="J8" s="296"/>
      <c r="K8" s="296"/>
      <c r="L8" s="296"/>
      <c r="M8" s="296"/>
      <c r="N8" s="296"/>
    </row>
    <row r="9" spans="1:14" x14ac:dyDescent="0.2">
      <c r="A9" s="296" t="s">
        <v>682</v>
      </c>
      <c r="B9" s="298">
        <v>50000000</v>
      </c>
      <c r="C9" s="296"/>
      <c r="D9" s="296"/>
      <c r="E9" s="296"/>
      <c r="F9" s="296"/>
      <c r="G9" s="296"/>
      <c r="H9" s="296"/>
      <c r="I9" s="296"/>
      <c r="J9" s="296"/>
      <c r="K9" s="296"/>
      <c r="L9" s="296"/>
      <c r="M9" s="296"/>
      <c r="N9" s="296"/>
    </row>
    <row r="10" spans="1:14" x14ac:dyDescent="0.2">
      <c r="A10" s="296" t="s">
        <v>683</v>
      </c>
      <c r="B10" s="298">
        <v>30000000</v>
      </c>
      <c r="C10" s="296"/>
      <c r="D10" s="296"/>
      <c r="E10" s="296"/>
      <c r="F10" s="296"/>
      <c r="G10" s="296"/>
      <c r="H10" s="296"/>
      <c r="I10" s="296"/>
      <c r="J10" s="296"/>
      <c r="K10" s="296"/>
      <c r="L10" s="296"/>
      <c r="M10" s="296"/>
      <c r="N10" s="296"/>
    </row>
    <row r="11" spans="1:14" x14ac:dyDescent="0.2">
      <c r="A11" s="296" t="s">
        <v>684</v>
      </c>
      <c r="B11" s="298">
        <v>15000000</v>
      </c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</row>
    <row r="12" spans="1:14" x14ac:dyDescent="0.2">
      <c r="A12" s="296" t="s">
        <v>685</v>
      </c>
      <c r="B12" s="298">
        <v>100000000</v>
      </c>
      <c r="C12" s="296"/>
      <c r="D12" s="296"/>
      <c r="E12" s="296"/>
      <c r="F12" s="296"/>
      <c r="G12" s="296"/>
      <c r="H12" s="296"/>
      <c r="I12" s="296"/>
      <c r="J12" s="296"/>
      <c r="K12" s="296"/>
      <c r="L12" s="296"/>
      <c r="M12" s="296"/>
      <c r="N12" s="296"/>
    </row>
    <row r="13" spans="1:14" x14ac:dyDescent="0.2">
      <c r="A13" s="296" t="s">
        <v>686</v>
      </c>
      <c r="B13" s="298">
        <v>75000000</v>
      </c>
      <c r="C13" s="296"/>
      <c r="D13" s="296"/>
      <c r="E13" s="296"/>
      <c r="F13" s="296"/>
      <c r="G13" s="296"/>
      <c r="H13" s="296"/>
      <c r="I13" s="296"/>
      <c r="J13" s="296"/>
      <c r="K13" s="296"/>
      <c r="L13" s="296"/>
      <c r="M13" s="296"/>
      <c r="N13" s="296"/>
    </row>
    <row r="14" spans="1:14" ht="15" customHeight="1" thickBot="1" x14ac:dyDescent="0.25">
      <c r="A14" s="299"/>
      <c r="B14" s="299">
        <f>SUM(B3:B13)</f>
        <v>750000000</v>
      </c>
      <c r="C14" s="296"/>
      <c r="D14" s="296"/>
      <c r="E14" s="296"/>
      <c r="F14" s="296"/>
      <c r="G14" s="296"/>
      <c r="H14" s="296"/>
      <c r="I14" s="296"/>
      <c r="J14" s="296"/>
      <c r="K14" s="296"/>
      <c r="L14" s="296"/>
      <c r="M14" s="296"/>
      <c r="N14" s="296"/>
    </row>
    <row r="15" spans="1:14" ht="15" customHeight="1" thickTop="1" x14ac:dyDescent="0.2">
      <c r="A15" s="296"/>
      <c r="B15" s="296"/>
      <c r="C15" s="296"/>
      <c r="D15" s="296"/>
      <c r="E15" s="296"/>
      <c r="F15" s="296"/>
      <c r="G15" s="296"/>
      <c r="H15" s="296"/>
      <c r="I15" s="296"/>
      <c r="J15" s="296"/>
      <c r="K15" s="296"/>
      <c r="L15" s="296"/>
      <c r="M15" s="296"/>
      <c r="N15" s="296"/>
    </row>
    <row r="16" spans="1:14" x14ac:dyDescent="0.2">
      <c r="A16" s="46" t="s">
        <v>690</v>
      </c>
      <c r="B16" s="296"/>
      <c r="C16" s="296"/>
      <c r="D16" s="296"/>
      <c r="E16" s="296"/>
      <c r="F16" s="296"/>
      <c r="G16" s="296"/>
      <c r="H16" s="296"/>
      <c r="I16" s="296"/>
      <c r="J16" s="296"/>
      <c r="K16" s="296"/>
      <c r="L16" s="296"/>
      <c r="M16" s="296"/>
      <c r="N16" s="296"/>
    </row>
    <row r="17" spans="1:14" x14ac:dyDescent="0.2">
      <c r="A17" s="38"/>
      <c r="B17" s="39" t="s">
        <v>14</v>
      </c>
      <c r="C17" s="39" t="s">
        <v>15</v>
      </c>
      <c r="D17" s="39" t="s">
        <v>16</v>
      </c>
      <c r="E17" s="39" t="s">
        <v>17</v>
      </c>
      <c r="F17" s="39" t="s">
        <v>18</v>
      </c>
      <c r="G17" s="39" t="s">
        <v>19</v>
      </c>
      <c r="H17" s="39" t="s">
        <v>20</v>
      </c>
      <c r="I17" s="39" t="s">
        <v>21</v>
      </c>
      <c r="J17" s="39" t="s">
        <v>22</v>
      </c>
      <c r="K17" s="39" t="s">
        <v>23</v>
      </c>
      <c r="L17" s="39" t="s">
        <v>24</v>
      </c>
      <c r="M17" s="39" t="s">
        <v>25</v>
      </c>
      <c r="N17" s="39" t="s">
        <v>1</v>
      </c>
    </row>
    <row r="18" spans="1:14" x14ac:dyDescent="0.2">
      <c r="A18" s="241" t="s">
        <v>31</v>
      </c>
      <c r="B18" s="230">
        <v>17.0041828989972</v>
      </c>
      <c r="C18" s="230">
        <v>42.510457247493001</v>
      </c>
      <c r="D18" s="230">
        <v>59.514640146490201</v>
      </c>
      <c r="E18" s="230">
        <v>59.514640146490201</v>
      </c>
      <c r="F18" s="230">
        <v>59.514640146490201</v>
      </c>
      <c r="G18" s="230">
        <v>59.514640146490201</v>
      </c>
      <c r="H18" s="230">
        <v>59.514640146490201</v>
      </c>
      <c r="I18" s="230">
        <v>68.016731595988801</v>
      </c>
      <c r="J18" s="230">
        <v>68.016731595988801</v>
      </c>
      <c r="K18" s="230">
        <v>93.523005944484595</v>
      </c>
      <c r="L18" s="230">
        <v>119.02928029298</v>
      </c>
      <c r="M18" s="230">
        <v>144.53555464147601</v>
      </c>
      <c r="N18" s="230">
        <v>850.20914494985948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6BAA-0AF6-A448-9490-65E6BE730394}">
  <sheetPr>
    <tabColor rgb="FFAB7942"/>
  </sheetPr>
  <dimension ref="A1:Q46"/>
  <sheetViews>
    <sheetView showGridLines="0" topLeftCell="B1" zoomScaleNormal="100" workbookViewId="0">
      <selection activeCell="B1" sqref="B1"/>
    </sheetView>
  </sheetViews>
  <sheetFormatPr baseColWidth="10" defaultColWidth="8.83203125" defaultRowHeight="13" outlineLevelRow="1" outlineLevelCol="1" x14ac:dyDescent="0.15"/>
  <cols>
    <col min="1" max="1" width="25.1640625" style="154" hidden="1" customWidth="1" outlineLevel="1"/>
    <col min="2" max="2" width="54.6640625" style="153" customWidth="1" collapsed="1"/>
    <col min="3" max="4" width="12.33203125" style="155" customWidth="1"/>
    <col min="5" max="5" width="13.1640625" style="155" customWidth="1"/>
    <col min="6" max="7" width="12.33203125" style="155" customWidth="1"/>
    <col min="8" max="9" width="12.6640625" style="155" customWidth="1"/>
    <col min="10" max="14" width="12.33203125" style="155" customWidth="1"/>
    <col min="15" max="16" width="16.5" style="155" bestFit="1" customWidth="1"/>
    <col min="17" max="16384" width="8.83203125" style="153"/>
  </cols>
  <sheetData>
    <row r="1" spans="1:17" x14ac:dyDescent="0.15">
      <c r="B1" s="159" t="s">
        <v>595</v>
      </c>
      <c r="Q1" s="199" t="s">
        <v>627</v>
      </c>
    </row>
    <row r="2" spans="1:17" x14ac:dyDescent="0.15">
      <c r="B2" s="158" t="s">
        <v>13</v>
      </c>
      <c r="C2" s="180" t="s">
        <v>466</v>
      </c>
      <c r="D2" s="180" t="s">
        <v>465</v>
      </c>
      <c r="E2" s="180" t="s">
        <v>464</v>
      </c>
      <c r="F2" s="180" t="s">
        <v>463</v>
      </c>
      <c r="G2" s="180" t="s">
        <v>462</v>
      </c>
      <c r="H2" s="180" t="s">
        <v>461</v>
      </c>
      <c r="I2" s="180" t="s">
        <v>460</v>
      </c>
      <c r="J2" s="180" t="s">
        <v>459</v>
      </c>
      <c r="K2" s="181" t="s">
        <v>458</v>
      </c>
      <c r="L2" s="181" t="s">
        <v>457</v>
      </c>
      <c r="M2" s="181" t="s">
        <v>456</v>
      </c>
      <c r="N2" s="181" t="s">
        <v>455</v>
      </c>
      <c r="O2" s="181">
        <v>2027</v>
      </c>
      <c r="P2" s="181">
        <v>2026</v>
      </c>
    </row>
    <row r="3" spans="1:17" outlineLevel="1" x14ac:dyDescent="0.15">
      <c r="A3" s="157"/>
      <c r="B3" s="190" t="s">
        <v>33</v>
      </c>
      <c r="C3" s="191">
        <f>PEX!C24</f>
        <v>-20.502132028750541</v>
      </c>
      <c r="D3" s="191">
        <f>PEX!D24</f>
        <v>-20.887498980559474</v>
      </c>
      <c r="E3" s="191">
        <f>PEX!E24</f>
        <v>-20.996231412908795</v>
      </c>
      <c r="F3" s="191">
        <f>PEX!F24</f>
        <v>-21.34744545085367</v>
      </c>
      <c r="G3" s="191">
        <f>PEX!G24</f>
        <v>-21.745961051149781</v>
      </c>
      <c r="H3" s="191">
        <f>PEX!H24</f>
        <v>-21.199164455070484</v>
      </c>
      <c r="I3" s="191">
        <f>PEX!I24</f>
        <v>-21.729055820179415</v>
      </c>
      <c r="J3" s="191">
        <f>PEX!J24</f>
        <v>-18.508763138102918</v>
      </c>
      <c r="K3" s="191">
        <f>PEX!K24</f>
        <v>-21.560111790764566</v>
      </c>
      <c r="L3" s="191">
        <f>PEX!L24</f>
        <v>-23.021618076732</v>
      </c>
      <c r="M3" s="191">
        <f>PEX!M24</f>
        <v>-23.030414307374834</v>
      </c>
      <c r="N3" s="191">
        <f>PEX!N24</f>
        <v>-23.873295781887872</v>
      </c>
      <c r="O3" s="191">
        <f t="shared" ref="O3:O9" si="0">SUM(C3:N3)</f>
        <v>-258.40169229433434</v>
      </c>
      <c r="P3" s="191">
        <v>-201.50085205600007</v>
      </c>
    </row>
    <row r="4" spans="1:17" outlineLevel="1" x14ac:dyDescent="0.15">
      <c r="A4" s="157"/>
      <c r="B4" s="190" t="s">
        <v>34</v>
      </c>
      <c r="C4" s="191">
        <f>PEX!C25</f>
        <v>0</v>
      </c>
      <c r="D4" s="191">
        <f>PEX!D25</f>
        <v>0</v>
      </c>
      <c r="E4" s="191">
        <f>PEX!E25</f>
        <v>0</v>
      </c>
      <c r="F4" s="191">
        <f>PEX!F25</f>
        <v>0</v>
      </c>
      <c r="G4" s="191">
        <f>PEX!G25</f>
        <v>0</v>
      </c>
      <c r="H4" s="191">
        <f>PEX!H25</f>
        <v>0</v>
      </c>
      <c r="I4" s="191">
        <f>PEX!I25</f>
        <v>0</v>
      </c>
      <c r="J4" s="191">
        <f>PEX!J25</f>
        <v>0</v>
      </c>
      <c r="K4" s="191">
        <f>PEX!K25</f>
        <v>0</v>
      </c>
      <c r="L4" s="191">
        <f>PEX!L25</f>
        <v>0</v>
      </c>
      <c r="M4" s="191">
        <f>PEX!M25</f>
        <v>0</v>
      </c>
      <c r="N4" s="191">
        <f>PEX!N25</f>
        <v>0</v>
      </c>
      <c r="O4" s="191">
        <f t="shared" si="0"/>
        <v>0</v>
      </c>
      <c r="P4" s="191">
        <v>0</v>
      </c>
    </row>
    <row r="5" spans="1:17" outlineLevel="1" x14ac:dyDescent="0.15">
      <c r="A5" s="157"/>
      <c r="B5" s="190" t="s">
        <v>366</v>
      </c>
      <c r="C5" s="191">
        <f>PEX!C26</f>
        <v>-71.250322092133615</v>
      </c>
      <c r="D5" s="191">
        <f>PEX!D26</f>
        <v>-72.589574000254487</v>
      </c>
      <c r="E5" s="191">
        <f>PEX!E26</f>
        <v>-72.967447911898702</v>
      </c>
      <c r="F5" s="191">
        <f>PEX!F26</f>
        <v>-74.188009426757716</v>
      </c>
      <c r="G5" s="191">
        <f>PEX!G26</f>
        <v>-75.5729563600825</v>
      </c>
      <c r="H5" s="191">
        <f>PEX!H26</f>
        <v>-73.672693814953121</v>
      </c>
      <c r="I5" s="191">
        <f>PEX!I26</f>
        <v>-75.514206218878101</v>
      </c>
      <c r="J5" s="191">
        <f>PEX!J26</f>
        <v>-64.322838876831256</v>
      </c>
      <c r="K5" s="191">
        <f>PEX!K26</f>
        <v>-74.92708110942749</v>
      </c>
      <c r="L5" s="191">
        <f>PEX!L26</f>
        <v>-80.006201342817377</v>
      </c>
      <c r="M5" s="191">
        <f>PEX!M26</f>
        <v>-80.036770566819044</v>
      </c>
      <c r="N5" s="191">
        <f>PEX!N26</f>
        <v>-82.966006241446891</v>
      </c>
      <c r="O5" s="191">
        <f t="shared" si="0"/>
        <v>-898.01410796230027</v>
      </c>
      <c r="P5" s="191">
        <v>-700.2686642880002</v>
      </c>
    </row>
    <row r="6" spans="1:17" outlineLevel="1" x14ac:dyDescent="0.15">
      <c r="A6" s="157"/>
      <c r="B6" s="190" t="s">
        <v>367</v>
      </c>
      <c r="C6" s="191">
        <f>PEX!C27</f>
        <v>-2.6895515057171355</v>
      </c>
      <c r="D6" s="191">
        <f>PEX!D27</f>
        <v>-2.7401054804958509</v>
      </c>
      <c r="E6" s="191">
        <f>PEX!E27</f>
        <v>-2.7543694349341163</v>
      </c>
      <c r="F6" s="191">
        <f>PEX!F27</f>
        <v>-2.8004430941642391</v>
      </c>
      <c r="G6" s="191">
        <f>PEX!G27</f>
        <v>-2.8527219611291543</v>
      </c>
      <c r="H6" s="191">
        <f>PEX!H27</f>
        <v>-2.7809910013322034</v>
      </c>
      <c r="I6" s="191">
        <f>PEX!I27</f>
        <v>-2.8505042654598896</v>
      </c>
      <c r="J6" s="191">
        <f>PEX!J27</f>
        <v>-2.428053418895102</v>
      </c>
      <c r="K6" s="191">
        <f>PEX!K27</f>
        <v>-2.8283415134076915</v>
      </c>
      <c r="L6" s="191">
        <f>PEX!L27</f>
        <v>-3.0200677410276553</v>
      </c>
      <c r="M6" s="191">
        <f>PEX!M27</f>
        <v>-3.0212216656700726</v>
      </c>
      <c r="N6" s="191">
        <f>PEX!N27</f>
        <v>-3.1317942215261465</v>
      </c>
      <c r="O6" s="191">
        <f t="shared" si="0"/>
        <v>-33.898165303759264</v>
      </c>
      <c r="P6" s="191">
        <v>-26.433685984000007</v>
      </c>
    </row>
    <row r="7" spans="1:17" outlineLevel="1" x14ac:dyDescent="0.15">
      <c r="A7" s="157"/>
      <c r="B7" s="190" t="s">
        <v>368</v>
      </c>
      <c r="C7" s="191">
        <f>PEX!C28</f>
        <v>-4.6155438975230512</v>
      </c>
      <c r="D7" s="191">
        <f>PEX!D28</f>
        <v>-4.7022996593255071</v>
      </c>
      <c r="E7" s="191">
        <f>PEX!E28</f>
        <v>-4.7267780557132086</v>
      </c>
      <c r="F7" s="191">
        <f>PEX!F28</f>
        <v>-4.8058451404089695</v>
      </c>
      <c r="G7" s="191">
        <f>PEX!G28</f>
        <v>-4.8955609926157102</v>
      </c>
      <c r="H7" s="191">
        <f>PEX!H28</f>
        <v>-4.7724633709302644</v>
      </c>
      <c r="I7" s="191">
        <f>PEX!I28</f>
        <v>-4.8917552013188788</v>
      </c>
      <c r="J7" s="191">
        <f>PEX!J28</f>
        <v>-4.1667865875106624</v>
      </c>
      <c r="K7" s="191">
        <f>PEX!K28</f>
        <v>-4.8537216649581154</v>
      </c>
      <c r="L7" s="191">
        <f>PEX!L28</f>
        <v>-5.1827433691364426</v>
      </c>
      <c r="M7" s="191">
        <f>PEX!M28</f>
        <v>-5.1847236211710994</v>
      </c>
      <c r="N7" s="191">
        <f>PEX!N28</f>
        <v>-5.3744773716868197</v>
      </c>
      <c r="O7" s="191">
        <f t="shared" si="0"/>
        <v>-58.172698932298729</v>
      </c>
      <c r="P7" s="191">
        <v>-45.362893320000019</v>
      </c>
    </row>
    <row r="8" spans="1:17" outlineLevel="1" x14ac:dyDescent="0.15">
      <c r="A8" s="157"/>
      <c r="B8" s="190" t="s">
        <v>35</v>
      </c>
      <c r="C8" s="191">
        <f>PEX!C29</f>
        <v>-11.55595435083549</v>
      </c>
      <c r="D8" s="191">
        <f>PEX!D29</f>
        <v>-11.773165072977935</v>
      </c>
      <c r="E8" s="191">
        <f>PEX!E29</f>
        <v>-11.834451724674551</v>
      </c>
      <c r="F8" s="191">
        <f>PEX!F29</f>
        <v>-12.032412277468383</v>
      </c>
      <c r="G8" s="191">
        <f>PEX!G29</f>
        <v>-12.257034188919333</v>
      </c>
      <c r="H8" s="191">
        <f>PEX!H29</f>
        <v>-11.948834217588367</v>
      </c>
      <c r="I8" s="191">
        <f>PEX!I29</f>
        <v>-12.247505615153933</v>
      </c>
      <c r="J8" s="191">
        <f>PEX!J29</f>
        <v>-10.432399011693361</v>
      </c>
      <c r="K8" s="191">
        <f>PEX!K29</f>
        <v>-12.15228090930254</v>
      </c>
      <c r="L8" s="191">
        <f>PEX!L29</f>
        <v>-12.976053768652724</v>
      </c>
      <c r="M8" s="191">
        <f>PEX!M29</f>
        <v>-12.981011733006159</v>
      </c>
      <c r="N8" s="191">
        <f>PEX!N29</f>
        <v>-13.456098900964037</v>
      </c>
      <c r="O8" s="191">
        <f t="shared" si="0"/>
        <v>-145.64720177123684</v>
      </c>
      <c r="P8" s="191">
        <v>-113.57524401600004</v>
      </c>
    </row>
    <row r="9" spans="1:17" outlineLevel="1" x14ac:dyDescent="0.15">
      <c r="A9" s="157"/>
      <c r="B9" s="190" t="s">
        <v>36</v>
      </c>
      <c r="C9" s="191">
        <f>PEX!C30</f>
        <v>-3.3505429774611777</v>
      </c>
      <c r="D9" s="191">
        <f>PEX!D30</f>
        <v>-3.4135212341770345</v>
      </c>
      <c r="E9" s="191">
        <f>PEX!E30</f>
        <v>-3.4312907367399585</v>
      </c>
      <c r="F9" s="191">
        <f>PEX!F30</f>
        <v>-3.4886875834079927</v>
      </c>
      <c r="G9" s="191">
        <f>PEX!G30</f>
        <v>-3.553814646491404</v>
      </c>
      <c r="H9" s="191">
        <f>PEX!H30</f>
        <v>-3.4644548914901176</v>
      </c>
      <c r="I9" s="191">
        <f>PEX!I30</f>
        <v>-3.5510519239203711</v>
      </c>
      <c r="J9" s="191">
        <f>PEX!J30</f>
        <v>-3.0247784116744065</v>
      </c>
      <c r="K9" s="191">
        <f>PEX!K30</f>
        <v>-3.5234423938214463</v>
      </c>
      <c r="L9" s="191">
        <f>PEX!L30</f>
        <v>-3.762287779076825</v>
      </c>
      <c r="M9" s="191">
        <f>PEX!M30</f>
        <v>-3.7637252953686495</v>
      </c>
      <c r="N9" s="191">
        <f>PEX!N30</f>
        <v>-3.901472462409691</v>
      </c>
      <c r="O9" s="191">
        <f t="shared" si="0"/>
        <v>-42.229070336039086</v>
      </c>
      <c r="P9" s="191">
        <v>-32.93010033600001</v>
      </c>
    </row>
    <row r="10" spans="1:17" x14ac:dyDescent="0.15">
      <c r="A10" s="157"/>
      <c r="B10" s="184" t="s">
        <v>37</v>
      </c>
      <c r="C10" s="185">
        <f>SUM(C3:C9)</f>
        <v>-113.96404685242101</v>
      </c>
      <c r="D10" s="185">
        <f t="shared" ref="D10:O10" si="1">SUM(D3:D9)</f>
        <v>-116.10616442779029</v>
      </c>
      <c r="E10" s="185">
        <f t="shared" si="1"/>
        <v>-116.71056927686934</v>
      </c>
      <c r="F10" s="185">
        <f t="shared" si="1"/>
        <v>-118.66284297306098</v>
      </c>
      <c r="G10" s="185">
        <f t="shared" si="1"/>
        <v>-120.87804920038788</v>
      </c>
      <c r="H10" s="185">
        <f t="shared" si="1"/>
        <v>-117.83860175136456</v>
      </c>
      <c r="I10" s="185">
        <f t="shared" si="1"/>
        <v>-120.78407904491058</v>
      </c>
      <c r="J10" s="185">
        <f t="shared" si="1"/>
        <v>-102.8836194447077</v>
      </c>
      <c r="K10" s="185">
        <f t="shared" si="1"/>
        <v>-119.84497938168185</v>
      </c>
      <c r="L10" s="185">
        <f t="shared" si="1"/>
        <v>-127.96897207744303</v>
      </c>
      <c r="M10" s="185">
        <f t="shared" si="1"/>
        <v>-128.01786718940986</v>
      </c>
      <c r="N10" s="185">
        <f t="shared" si="1"/>
        <v>-132.70314497992146</v>
      </c>
      <c r="O10" s="185">
        <f t="shared" si="1"/>
        <v>-1436.3629365999686</v>
      </c>
      <c r="P10" s="185">
        <f>SUM(P3:P9)</f>
        <v>-1120.0714400000002</v>
      </c>
    </row>
    <row r="11" spans="1:17" outlineLevel="1" x14ac:dyDescent="0.15">
      <c r="A11" s="157" t="s">
        <v>38</v>
      </c>
      <c r="B11" s="182" t="s">
        <v>38</v>
      </c>
      <c r="C11" s="183">
        <f>-SUMIFS(Потребности!J:J,Потребности!$Y:$Y,Расходы!$A11)/1000000</f>
        <v>-5.0000000000000001E-3</v>
      </c>
      <c r="D11" s="183">
        <f>-SUMIFS(Потребности!K:K,Потребности!$Y:$Y,Расходы!$A11)/1000000</f>
        <v>0</v>
      </c>
      <c r="E11" s="183">
        <f>-SUMIFS(Потребности!L:L,Потребности!$Y:$Y,Расходы!$A11)/1000000</f>
        <v>-5.0000000000000001E-3</v>
      </c>
      <c r="F11" s="183">
        <f>-SUMIFS(Потребности!M:M,Потребности!$Y:$Y,Расходы!$A11)/1000000</f>
        <v>-5.0000000000000001E-3</v>
      </c>
      <c r="G11" s="183">
        <f>-SUMIFS(Потребности!N:N,Потребности!$Y:$Y,Расходы!$A11)/1000000</f>
        <v>-5.0000000000000001E-3</v>
      </c>
      <c r="H11" s="183">
        <f>-SUMIFS(Потребности!O:O,Потребности!$Y:$Y,Расходы!$A11)/1000000</f>
        <v>0</v>
      </c>
      <c r="I11" s="183">
        <f>-SUMIFS(Потребности!P:P,Потребности!$Y:$Y,Расходы!$A11)/1000000</f>
        <v>-5.0000000000000001E-3</v>
      </c>
      <c r="J11" s="183">
        <f>-SUMIFS(Потребности!Q:Q,Потребности!$Y:$Y,Расходы!$A11)/1000000</f>
        <v>0</v>
      </c>
      <c r="K11" s="183">
        <f>-SUMIFS(Потребности!R:R,Потребности!$Y:$Y,Расходы!$A11)/1000000</f>
        <v>-5.0000000000000001E-3</v>
      </c>
      <c r="L11" s="183">
        <f>-SUMIFS(Потребности!S:S,Потребности!$Y:$Y,Расходы!$A11)/1000000</f>
        <v>0</v>
      </c>
      <c r="M11" s="183">
        <f>-SUMIFS(Потребности!T:T,Потребности!$Y:$Y,Расходы!$A11)/1000000</f>
        <v>-5.0000000000000001E-3</v>
      </c>
      <c r="N11" s="183">
        <f>-SUMIFS(Потребности!U:U,Потребности!$Y:$Y,Расходы!$A11)/1000000</f>
        <v>-5.0000000000000001E-3</v>
      </c>
      <c r="O11" s="183">
        <f t="shared" ref="O11:O19" si="2">SUM(C11:N11)</f>
        <v>-0.04</v>
      </c>
      <c r="P11" s="183">
        <v>-0.4</v>
      </c>
    </row>
    <row r="12" spans="1:17" outlineLevel="1" x14ac:dyDescent="0.15">
      <c r="A12" s="157" t="s">
        <v>39</v>
      </c>
      <c r="B12" s="182" t="s">
        <v>39</v>
      </c>
      <c r="C12" s="183">
        <f>-SUMIFS(Потребности!J:J,Потребности!$Y:$Y,Расходы!$A12)/1000000</f>
        <v>-0.375</v>
      </c>
      <c r="D12" s="183">
        <f>-SUMIFS(Потребности!K:K,Потребности!$Y:$Y,Расходы!$A12)/1000000</f>
        <v>-0.375</v>
      </c>
      <c r="E12" s="183">
        <f>-SUMIFS(Потребности!L:L,Потребности!$Y:$Y,Расходы!$A12)/1000000</f>
        <v>-0.51</v>
      </c>
      <c r="F12" s="183">
        <f>-SUMIFS(Потребности!M:M,Потребности!$Y:$Y,Расходы!$A12)/1000000</f>
        <v>-0.375</v>
      </c>
      <c r="G12" s="183">
        <f>-SUMIFS(Потребности!N:N,Потребности!$Y:$Y,Расходы!$A12)/1000000</f>
        <v>-0.375</v>
      </c>
      <c r="H12" s="183">
        <f>-SUMIFS(Потребности!O:O,Потребности!$Y:$Y,Расходы!$A12)/1000000</f>
        <v>-0.375</v>
      </c>
      <c r="I12" s="183">
        <f>-SUMIFS(Потребности!P:P,Потребности!$Y:$Y,Расходы!$A12)/1000000</f>
        <v>-0.51</v>
      </c>
      <c r="J12" s="183">
        <f>-SUMIFS(Потребности!Q:Q,Потребности!$Y:$Y,Расходы!$A12)/1000000</f>
        <v>-0.375</v>
      </c>
      <c r="K12" s="183">
        <f>-SUMIFS(Потребности!R:R,Потребности!$Y:$Y,Расходы!$A12)/1000000</f>
        <v>-0.375</v>
      </c>
      <c r="L12" s="183">
        <f>-SUMIFS(Потребности!S:S,Потребности!$Y:$Y,Расходы!$A12)/1000000</f>
        <v>-0.375</v>
      </c>
      <c r="M12" s="183">
        <f>-SUMIFS(Потребности!T:T,Потребности!$Y:$Y,Расходы!$A12)/1000000</f>
        <v>-0.375</v>
      </c>
      <c r="N12" s="183">
        <f>-SUMIFS(Потребности!U:U,Потребности!$Y:$Y,Расходы!$A12)/1000000</f>
        <v>-0.375</v>
      </c>
      <c r="O12" s="183">
        <f t="shared" si="2"/>
        <v>-4.7699999999999996</v>
      </c>
      <c r="P12" s="183">
        <v>-3</v>
      </c>
    </row>
    <row r="13" spans="1:17" outlineLevel="1" x14ac:dyDescent="0.15">
      <c r="A13" s="157" t="s">
        <v>40</v>
      </c>
      <c r="B13" s="182" t="s">
        <v>40</v>
      </c>
      <c r="C13" s="183">
        <f>-SUMIFS(Потребности!J:J,Потребности!$Y:$Y,Расходы!$A13)/1000000</f>
        <v>-0.8691981332565285</v>
      </c>
      <c r="D13" s="183">
        <f>-SUMIFS(Потребности!K:K,Потребности!$Y:$Y,Расходы!$A13)/1000000</f>
        <v>-0.8691981332565285</v>
      </c>
      <c r="E13" s="183">
        <f>-SUMIFS(Потребности!L:L,Потребности!$Y:$Y,Расходы!$A13)/1000000</f>
        <v>-0.8691981332565285</v>
      </c>
      <c r="F13" s="183">
        <f>-SUMIFS(Потребности!M:M,Потребности!$Y:$Y,Расходы!$A13)/1000000</f>
        <v>-0.8691981332565285</v>
      </c>
      <c r="G13" s="183">
        <f>-SUMIFS(Потребности!N:N,Потребности!$Y:$Y,Расходы!$A13)/1000000</f>
        <v>-0.8691981332565285</v>
      </c>
      <c r="H13" s="183">
        <f>-SUMIFS(Потребности!O:O,Потребности!$Y:$Y,Расходы!$A13)/1000000</f>
        <v>-0.8691981332565285</v>
      </c>
      <c r="I13" s="183">
        <f>-SUMIFS(Потребности!P:P,Потребности!$Y:$Y,Расходы!$A13)/1000000</f>
        <v>-0.8691981332565285</v>
      </c>
      <c r="J13" s="183">
        <f>-SUMIFS(Потребности!Q:Q,Потребности!$Y:$Y,Расходы!$A13)/1000000</f>
        <v>-0.8691981332565285</v>
      </c>
      <c r="K13" s="183">
        <f>-SUMIFS(Потребности!R:R,Потребности!$Y:$Y,Расходы!$A13)/1000000</f>
        <v>-0.8691981332565285</v>
      </c>
      <c r="L13" s="183">
        <f>-SUMIFS(Потребности!S:S,Потребности!$Y:$Y,Расходы!$A13)/1000000</f>
        <v>-0.8691981332565285</v>
      </c>
      <c r="M13" s="183">
        <f>-SUMIFS(Потребности!T:T,Потребности!$Y:$Y,Расходы!$A13)/1000000</f>
        <v>-0.88241992396037716</v>
      </c>
      <c r="N13" s="183">
        <f>-SUMIFS(Потребности!U:U,Потребности!$Y:$Y,Расходы!$A13)/1000000</f>
        <v>-0.97250298202283114</v>
      </c>
      <c r="O13" s="183">
        <f t="shared" si="2"/>
        <v>-10.546904238548494</v>
      </c>
      <c r="P13" s="183">
        <v>-6.5</v>
      </c>
    </row>
    <row r="14" spans="1:17" outlineLevel="1" x14ac:dyDescent="0.15">
      <c r="A14" s="157" t="s">
        <v>41</v>
      </c>
      <c r="B14" s="182" t="s">
        <v>41</v>
      </c>
      <c r="C14" s="183">
        <f>-SUMIFS(Потребности!J:J,Потребности!$Y:$Y,Расходы!$A14)/1000000</f>
        <v>0</v>
      </c>
      <c r="D14" s="183">
        <f>-SUMIFS(Потребности!K:K,Потребности!$Y:$Y,Расходы!$A14)/1000000</f>
        <v>0</v>
      </c>
      <c r="E14" s="183">
        <f>-SUMIFS(Потребности!L:L,Потребности!$Y:$Y,Расходы!$A14)/1000000</f>
        <v>0</v>
      </c>
      <c r="F14" s="183">
        <f>-SUMIFS(Потребности!M:M,Потребности!$Y:$Y,Расходы!$A14)/1000000</f>
        <v>0</v>
      </c>
      <c r="G14" s="183">
        <f>-SUMIFS(Потребности!N:N,Потребности!$Y:$Y,Расходы!$A14)/1000000</f>
        <v>0</v>
      </c>
      <c r="H14" s="183">
        <f>-SUMIFS(Потребности!O:O,Потребности!$Y:$Y,Расходы!$A14)/1000000</f>
        <v>0</v>
      </c>
      <c r="I14" s="183">
        <f>-SUMIFS(Потребности!P:P,Потребности!$Y:$Y,Расходы!$A14)/1000000</f>
        <v>0</v>
      </c>
      <c r="J14" s="183">
        <f>-SUMIFS(Потребности!Q:Q,Потребности!$Y:$Y,Расходы!$A14)/1000000</f>
        <v>0</v>
      </c>
      <c r="K14" s="183">
        <f>-SUMIFS(Потребности!R:R,Потребности!$Y:$Y,Расходы!$A14)/1000000</f>
        <v>0</v>
      </c>
      <c r="L14" s="183">
        <f>-SUMIFS(Потребности!S:S,Потребности!$Y:$Y,Расходы!$A14)/1000000</f>
        <v>0</v>
      </c>
      <c r="M14" s="183">
        <f>-SUMIFS(Потребности!T:T,Потребности!$Y:$Y,Расходы!$A14)/1000000</f>
        <v>0</v>
      </c>
      <c r="N14" s="183">
        <f>-SUMIFS(Потребности!U:U,Потребности!$Y:$Y,Расходы!$A14)/1000000</f>
        <v>0</v>
      </c>
      <c r="O14" s="183">
        <f t="shared" si="2"/>
        <v>0</v>
      </c>
      <c r="P14" s="183">
        <v>-4.9000000000000004</v>
      </c>
    </row>
    <row r="15" spans="1:17" outlineLevel="1" x14ac:dyDescent="0.15">
      <c r="A15" s="157" t="s">
        <v>454</v>
      </c>
      <c r="B15" s="182" t="s">
        <v>454</v>
      </c>
      <c r="C15" s="183">
        <f>-SUMIFS(Потребности!J:J,Потребности!$Y:$Y,Расходы!$A15)/1000000</f>
        <v>-3.7332999999999998E-2</v>
      </c>
      <c r="D15" s="183">
        <f>-SUMIFS(Потребности!K:K,Потребности!$Y:$Y,Расходы!$A15)/1000000</f>
        <v>-3.7332999999999998E-2</v>
      </c>
      <c r="E15" s="183">
        <f>-SUMIFS(Потребности!L:L,Потребности!$Y:$Y,Расходы!$A15)/1000000</f>
        <v>-3.7332999999999998E-2</v>
      </c>
      <c r="F15" s="183">
        <f>-SUMIFS(Потребности!M:M,Потребности!$Y:$Y,Расходы!$A15)/1000000</f>
        <v>-0.37233367000000001</v>
      </c>
      <c r="G15" s="183">
        <f>-SUMIFS(Потребности!N:N,Потребности!$Y:$Y,Расходы!$A15)/1000000</f>
        <v>-3.7332999999999998E-2</v>
      </c>
      <c r="H15" s="183">
        <f>-SUMIFS(Потребности!O:O,Потребности!$Y:$Y,Расходы!$A15)/1000000</f>
        <v>-3.7332999999999998E-2</v>
      </c>
      <c r="I15" s="183">
        <f>-SUMIFS(Потребности!P:P,Потребности!$Y:$Y,Расходы!$A15)/1000000</f>
        <v>-3.7332999999999998E-2</v>
      </c>
      <c r="J15" s="183">
        <f>-SUMIFS(Потребности!Q:Q,Потребности!$Y:$Y,Расходы!$A15)/1000000</f>
        <v>-0.37700299999999998</v>
      </c>
      <c r="K15" s="183">
        <f>-SUMIFS(Потребности!R:R,Потребности!$Y:$Y,Расходы!$A15)/1000000</f>
        <v>-3.7332999999999998E-2</v>
      </c>
      <c r="L15" s="183">
        <f>-SUMIFS(Потребности!S:S,Потребности!$Y:$Y,Расходы!$A15)/1000000</f>
        <v>-3.7332999999999998E-2</v>
      </c>
      <c r="M15" s="183">
        <f>-SUMIFS(Потребности!T:T,Потребности!$Y:$Y,Расходы!$A15)/1000000</f>
        <v>-3.7332999999999998E-2</v>
      </c>
      <c r="N15" s="183">
        <f>-SUMIFS(Потребности!U:U,Потребности!$Y:$Y,Расходы!$A15)/1000000</f>
        <v>-3.7332999999999998E-2</v>
      </c>
      <c r="O15" s="183">
        <f t="shared" si="2"/>
        <v>-1.1226666700000001</v>
      </c>
      <c r="P15" s="183">
        <v>0</v>
      </c>
    </row>
    <row r="16" spans="1:17" outlineLevel="1" x14ac:dyDescent="0.15">
      <c r="A16" s="157" t="s">
        <v>42</v>
      </c>
      <c r="B16" s="182" t="s">
        <v>42</v>
      </c>
      <c r="C16" s="183">
        <f>-SUMIFS(Потребности!J:J,Потребности!$Y:$Y,Расходы!$A16)/1000000</f>
        <v>0</v>
      </c>
      <c r="D16" s="183">
        <f>-SUMIFS(Потребности!K:K,Потребности!$Y:$Y,Расходы!$A16)/1000000</f>
        <v>0</v>
      </c>
      <c r="E16" s="183">
        <f>-SUMIFS(Потребности!L:L,Потребности!$Y:$Y,Расходы!$A16)/1000000</f>
        <v>-0.51209000000000005</v>
      </c>
      <c r="F16" s="183">
        <f>-SUMIFS(Потребности!M:M,Потребности!$Y:$Y,Расходы!$A16)/1000000</f>
        <v>-0.51209000000000005</v>
      </c>
      <c r="G16" s="183">
        <f>-SUMIFS(Потребности!N:N,Потребности!$Y:$Y,Расходы!$A16)/1000000</f>
        <v>-0.51209000000000005</v>
      </c>
      <c r="H16" s="183">
        <f>-SUMIFS(Потребности!O:O,Потребности!$Y:$Y,Расходы!$A16)/1000000</f>
        <v>-0.51209000000000005</v>
      </c>
      <c r="I16" s="183">
        <f>-SUMIFS(Потребности!P:P,Потребности!$Y:$Y,Расходы!$A16)/1000000</f>
        <v>-0.51209000000000005</v>
      </c>
      <c r="J16" s="183">
        <f>-SUMIFS(Потребности!Q:Q,Потребности!$Y:$Y,Расходы!$A16)/1000000</f>
        <v>-0.51209000000000005</v>
      </c>
      <c r="K16" s="183">
        <f>-SUMIFS(Потребности!R:R,Потребности!$Y:$Y,Расходы!$A16)/1000000</f>
        <v>-0.51209000000000005</v>
      </c>
      <c r="L16" s="183">
        <f>-SUMIFS(Потребности!S:S,Потребности!$Y:$Y,Расходы!$A16)/1000000</f>
        <v>-0.51209000000000005</v>
      </c>
      <c r="M16" s="183">
        <f>-SUMIFS(Потребности!T:T,Потребности!$Y:$Y,Расходы!$A16)/1000000</f>
        <v>-0.51209000000000005</v>
      </c>
      <c r="N16" s="183">
        <f>-SUMIFS(Потребности!U:U,Потребности!$Y:$Y,Расходы!$A16)/1000000</f>
        <v>-0.51209000000000005</v>
      </c>
      <c r="O16" s="183">
        <f t="shared" si="2"/>
        <v>-5.1208999999999998</v>
      </c>
      <c r="P16" s="183">
        <v>-5.7</v>
      </c>
    </row>
    <row r="17" spans="1:16" outlineLevel="1" x14ac:dyDescent="0.15">
      <c r="A17" s="157" t="s">
        <v>43</v>
      </c>
      <c r="B17" s="182" t="s">
        <v>43</v>
      </c>
      <c r="C17" s="183">
        <f>-SUMIFS(Потребности!J:J,Потребности!$Y:$Y,Расходы!$A17)/1000000</f>
        <v>0</v>
      </c>
      <c r="D17" s="183">
        <f>-SUMIFS(Потребности!K:K,Потребности!$Y:$Y,Расходы!$A17)/1000000</f>
        <v>-4</v>
      </c>
      <c r="E17" s="183">
        <f>-SUMIFS(Потребности!L:L,Потребности!$Y:$Y,Расходы!$A17)/1000000</f>
        <v>0</v>
      </c>
      <c r="F17" s="183">
        <f>-SUMIFS(Потребности!M:M,Потребности!$Y:$Y,Расходы!$A17)/1000000</f>
        <v>-10.25</v>
      </c>
      <c r="G17" s="183">
        <f>-SUMIFS(Потребности!N:N,Потребности!$Y:$Y,Расходы!$A17)/1000000</f>
        <v>0</v>
      </c>
      <c r="H17" s="183">
        <f>-SUMIFS(Потребности!O:O,Потребности!$Y:$Y,Расходы!$A17)/1000000</f>
        <v>0</v>
      </c>
      <c r="I17" s="183">
        <f>-SUMIFS(Потребности!P:P,Потребности!$Y:$Y,Расходы!$A17)/1000000</f>
        <v>-6</v>
      </c>
      <c r="J17" s="183">
        <f>-SUMIFS(Потребности!Q:Q,Потребности!$Y:$Y,Расходы!$A17)/1000000</f>
        <v>0</v>
      </c>
      <c r="K17" s="183">
        <f>-SUMIFS(Потребности!R:R,Потребности!$Y:$Y,Расходы!$A17)/1000000</f>
        <v>0</v>
      </c>
      <c r="L17" s="183">
        <f>-SUMIFS(Потребности!S:S,Потребности!$Y:$Y,Расходы!$A17)/1000000</f>
        <v>0</v>
      </c>
      <c r="M17" s="183">
        <f>-SUMIFS(Потребности!T:T,Потребности!$Y:$Y,Расходы!$A17)/1000000</f>
        <v>0</v>
      </c>
      <c r="N17" s="183">
        <f>-SUMIFS(Потребности!U:U,Потребности!$Y:$Y,Расходы!$A17)/1000000</f>
        <v>0</v>
      </c>
      <c r="O17" s="183">
        <f t="shared" si="2"/>
        <v>-20.25</v>
      </c>
      <c r="P17" s="183">
        <v>-14</v>
      </c>
    </row>
    <row r="18" spans="1:16" outlineLevel="1" x14ac:dyDescent="0.15">
      <c r="A18" s="157" t="s">
        <v>453</v>
      </c>
      <c r="B18" s="182" t="s">
        <v>453</v>
      </c>
      <c r="C18" s="183">
        <f>-SUMIFS(Потребности!J:J,Потребности!$Y:$Y,Расходы!$A18)/1000000</f>
        <v>-2.7996750000000001E-2</v>
      </c>
      <c r="D18" s="183">
        <f>-SUMIFS(Потребности!K:K,Потребности!$Y:$Y,Расходы!$A18)/1000000</f>
        <v>-2.7996750000000001E-2</v>
      </c>
      <c r="E18" s="183">
        <f>-SUMIFS(Потребности!L:L,Потребности!$Y:$Y,Расходы!$A18)/1000000</f>
        <v>-2.7996750000000001E-2</v>
      </c>
      <c r="F18" s="183">
        <f>-SUMIFS(Потребности!M:M,Потребности!$Y:$Y,Расходы!$A18)/1000000</f>
        <v>-2.7996750000000001E-2</v>
      </c>
      <c r="G18" s="183">
        <f>-SUMIFS(Потребности!N:N,Потребности!$Y:$Y,Расходы!$A18)/1000000</f>
        <v>-2.7996750000000001E-2</v>
      </c>
      <c r="H18" s="183">
        <f>-SUMIFS(Потребности!O:O,Потребности!$Y:$Y,Расходы!$A18)/1000000</f>
        <v>-2.7996750000000001E-2</v>
      </c>
      <c r="I18" s="183">
        <f>-SUMIFS(Потребности!P:P,Потребности!$Y:$Y,Расходы!$A18)/1000000</f>
        <v>-2.7996750000000001E-2</v>
      </c>
      <c r="J18" s="183">
        <f>-SUMIFS(Потребности!Q:Q,Потребности!$Y:$Y,Расходы!$A18)/1000000</f>
        <v>-2.7996750000000001E-2</v>
      </c>
      <c r="K18" s="183">
        <f>-SUMIFS(Потребности!R:R,Потребности!$Y:$Y,Расходы!$A18)/1000000</f>
        <v>-2.7996750000000001E-2</v>
      </c>
      <c r="L18" s="183">
        <f>-SUMIFS(Потребности!S:S,Потребности!$Y:$Y,Расходы!$A18)/1000000</f>
        <v>-2.7996750000000001E-2</v>
      </c>
      <c r="M18" s="183">
        <f>-SUMIFS(Потребности!T:T,Потребности!$Y:$Y,Расходы!$A18)/1000000</f>
        <v>-2.7996750000000001E-2</v>
      </c>
      <c r="N18" s="183">
        <f>-SUMIFS(Потребности!U:U,Потребности!$Y:$Y,Расходы!$A18)/1000000</f>
        <v>-2.7996750000000001E-2</v>
      </c>
      <c r="O18" s="183">
        <f t="shared" si="2"/>
        <v>-0.33596100000000012</v>
      </c>
      <c r="P18" s="183">
        <v>0</v>
      </c>
    </row>
    <row r="19" spans="1:16" outlineLevel="1" x14ac:dyDescent="0.15">
      <c r="A19" s="157" t="s">
        <v>452</v>
      </c>
      <c r="B19" s="182" t="s">
        <v>452</v>
      </c>
      <c r="C19" s="183">
        <f>-SUMIFS(Потребности!J:J,Потребности!$Y:$Y,Расходы!$A19)/1000000</f>
        <v>-4.1666666666666671E-2</v>
      </c>
      <c r="D19" s="183">
        <f>-SUMIFS(Потребности!K:K,Потребности!$Y:$Y,Расходы!$A19)/1000000</f>
        <v>-4.1666666666666671E-2</v>
      </c>
      <c r="E19" s="183">
        <f>-SUMIFS(Потребности!L:L,Потребности!$Y:$Y,Расходы!$A19)/1000000</f>
        <v>-4.1666666666666671E-2</v>
      </c>
      <c r="F19" s="183">
        <f>-SUMIFS(Потребности!M:M,Потребности!$Y:$Y,Расходы!$A19)/1000000</f>
        <v>-4.1666666666666671E-2</v>
      </c>
      <c r="G19" s="183">
        <f>-SUMIFS(Потребности!N:N,Потребности!$Y:$Y,Расходы!$A19)/1000000</f>
        <v>-4.1666666666666671E-2</v>
      </c>
      <c r="H19" s="183">
        <f>-SUMIFS(Потребности!O:O,Потребности!$Y:$Y,Расходы!$A19)/1000000</f>
        <v>-4.1666666666666671E-2</v>
      </c>
      <c r="I19" s="183">
        <f>-SUMIFS(Потребности!P:P,Потребности!$Y:$Y,Расходы!$A19)/1000000</f>
        <v>-4.1666666666666671E-2</v>
      </c>
      <c r="J19" s="183">
        <f>-SUMIFS(Потребности!Q:Q,Потребности!$Y:$Y,Расходы!$A19)/1000000</f>
        <v>-4.1666666666666671E-2</v>
      </c>
      <c r="K19" s="183">
        <f>-SUMIFS(Потребности!R:R,Потребности!$Y:$Y,Расходы!$A19)/1000000</f>
        <v>-4.1666666666666671E-2</v>
      </c>
      <c r="L19" s="183">
        <f>-SUMIFS(Потребности!S:S,Потребности!$Y:$Y,Расходы!$A19)/1000000</f>
        <v>-4.1666666666666671E-2</v>
      </c>
      <c r="M19" s="183">
        <f>-SUMIFS(Потребности!T:T,Потребности!$Y:$Y,Расходы!$A19)/1000000</f>
        <v>-4.1666666666666671E-2</v>
      </c>
      <c r="N19" s="183">
        <f>-SUMIFS(Потребности!U:U,Потребности!$Y:$Y,Расходы!$A19)/1000000</f>
        <v>-4.1666666666666671E-2</v>
      </c>
      <c r="O19" s="183">
        <f t="shared" si="2"/>
        <v>-0.50000000000000011</v>
      </c>
      <c r="P19" s="183">
        <v>-1.2</v>
      </c>
    </row>
    <row r="20" spans="1:16" outlineLevel="1" x14ac:dyDescent="0.15">
      <c r="A20" s="157" t="s">
        <v>44</v>
      </c>
      <c r="B20" s="182" t="s">
        <v>44</v>
      </c>
      <c r="C20" s="183">
        <v>0.2</v>
      </c>
      <c r="D20" s="183">
        <v>0.2</v>
      </c>
      <c r="E20" s="183">
        <v>0.2</v>
      </c>
      <c r="F20" s="183">
        <v>0.2</v>
      </c>
      <c r="G20" s="183">
        <v>0.2</v>
      </c>
      <c r="H20" s="183">
        <v>0.2</v>
      </c>
      <c r="I20" s="183">
        <v>0.2</v>
      </c>
      <c r="J20" s="183">
        <v>0.2</v>
      </c>
      <c r="K20" s="183">
        <v>0.2</v>
      </c>
      <c r="L20" s="183">
        <v>0.2</v>
      </c>
      <c r="M20" s="183">
        <v>0.2</v>
      </c>
      <c r="N20" s="183">
        <v>0.2</v>
      </c>
      <c r="O20" s="183">
        <f>SUM(C20:N20)</f>
        <v>2.4</v>
      </c>
      <c r="P20" s="183">
        <v>3</v>
      </c>
    </row>
    <row r="21" spans="1:16" x14ac:dyDescent="0.15">
      <c r="A21" s="157"/>
      <c r="B21" s="184" t="s">
        <v>45</v>
      </c>
      <c r="C21" s="185">
        <f t="shared" ref="C21:N21" si="3">SUM(C11:C20)</f>
        <v>-1.1561945499231954</v>
      </c>
      <c r="D21" s="185">
        <f t="shared" si="3"/>
        <v>-5.1511945499231953</v>
      </c>
      <c r="E21" s="185">
        <f t="shared" si="3"/>
        <v>-1.8032845499231953</v>
      </c>
      <c r="F21" s="185">
        <f t="shared" si="3"/>
        <v>-12.253285219923194</v>
      </c>
      <c r="G21" s="185">
        <f t="shared" si="3"/>
        <v>-1.6682845499231955</v>
      </c>
      <c r="H21" s="185">
        <f t="shared" si="3"/>
        <v>-1.6632845499231952</v>
      </c>
      <c r="I21" s="185">
        <f t="shared" si="3"/>
        <v>-7.8032845499231938</v>
      </c>
      <c r="J21" s="185">
        <f t="shared" si="3"/>
        <v>-2.0029545499231944</v>
      </c>
      <c r="K21" s="185">
        <f t="shared" si="3"/>
        <v>-1.6682845499231955</v>
      </c>
      <c r="L21" s="185">
        <f t="shared" si="3"/>
        <v>-1.6632845499231952</v>
      </c>
      <c r="M21" s="185">
        <f t="shared" si="3"/>
        <v>-1.6815063406270438</v>
      </c>
      <c r="N21" s="185">
        <f t="shared" si="3"/>
        <v>-1.7715893986894982</v>
      </c>
      <c r="O21" s="185">
        <f>SUM(C21:N21)</f>
        <v>-40.286431908548494</v>
      </c>
      <c r="P21" s="185">
        <f>SUM(P11:P20)</f>
        <v>-32.700000000000003</v>
      </c>
    </row>
    <row r="22" spans="1:16" outlineLevel="1" x14ac:dyDescent="0.15">
      <c r="A22" s="157" t="s">
        <v>46</v>
      </c>
      <c r="B22" s="182" t="s">
        <v>46</v>
      </c>
      <c r="C22" s="183">
        <f>-SUMIFS(Потребности!J:J,Потребности!$Y:$Y,Расходы!$A22)/1000000</f>
        <v>-0.67500000000000004</v>
      </c>
      <c r="D22" s="183">
        <f>-SUMIFS(Потребности!K:K,Потребности!$Y:$Y,Расходы!$A22)/1000000</f>
        <v>-3.5249999999999999</v>
      </c>
      <c r="E22" s="183">
        <f>-SUMIFS(Потребности!L:L,Потребности!$Y:$Y,Расходы!$A22)/1000000</f>
        <v>-4.25</v>
      </c>
      <c r="F22" s="183">
        <f>-SUMIFS(Потребности!M:M,Потребности!$Y:$Y,Расходы!$A22)/1000000</f>
        <v>-2.6749999999999998</v>
      </c>
      <c r="G22" s="183">
        <f>-SUMIFS(Потребности!N:N,Потребности!$Y:$Y,Расходы!$A22)/1000000</f>
        <v>-0.875</v>
      </c>
      <c r="H22" s="183">
        <f>-SUMIFS(Потребности!O:O,Потребности!$Y:$Y,Расходы!$A22)/1000000</f>
        <v>-1.9</v>
      </c>
      <c r="I22" s="183">
        <f>-SUMIFS(Потребности!P:P,Потребности!$Y:$Y,Расходы!$A22)/1000000</f>
        <v>-4.6749999999999998</v>
      </c>
      <c r="J22" s="183">
        <f>-SUMIFS(Потребности!Q:Q,Потребности!$Y:$Y,Расходы!$A22)/1000000</f>
        <v>-2.0249999999999999</v>
      </c>
      <c r="K22" s="183">
        <f>-SUMIFS(Потребности!R:R,Потребности!$Y:$Y,Расходы!$A22)/1000000</f>
        <v>-3.45</v>
      </c>
      <c r="L22" s="183">
        <f>-SUMIFS(Потребности!S:S,Потребности!$Y:$Y,Расходы!$A22)/1000000</f>
        <v>-1.9750000000000001</v>
      </c>
      <c r="M22" s="183">
        <f>-SUMIFS(Потребности!T:T,Потребности!$Y:$Y,Расходы!$A22)/1000000</f>
        <v>-5.875</v>
      </c>
      <c r="N22" s="183">
        <f>-SUMIFS(Потребности!U:U,Потребности!$Y:$Y,Расходы!$A22)/1000000</f>
        <v>-1.4</v>
      </c>
      <c r="O22" s="183">
        <f t="shared" ref="O22:O26" si="4">SUM(C22:N22)</f>
        <v>-33.299999999999997</v>
      </c>
      <c r="P22" s="183">
        <v>-23.25</v>
      </c>
    </row>
    <row r="23" spans="1:16" outlineLevel="1" x14ac:dyDescent="0.15">
      <c r="A23" s="157" t="s">
        <v>47</v>
      </c>
      <c r="B23" s="182" t="s">
        <v>47</v>
      </c>
      <c r="C23" s="183">
        <f>-SUMIFS(Потребности!J:J,Потребности!$Y:$Y,Расходы!$A23)/1000000</f>
        <v>0</v>
      </c>
      <c r="D23" s="183">
        <f>-SUMIFS(Потребности!K:K,Потребности!$Y:$Y,Расходы!$A23)/1000000</f>
        <v>-1.5</v>
      </c>
      <c r="E23" s="183">
        <f>-SUMIFS(Потребности!L:L,Потребности!$Y:$Y,Расходы!$A23)/1000000</f>
        <v>0</v>
      </c>
      <c r="F23" s="183">
        <f>-SUMIFS(Потребности!M:M,Потребности!$Y:$Y,Расходы!$A23)/1000000</f>
        <v>0</v>
      </c>
      <c r="G23" s="183">
        <f>-SUMIFS(Потребности!N:N,Потребности!$Y:$Y,Расходы!$A23)/1000000</f>
        <v>0</v>
      </c>
      <c r="H23" s="183">
        <f>-SUMIFS(Потребности!O:O,Потребности!$Y:$Y,Расходы!$A23)/1000000</f>
        <v>-0.15</v>
      </c>
      <c r="I23" s="183">
        <f>-SUMIFS(Потребности!P:P,Потребности!$Y:$Y,Расходы!$A23)/1000000</f>
        <v>0</v>
      </c>
      <c r="J23" s="183">
        <f>-SUMIFS(Потребности!Q:Q,Потребности!$Y:$Y,Расходы!$A23)/1000000</f>
        <v>0</v>
      </c>
      <c r="K23" s="183">
        <f>-SUMIFS(Потребности!R:R,Потребности!$Y:$Y,Расходы!$A23)/1000000</f>
        <v>-0.15</v>
      </c>
      <c r="L23" s="183">
        <f>-SUMIFS(Потребности!S:S,Потребности!$Y:$Y,Расходы!$A23)/1000000</f>
        <v>0</v>
      </c>
      <c r="M23" s="183">
        <f>-SUMIFS(Потребности!T:T,Потребности!$Y:$Y,Расходы!$A23)/1000000</f>
        <v>0</v>
      </c>
      <c r="N23" s="183">
        <f>-SUMIFS(Потребности!U:U,Потребности!$Y:$Y,Расходы!$A23)/1000000</f>
        <v>0</v>
      </c>
      <c r="O23" s="183">
        <f t="shared" si="4"/>
        <v>-1.7999999999999998</v>
      </c>
      <c r="P23" s="183">
        <v>-3.5</v>
      </c>
    </row>
    <row r="24" spans="1:16" outlineLevel="1" x14ac:dyDescent="0.15">
      <c r="A24" s="157" t="s">
        <v>48</v>
      </c>
      <c r="B24" s="182" t="s">
        <v>48</v>
      </c>
      <c r="C24" s="183">
        <f>-SUMIFS(Потребности!J:J,Потребности!$Y:$Y,Расходы!$A24)/1000000</f>
        <v>-1.1260256000000002</v>
      </c>
      <c r="D24" s="183">
        <f>-SUMIFS(Потребности!K:K,Потребности!$Y:$Y,Расходы!$A24)/1000000</f>
        <v>-1.1260256000000002</v>
      </c>
      <c r="E24" s="183">
        <f>-SUMIFS(Потребности!L:L,Потребности!$Y:$Y,Расходы!$A24)/1000000</f>
        <v>-1.1260256000000002</v>
      </c>
      <c r="F24" s="183">
        <f>-SUMIFS(Потребности!M:M,Потребности!$Y:$Y,Расходы!$A24)/1000000</f>
        <v>-1.1260256000000002</v>
      </c>
      <c r="G24" s="183">
        <f>-SUMIFS(Потребности!N:N,Потребности!$Y:$Y,Расходы!$A24)/1000000</f>
        <v>-1.1260256000000002</v>
      </c>
      <c r="H24" s="183">
        <f>-SUMIFS(Потребности!O:O,Потребности!$Y:$Y,Расходы!$A24)/1000000</f>
        <v>-1.1260256000000002</v>
      </c>
      <c r="I24" s="183">
        <f>-SUMIFS(Потребности!P:P,Потребности!$Y:$Y,Расходы!$A24)/1000000</f>
        <v>-1.4670103999999999</v>
      </c>
      <c r="J24" s="183">
        <f>-SUMIFS(Потребности!Q:Q,Потребности!$Y:$Y,Расходы!$A24)/1000000</f>
        <v>-1.4670103999999999</v>
      </c>
      <c r="K24" s="183">
        <f>-SUMIFS(Потребности!R:R,Потребности!$Y:$Y,Расходы!$A24)/1000000</f>
        <v>-1.4670103999999999</v>
      </c>
      <c r="L24" s="183">
        <f>-SUMIFS(Потребности!S:S,Потребности!$Y:$Y,Расходы!$A24)/1000000</f>
        <v>-1.4670103999999999</v>
      </c>
      <c r="M24" s="183">
        <f>-SUMIFS(Потребности!T:T,Потребности!$Y:$Y,Расходы!$A24)/1000000</f>
        <v>-1.4670103999999999</v>
      </c>
      <c r="N24" s="183">
        <f>-SUMIFS(Потребности!U:U,Потребности!$Y:$Y,Расходы!$A24)/1000000</f>
        <v>-1.4670103999999999</v>
      </c>
      <c r="O24" s="183">
        <f t="shared" ref="O24" si="5">SUM(C24:N24)</f>
        <v>-15.558215999999998</v>
      </c>
      <c r="P24" s="183">
        <v>-8.3000000000000007</v>
      </c>
    </row>
    <row r="25" spans="1:16" outlineLevel="1" x14ac:dyDescent="0.15">
      <c r="A25" s="157" t="s">
        <v>49</v>
      </c>
      <c r="B25" s="182" t="s">
        <v>49</v>
      </c>
      <c r="C25" s="183">
        <f>-SUMIFS(Потребности!J:J,Потребности!$Y:$Y,Расходы!$A25)/1000000</f>
        <v>-4.1666666666666661</v>
      </c>
      <c r="D25" s="183">
        <f>-SUMIFS(Потребности!K:K,Потребности!$Y:$Y,Расходы!$A25)/1000000</f>
        <v>-4.1666666666666661</v>
      </c>
      <c r="E25" s="183">
        <f>-SUMIFS(Потребности!L:L,Потребности!$Y:$Y,Расходы!$A25)/1000000</f>
        <v>-4.1666666666666661</v>
      </c>
      <c r="F25" s="183">
        <f>-SUMIFS(Потребности!M:M,Потребности!$Y:$Y,Расходы!$A25)/1000000</f>
        <v>-4.1666666666666661</v>
      </c>
      <c r="G25" s="183">
        <f>-SUMIFS(Потребности!N:N,Потребности!$Y:$Y,Расходы!$A25)/1000000</f>
        <v>-4.1666666666666661</v>
      </c>
      <c r="H25" s="183">
        <f>-SUMIFS(Потребности!O:O,Потребности!$Y:$Y,Расходы!$A25)/1000000</f>
        <v>-4.1666666666666661</v>
      </c>
      <c r="I25" s="183">
        <f>-SUMIFS(Потребности!P:P,Потребности!$Y:$Y,Расходы!$A25)/1000000</f>
        <v>-4.1666666666666661</v>
      </c>
      <c r="J25" s="183">
        <f>-SUMIFS(Потребности!Q:Q,Потребности!$Y:$Y,Расходы!$A25)/1000000</f>
        <v>-4.1666666666666661</v>
      </c>
      <c r="K25" s="183">
        <f>-SUMIFS(Потребности!R:R,Потребности!$Y:$Y,Расходы!$A25)/1000000</f>
        <v>-4.1666666666666661</v>
      </c>
      <c r="L25" s="183">
        <f>-SUMIFS(Потребности!S:S,Потребности!$Y:$Y,Расходы!$A25)/1000000</f>
        <v>-4.1666666666666661</v>
      </c>
      <c r="M25" s="183">
        <f>-SUMIFS(Потребности!T:T,Потребности!$Y:$Y,Расходы!$A25)/1000000</f>
        <v>-4.1666666666666661</v>
      </c>
      <c r="N25" s="183">
        <f>-SUMIFS(Потребности!U:U,Потребности!$Y:$Y,Расходы!$A25)/1000000</f>
        <v>-4.1666666666666661</v>
      </c>
      <c r="O25" s="183">
        <f t="shared" si="4"/>
        <v>-49.999999999999979</v>
      </c>
      <c r="P25" s="183">
        <v>-20.2</v>
      </c>
    </row>
    <row r="26" spans="1:16" outlineLevel="1" x14ac:dyDescent="0.15">
      <c r="A26" s="157" t="s">
        <v>50</v>
      </c>
      <c r="B26" s="182" t="s">
        <v>50</v>
      </c>
      <c r="C26" s="183">
        <f>-SUMIFS(Потребности!J:J,Потребности!$Y:$Y,Расходы!$A26)/1000000</f>
        <v>-19.379299941230798</v>
      </c>
      <c r="D26" s="183">
        <f>-SUMIFS(Потребности!K:K,Потребности!$Y:$Y,Расходы!$A26)/1000000</f>
        <v>-51.604293644530266</v>
      </c>
      <c r="E26" s="183">
        <f>-SUMIFS(Потребности!L:L,Потребности!$Y:$Y,Расходы!$A26)/1000000</f>
        <v>-68.277732616908736</v>
      </c>
      <c r="F26" s="183">
        <f>-SUMIFS(Потребности!M:M,Потребности!$Y:$Y,Расходы!$A26)/1000000</f>
        <v>-71.584631349173037</v>
      </c>
      <c r="G26" s="183">
        <f>-SUMIFS(Потребности!N:N,Потребности!$Y:$Y,Расходы!$A26)/1000000</f>
        <v>-72.296031416337826</v>
      </c>
      <c r="H26" s="183">
        <f>-SUMIFS(Потребности!O:O,Потребности!$Y:$Y,Расходы!$A26)/1000000</f>
        <v>-72.40941079674252</v>
      </c>
      <c r="I26" s="183">
        <f>-SUMIFS(Потребности!P:P,Потребности!$Y:$Y,Расходы!$A26)/1000000</f>
        <v>-72.362725178406507</v>
      </c>
      <c r="J26" s="183">
        <f>-SUMIFS(Потребности!Q:Q,Потребности!$Y:$Y,Расходы!$A26)/1000000</f>
        <v>-81.232994710771564</v>
      </c>
      <c r="K26" s="183">
        <f>-SUMIFS(Потребности!R:R,Потребности!$Y:$Y,Расходы!$A26)/1000000</f>
        <v>-78.698631987238684</v>
      </c>
      <c r="L26" s="183">
        <f>-SUMIFS(Потребности!S:S,Потребности!$Y:$Y,Расходы!$A26)/1000000</f>
        <v>-113.89626167408278</v>
      </c>
      <c r="M26" s="183">
        <f>-SUMIFS(Потребности!T:T,Потребности!$Y:$Y,Расходы!$A26)/1000000</f>
        <v>-134.45461193854422</v>
      </c>
      <c r="N26" s="183">
        <f>-SUMIFS(Потребности!U:U,Потребности!$Y:$Y,Расходы!$A26)/1000000</f>
        <v>-163.80337474603309</v>
      </c>
      <c r="O26" s="183">
        <f t="shared" si="4"/>
        <v>-1000</v>
      </c>
      <c r="P26" s="183">
        <v>-510.54</v>
      </c>
    </row>
    <row r="27" spans="1:16" outlineLevel="1" x14ac:dyDescent="0.15">
      <c r="A27" s="157" t="s">
        <v>51</v>
      </c>
      <c r="B27" s="182" t="s">
        <v>51</v>
      </c>
      <c r="C27" s="183">
        <f>-SUMIFS(Потребности!J:J,Потребности!$Y:$Y,Расходы!$A27)/1000000</f>
        <v>-4.24</v>
      </c>
      <c r="D27" s="183">
        <f>-SUMIFS(Потребности!K:K,Потребности!$Y:$Y,Расходы!$A27)/1000000</f>
        <v>-7.42</v>
      </c>
      <c r="E27" s="183">
        <f>-SUMIFS(Потребности!L:L,Потребности!$Y:$Y,Расходы!$A27)/1000000</f>
        <v>-14.31</v>
      </c>
      <c r="F27" s="183">
        <f>-SUMIFS(Потребности!M:M,Потребности!$Y:$Y,Расходы!$A27)/1000000</f>
        <v>-14.787000000000001</v>
      </c>
      <c r="G27" s="183">
        <f>-SUMIFS(Потребности!N:N,Потребности!$Y:$Y,Расходы!$A27)/1000000</f>
        <v>-15.105</v>
      </c>
      <c r="H27" s="183">
        <f>-SUMIFS(Потребности!O:O,Потребности!$Y:$Y,Расходы!$A27)/1000000</f>
        <v>-15.9</v>
      </c>
      <c r="I27" s="183">
        <f>-SUMIFS(Потребности!P:P,Потребности!$Y:$Y,Расходы!$A27)/1000000</f>
        <v>-15.9</v>
      </c>
      <c r="J27" s="183">
        <f>-SUMIFS(Потребности!Q:Q,Потребности!$Y:$Y,Расходы!$A27)/1000000</f>
        <v>-17.013000000000002</v>
      </c>
      <c r="K27" s="183">
        <f>-SUMIFS(Потребности!R:R,Потребности!$Y:$Y,Расходы!$A27)/1000000</f>
        <v>-17.013000000000002</v>
      </c>
      <c r="L27" s="183">
        <f>-SUMIFS(Потребности!S:S,Потребности!$Y:$Y,Расходы!$A27)/1000000</f>
        <v>-17.013000000000002</v>
      </c>
      <c r="M27" s="183">
        <f>-SUMIFS(Потребности!T:T,Потребности!$Y:$Y,Расходы!$A27)/1000000</f>
        <v>-18.285</v>
      </c>
      <c r="N27" s="183">
        <f>-SUMIFS(Потребности!U:U,Потребности!$Y:$Y,Расходы!$A27)/1000000</f>
        <v>-19.079999999999998</v>
      </c>
      <c r="O27" s="183">
        <f t="shared" ref="O27" si="6">SUM(C27:N27)</f>
        <v>-176.06600000000003</v>
      </c>
      <c r="P27" s="183">
        <v>-15.6</v>
      </c>
    </row>
    <row r="28" spans="1:16" outlineLevel="1" x14ac:dyDescent="0.15">
      <c r="A28" s="157" t="s">
        <v>32</v>
      </c>
      <c r="B28" s="182" t="s">
        <v>32</v>
      </c>
      <c r="C28" s="183">
        <f>-SUMIFS(Потребности!J:J,Потребности!$Y:$Y,Расходы!$A28)/1000000</f>
        <v>-66.25</v>
      </c>
      <c r="D28" s="183">
        <f>-SUMIFS(Потребности!K:K,Потребности!$Y:$Y,Расходы!$A28)/1000000</f>
        <v>-66.25</v>
      </c>
      <c r="E28" s="183">
        <f>-SUMIFS(Потребности!L:L,Потребности!$Y:$Y,Расходы!$A28)/1000000</f>
        <v>-66.25</v>
      </c>
      <c r="F28" s="183">
        <f>-SUMIFS(Потребности!M:M,Потребности!$Y:$Y,Расходы!$A28)/1000000</f>
        <v>-66.25</v>
      </c>
      <c r="G28" s="183">
        <f>-SUMIFS(Потребности!N:N,Потребности!$Y:$Y,Расходы!$A28)/1000000</f>
        <v>-66.25</v>
      </c>
      <c r="H28" s="183">
        <f>-SUMIFS(Потребности!O:O,Потребности!$Y:$Y,Расходы!$A28)/1000000</f>
        <v>-66.25</v>
      </c>
      <c r="I28" s="183">
        <f>-SUMIFS(Потребности!P:P,Потребности!$Y:$Y,Расходы!$A28)/1000000</f>
        <v>-66.25</v>
      </c>
      <c r="J28" s="183">
        <f>-SUMIFS(Потребности!Q:Q,Потребности!$Y:$Y,Расходы!$A28)/1000000</f>
        <v>-66.25</v>
      </c>
      <c r="K28" s="183">
        <f>-SUMIFS(Потребности!R:R,Потребности!$Y:$Y,Расходы!$A28)/1000000</f>
        <v>-66.25</v>
      </c>
      <c r="L28" s="183">
        <f>-SUMIFS(Потребности!S:S,Потребности!$Y:$Y,Расходы!$A28)/1000000</f>
        <v>-66.25</v>
      </c>
      <c r="M28" s="183">
        <f>-SUMIFS(Потребности!T:T,Потребности!$Y:$Y,Расходы!$A28)/1000000</f>
        <v>-66.25</v>
      </c>
      <c r="N28" s="183">
        <f>-SUMIFS(Потребности!U:U,Потребности!$Y:$Y,Расходы!$A28)/1000000</f>
        <v>-66.25</v>
      </c>
      <c r="O28" s="183">
        <f>SUM(C28:N28)</f>
        <v>-795</v>
      </c>
      <c r="P28" s="183">
        <v>-354.4</v>
      </c>
    </row>
    <row r="29" spans="1:16" x14ac:dyDescent="0.15">
      <c r="A29" s="157"/>
      <c r="B29" s="184" t="s">
        <v>52</v>
      </c>
      <c r="C29" s="185">
        <f>SUM(C22:C28)</f>
        <v>-95.836992207897467</v>
      </c>
      <c r="D29" s="185">
        <f t="shared" ref="D29:N29" si="7">SUM(D22:D28)</f>
        <v>-135.59198591119693</v>
      </c>
      <c r="E29" s="185">
        <f t="shared" si="7"/>
        <v>-158.38042488357542</v>
      </c>
      <c r="F29" s="185">
        <f t="shared" si="7"/>
        <v>-160.5893236158397</v>
      </c>
      <c r="G29" s="185">
        <f t="shared" si="7"/>
        <v>-159.81872368300449</v>
      </c>
      <c r="H29" s="185">
        <f t="shared" si="7"/>
        <v>-161.90210306340919</v>
      </c>
      <c r="I29" s="185">
        <f t="shared" si="7"/>
        <v>-164.82140224507316</v>
      </c>
      <c r="J29" s="185">
        <f t="shared" si="7"/>
        <v>-172.15467177743824</v>
      </c>
      <c r="K29" s="185">
        <f t="shared" si="7"/>
        <v>-171.19530905390536</v>
      </c>
      <c r="L29" s="185">
        <f t="shared" si="7"/>
        <v>-204.76793874074946</v>
      </c>
      <c r="M29" s="185">
        <f t="shared" si="7"/>
        <v>-230.49828900521089</v>
      </c>
      <c r="N29" s="185">
        <f t="shared" si="7"/>
        <v>-256.16705181269975</v>
      </c>
      <c r="O29" s="185">
        <f t="shared" ref="O29:O41" si="8">SUM(C29:N29)</f>
        <v>-2071.7242160000001</v>
      </c>
      <c r="P29" s="185">
        <f>SUM(P22:P26)</f>
        <v>-565.79</v>
      </c>
    </row>
    <row r="30" spans="1:16" outlineLevel="1" x14ac:dyDescent="0.15">
      <c r="A30" s="157" t="s">
        <v>54</v>
      </c>
      <c r="B30" s="182" t="s">
        <v>53</v>
      </c>
      <c r="C30" s="183">
        <f>-SUMIFS(Потребности!J:J,Потребности!$Y:$Y,Расходы!$A30)/1000000</f>
        <v>-6.4490727292141674</v>
      </c>
      <c r="D30" s="183">
        <f>-SUMIFS(Потребности!K:K,Потребности!$Y:$Y,Расходы!$A30)/1000000</f>
        <v>-6.4490727292141674</v>
      </c>
      <c r="E30" s="183">
        <f>-SUMIFS(Потребности!L:L,Потребности!$Y:$Y,Расходы!$A30)/1000000</f>
        <v>-6.8490727292141669</v>
      </c>
      <c r="F30" s="183">
        <f>-SUMIFS(Потребности!M:M,Потребности!$Y:$Y,Расходы!$A30)/1000000</f>
        <v>-6.6490727292141676</v>
      </c>
      <c r="G30" s="183">
        <f>-SUMIFS(Потребности!N:N,Потребности!$Y:$Y,Расходы!$A30)/1000000</f>
        <v>-7.1490727292141676</v>
      </c>
      <c r="H30" s="183">
        <f>-SUMIFS(Потребности!O:O,Потребности!$Y:$Y,Расходы!$A30)/1000000</f>
        <v>-7.0995796801487447</v>
      </c>
      <c r="I30" s="183">
        <f>-SUMIFS(Потребности!P:P,Потребности!$Y:$Y,Расходы!$A30)/1000000</f>
        <v>-7.0420067732172811</v>
      </c>
      <c r="J30" s="183">
        <f>-SUMIFS(Потребности!Q:Q,Потребности!$Y:$Y,Расходы!$A30)/1000000</f>
        <v>-7.3099430138449373</v>
      </c>
      <c r="K30" s="183">
        <f>-SUMIFS(Потребности!R:R,Потребности!$Y:$Y,Расходы!$A30)/1000000</f>
        <v>-8.8213415868855058</v>
      </c>
      <c r="L30" s="183">
        <f>-SUMIFS(Потребности!S:S,Потребности!$Y:$Y,Расходы!$A30)/1000000</f>
        <v>-9.4274406945568447</v>
      </c>
      <c r="M30" s="183">
        <f>-SUMIFS(Потребности!T:T,Потребности!$Y:$Y,Расходы!$A30)/1000000</f>
        <v>-9.4274406945568447</v>
      </c>
      <c r="N30" s="183">
        <f>-SUMIFS(Потребности!U:U,Потребности!$Y:$Y,Расходы!$A30)/1000000</f>
        <v>-9.4274406945568447</v>
      </c>
      <c r="O30" s="183">
        <f t="shared" si="8"/>
        <v>-92.10055678383786</v>
      </c>
      <c r="P30" s="183">
        <v>-58.6</v>
      </c>
    </row>
    <row r="31" spans="1:16" x14ac:dyDescent="0.15">
      <c r="A31" s="157"/>
      <c r="B31" s="184" t="s">
        <v>54</v>
      </c>
      <c r="C31" s="185">
        <f t="shared" ref="C31:N31" si="9">SUM(C30)</f>
        <v>-6.4490727292141674</v>
      </c>
      <c r="D31" s="185">
        <f t="shared" si="9"/>
        <v>-6.4490727292141674</v>
      </c>
      <c r="E31" s="185">
        <f t="shared" si="9"/>
        <v>-6.8490727292141669</v>
      </c>
      <c r="F31" s="185">
        <f t="shared" si="9"/>
        <v>-6.6490727292141676</v>
      </c>
      <c r="G31" s="185">
        <f t="shared" si="9"/>
        <v>-7.1490727292141676</v>
      </c>
      <c r="H31" s="185">
        <f t="shared" si="9"/>
        <v>-7.0995796801487447</v>
      </c>
      <c r="I31" s="185">
        <f t="shared" si="9"/>
        <v>-7.0420067732172811</v>
      </c>
      <c r="J31" s="185">
        <f t="shared" si="9"/>
        <v>-7.3099430138449373</v>
      </c>
      <c r="K31" s="185">
        <f t="shared" si="9"/>
        <v>-8.8213415868855058</v>
      </c>
      <c r="L31" s="185">
        <f t="shared" si="9"/>
        <v>-9.4274406945568447</v>
      </c>
      <c r="M31" s="185">
        <f t="shared" si="9"/>
        <v>-9.4274406945568447</v>
      </c>
      <c r="N31" s="185">
        <f t="shared" si="9"/>
        <v>-9.4274406945568447</v>
      </c>
      <c r="O31" s="185">
        <f t="shared" si="8"/>
        <v>-92.10055678383786</v>
      </c>
      <c r="P31" s="185">
        <f>P30</f>
        <v>-58.6</v>
      </c>
    </row>
    <row r="32" spans="1:16" outlineLevel="1" x14ac:dyDescent="0.15">
      <c r="A32" s="157" t="s">
        <v>55</v>
      </c>
      <c r="B32" s="182" t="s">
        <v>55</v>
      </c>
      <c r="C32" s="183">
        <f>-SUMIFS(Потребности!J:J,Потребности!$Y:$Y,Расходы!$A32)</f>
        <v>0</v>
      </c>
      <c r="D32" s="183">
        <f>-SUMIFS(Потребности!K:K,Потребности!$Y:$Y,Расходы!$A32)</f>
        <v>0</v>
      </c>
      <c r="E32" s="183">
        <f>-SUMIFS(Потребности!L:L,Потребности!$Y:$Y,Расходы!$A32)</f>
        <v>0</v>
      </c>
      <c r="F32" s="183">
        <f>-SUMIFS(Потребности!M:M,Потребности!$Y:$Y,Расходы!$A32)</f>
        <v>0</v>
      </c>
      <c r="G32" s="183">
        <f>-SUMIFS(Потребности!N:N,Потребности!$Y:$Y,Расходы!$A32)</f>
        <v>0</v>
      </c>
      <c r="H32" s="183">
        <f>-SUMIFS(Потребности!O:O,Потребности!$Y:$Y,Расходы!$A32)</f>
        <v>0</v>
      </c>
      <c r="I32" s="183">
        <f>-SUMIFS(Потребности!P:P,Потребности!$Y:$Y,Расходы!$A32)</f>
        <v>0</v>
      </c>
      <c r="J32" s="183">
        <f>-SUMIFS(Потребности!Q:Q,Потребности!$Y:$Y,Расходы!$A32)</f>
        <v>0</v>
      </c>
      <c r="K32" s="183">
        <f>-SUMIFS(Потребности!R:R,Потребности!$Y:$Y,Расходы!$A32)</f>
        <v>0</v>
      </c>
      <c r="L32" s="183">
        <f>-SUMIFS(Потребности!S:S,Потребности!$Y:$Y,Расходы!$A32)</f>
        <v>0</v>
      </c>
      <c r="M32" s="183">
        <f>-SUMIFS(Потребности!T:T,Потребности!$Y:$Y,Расходы!$A32)</f>
        <v>0</v>
      </c>
      <c r="N32" s="183">
        <f>-SUMIFS(Потребности!U:U,Потребности!$Y:$Y,Расходы!$A32)</f>
        <v>0</v>
      </c>
      <c r="O32" s="183">
        <f t="shared" si="8"/>
        <v>0</v>
      </c>
      <c r="P32" s="183">
        <v>0</v>
      </c>
    </row>
    <row r="33" spans="1:16" outlineLevel="1" x14ac:dyDescent="0.15">
      <c r="A33" s="157" t="s">
        <v>56</v>
      </c>
      <c r="B33" s="182" t="s">
        <v>56</v>
      </c>
      <c r="C33" s="183">
        <v>-0.31333333333333302</v>
      </c>
      <c r="D33" s="183">
        <v>-0.31333333333333302</v>
      </c>
      <c r="E33" s="183">
        <v>-0.31333333333333302</v>
      </c>
      <c r="F33" s="183">
        <v>-0.31333333333333302</v>
      </c>
      <c r="G33" s="183">
        <v>-0.31333333333333302</v>
      </c>
      <c r="H33" s="183">
        <v>-0.31333333333333302</v>
      </c>
      <c r="I33" s="183">
        <v>-0.31333333333333302</v>
      </c>
      <c r="J33" s="183">
        <v>-0.31333333333333302</v>
      </c>
      <c r="K33" s="183">
        <v>-0.31333333333333302</v>
      </c>
      <c r="L33" s="183">
        <v>-0.31333333333333302</v>
      </c>
      <c r="M33" s="183">
        <v>-0.31333333333333302</v>
      </c>
      <c r="N33" s="183">
        <v>-0.31333333333333302</v>
      </c>
      <c r="O33" s="183">
        <f t="shared" si="8"/>
        <v>-3.7599999999999962</v>
      </c>
      <c r="P33" s="183">
        <v>-5</v>
      </c>
    </row>
    <row r="34" spans="1:16" outlineLevel="1" x14ac:dyDescent="0.15">
      <c r="A34" s="157" t="s">
        <v>57</v>
      </c>
      <c r="B34" s="182" t="s">
        <v>57</v>
      </c>
      <c r="C34" s="183">
        <f>-('APP Медиа'!C54+'APP Перформанс'!C24+'Content factory'!C31+DMP!C9+DMP!C20+'In-store'!C28)*0.7%</f>
        <v>-2.0143479376049451</v>
      </c>
      <c r="D34" s="183">
        <f>-('APP Медиа'!D54+'APP Перформанс'!D24+'Content factory'!D31+DMP!D9+DMP!D20+'In-store'!D28)*0.7%</f>
        <v>-5.0358698440123639</v>
      </c>
      <c r="E34" s="183">
        <f>-('APP Медиа'!E54+'APP Перформанс'!E24+'Content factory'!E31+DMP!E9+DMP!E20+'In-store'!E28)*0.7%</f>
        <v>-7.0502177816173086</v>
      </c>
      <c r="F34" s="183">
        <f>-('APP Медиа'!F54+'APP Перформанс'!F24+'Content factory'!F31+DMP!F9+DMP!F20+'In-store'!F28)*0.7%</f>
        <v>-7.0502177816173077</v>
      </c>
      <c r="G34" s="183">
        <f>-('APP Медиа'!G54+'APP Перформанс'!G24+'Content factory'!G31+DMP!G9+DMP!G20+'In-store'!G28)*0.7%</f>
        <v>-7.0502177816173113</v>
      </c>
      <c r="H34" s="183">
        <f>-('APP Медиа'!H54+'APP Перформанс'!H24+'Content factory'!H31+DMP!H9+DMP!H20+'In-store'!H28)*0.7%</f>
        <v>-7.0502177816173131</v>
      </c>
      <c r="I34" s="183">
        <f>-('APP Медиа'!I54+'APP Перформанс'!I24+'Content factory'!I31+DMP!I9+DMP!I20+'In-store'!I28)*0.7%</f>
        <v>-7.0502177816173113</v>
      </c>
      <c r="J34" s="183">
        <f>-('APP Медиа'!J54+'APP Перформанс'!J24+'Content factory'!J31+DMP!J9+DMP!J20+'In-store'!J28)*0.7%</f>
        <v>-8.0573917504197823</v>
      </c>
      <c r="K34" s="183">
        <f>-('APP Медиа'!K54+'APP Перформанс'!K24+'Content factory'!K31+DMP!K9+DMP!K20+'In-store'!K28)*0.7%</f>
        <v>-8.0573917504197841</v>
      </c>
      <c r="L34" s="183">
        <f>-('APP Медиа'!L54+'APP Перформанс'!L24+'Content factory'!L31+DMP!L9+DMP!L20+'In-store'!L28)*0.7%</f>
        <v>-11.078913656827192</v>
      </c>
      <c r="M34" s="183">
        <f>-('APP Медиа'!M54+'APP Перформанс'!M24+'Content factory'!M31+DMP!M9+DMP!M20+'In-store'!M28)*0.7%</f>
        <v>-14.10043556323461</v>
      </c>
      <c r="N34" s="183">
        <f>-('APP Медиа'!N54+'APP Перформанс'!N24+'Content factory'!N31+DMP!N9+DMP!N20+'In-store'!N28)*0.7%</f>
        <v>-17.121957469642048</v>
      </c>
      <c r="O34" s="183">
        <f t="shared" si="8"/>
        <v>-100.71739688024729</v>
      </c>
      <c r="P34" s="183">
        <v>-80.7</v>
      </c>
    </row>
    <row r="35" spans="1:16" outlineLevel="1" x14ac:dyDescent="0.15">
      <c r="A35" s="157" t="s">
        <v>451</v>
      </c>
      <c r="B35" s="182" t="s">
        <v>369</v>
      </c>
      <c r="C35" s="183">
        <v>-8.5833333333333303E-2</v>
      </c>
      <c r="D35" s="183">
        <v>-8.5833333333333303E-2</v>
      </c>
      <c r="E35" s="183">
        <v>-8.5833333333333303E-2</v>
      </c>
      <c r="F35" s="183">
        <v>-8.5833333333333303E-2</v>
      </c>
      <c r="G35" s="183">
        <v>-8.5833333333333303E-2</v>
      </c>
      <c r="H35" s="183">
        <v>-8.5833333333333303E-2</v>
      </c>
      <c r="I35" s="183">
        <v>-8.5833333333333303E-2</v>
      </c>
      <c r="J35" s="183">
        <v>-8.5833333333333303E-2</v>
      </c>
      <c r="K35" s="183">
        <v>-8.5833333333333303E-2</v>
      </c>
      <c r="L35" s="183">
        <v>-8.5833333333333303E-2</v>
      </c>
      <c r="M35" s="183">
        <v>-8.5833333333333303E-2</v>
      </c>
      <c r="N35" s="183">
        <v>-8.5833333333333303E-2</v>
      </c>
      <c r="O35" s="183">
        <f t="shared" si="8"/>
        <v>-1.0299999999999996</v>
      </c>
      <c r="P35" s="183">
        <v>-2.6</v>
      </c>
    </row>
    <row r="36" spans="1:16" outlineLevel="1" x14ac:dyDescent="0.15">
      <c r="A36" s="157" t="s">
        <v>451</v>
      </c>
      <c r="B36" s="182" t="s">
        <v>370</v>
      </c>
      <c r="C36" s="183">
        <v>-0.06</v>
      </c>
      <c r="D36" s="183">
        <v>-0.06</v>
      </c>
      <c r="E36" s="183">
        <v>-0.06</v>
      </c>
      <c r="F36" s="183">
        <v>-0.06</v>
      </c>
      <c r="G36" s="183">
        <v>-0.06</v>
      </c>
      <c r="H36" s="183">
        <v>-0.06</v>
      </c>
      <c r="I36" s="183">
        <v>-0.06</v>
      </c>
      <c r="J36" s="183">
        <v>-0.06</v>
      </c>
      <c r="K36" s="183">
        <v>-0.06</v>
      </c>
      <c r="L36" s="183">
        <v>-0.06</v>
      </c>
      <c r="M36" s="183">
        <v>-0.06</v>
      </c>
      <c r="N36" s="183">
        <v>-0.06</v>
      </c>
      <c r="O36" s="183">
        <f t="shared" si="8"/>
        <v>-0.7200000000000002</v>
      </c>
      <c r="P36" s="183">
        <v>-1.9</v>
      </c>
    </row>
    <row r="37" spans="1:16" outlineLevel="1" x14ac:dyDescent="0.15">
      <c r="A37" s="157" t="s">
        <v>451</v>
      </c>
      <c r="B37" s="182" t="s">
        <v>371</v>
      </c>
      <c r="C37" s="183">
        <v>-0.02</v>
      </c>
      <c r="D37" s="183">
        <v>-0.02</v>
      </c>
      <c r="E37" s="183">
        <v>-0.02</v>
      </c>
      <c r="F37" s="183">
        <v>-0.02</v>
      </c>
      <c r="G37" s="183">
        <v>-0.02</v>
      </c>
      <c r="H37" s="183">
        <v>-0.02</v>
      </c>
      <c r="I37" s="183">
        <v>-0.02</v>
      </c>
      <c r="J37" s="183">
        <v>-0.02</v>
      </c>
      <c r="K37" s="183">
        <v>-0.02</v>
      </c>
      <c r="L37" s="183">
        <v>-0.02</v>
      </c>
      <c r="M37" s="183">
        <v>-0.02</v>
      </c>
      <c r="N37" s="183">
        <v>-0.02</v>
      </c>
      <c r="O37" s="183">
        <f t="shared" si="8"/>
        <v>-0.23999999999999996</v>
      </c>
      <c r="P37" s="183">
        <v>-0.2</v>
      </c>
    </row>
    <row r="38" spans="1:16" outlineLevel="1" x14ac:dyDescent="0.15">
      <c r="A38" s="157" t="s">
        <v>58</v>
      </c>
      <c r="B38" s="182" t="s">
        <v>58</v>
      </c>
      <c r="C38" s="183">
        <v>-4.5833333333333302E-2</v>
      </c>
      <c r="D38" s="183">
        <v>-4.5833333333333302E-2</v>
      </c>
      <c r="E38" s="183">
        <v>-4.5833333333333302E-2</v>
      </c>
      <c r="F38" s="183">
        <v>-4.5833333333333302E-2</v>
      </c>
      <c r="G38" s="183">
        <v>-4.5833333333333302E-2</v>
      </c>
      <c r="H38" s="183">
        <v>-4.5833333333333302E-2</v>
      </c>
      <c r="I38" s="183">
        <v>-4.5833333333333302E-2</v>
      </c>
      <c r="J38" s="183">
        <v>-4.5833333333333302E-2</v>
      </c>
      <c r="K38" s="183">
        <v>-4.5833333333333302E-2</v>
      </c>
      <c r="L38" s="183">
        <v>-4.5833333333333302E-2</v>
      </c>
      <c r="M38" s="183">
        <v>-4.5833333333333302E-2</v>
      </c>
      <c r="N38" s="183">
        <v>-4.5833333333333302E-2</v>
      </c>
      <c r="O38" s="183">
        <f t="shared" si="8"/>
        <v>-0.54999999999999949</v>
      </c>
      <c r="P38" s="183">
        <v>-0.7</v>
      </c>
    </row>
    <row r="39" spans="1:16" outlineLevel="1" x14ac:dyDescent="0.15">
      <c r="A39" s="157" t="s">
        <v>59</v>
      </c>
      <c r="B39" s="182" t="s">
        <v>59</v>
      </c>
      <c r="C39" s="183">
        <v>0</v>
      </c>
      <c r="D39" s="183">
        <v>0</v>
      </c>
      <c r="E39" s="183">
        <v>0</v>
      </c>
      <c r="F39" s="183">
        <v>0</v>
      </c>
      <c r="G39" s="183">
        <v>0</v>
      </c>
      <c r="H39" s="183">
        <v>0</v>
      </c>
      <c r="I39" s="183">
        <v>0</v>
      </c>
      <c r="J39" s="183">
        <v>0</v>
      </c>
      <c r="K39" s="183">
        <v>0</v>
      </c>
      <c r="L39" s="183">
        <v>0</v>
      </c>
      <c r="M39" s="183">
        <v>0</v>
      </c>
      <c r="N39" s="183">
        <v>0</v>
      </c>
      <c r="O39" s="183">
        <f t="shared" si="8"/>
        <v>0</v>
      </c>
      <c r="P39" s="183">
        <v>-0.5</v>
      </c>
    </row>
    <row r="40" spans="1:16" x14ac:dyDescent="0.15">
      <c r="A40" s="157"/>
      <c r="B40" s="184" t="s">
        <v>60</v>
      </c>
      <c r="C40" s="185">
        <f t="shared" ref="C40:N40" si="10">SUM(C32:C39)</f>
        <v>-2.539347937604945</v>
      </c>
      <c r="D40" s="185">
        <f t="shared" si="10"/>
        <v>-5.5608698440123625</v>
      </c>
      <c r="E40" s="185">
        <f t="shared" si="10"/>
        <v>-7.5752177816173081</v>
      </c>
      <c r="F40" s="185">
        <f t="shared" si="10"/>
        <v>-7.5752177816173063</v>
      </c>
      <c r="G40" s="185">
        <f t="shared" si="10"/>
        <v>-7.5752177816173099</v>
      </c>
      <c r="H40" s="185">
        <f t="shared" si="10"/>
        <v>-7.5752177816173116</v>
      </c>
      <c r="I40" s="185">
        <f t="shared" si="10"/>
        <v>-7.5752177816173099</v>
      </c>
      <c r="J40" s="185">
        <f t="shared" si="10"/>
        <v>-8.5823917504197809</v>
      </c>
      <c r="K40" s="185">
        <f t="shared" si="10"/>
        <v>-8.5823917504197826</v>
      </c>
      <c r="L40" s="185">
        <f t="shared" si="10"/>
        <v>-11.60391365682719</v>
      </c>
      <c r="M40" s="185">
        <f t="shared" si="10"/>
        <v>-14.625435563234609</v>
      </c>
      <c r="N40" s="185">
        <f t="shared" si="10"/>
        <v>-17.646957469642047</v>
      </c>
      <c r="O40" s="185">
        <f t="shared" si="8"/>
        <v>-107.01739688024726</v>
      </c>
      <c r="P40" s="185">
        <f>SUM(P32:P39)</f>
        <v>-91.600000000000009</v>
      </c>
    </row>
    <row r="41" spans="1:16" x14ac:dyDescent="0.15">
      <c r="A41" s="157"/>
      <c r="B41" s="186" t="s">
        <v>61</v>
      </c>
      <c r="C41" s="187">
        <f t="shared" ref="C41:N41" si="11">SUM(C31,C29,C21,C10,C40)</f>
        <v>-219.94565427706081</v>
      </c>
      <c r="D41" s="187">
        <f t="shared" si="11"/>
        <v>-268.85928746213693</v>
      </c>
      <c r="E41" s="187">
        <f t="shared" si="11"/>
        <v>-291.31856922119943</v>
      </c>
      <c r="F41" s="187">
        <f t="shared" si="11"/>
        <v>-305.72974231965532</v>
      </c>
      <c r="G41" s="187">
        <f t="shared" si="11"/>
        <v>-297.08934794414705</v>
      </c>
      <c r="H41" s="187">
        <f t="shared" si="11"/>
        <v>-296.07878682646299</v>
      </c>
      <c r="I41" s="187">
        <f t="shared" si="11"/>
        <v>-308.02599039474154</v>
      </c>
      <c r="J41" s="187">
        <f t="shared" si="11"/>
        <v>-292.93358053633386</v>
      </c>
      <c r="K41" s="187">
        <f t="shared" si="11"/>
        <v>-310.1123063228157</v>
      </c>
      <c r="L41" s="187">
        <f t="shared" si="11"/>
        <v>-355.43154971949974</v>
      </c>
      <c r="M41" s="187">
        <f t="shared" si="11"/>
        <v>-384.2505387930392</v>
      </c>
      <c r="N41" s="187">
        <f t="shared" si="11"/>
        <v>-417.71618435550965</v>
      </c>
      <c r="O41" s="187">
        <f t="shared" si="8"/>
        <v>-3747.4915381726018</v>
      </c>
      <c r="P41" s="187">
        <f>SUM(P31,P29,P21,P10,P40)</f>
        <v>-1868.7614400000002</v>
      </c>
    </row>
    <row r="42" spans="1:16" outlineLevel="1" x14ac:dyDescent="0.15">
      <c r="A42" s="157" t="s">
        <v>450</v>
      </c>
      <c r="B42" s="182" t="s">
        <v>450</v>
      </c>
      <c r="C42" s="183">
        <f>-SUMIFS(Потребности!J:J,Потребности!$Y:$Y,Расходы!$A42)/1000000-PEX!BG$16/1000000</f>
        <v>-42.45892215706224</v>
      </c>
      <c r="D42" s="183">
        <f>-SUMIFS(Потребности!K:K,Потребности!$Y:$Y,Расходы!$A42)/1000000-PEX!BH$16/1000000</f>
        <v>-43.045580114465743</v>
      </c>
      <c r="E42" s="183">
        <f>-SUMIFS(Потребности!L:L,Потребности!$Y:$Y,Расходы!$A42)/1000000-PEX!BI$16/1000000</f>
        <v>-44.505900843020505</v>
      </c>
      <c r="F42" s="183">
        <f>-SUMIFS(Потребности!M:M,Потребности!$Y:$Y,Расходы!$A42)/1000000-PEX!BJ$16/1000000</f>
        <v>-44.369799209613717</v>
      </c>
      <c r="G42" s="183">
        <f>-SUMIFS(Потребности!N:N,Потребности!$Y:$Y,Расходы!$A42)/1000000-PEX!BK$16/1000000</f>
        <v>-44.528811821076417</v>
      </c>
      <c r="H42" s="183">
        <f>-SUMIFS(Потребности!O:O,Потребности!$Y:$Y,Расходы!$A42)/1000000-PEX!BL$16/1000000</f>
        <v>-44.182904751432723</v>
      </c>
      <c r="I42" s="183">
        <f>-SUMIFS(Потребности!P:P,Потребности!$Y:$Y,Расходы!$A42)/1000000-PEX!BM$16/1000000</f>
        <v>-47.108845365266184</v>
      </c>
      <c r="J42" s="183">
        <f>-SUMIFS(Потребности!Q:Q,Потребности!$Y:$Y,Расходы!$A42)/1000000-PEX!BN$16/1000000</f>
        <v>-46.623044910059683</v>
      </c>
      <c r="K42" s="183">
        <f>-SUMIFS(Потребности!R:R,Потребности!$Y:$Y,Расходы!$A42)/1000000-PEX!BO$16/1000000</f>
        <v>-46.242626274487755</v>
      </c>
      <c r="L42" s="183">
        <f>-SUMIFS(Потребности!S:S,Потребности!$Y:$Y,Расходы!$A42)/1000000-PEX!BP$16/1000000</f>
        <v>-46.092339570551033</v>
      </c>
      <c r="M42" s="183">
        <f>-SUMIFS(Потребности!T:T,Потребности!$Y:$Y,Расходы!$A42)/1000000-PEX!BQ$16/1000000</f>
        <v>-45.970661136644175</v>
      </c>
      <c r="N42" s="183">
        <f>-SUMIFS(Потребности!U:U,Потребности!$Y:$Y,Расходы!$A42)/1000000-PEX!BR$16/1000000</f>
        <v>-45.904436886101983</v>
      </c>
      <c r="O42" s="183">
        <f t="shared" ref="O42:O43" si="12">SUM(C42:N42)</f>
        <v>-541.03387303978218</v>
      </c>
      <c r="P42" s="183">
        <v>-447.2</v>
      </c>
    </row>
    <row r="43" spans="1:16" outlineLevel="1" x14ac:dyDescent="0.15">
      <c r="A43" s="157" t="s">
        <v>449</v>
      </c>
      <c r="B43" s="182" t="s">
        <v>449</v>
      </c>
      <c r="C43" s="183">
        <f>-SUMIFS(Потребности!J:J,Потребности!$Y:$Y,Расходы!$A43)/1000000</f>
        <v>0</v>
      </c>
      <c r="D43" s="183">
        <f>-SUMIFS(Потребности!K:K,Потребности!$Y:$Y,Расходы!$A43)/1000000</f>
        <v>0</v>
      </c>
      <c r="E43" s="183">
        <f>-SUMIFS(Потребности!L:L,Потребности!$Y:$Y,Расходы!$A43)/1000000</f>
        <v>0</v>
      </c>
      <c r="F43" s="183">
        <f>-SUMIFS(Потребности!M:M,Потребности!$Y:$Y,Расходы!$A43)/1000000</f>
        <v>-10.230560000000001</v>
      </c>
      <c r="G43" s="183">
        <f>-SUMIFS(Потребности!N:N,Потребности!$Y:$Y,Расходы!$A43)/1000000</f>
        <v>-18.360959999999999</v>
      </c>
      <c r="H43" s="183">
        <f>-SUMIFS(Потребности!O:O,Потребности!$Y:$Y,Расходы!$A43)/1000000</f>
        <v>-52.572558139999998</v>
      </c>
      <c r="I43" s="183">
        <f>-SUMIFS(Потребности!P:P,Потребности!$Y:$Y,Расходы!$A43)/1000000</f>
        <v>-45.678337210000002</v>
      </c>
      <c r="J43" s="183">
        <f>-SUMIFS(Потребности!Q:Q,Потребности!$Y:$Y,Расходы!$A43)/1000000</f>
        <v>-56.619953489199993</v>
      </c>
      <c r="K43" s="183">
        <f>-SUMIFS(Потребности!R:R,Потребности!$Y:$Y,Расходы!$A43)/1000000</f>
        <v>-155.41</v>
      </c>
      <c r="L43" s="183">
        <f>-SUMIFS(Потребности!S:S,Потребности!$Y:$Y,Расходы!$A43)/1000000</f>
        <v>-170.73349999999999</v>
      </c>
      <c r="M43" s="183">
        <f>-SUMIFS(Потребности!T:T,Потребности!$Y:$Y,Расходы!$A43)/1000000</f>
        <v>0</v>
      </c>
      <c r="N43" s="183">
        <f>-SUMIFS(Потребности!U:U,Потребности!$Y:$Y,Расходы!$A43)/1000000</f>
        <v>-100</v>
      </c>
      <c r="O43" s="183">
        <f t="shared" si="12"/>
        <v>-609.60586883919996</v>
      </c>
      <c r="P43" s="183">
        <v>-732.40000000000009</v>
      </c>
    </row>
    <row r="44" spans="1:16" x14ac:dyDescent="0.15">
      <c r="A44" s="157"/>
      <c r="B44" s="188" t="s">
        <v>448</v>
      </c>
      <c r="C44" s="187">
        <f t="shared" ref="C44:N44" si="13">C42+C43</f>
        <v>-42.45892215706224</v>
      </c>
      <c r="D44" s="187">
        <f t="shared" si="13"/>
        <v>-43.045580114465743</v>
      </c>
      <c r="E44" s="187">
        <f t="shared" si="13"/>
        <v>-44.505900843020505</v>
      </c>
      <c r="F44" s="187">
        <f t="shared" si="13"/>
        <v>-54.600359209613714</v>
      </c>
      <c r="G44" s="187">
        <f t="shared" si="13"/>
        <v>-62.889771821076415</v>
      </c>
      <c r="H44" s="187">
        <f t="shared" si="13"/>
        <v>-96.755462891432728</v>
      </c>
      <c r="I44" s="187">
        <f t="shared" si="13"/>
        <v>-92.787182575266186</v>
      </c>
      <c r="J44" s="187">
        <f t="shared" si="13"/>
        <v>-103.24299839925968</v>
      </c>
      <c r="K44" s="187">
        <f t="shared" si="13"/>
        <v>-201.65262627448774</v>
      </c>
      <c r="L44" s="187">
        <f t="shared" si="13"/>
        <v>-216.82583957055101</v>
      </c>
      <c r="M44" s="187">
        <f t="shared" si="13"/>
        <v>-45.970661136644175</v>
      </c>
      <c r="N44" s="187">
        <f t="shared" si="13"/>
        <v>-145.90443688610199</v>
      </c>
      <c r="O44" s="187">
        <f>SUM(C44:N44)</f>
        <v>-1150.639741878982</v>
      </c>
      <c r="P44" s="187">
        <f>SUM(P42:P43)</f>
        <v>-1179.6000000000001</v>
      </c>
    </row>
    <row r="46" spans="1:16" x14ac:dyDescent="0.15">
      <c r="O46" s="156"/>
      <c r="P46" s="15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08080"/>
  </sheetPr>
  <dimension ref="A1:R34"/>
  <sheetViews>
    <sheetView showGridLines="0" zoomScaleNormal="100" workbookViewId="0"/>
  </sheetViews>
  <sheetFormatPr baseColWidth="10" defaultColWidth="8.83203125" defaultRowHeight="15" x14ac:dyDescent="0.2"/>
  <cols>
    <col min="1" max="1" width="46" customWidth="1"/>
    <col min="2" max="2" width="15" customWidth="1"/>
    <col min="3" max="16" width="11" customWidth="1"/>
    <col min="17" max="17" width="75.83203125" bestFit="1" customWidth="1"/>
  </cols>
  <sheetData>
    <row r="1" spans="1:18" x14ac:dyDescent="0.2">
      <c r="A1" s="86" t="s">
        <v>413</v>
      </c>
    </row>
    <row r="2" spans="1:18" x14ac:dyDescent="0.2">
      <c r="A2" s="1" t="s">
        <v>434</v>
      </c>
    </row>
    <row r="4" spans="1:18" x14ac:dyDescent="0.2">
      <c r="A4" s="88" t="s">
        <v>345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93" t="s">
        <v>628</v>
      </c>
      <c r="R4" s="193"/>
    </row>
    <row r="5" spans="1:18" x14ac:dyDescent="0.2">
      <c r="A5" s="89" t="s">
        <v>0</v>
      </c>
      <c r="B5" s="89" t="s">
        <v>218</v>
      </c>
      <c r="C5" s="89" t="s">
        <v>14</v>
      </c>
      <c r="D5" s="89" t="s">
        <v>15</v>
      </c>
      <c r="E5" s="89" t="s">
        <v>16</v>
      </c>
      <c r="F5" s="89" t="s">
        <v>17</v>
      </c>
      <c r="G5" s="89" t="s">
        <v>18</v>
      </c>
      <c r="H5" s="89" t="s">
        <v>19</v>
      </c>
      <c r="I5" s="89" t="s">
        <v>20</v>
      </c>
      <c r="J5" s="89" t="s">
        <v>21</v>
      </c>
      <c r="K5" s="89" t="s">
        <v>22</v>
      </c>
      <c r="L5" s="89" t="s">
        <v>23</v>
      </c>
      <c r="M5" s="89" t="s">
        <v>24</v>
      </c>
      <c r="N5" s="89" t="s">
        <v>25</v>
      </c>
      <c r="O5" s="89" t="s">
        <v>1</v>
      </c>
      <c r="P5" s="89" t="s">
        <v>2</v>
      </c>
    </row>
    <row r="6" spans="1:18" x14ac:dyDescent="0.2">
      <c r="A6" s="95" t="s">
        <v>346</v>
      </c>
      <c r="B6" s="95" t="s">
        <v>347</v>
      </c>
      <c r="C6" s="91">
        <v>28.925792250310334</v>
      </c>
      <c r="D6" s="91">
        <f>C6*(D8/C8)</f>
        <v>29.572552042374319</v>
      </c>
      <c r="E6" s="91">
        <f t="shared" ref="E6:N6" si="0">D6*(E8/D8)</f>
        <v>29.262754347591365</v>
      </c>
      <c r="F6" s="91">
        <f t="shared" si="0"/>
        <v>29.571529611838493</v>
      </c>
      <c r="G6" s="91">
        <f t="shared" si="0"/>
        <v>29.66847989938092</v>
      </c>
      <c r="H6" s="91">
        <f t="shared" si="0"/>
        <v>30.023413931452762</v>
      </c>
      <c r="I6" s="91">
        <f t="shared" si="0"/>
        <v>30.166124948026127</v>
      </c>
      <c r="J6" s="91">
        <f t="shared" si="0"/>
        <v>30.495208299962449</v>
      </c>
      <c r="K6" s="91">
        <f t="shared" si="0"/>
        <v>30.887126654694594</v>
      </c>
      <c r="L6" s="91">
        <f t="shared" si="0"/>
        <v>31.006490135075278</v>
      </c>
      <c r="M6" s="91">
        <f t="shared" si="0"/>
        <v>31.365004873140059</v>
      </c>
      <c r="N6" s="91">
        <f t="shared" si="0"/>
        <v>31.278201766142509</v>
      </c>
      <c r="O6" s="90">
        <f>SUM(C6:N6)</f>
        <v>362.22267875998921</v>
      </c>
    </row>
    <row r="7" spans="1:18" x14ac:dyDescent="0.2">
      <c r="A7" s="95" t="s">
        <v>348</v>
      </c>
      <c r="B7" s="95" t="s">
        <v>318</v>
      </c>
      <c r="C7" s="128">
        <v>5.75</v>
      </c>
      <c r="D7" s="128">
        <v>5.75</v>
      </c>
      <c r="E7" s="128">
        <v>5.75</v>
      </c>
      <c r="F7" s="128">
        <v>5.75</v>
      </c>
      <c r="G7" s="128">
        <v>5.75</v>
      </c>
      <c r="H7" s="128">
        <v>5.75</v>
      </c>
      <c r="I7" s="128">
        <v>5.75</v>
      </c>
      <c r="J7" s="128">
        <v>5.75</v>
      </c>
      <c r="K7" s="128">
        <v>5.75</v>
      </c>
      <c r="L7" s="128">
        <v>5.75</v>
      </c>
      <c r="M7" s="128">
        <v>5.75</v>
      </c>
      <c r="N7" s="128">
        <v>5.75</v>
      </c>
      <c r="O7" s="113">
        <f>AVERAGE(C7:N7)</f>
        <v>5.75</v>
      </c>
      <c r="Q7" s="92" t="s">
        <v>414</v>
      </c>
    </row>
    <row r="8" spans="1:18" x14ac:dyDescent="0.2">
      <c r="A8" s="95" t="s">
        <v>666</v>
      </c>
      <c r="B8" s="95" t="s">
        <v>229</v>
      </c>
      <c r="C8" s="94">
        <v>0.13248544297410364</v>
      </c>
      <c r="D8" s="94">
        <v>0.13544772164940999</v>
      </c>
      <c r="E8" s="94">
        <v>0.13402879128890324</v>
      </c>
      <c r="F8" s="94">
        <v>0.13544303872970714</v>
      </c>
      <c r="G8" s="94">
        <v>0.13588708885909945</v>
      </c>
      <c r="H8" s="94">
        <v>0.13751275193718224</v>
      </c>
      <c r="I8" s="94">
        <v>0.13816639461304719</v>
      </c>
      <c r="J8" s="94">
        <v>0.13967365682662472</v>
      </c>
      <c r="K8" s="94">
        <v>0.14146871489753418</v>
      </c>
      <c r="L8" s="94">
        <v>0.14201542156804883</v>
      </c>
      <c r="M8" s="94">
        <v>0.14365748493745395</v>
      </c>
      <c r="N8" s="94">
        <v>0.14325991075927477</v>
      </c>
      <c r="O8" s="93">
        <f>AVERAGE(C8:N8)</f>
        <v>0.1382538682533658</v>
      </c>
    </row>
    <row r="9" spans="1:18" x14ac:dyDescent="0.2">
      <c r="A9" s="86" t="s">
        <v>415</v>
      </c>
      <c r="B9" s="95" t="s">
        <v>321</v>
      </c>
      <c r="C9" s="96">
        <f t="shared" ref="C9:N9" si="1">C6*C7</f>
        <v>166.32330543928441</v>
      </c>
      <c r="D9" s="96">
        <f t="shared" si="1"/>
        <v>170.04217424365234</v>
      </c>
      <c r="E9" s="96">
        <f t="shared" si="1"/>
        <v>168.26083749865035</v>
      </c>
      <c r="F9" s="96">
        <f t="shared" si="1"/>
        <v>170.03629526807134</v>
      </c>
      <c r="G9" s="96">
        <f t="shared" si="1"/>
        <v>170.5937594214403</v>
      </c>
      <c r="H9" s="96">
        <f t="shared" si="1"/>
        <v>172.63463010585338</v>
      </c>
      <c r="I9" s="96">
        <f t="shared" si="1"/>
        <v>173.45521845115022</v>
      </c>
      <c r="J9" s="96">
        <f t="shared" si="1"/>
        <v>175.34744772478408</v>
      </c>
      <c r="K9" s="96">
        <f t="shared" si="1"/>
        <v>177.6009782644939</v>
      </c>
      <c r="L9" s="96">
        <f t="shared" si="1"/>
        <v>178.28731827668284</v>
      </c>
      <c r="M9" s="96">
        <f t="shared" si="1"/>
        <v>180.34877802055533</v>
      </c>
      <c r="N9" s="96">
        <f t="shared" si="1"/>
        <v>179.84966015531941</v>
      </c>
      <c r="O9" s="90">
        <f>SUM(C9:N9)</f>
        <v>2082.7804028699379</v>
      </c>
    </row>
    <row r="11" spans="1:18" x14ac:dyDescent="0.2">
      <c r="A11" s="95" t="s">
        <v>349</v>
      </c>
      <c r="B11" s="95" t="s">
        <v>220</v>
      </c>
      <c r="C11" s="91">
        <v>38</v>
      </c>
      <c r="D11" s="91">
        <v>45.6</v>
      </c>
      <c r="E11" s="91">
        <v>54.264000000000003</v>
      </c>
      <c r="F11" s="91">
        <v>64.03152</v>
      </c>
      <c r="G11" s="91">
        <v>74.916877999999997</v>
      </c>
      <c r="H11" s="91">
        <v>86.903578999999993</v>
      </c>
      <c r="I11" s="91">
        <v>99.939115999999999</v>
      </c>
      <c r="J11" s="91">
        <v>113.930592</v>
      </c>
      <c r="K11" s="91">
        <v>128.741569</v>
      </c>
      <c r="L11" s="91">
        <v>144.19055700000001</v>
      </c>
      <c r="M11" s="91">
        <v>160.05151900000001</v>
      </c>
      <c r="N11" s="91">
        <v>176.05667</v>
      </c>
      <c r="O11" s="90">
        <f>AVERAGE(C11:N11)</f>
        <v>98.885499999999993</v>
      </c>
      <c r="Q11" s="31" t="s">
        <v>435</v>
      </c>
    </row>
    <row r="12" spans="1:18" x14ac:dyDescent="0.2">
      <c r="A12" s="95" t="s">
        <v>350</v>
      </c>
      <c r="B12" s="95" t="s">
        <v>229</v>
      </c>
      <c r="C12" s="94">
        <v>0</v>
      </c>
      <c r="D12" s="94">
        <v>0.2</v>
      </c>
      <c r="E12" s="94">
        <v>0.19</v>
      </c>
      <c r="F12" s="94">
        <v>0.18</v>
      </c>
      <c r="G12" s="94">
        <v>0.17</v>
      </c>
      <c r="H12" s="94">
        <v>0.16</v>
      </c>
      <c r="I12" s="94">
        <v>0.15</v>
      </c>
      <c r="J12" s="94">
        <v>0.14000000000000001</v>
      </c>
      <c r="K12" s="94">
        <v>0.13</v>
      </c>
      <c r="L12" s="94">
        <v>0.12</v>
      </c>
      <c r="M12" s="94">
        <v>0.11</v>
      </c>
      <c r="N12" s="94">
        <v>0.1</v>
      </c>
      <c r="O12" s="93">
        <f>AVERAGE(C12:N12)</f>
        <v>0.13750000000000001</v>
      </c>
    </row>
    <row r="13" spans="1:18" x14ac:dyDescent="0.2">
      <c r="A13" s="95" t="s">
        <v>351</v>
      </c>
      <c r="B13" s="95" t="s">
        <v>321</v>
      </c>
      <c r="C13" s="128">
        <v>0.96135000000000004</v>
      </c>
      <c r="D13" s="128">
        <v>0.96135000000000004</v>
      </c>
      <c r="E13" s="128">
        <v>0.96135000000000004</v>
      </c>
      <c r="F13" s="128">
        <v>0.96135000000000004</v>
      </c>
      <c r="G13" s="128">
        <v>0.96135000000000004</v>
      </c>
      <c r="H13" s="128">
        <v>0.96135000000000004</v>
      </c>
      <c r="I13" s="128">
        <v>0.96135000000000004</v>
      </c>
      <c r="J13" s="128">
        <v>0.96135000000000004</v>
      </c>
      <c r="K13" s="128">
        <v>0.96135000000000004</v>
      </c>
      <c r="L13" s="128">
        <v>0.96135000000000004</v>
      </c>
      <c r="M13" s="128">
        <v>0.96135000000000004</v>
      </c>
      <c r="N13" s="128">
        <v>0.96135000000000004</v>
      </c>
      <c r="O13" s="113">
        <f>AVERAGE(C13:N13)</f>
        <v>0.96134999999999993</v>
      </c>
      <c r="Q13" s="92" t="s">
        <v>352</v>
      </c>
    </row>
    <row r="14" spans="1:18" x14ac:dyDescent="0.2">
      <c r="A14" s="86" t="s">
        <v>416</v>
      </c>
      <c r="B14" s="95" t="s">
        <v>321</v>
      </c>
      <c r="C14" s="96">
        <f t="shared" ref="C14:N14" si="2">C11*C13</f>
        <v>36.531300000000002</v>
      </c>
      <c r="D14" s="96">
        <f t="shared" si="2"/>
        <v>43.837560000000003</v>
      </c>
      <c r="E14" s="96">
        <f t="shared" si="2"/>
        <v>52.166696400000006</v>
      </c>
      <c r="F14" s="96">
        <f t="shared" si="2"/>
        <v>61.556701752000002</v>
      </c>
      <c r="G14" s="96">
        <f t="shared" si="2"/>
        <v>72.021340665300002</v>
      </c>
      <c r="H14" s="96">
        <f t="shared" si="2"/>
        <v>83.544755671649995</v>
      </c>
      <c r="I14" s="96">
        <f t="shared" si="2"/>
        <v>96.076469166600006</v>
      </c>
      <c r="J14" s="96">
        <f t="shared" si="2"/>
        <v>109.52717461920001</v>
      </c>
      <c r="K14" s="96">
        <f t="shared" si="2"/>
        <v>123.76570735815001</v>
      </c>
      <c r="L14" s="96">
        <f t="shared" si="2"/>
        <v>138.61759197195002</v>
      </c>
      <c r="M14" s="96">
        <f t="shared" si="2"/>
        <v>153.86552779065002</v>
      </c>
      <c r="N14" s="96">
        <f t="shared" si="2"/>
        <v>169.25207970450001</v>
      </c>
      <c r="O14" s="90">
        <f>SUM(C14:N14)</f>
        <v>1140.7629051000001</v>
      </c>
    </row>
    <row r="16" spans="1:18" x14ac:dyDescent="0.2">
      <c r="A16" s="95" t="s">
        <v>353</v>
      </c>
      <c r="B16" s="95" t="s">
        <v>220</v>
      </c>
      <c r="C16" s="91">
        <v>17.645833</v>
      </c>
      <c r="D16" s="91">
        <v>24</v>
      </c>
      <c r="E16" s="91">
        <v>25.383333</v>
      </c>
      <c r="F16" s="91">
        <v>26.846399999999999</v>
      </c>
      <c r="G16" s="91">
        <v>28.393796999999999</v>
      </c>
      <c r="H16" s="91">
        <v>30.030384000000002</v>
      </c>
      <c r="I16" s="91">
        <v>31.761302000000001</v>
      </c>
      <c r="J16" s="91">
        <v>33.591988000000001</v>
      </c>
      <c r="K16" s="91">
        <v>35.528193000000002</v>
      </c>
      <c r="L16" s="91">
        <v>37.575999000000003</v>
      </c>
      <c r="M16" s="91">
        <v>39.741836999999997</v>
      </c>
      <c r="N16" s="91">
        <v>42.032513000000002</v>
      </c>
      <c r="O16" s="90">
        <f>AVERAGE(C16:N16)</f>
        <v>31.044298249999997</v>
      </c>
    </row>
    <row r="17" spans="1:17" x14ac:dyDescent="0.2">
      <c r="A17" s="95" t="s">
        <v>354</v>
      </c>
      <c r="B17" s="95" t="s">
        <v>321</v>
      </c>
      <c r="C17" s="128">
        <v>2.0721609999999999</v>
      </c>
      <c r="D17" s="128">
        <v>2.0793089999999999</v>
      </c>
      <c r="E17" s="128">
        <v>2.1102539999999999</v>
      </c>
      <c r="F17" s="128">
        <v>2.1456409999999999</v>
      </c>
      <c r="G17" s="128">
        <v>2.1805020000000002</v>
      </c>
      <c r="H17" s="128">
        <v>2.2211560000000001</v>
      </c>
      <c r="I17" s="128">
        <v>2.2580179999999999</v>
      </c>
      <c r="J17" s="128">
        <v>2.2901180000000001</v>
      </c>
      <c r="K17" s="128">
        <v>2.344347</v>
      </c>
      <c r="L17" s="128">
        <v>2.4181029999999999</v>
      </c>
      <c r="M17" s="128">
        <v>2.4366910000000002</v>
      </c>
      <c r="N17" s="128">
        <v>2.5256620000000001</v>
      </c>
      <c r="O17" s="113">
        <f>AVERAGE(C17:N17)</f>
        <v>2.2568301666666666</v>
      </c>
    </row>
    <row r="18" spans="1:17" x14ac:dyDescent="0.2">
      <c r="A18" s="86" t="s">
        <v>417</v>
      </c>
      <c r="B18" s="95" t="s">
        <v>321</v>
      </c>
      <c r="C18" s="96">
        <f t="shared" ref="C18:N18" si="3">C16*C17</f>
        <v>36.565006955112999</v>
      </c>
      <c r="D18" s="96">
        <f t="shared" si="3"/>
        <v>49.903415999999993</v>
      </c>
      <c r="E18" s="96">
        <f t="shared" si="3"/>
        <v>53.565279996581999</v>
      </c>
      <c r="F18" s="96">
        <f t="shared" si="3"/>
        <v>57.602736542399995</v>
      </c>
      <c r="G18" s="96">
        <f t="shared" si="3"/>
        <v>61.912731146094004</v>
      </c>
      <c r="H18" s="96">
        <f t="shared" si="3"/>
        <v>66.702167603904002</v>
      </c>
      <c r="I18" s="96">
        <f t="shared" si="3"/>
        <v>71.717591619435993</v>
      </c>
      <c r="J18" s="96">
        <f t="shared" si="3"/>
        <v>76.929616374584</v>
      </c>
      <c r="K18" s="96">
        <f t="shared" si="3"/>
        <v>83.290412674971009</v>
      </c>
      <c r="L18" s="96">
        <f t="shared" si="3"/>
        <v>90.862635909897008</v>
      </c>
      <c r="M18" s="96">
        <f t="shared" si="3"/>
        <v>96.838576541367004</v>
      </c>
      <c r="N18" s="96">
        <f t="shared" si="3"/>
        <v>106.15992084860601</v>
      </c>
      <c r="O18" s="90">
        <f>SUM(C18:N18)</f>
        <v>852.05009221295404</v>
      </c>
    </row>
    <row r="20" spans="1:17" x14ac:dyDescent="0.2">
      <c r="A20" s="95" t="s">
        <v>355</v>
      </c>
      <c r="B20" s="95" t="s">
        <v>220</v>
      </c>
      <c r="C20" s="91">
        <v>10.5</v>
      </c>
      <c r="D20" s="91">
        <v>10.875</v>
      </c>
      <c r="E20" s="91">
        <v>11.268750000000001</v>
      </c>
      <c r="F20" s="91">
        <v>11.682188</v>
      </c>
      <c r="G20" s="91">
        <v>13.116296999999999</v>
      </c>
      <c r="H20" s="91">
        <v>13.572112000000001</v>
      </c>
      <c r="I20" s="91">
        <v>14.050717000000001</v>
      </c>
      <c r="J20" s="91">
        <v>14.553253</v>
      </c>
      <c r="K20" s="91">
        <v>16.080915999999998</v>
      </c>
      <c r="L20" s="91">
        <v>16.634962000000002</v>
      </c>
      <c r="M20" s="91">
        <v>17.216709999999999</v>
      </c>
      <c r="N20" s="91">
        <v>17.827545000000001</v>
      </c>
      <c r="O20" s="90">
        <f>AVERAGE(C20:N20)</f>
        <v>13.94820416666667</v>
      </c>
    </row>
    <row r="21" spans="1:17" x14ac:dyDescent="0.2">
      <c r="A21" s="95" t="s">
        <v>356</v>
      </c>
      <c r="B21" s="95" t="s">
        <v>321</v>
      </c>
      <c r="C21" s="128">
        <v>1.907511</v>
      </c>
      <c r="D21" s="128">
        <v>2.0834820000000001</v>
      </c>
      <c r="E21" s="128">
        <v>2.1273550000000001</v>
      </c>
      <c r="F21" s="128">
        <v>2.1723029999999999</v>
      </c>
      <c r="G21" s="128">
        <v>2.2489400000000002</v>
      </c>
      <c r="H21" s="128">
        <v>2.2962440000000002</v>
      </c>
      <c r="I21" s="128">
        <v>2.3446899999999999</v>
      </c>
      <c r="J21" s="128">
        <v>2.3943140000000001</v>
      </c>
      <c r="K21" s="128">
        <v>2.4721679999999999</v>
      </c>
      <c r="L21" s="128">
        <v>2.5243769999999999</v>
      </c>
      <c r="M21" s="128">
        <v>2.5778439999999998</v>
      </c>
      <c r="N21" s="128">
        <v>2.6326070000000001</v>
      </c>
      <c r="O21" s="113">
        <f>AVERAGE(C21:N21)</f>
        <v>2.3151529166666669</v>
      </c>
    </row>
    <row r="22" spans="1:17" x14ac:dyDescent="0.2">
      <c r="A22" s="86" t="s">
        <v>418</v>
      </c>
      <c r="B22" s="95" t="s">
        <v>321</v>
      </c>
      <c r="C22" s="96">
        <f t="shared" ref="C22:N22" si="4">C20*C21</f>
        <v>20.028865499999998</v>
      </c>
      <c r="D22" s="96">
        <f t="shared" si="4"/>
        <v>22.65786675</v>
      </c>
      <c r="E22" s="96">
        <f t="shared" si="4"/>
        <v>23.972631656250002</v>
      </c>
      <c r="F22" s="96">
        <f t="shared" si="4"/>
        <v>25.377252038963999</v>
      </c>
      <c r="G22" s="96">
        <f t="shared" si="4"/>
        <v>29.497764975180001</v>
      </c>
      <c r="H22" s="96">
        <f t="shared" si="4"/>
        <v>31.164880747328002</v>
      </c>
      <c r="I22" s="96">
        <f t="shared" si="4"/>
        <v>32.944575642730001</v>
      </c>
      <c r="J22" s="96">
        <f t="shared" si="4"/>
        <v>34.845057403441999</v>
      </c>
      <c r="K22" s="96">
        <f t="shared" si="4"/>
        <v>39.754725945887998</v>
      </c>
      <c r="L22" s="96">
        <f t="shared" si="4"/>
        <v>41.992915468673999</v>
      </c>
      <c r="M22" s="96">
        <f t="shared" si="4"/>
        <v>44.381992573239991</v>
      </c>
      <c r="N22" s="96">
        <f t="shared" si="4"/>
        <v>46.932919759815007</v>
      </c>
      <c r="O22" s="90">
        <f>SUM(C22:N22)</f>
        <v>393.55144846151097</v>
      </c>
    </row>
    <row r="24" spans="1:17" x14ac:dyDescent="0.2">
      <c r="A24" s="95" t="s">
        <v>357</v>
      </c>
      <c r="B24" s="95" t="s">
        <v>347</v>
      </c>
      <c r="C24" s="128">
        <v>3.6331018162582915</v>
      </c>
      <c r="D24" s="128">
        <v>3.7805620111878433</v>
      </c>
      <c r="E24" s="128">
        <v>3.8039049524480171</v>
      </c>
      <c r="F24" s="128">
        <v>3.9051938290740957</v>
      </c>
      <c r="G24" s="128">
        <v>3.977019753869981</v>
      </c>
      <c r="H24" s="128">
        <v>4.082102325664601</v>
      </c>
      <c r="I24" s="128">
        <v>4.1571706784886757</v>
      </c>
      <c r="J24" s="128">
        <v>4.2567727612318889</v>
      </c>
      <c r="K24" s="128">
        <v>4.3644901804494403</v>
      </c>
      <c r="L24" s="128">
        <v>4.4327271829860013</v>
      </c>
      <c r="M24" s="128">
        <v>4.5341746524511271</v>
      </c>
      <c r="N24" s="128">
        <v>4.5700040989834436</v>
      </c>
      <c r="O24" s="113">
        <f>SUM(C24:N24)</f>
        <v>49.497224243093406</v>
      </c>
    </row>
    <row r="25" spans="1:17" x14ac:dyDescent="0.2">
      <c r="A25" s="95" t="s">
        <v>358</v>
      </c>
      <c r="B25" s="95" t="s">
        <v>318</v>
      </c>
      <c r="C25" s="128">
        <v>5.75</v>
      </c>
      <c r="D25" s="128">
        <v>5.75</v>
      </c>
      <c r="E25" s="128">
        <v>5.75</v>
      </c>
      <c r="F25" s="128">
        <v>5.75</v>
      </c>
      <c r="G25" s="128">
        <v>5.75</v>
      </c>
      <c r="H25" s="128">
        <v>5.75</v>
      </c>
      <c r="I25" s="128">
        <v>5.75</v>
      </c>
      <c r="J25" s="128">
        <v>5.75</v>
      </c>
      <c r="K25" s="128">
        <v>5.75</v>
      </c>
      <c r="L25" s="128">
        <v>5.75</v>
      </c>
      <c r="M25" s="128">
        <v>5.75</v>
      </c>
      <c r="N25" s="128">
        <v>5.75</v>
      </c>
      <c r="O25" s="113">
        <f>AVERAGE(C25:N25)</f>
        <v>5.75</v>
      </c>
    </row>
    <row r="26" spans="1:17" x14ac:dyDescent="0.2">
      <c r="A26" s="86" t="s">
        <v>419</v>
      </c>
      <c r="B26" s="95" t="s">
        <v>321</v>
      </c>
      <c r="C26" s="96">
        <f t="shared" ref="C26:N26" si="5">C24*C25</f>
        <v>20.890335443485178</v>
      </c>
      <c r="D26" s="96">
        <f t="shared" si="5"/>
        <v>21.7382315643301</v>
      </c>
      <c r="E26" s="96">
        <f t="shared" si="5"/>
        <v>21.872453476576098</v>
      </c>
      <c r="F26" s="96">
        <f t="shared" si="5"/>
        <v>22.454864517176052</v>
      </c>
      <c r="G26" s="96">
        <f t="shared" si="5"/>
        <v>22.867863584752392</v>
      </c>
      <c r="H26" s="96">
        <f t="shared" si="5"/>
        <v>23.472088372571456</v>
      </c>
      <c r="I26" s="96">
        <f t="shared" si="5"/>
        <v>23.903731401309884</v>
      </c>
      <c r="J26" s="96">
        <f t="shared" si="5"/>
        <v>24.47644337708336</v>
      </c>
      <c r="K26" s="96">
        <f t="shared" si="5"/>
        <v>25.095818537584282</v>
      </c>
      <c r="L26" s="96">
        <f t="shared" si="5"/>
        <v>25.488181302169508</v>
      </c>
      <c r="M26" s="96">
        <f t="shared" si="5"/>
        <v>26.071504251593982</v>
      </c>
      <c r="N26" s="96">
        <f t="shared" si="5"/>
        <v>26.277523569154802</v>
      </c>
      <c r="O26" s="90">
        <f>SUM(C26:N26)</f>
        <v>284.60903939778711</v>
      </c>
    </row>
    <row r="28" spans="1:17" x14ac:dyDescent="0.2">
      <c r="A28" s="95" t="s">
        <v>359</v>
      </c>
      <c r="B28" s="95" t="s">
        <v>360</v>
      </c>
      <c r="C28" s="128">
        <v>3.7</v>
      </c>
      <c r="D28" s="128">
        <v>3.7</v>
      </c>
      <c r="E28" s="128">
        <v>3.7</v>
      </c>
      <c r="F28" s="128">
        <v>3.7</v>
      </c>
      <c r="G28" s="128">
        <v>3.7</v>
      </c>
      <c r="H28" s="128">
        <v>3.7</v>
      </c>
      <c r="I28" s="128">
        <v>3.7</v>
      </c>
      <c r="J28" s="128">
        <v>3.7</v>
      </c>
      <c r="K28" s="128">
        <v>3.7</v>
      </c>
      <c r="L28" s="128">
        <v>3.7</v>
      </c>
      <c r="M28" s="128">
        <v>3.7</v>
      </c>
      <c r="N28" s="128">
        <v>3.7</v>
      </c>
      <c r="O28" s="113">
        <f>SUM(C28:N28)</f>
        <v>44.400000000000006</v>
      </c>
    </row>
    <row r="29" spans="1:17" x14ac:dyDescent="0.2">
      <c r="A29" s="95" t="s">
        <v>361</v>
      </c>
      <c r="B29" s="95" t="s">
        <v>318</v>
      </c>
      <c r="C29" s="128">
        <v>5.42</v>
      </c>
      <c r="D29" s="128">
        <v>5.42</v>
      </c>
      <c r="E29" s="128">
        <v>5.42</v>
      </c>
      <c r="F29" s="128">
        <v>5.42</v>
      </c>
      <c r="G29" s="128">
        <v>5.42</v>
      </c>
      <c r="H29" s="128">
        <v>5.42</v>
      </c>
      <c r="I29" s="128">
        <v>5.42</v>
      </c>
      <c r="J29" s="128">
        <v>5.42</v>
      </c>
      <c r="K29" s="128">
        <v>5.42</v>
      </c>
      <c r="L29" s="128">
        <v>5.42</v>
      </c>
      <c r="M29" s="128">
        <v>5.42</v>
      </c>
      <c r="N29" s="128">
        <v>5.42</v>
      </c>
      <c r="O29" s="113">
        <f>AVERAGE(C29:N29)</f>
        <v>5.4200000000000008</v>
      </c>
    </row>
    <row r="30" spans="1:17" x14ac:dyDescent="0.2">
      <c r="A30" s="86" t="s">
        <v>420</v>
      </c>
      <c r="B30" s="95" t="s">
        <v>321</v>
      </c>
      <c r="C30" s="96">
        <f t="shared" ref="C30:N30" si="6">C28*C29</f>
        <v>20.054000000000002</v>
      </c>
      <c r="D30" s="96">
        <f t="shared" si="6"/>
        <v>20.054000000000002</v>
      </c>
      <c r="E30" s="96">
        <f t="shared" si="6"/>
        <v>20.054000000000002</v>
      </c>
      <c r="F30" s="96">
        <f t="shared" si="6"/>
        <v>20.054000000000002</v>
      </c>
      <c r="G30" s="96">
        <f t="shared" si="6"/>
        <v>20.054000000000002</v>
      </c>
      <c r="H30" s="96">
        <f t="shared" si="6"/>
        <v>20.054000000000002</v>
      </c>
      <c r="I30" s="96">
        <f t="shared" si="6"/>
        <v>20.054000000000002</v>
      </c>
      <c r="J30" s="96">
        <f t="shared" si="6"/>
        <v>20.054000000000002</v>
      </c>
      <c r="K30" s="96">
        <f t="shared" si="6"/>
        <v>20.054000000000002</v>
      </c>
      <c r="L30" s="96">
        <f t="shared" si="6"/>
        <v>20.054000000000002</v>
      </c>
      <c r="M30" s="96">
        <f t="shared" si="6"/>
        <v>20.054000000000002</v>
      </c>
      <c r="N30" s="96">
        <f t="shared" si="6"/>
        <v>20.054000000000002</v>
      </c>
      <c r="O30" s="90">
        <f>SUM(C30:N30)</f>
        <v>240.64800000000002</v>
      </c>
    </row>
    <row r="32" spans="1:17" x14ac:dyDescent="0.2">
      <c r="A32" s="86" t="s">
        <v>421</v>
      </c>
      <c r="B32" s="95" t="s">
        <v>321</v>
      </c>
      <c r="C32" s="96">
        <v>37.5</v>
      </c>
      <c r="D32" s="96">
        <v>37.5</v>
      </c>
      <c r="E32" s="96">
        <v>37.5</v>
      </c>
      <c r="F32" s="96">
        <v>37.5</v>
      </c>
      <c r="G32" s="96">
        <v>37.5</v>
      </c>
      <c r="H32" s="96">
        <v>37.5</v>
      </c>
      <c r="I32" s="96">
        <v>37.5</v>
      </c>
      <c r="J32" s="96">
        <v>37.5</v>
      </c>
      <c r="K32" s="96">
        <v>37.5</v>
      </c>
      <c r="L32" s="96">
        <v>37.5</v>
      </c>
      <c r="M32" s="96">
        <v>37.5</v>
      </c>
      <c r="N32" s="96">
        <v>37.5</v>
      </c>
      <c r="O32" s="90">
        <f>SUM(C32:N32)</f>
        <v>450</v>
      </c>
      <c r="Q32" s="92"/>
    </row>
    <row r="34" spans="1:16" x14ac:dyDescent="0.2">
      <c r="A34" s="86" t="s">
        <v>362</v>
      </c>
      <c r="B34" s="95" t="s">
        <v>321</v>
      </c>
      <c r="C34" s="90">
        <f t="shared" ref="C34:N34" si="7">C9+C14+C18+C22+C26+C30+C32</f>
        <v>337.89281333788256</v>
      </c>
      <c r="D34" s="90">
        <f t="shared" si="7"/>
        <v>365.73324855798239</v>
      </c>
      <c r="E34" s="90">
        <f t="shared" si="7"/>
        <v>377.39189902805845</v>
      </c>
      <c r="F34" s="90">
        <f t="shared" si="7"/>
        <v>394.58185011861144</v>
      </c>
      <c r="G34" s="90">
        <f t="shared" si="7"/>
        <v>414.44745979276672</v>
      </c>
      <c r="H34" s="90">
        <f>H9+H14+H18+H22+H26+H30+H32</f>
        <v>435.07252250130693</v>
      </c>
      <c r="I34" s="90">
        <f t="shared" si="7"/>
        <v>455.65158628122606</v>
      </c>
      <c r="J34" s="90">
        <f t="shared" si="7"/>
        <v>478.67973949909344</v>
      </c>
      <c r="K34" s="90">
        <f t="shared" si="7"/>
        <v>507.06164278108724</v>
      </c>
      <c r="L34" s="90">
        <f t="shared" si="7"/>
        <v>532.80264292937341</v>
      </c>
      <c r="M34" s="90">
        <f t="shared" si="7"/>
        <v>559.06037917740628</v>
      </c>
      <c r="N34" s="90">
        <f t="shared" si="7"/>
        <v>586.02610403739527</v>
      </c>
      <c r="O34" s="90">
        <f>SUM(C34:N34)</f>
        <v>5444.4018880421909</v>
      </c>
      <c r="P34" s="129">
        <v>3007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C54AF-3588-004D-9F64-800389D27EDB}">
  <sheetPr codeName="Sheet1">
    <tabColor rgb="FF808080"/>
  </sheetPr>
  <dimension ref="A1:AW75"/>
  <sheetViews>
    <sheetView showGridLines="0" zoomScaleNormal="100" workbookViewId="0">
      <pane xSplit="3" ySplit="3" topLeftCell="D4" activePane="bottomRight" state="frozen"/>
      <selection activeCell="E31" sqref="E31"/>
      <selection pane="topRight" activeCell="E31" sqref="E31"/>
      <selection pane="bottomLeft" activeCell="E31" sqref="E31"/>
      <selection pane="bottomRight"/>
    </sheetView>
  </sheetViews>
  <sheetFormatPr baseColWidth="10" defaultColWidth="8.83203125" defaultRowHeight="12" outlineLevelCol="1" x14ac:dyDescent="0.15"/>
  <cols>
    <col min="1" max="1" width="14.5" style="160" customWidth="1"/>
    <col min="2" max="2" width="41.5" style="160" customWidth="1"/>
    <col min="3" max="3" width="47" style="162" customWidth="1"/>
    <col min="4" max="4" width="11.5" style="160" bestFit="1" customWidth="1"/>
    <col min="5" max="5" width="11.83203125" style="160" hidden="1" customWidth="1" outlineLevel="1"/>
    <col min="6" max="6" width="9.83203125" style="160" hidden="1" customWidth="1" outlineLevel="1"/>
    <col min="7" max="7" width="9.5" style="160" hidden="1" customWidth="1" outlineLevel="1"/>
    <col min="8" max="8" width="21.1640625" style="160" customWidth="1" collapsed="1"/>
    <col min="9" max="9" width="11.83203125" style="160" bestFit="1" customWidth="1"/>
    <col min="10" max="21" width="9.5" style="160" hidden="1" customWidth="1" outlineLevel="1"/>
    <col min="22" max="22" width="10.5" style="160" bestFit="1" customWidth="1" collapsed="1"/>
    <col min="23" max="23" width="10.5" style="160" bestFit="1" customWidth="1"/>
    <col min="24" max="24" width="10.5" style="160" customWidth="1"/>
    <col min="25" max="25" width="44.5" style="160" bestFit="1" customWidth="1"/>
    <col min="26" max="30" width="8.83203125" style="160"/>
    <col min="31" max="31" width="2.1640625" style="161" customWidth="1"/>
    <col min="32" max="32" width="35" style="161" bestFit="1" customWidth="1"/>
    <col min="33" max="33" width="27.1640625" style="161" bestFit="1" customWidth="1"/>
    <col min="34" max="34" width="12.6640625" style="161" bestFit="1" customWidth="1"/>
    <col min="35" max="35" width="6.5" style="161" bestFit="1" customWidth="1"/>
    <col min="36" max="36" width="9.5" style="161" bestFit="1" customWidth="1"/>
    <col min="37" max="37" width="6.5" style="161" bestFit="1" customWidth="1"/>
    <col min="38" max="38" width="10" style="161" bestFit="1" customWidth="1"/>
    <col min="39" max="39" width="10.5" style="161" bestFit="1" customWidth="1"/>
    <col min="40" max="40" width="8.83203125" style="161"/>
    <col min="41" max="41" width="11.1640625" style="161" bestFit="1" customWidth="1"/>
    <col min="42" max="44" width="15.83203125" style="160" customWidth="1"/>
    <col min="45" max="45" width="8.83203125" style="160"/>
    <col min="46" max="46" width="11.5" style="160" bestFit="1" customWidth="1"/>
    <col min="47" max="47" width="8.83203125" style="160"/>
    <col min="48" max="48" width="10" style="160" bestFit="1" customWidth="1"/>
    <col min="49" max="16384" width="8.83203125" style="160"/>
  </cols>
  <sheetData>
    <row r="1" spans="1:49" ht="14" x14ac:dyDescent="0.15">
      <c r="A1" s="179" t="s">
        <v>594</v>
      </c>
      <c r="C1" s="160"/>
      <c r="Z1" s="319" t="s">
        <v>629</v>
      </c>
      <c r="AA1" s="319"/>
      <c r="AB1" s="319"/>
      <c r="AC1" s="319"/>
      <c r="AD1" s="319"/>
      <c r="AF1" s="178" t="s">
        <v>593</v>
      </c>
      <c r="AG1" s="177"/>
      <c r="AI1" s="160"/>
      <c r="AP1" s="320" t="s">
        <v>630</v>
      </c>
      <c r="AQ1" s="320"/>
      <c r="AR1" s="320"/>
      <c r="AS1" s="177" t="s">
        <v>592</v>
      </c>
      <c r="AT1" s="161"/>
      <c r="AU1" s="161"/>
      <c r="AV1" s="161"/>
      <c r="AW1" s="200" t="s">
        <v>631</v>
      </c>
    </row>
    <row r="2" spans="1:49" x14ac:dyDescent="0.15">
      <c r="C2" s="160"/>
      <c r="T2" s="176"/>
      <c r="U2" s="176"/>
      <c r="V2" s="176"/>
      <c r="Z2" s="319"/>
      <c r="AA2" s="319"/>
      <c r="AB2" s="319"/>
      <c r="AC2" s="319"/>
      <c r="AD2" s="319"/>
      <c r="AF2" s="175" t="s">
        <v>591</v>
      </c>
      <c r="AG2" s="175"/>
      <c r="AH2" s="175" t="s">
        <v>11</v>
      </c>
      <c r="AP2" s="320"/>
      <c r="AQ2" s="320"/>
      <c r="AR2" s="320"/>
      <c r="AS2" s="174"/>
      <c r="AT2" s="161"/>
      <c r="AU2" s="161"/>
      <c r="AV2" s="161"/>
    </row>
    <row r="3" spans="1:49" ht="26" x14ac:dyDescent="0.15">
      <c r="A3" s="168" t="s">
        <v>590</v>
      </c>
      <c r="B3" s="168" t="s">
        <v>589</v>
      </c>
      <c r="C3" s="168" t="s">
        <v>588</v>
      </c>
      <c r="D3" s="168" t="s">
        <v>587</v>
      </c>
      <c r="E3" s="168" t="s">
        <v>586</v>
      </c>
      <c r="F3" s="173" t="s">
        <v>585</v>
      </c>
      <c r="G3" s="173" t="s">
        <v>584</v>
      </c>
      <c r="H3" s="168" t="s">
        <v>583</v>
      </c>
      <c r="I3" s="168" t="s">
        <v>4</v>
      </c>
      <c r="J3" s="172">
        <v>46388</v>
      </c>
      <c r="K3" s="172">
        <v>46419</v>
      </c>
      <c r="L3" s="172">
        <v>46447</v>
      </c>
      <c r="M3" s="172">
        <v>46478</v>
      </c>
      <c r="N3" s="172">
        <v>46508</v>
      </c>
      <c r="O3" s="172">
        <v>46539</v>
      </c>
      <c r="P3" s="172">
        <v>46569</v>
      </c>
      <c r="Q3" s="172">
        <v>46600</v>
      </c>
      <c r="R3" s="172">
        <v>46631</v>
      </c>
      <c r="S3" s="172">
        <v>46661</v>
      </c>
      <c r="T3" s="172">
        <v>46692</v>
      </c>
      <c r="U3" s="172">
        <v>46722</v>
      </c>
      <c r="V3" s="171" t="s">
        <v>1</v>
      </c>
      <c r="W3" s="170" t="s">
        <v>582</v>
      </c>
      <c r="X3" s="169" t="s">
        <v>581</v>
      </c>
      <c r="Y3" s="168" t="s">
        <v>580</v>
      </c>
      <c r="Z3" s="319"/>
      <c r="AA3" s="319"/>
      <c r="AB3" s="319"/>
      <c r="AC3" s="319"/>
      <c r="AD3" s="319"/>
      <c r="AF3" s="161" t="s">
        <v>579</v>
      </c>
      <c r="AH3" s="167">
        <v>7.0000000000000007E-2</v>
      </c>
      <c r="AI3" s="165"/>
      <c r="AP3" s="320"/>
      <c r="AQ3" s="320"/>
      <c r="AR3" s="320"/>
      <c r="AS3" s="161"/>
      <c r="AT3" s="161"/>
      <c r="AU3" s="161"/>
      <c r="AV3" s="161"/>
    </row>
    <row r="4" spans="1:49" ht="13" thickBot="1" x14ac:dyDescent="0.2">
      <c r="A4" s="160" t="s">
        <v>52</v>
      </c>
      <c r="B4" s="160" t="s">
        <v>32</v>
      </c>
      <c r="C4" s="162">
        <v>0</v>
      </c>
      <c r="D4" s="160" t="s">
        <v>61</v>
      </c>
      <c r="E4" s="160" t="s">
        <v>467</v>
      </c>
      <c r="F4" s="262" t="s">
        <v>467</v>
      </c>
      <c r="G4" s="262" t="s">
        <v>467</v>
      </c>
      <c r="H4" s="160" t="s">
        <v>578</v>
      </c>
      <c r="I4" s="263"/>
      <c r="J4" s="160">
        <f t="shared" ref="J4:U4" si="0">$V$4/12</f>
        <v>66250000</v>
      </c>
      <c r="K4" s="160">
        <f t="shared" si="0"/>
        <v>66250000</v>
      </c>
      <c r="L4" s="160">
        <f t="shared" si="0"/>
        <v>66250000</v>
      </c>
      <c r="M4" s="160">
        <f t="shared" si="0"/>
        <v>66250000</v>
      </c>
      <c r="N4" s="160">
        <f t="shared" si="0"/>
        <v>66250000</v>
      </c>
      <c r="O4" s="160">
        <f t="shared" si="0"/>
        <v>66250000</v>
      </c>
      <c r="P4" s="160">
        <f t="shared" si="0"/>
        <v>66250000</v>
      </c>
      <c r="Q4" s="160">
        <f t="shared" si="0"/>
        <v>66250000</v>
      </c>
      <c r="R4" s="160">
        <f t="shared" si="0"/>
        <v>66250000</v>
      </c>
      <c r="S4" s="160">
        <f t="shared" si="0"/>
        <v>66250000</v>
      </c>
      <c r="T4" s="160">
        <f t="shared" si="0"/>
        <v>66250000</v>
      </c>
      <c r="U4" s="160">
        <f t="shared" si="0"/>
        <v>66250000</v>
      </c>
      <c r="V4" s="160">
        <f>Потребности!AV7</f>
        <v>795000000</v>
      </c>
      <c r="W4" s="160">
        <v>351730070.09999996</v>
      </c>
      <c r="X4" s="160">
        <v>136061649.13999999</v>
      </c>
      <c r="Y4" s="160" t="s">
        <v>32</v>
      </c>
      <c r="AS4" s="264" t="s">
        <v>577</v>
      </c>
      <c r="AT4" s="265" t="s">
        <v>576</v>
      </c>
      <c r="AU4" s="265" t="s">
        <v>575</v>
      </c>
      <c r="AV4" s="166" t="s">
        <v>574</v>
      </c>
    </row>
    <row r="5" spans="1:49" x14ac:dyDescent="0.15">
      <c r="A5" s="160" t="s">
        <v>52</v>
      </c>
      <c r="B5" s="160" t="s">
        <v>50</v>
      </c>
      <c r="C5" s="162" t="s">
        <v>29</v>
      </c>
      <c r="D5" s="160" t="s">
        <v>61</v>
      </c>
      <c r="E5" s="160" t="s">
        <v>467</v>
      </c>
      <c r="F5" s="262" t="s">
        <v>467</v>
      </c>
      <c r="G5" s="262" t="s">
        <v>467</v>
      </c>
      <c r="H5" s="160" t="s">
        <v>573</v>
      </c>
      <c r="I5" s="263" t="s">
        <v>572</v>
      </c>
      <c r="J5" s="160">
        <v>11541342.08</v>
      </c>
      <c r="K5" s="160">
        <v>30732937.079999998</v>
      </c>
      <c r="L5" s="160">
        <v>40662803.659999996</v>
      </c>
      <c r="M5" s="160">
        <v>42632227.200000003</v>
      </c>
      <c r="N5" s="160">
        <v>43055901.509999998</v>
      </c>
      <c r="O5" s="160">
        <v>43123424.600000001</v>
      </c>
      <c r="P5" s="160">
        <v>43095620.979999997</v>
      </c>
      <c r="Q5" s="160">
        <v>48378310</v>
      </c>
      <c r="R5" s="160">
        <v>46868970.280000001</v>
      </c>
      <c r="S5" s="160">
        <v>67830918.640000001</v>
      </c>
      <c r="T5" s="160">
        <v>80074444.140000001</v>
      </c>
      <c r="U5" s="160">
        <v>97553099.829999998</v>
      </c>
      <c r="V5" s="160">
        <f>SUM(J5:U5)</f>
        <v>595550000</v>
      </c>
      <c r="W5" s="160">
        <v>533799999.99999994</v>
      </c>
      <c r="X5" s="160">
        <v>350780742.68000001</v>
      </c>
      <c r="Y5" s="160" t="s">
        <v>50</v>
      </c>
      <c r="AF5" s="321" t="s">
        <v>571</v>
      </c>
      <c r="AG5" s="321" t="s">
        <v>570</v>
      </c>
      <c r="AH5" s="321" t="s">
        <v>13</v>
      </c>
      <c r="AI5" s="321">
        <v>2026</v>
      </c>
      <c r="AJ5" s="321"/>
      <c r="AK5" s="321">
        <v>2027</v>
      </c>
      <c r="AL5" s="321"/>
      <c r="AM5" s="266">
        <v>2027</v>
      </c>
      <c r="AN5" s="266">
        <v>2027</v>
      </c>
      <c r="AO5" s="321" t="s">
        <v>569</v>
      </c>
      <c r="AS5" s="161" t="s">
        <v>568</v>
      </c>
      <c r="AT5" s="267">
        <v>1800000000</v>
      </c>
      <c r="AU5" s="165">
        <v>0.3</v>
      </c>
      <c r="AV5" s="164">
        <f>AT5*AU5</f>
        <v>540000000</v>
      </c>
    </row>
    <row r="6" spans="1:49" x14ac:dyDescent="0.15">
      <c r="A6" s="160" t="s">
        <v>52</v>
      </c>
      <c r="B6" s="160" t="s">
        <v>50</v>
      </c>
      <c r="C6" s="162" t="s">
        <v>567</v>
      </c>
      <c r="D6" s="160" t="s">
        <v>61</v>
      </c>
      <c r="E6" s="160" t="s">
        <v>467</v>
      </c>
      <c r="F6" s="262" t="s">
        <v>467</v>
      </c>
      <c r="G6" s="262" t="s">
        <v>467</v>
      </c>
      <c r="H6" s="160" t="s">
        <v>566</v>
      </c>
      <c r="I6" s="263"/>
      <c r="J6" s="160">
        <f t="shared" ref="J6:T6" si="1">J5*(K6/K5)</f>
        <v>7837957.8612307953</v>
      </c>
      <c r="K6" s="160">
        <f t="shared" si="1"/>
        <v>20871356.564530265</v>
      </c>
      <c r="L6" s="160">
        <f t="shared" si="1"/>
        <v>27614928.956908736</v>
      </c>
      <c r="M6" s="160">
        <f t="shared" si="1"/>
        <v>28952404.149173036</v>
      </c>
      <c r="N6" s="160">
        <f t="shared" si="1"/>
        <v>29240129.906337839</v>
      </c>
      <c r="O6" s="160">
        <f t="shared" si="1"/>
        <v>29285986.196742509</v>
      </c>
      <c r="P6" s="160">
        <f t="shared" si="1"/>
        <v>29267104.198406514</v>
      </c>
      <c r="Q6" s="160">
        <f t="shared" si="1"/>
        <v>32854684.710771557</v>
      </c>
      <c r="R6" s="160">
        <f t="shared" si="1"/>
        <v>31829661.707238689</v>
      </c>
      <c r="S6" s="160">
        <f t="shared" si="1"/>
        <v>46065343.034082785</v>
      </c>
      <c r="T6" s="160">
        <f t="shared" si="1"/>
        <v>54380167.798544206</v>
      </c>
      <c r="U6" s="160">
        <f>U5*(V6/V5)</f>
        <v>66250274.916033082</v>
      </c>
      <c r="V6" s="160">
        <f>1000000000-V5</f>
        <v>404450000</v>
      </c>
      <c r="W6" s="160">
        <v>0</v>
      </c>
      <c r="X6" s="160">
        <v>0</v>
      </c>
      <c r="Y6" s="160" t="s">
        <v>50</v>
      </c>
      <c r="AF6" s="321"/>
      <c r="AG6" s="321"/>
      <c r="AH6" s="321"/>
      <c r="AI6" s="268" t="s">
        <v>564</v>
      </c>
      <c r="AJ6" s="268" t="s">
        <v>565</v>
      </c>
      <c r="AK6" s="268" t="s">
        <v>564</v>
      </c>
      <c r="AL6" s="268" t="s">
        <v>563</v>
      </c>
      <c r="AM6" s="266" t="s">
        <v>562</v>
      </c>
      <c r="AN6" s="266" t="s">
        <v>561</v>
      </c>
      <c r="AO6" s="321"/>
      <c r="AS6" s="161" t="s">
        <v>560</v>
      </c>
      <c r="AT6" s="267">
        <v>850000000</v>
      </c>
      <c r="AU6" s="165">
        <v>0.3</v>
      </c>
      <c r="AV6" s="164">
        <f>AT6*AU6</f>
        <v>255000000</v>
      </c>
    </row>
    <row r="7" spans="1:49" ht="13" thickBot="1" x14ac:dyDescent="0.2">
      <c r="A7" s="160" t="s">
        <v>52</v>
      </c>
      <c r="B7" s="160" t="s">
        <v>47</v>
      </c>
      <c r="C7" s="162" t="s">
        <v>559</v>
      </c>
      <c r="D7" s="160" t="s">
        <v>61</v>
      </c>
      <c r="E7" s="160" t="s">
        <v>467</v>
      </c>
      <c r="F7" s="262" t="s">
        <v>467</v>
      </c>
      <c r="G7" s="262" t="s">
        <v>467</v>
      </c>
      <c r="H7" s="160" t="s">
        <v>555</v>
      </c>
      <c r="J7" s="160">
        <v>0</v>
      </c>
      <c r="K7" s="160">
        <v>1500000</v>
      </c>
      <c r="L7" s="160">
        <v>0</v>
      </c>
      <c r="M7" s="160">
        <v>0</v>
      </c>
      <c r="N7" s="160">
        <v>0</v>
      </c>
      <c r="O7" s="160">
        <v>150000</v>
      </c>
      <c r="P7" s="160">
        <v>0</v>
      </c>
      <c r="Q7" s="160">
        <v>0</v>
      </c>
      <c r="R7" s="160">
        <v>150000</v>
      </c>
      <c r="S7" s="160">
        <v>0</v>
      </c>
      <c r="T7" s="160">
        <v>0</v>
      </c>
      <c r="U7" s="160">
        <v>0</v>
      </c>
      <c r="V7" s="160">
        <f t="shared" ref="V7:V10" si="2">SUM(J7:U7)</f>
        <v>1800000</v>
      </c>
      <c r="W7" s="160">
        <v>10000000</v>
      </c>
      <c r="X7" s="160">
        <v>0</v>
      </c>
      <c r="Y7" s="160" t="s">
        <v>47</v>
      </c>
      <c r="AF7" s="269" t="s">
        <v>553</v>
      </c>
      <c r="AG7" s="269" t="s">
        <v>533</v>
      </c>
      <c r="AH7" s="270" t="s">
        <v>64</v>
      </c>
      <c r="AI7" s="271">
        <v>13</v>
      </c>
      <c r="AJ7" s="271">
        <v>190237.19</v>
      </c>
      <c r="AK7" s="271">
        <v>10</v>
      </c>
      <c r="AL7" s="271">
        <f t="shared" ref="AL7:AL12" si="3">AJ7/AI7*(1+AH$3)</f>
        <v>15657.984100000001</v>
      </c>
      <c r="AM7" s="271">
        <f t="shared" ref="AM7:AM22" si="4">AK7*AL7</f>
        <v>156579.84100000001</v>
      </c>
      <c r="AN7" s="271"/>
      <c r="AO7" s="272">
        <f t="shared" ref="AO7:AO13" si="5">AN7-AM7</f>
        <v>-156579.84100000001</v>
      </c>
      <c r="AS7" s="273" t="s">
        <v>558</v>
      </c>
      <c r="AT7" s="274">
        <f>SUM(AT5:AT6)</f>
        <v>2650000000</v>
      </c>
      <c r="AU7" s="273"/>
      <c r="AV7" s="163">
        <f>SUM(AV5:AV6)</f>
        <v>795000000</v>
      </c>
    </row>
    <row r="8" spans="1:49" x14ac:dyDescent="0.15">
      <c r="A8" s="160" t="s">
        <v>52</v>
      </c>
      <c r="B8" s="160" t="s">
        <v>46</v>
      </c>
      <c r="C8" s="162" t="s">
        <v>557</v>
      </c>
      <c r="D8" s="160" t="s">
        <v>61</v>
      </c>
      <c r="E8" s="160" t="s">
        <v>467</v>
      </c>
      <c r="F8" s="262" t="s">
        <v>467</v>
      </c>
      <c r="G8" s="262" t="s">
        <v>467</v>
      </c>
      <c r="H8" s="160" t="s">
        <v>555</v>
      </c>
      <c r="J8" s="160">
        <v>0</v>
      </c>
      <c r="K8" s="160">
        <v>0</v>
      </c>
      <c r="L8" s="160">
        <v>0</v>
      </c>
      <c r="M8" s="160">
        <v>200000</v>
      </c>
      <c r="N8" s="160">
        <v>0</v>
      </c>
      <c r="O8" s="160">
        <v>0</v>
      </c>
      <c r="P8" s="160">
        <v>0</v>
      </c>
      <c r="Q8" s="160">
        <v>0</v>
      </c>
      <c r="R8" s="160">
        <v>0</v>
      </c>
      <c r="S8" s="160">
        <v>200000</v>
      </c>
      <c r="T8" s="160">
        <v>5000000</v>
      </c>
      <c r="U8" s="160">
        <v>0</v>
      </c>
      <c r="V8" s="160">
        <f t="shared" si="2"/>
        <v>5400000</v>
      </c>
      <c r="W8" s="160">
        <v>15000000</v>
      </c>
      <c r="X8" s="160">
        <v>0</v>
      </c>
      <c r="Y8" s="160" t="s">
        <v>46</v>
      </c>
      <c r="AF8" s="269" t="s">
        <v>552</v>
      </c>
      <c r="AG8" s="269" t="s">
        <v>533</v>
      </c>
      <c r="AH8" s="270" t="s">
        <v>64</v>
      </c>
      <c r="AI8" s="271">
        <v>53</v>
      </c>
      <c r="AJ8" s="271">
        <v>628299.10000000009</v>
      </c>
      <c r="AK8" s="271">
        <v>53</v>
      </c>
      <c r="AL8" s="271">
        <f t="shared" si="3"/>
        <v>12684.529000000004</v>
      </c>
      <c r="AM8" s="271">
        <f t="shared" si="4"/>
        <v>672280.03700000024</v>
      </c>
      <c r="AN8" s="271"/>
      <c r="AO8" s="272">
        <f t="shared" si="5"/>
        <v>-672280.03700000024</v>
      </c>
    </row>
    <row r="9" spans="1:49" x14ac:dyDescent="0.15">
      <c r="A9" s="160" t="s">
        <v>52</v>
      </c>
      <c r="B9" s="160" t="s">
        <v>46</v>
      </c>
      <c r="C9" s="162" t="s">
        <v>556</v>
      </c>
      <c r="D9" s="160" t="s">
        <v>61</v>
      </c>
      <c r="E9" s="160" t="s">
        <v>467</v>
      </c>
      <c r="F9" s="262" t="s">
        <v>467</v>
      </c>
      <c r="G9" s="262" t="s">
        <v>467</v>
      </c>
      <c r="H9" s="160" t="s">
        <v>555</v>
      </c>
      <c r="J9" s="160">
        <v>675000</v>
      </c>
      <c r="K9" s="160">
        <v>3525000</v>
      </c>
      <c r="L9" s="160">
        <v>4250000</v>
      </c>
      <c r="M9" s="160">
        <v>2475000</v>
      </c>
      <c r="N9" s="160">
        <v>875000</v>
      </c>
      <c r="O9" s="160">
        <v>1900000</v>
      </c>
      <c r="P9" s="160">
        <v>4675000</v>
      </c>
      <c r="Q9" s="160">
        <v>2025000</v>
      </c>
      <c r="R9" s="160">
        <v>3450000</v>
      </c>
      <c r="S9" s="160">
        <v>1775000</v>
      </c>
      <c r="T9" s="160">
        <v>875000</v>
      </c>
      <c r="U9" s="160">
        <v>1400000</v>
      </c>
      <c r="V9" s="160">
        <f t="shared" si="2"/>
        <v>27900000</v>
      </c>
      <c r="W9" s="160">
        <v>10000000</v>
      </c>
      <c r="X9" s="160">
        <v>0</v>
      </c>
      <c r="Y9" s="160" t="s">
        <v>46</v>
      </c>
      <c r="AF9" s="269" t="s">
        <v>550</v>
      </c>
      <c r="AG9" s="269" t="s">
        <v>533</v>
      </c>
      <c r="AH9" s="270" t="s">
        <v>64</v>
      </c>
      <c r="AI9" s="271">
        <v>13</v>
      </c>
      <c r="AJ9" s="271">
        <v>572000</v>
      </c>
      <c r="AK9" s="271">
        <v>6</v>
      </c>
      <c r="AL9" s="271">
        <f t="shared" si="3"/>
        <v>47080</v>
      </c>
      <c r="AM9" s="271">
        <f t="shared" si="4"/>
        <v>282480</v>
      </c>
      <c r="AN9" s="271"/>
      <c r="AO9" s="272">
        <f t="shared" si="5"/>
        <v>-282480</v>
      </c>
    </row>
    <row r="10" spans="1:49" x14ac:dyDescent="0.15">
      <c r="A10" s="160" t="s">
        <v>554</v>
      </c>
      <c r="B10" s="160" t="s">
        <v>50</v>
      </c>
      <c r="C10" s="162">
        <v>0</v>
      </c>
      <c r="D10" s="160" t="s">
        <v>61</v>
      </c>
      <c r="E10" s="160" t="s">
        <v>467</v>
      </c>
      <c r="F10" s="262" t="s">
        <v>467</v>
      </c>
      <c r="G10" s="262" t="s">
        <v>467</v>
      </c>
      <c r="H10" s="160" t="s">
        <v>669</v>
      </c>
      <c r="I10" s="263"/>
      <c r="J10" s="160">
        <f>'Content factory'!C24*1000000</f>
        <v>4240000</v>
      </c>
      <c r="K10" s="160">
        <f>'Content factory'!D24*1000000</f>
        <v>7420000</v>
      </c>
      <c r="L10" s="160">
        <f>'Content factory'!E24*1000000</f>
        <v>14310000</v>
      </c>
      <c r="M10" s="160">
        <f>'Content factory'!F24*1000000</f>
        <v>14787000</v>
      </c>
      <c r="N10" s="160">
        <f>'Content factory'!G24*1000000</f>
        <v>15105000</v>
      </c>
      <c r="O10" s="160">
        <f>'Content factory'!H24*1000000</f>
        <v>15900000</v>
      </c>
      <c r="P10" s="160">
        <f>'Content factory'!I24*1000000</f>
        <v>15900000</v>
      </c>
      <c r="Q10" s="160">
        <f>'Content factory'!J24*1000000</f>
        <v>17013000</v>
      </c>
      <c r="R10" s="160">
        <f>'Content factory'!K24*1000000</f>
        <v>17013000</v>
      </c>
      <c r="S10" s="160">
        <f>'Content factory'!L24*1000000</f>
        <v>17013000</v>
      </c>
      <c r="T10" s="160">
        <f>'Content factory'!M24*1000000</f>
        <v>18285000</v>
      </c>
      <c r="U10" s="160">
        <f>'Content factory'!N24*1000000</f>
        <v>19080000</v>
      </c>
      <c r="V10" s="160">
        <f t="shared" si="2"/>
        <v>176066000</v>
      </c>
      <c r="W10" s="160">
        <v>15900000</v>
      </c>
      <c r="X10" s="160">
        <v>18324000</v>
      </c>
      <c r="Y10" s="160" t="s">
        <v>51</v>
      </c>
      <c r="AF10" s="269" t="s">
        <v>549</v>
      </c>
      <c r="AG10" s="269" t="s">
        <v>533</v>
      </c>
      <c r="AH10" s="270" t="s">
        <v>64</v>
      </c>
      <c r="AI10" s="271">
        <v>5</v>
      </c>
      <c r="AJ10" s="271">
        <v>13200.000000000002</v>
      </c>
      <c r="AK10" s="271">
        <v>5</v>
      </c>
      <c r="AL10" s="271">
        <f t="shared" si="3"/>
        <v>2824.8000000000006</v>
      </c>
      <c r="AM10" s="271">
        <f t="shared" si="4"/>
        <v>14124.000000000004</v>
      </c>
      <c r="AN10" s="271"/>
      <c r="AO10" s="272">
        <f t="shared" si="5"/>
        <v>-14124.000000000004</v>
      </c>
    </row>
    <row r="11" spans="1:49" x14ac:dyDescent="0.15">
      <c r="A11" s="160" t="s">
        <v>52</v>
      </c>
      <c r="B11" s="160" t="s">
        <v>49</v>
      </c>
      <c r="C11" s="162">
        <v>0</v>
      </c>
      <c r="D11" s="160" t="s">
        <v>61</v>
      </c>
      <c r="E11" s="160" t="s">
        <v>467</v>
      </c>
      <c r="F11" s="262" t="s">
        <v>467</v>
      </c>
      <c r="G11" s="262" t="s">
        <v>467</v>
      </c>
      <c r="I11" s="263"/>
      <c r="J11" s="160">
        <f t="shared" ref="J11:U11" si="6">$V11/12</f>
        <v>4166666.6666666665</v>
      </c>
      <c r="K11" s="160">
        <f t="shared" si="6"/>
        <v>4166666.6666666665</v>
      </c>
      <c r="L11" s="160">
        <f t="shared" si="6"/>
        <v>4166666.6666666665</v>
      </c>
      <c r="M11" s="160">
        <f t="shared" si="6"/>
        <v>4166666.6666666665</v>
      </c>
      <c r="N11" s="160">
        <f t="shared" si="6"/>
        <v>4166666.6666666665</v>
      </c>
      <c r="O11" s="160">
        <f t="shared" si="6"/>
        <v>4166666.6666666665</v>
      </c>
      <c r="P11" s="160">
        <f t="shared" si="6"/>
        <v>4166666.6666666665</v>
      </c>
      <c r="Q11" s="160">
        <f t="shared" si="6"/>
        <v>4166666.6666666665</v>
      </c>
      <c r="R11" s="160">
        <f t="shared" si="6"/>
        <v>4166666.6666666665</v>
      </c>
      <c r="S11" s="160">
        <f t="shared" si="6"/>
        <v>4166666.6666666665</v>
      </c>
      <c r="T11" s="160">
        <f t="shared" si="6"/>
        <v>4166666.6666666665</v>
      </c>
      <c r="U11" s="160">
        <f t="shared" si="6"/>
        <v>4166666.6666666665</v>
      </c>
      <c r="V11" s="160">
        <v>50000000</v>
      </c>
      <c r="W11" s="160">
        <v>20200000</v>
      </c>
      <c r="X11" s="160">
        <v>20200288.539999999</v>
      </c>
      <c r="Y11" s="160" t="s">
        <v>49</v>
      </c>
      <c r="AF11" s="269" t="s">
        <v>548</v>
      </c>
      <c r="AG11" s="269" t="s">
        <v>533</v>
      </c>
      <c r="AH11" s="270" t="s">
        <v>64</v>
      </c>
      <c r="AI11" s="271">
        <v>44</v>
      </c>
      <c r="AJ11" s="271">
        <v>3432000</v>
      </c>
      <c r="AK11" s="271">
        <v>0</v>
      </c>
      <c r="AL11" s="271">
        <f t="shared" si="3"/>
        <v>83460</v>
      </c>
      <c r="AM11" s="271">
        <f t="shared" si="4"/>
        <v>0</v>
      </c>
      <c r="AN11" s="271"/>
      <c r="AO11" s="272">
        <f t="shared" si="5"/>
        <v>0</v>
      </c>
    </row>
    <row r="12" spans="1:49" x14ac:dyDescent="0.15">
      <c r="A12" s="160" t="s">
        <v>54</v>
      </c>
      <c r="B12" s="160" t="s">
        <v>553</v>
      </c>
      <c r="C12" s="162">
        <v>0</v>
      </c>
      <c r="D12" s="160" t="s">
        <v>64</v>
      </c>
      <c r="E12" s="160" t="s">
        <v>507</v>
      </c>
      <c r="F12" s="262">
        <f>SUMIFS(Потребности!AK:AK,Потребности!AF:AF,Потребности!B12,Потребности!AH:AH,Потребности!D12)</f>
        <v>10</v>
      </c>
      <c r="G12" s="262">
        <f>SUMIFS(Потребности!AM:AM,Потребности!AF:AF,Потребности!B12,Потребности!AH:AH,Потребности!D12)</f>
        <v>156579.84100000001</v>
      </c>
      <c r="H12" s="160" t="s">
        <v>512</v>
      </c>
      <c r="J12" s="160">
        <f t="shared" ref="J12:U14" si="7">$V12/12</f>
        <v>13048.320083333334</v>
      </c>
      <c r="K12" s="160">
        <f t="shared" si="7"/>
        <v>13048.320083333334</v>
      </c>
      <c r="L12" s="160">
        <f t="shared" si="7"/>
        <v>13048.320083333334</v>
      </c>
      <c r="M12" s="160">
        <f t="shared" si="7"/>
        <v>13048.320083333334</v>
      </c>
      <c r="N12" s="160">
        <f t="shared" si="7"/>
        <v>13048.320083333334</v>
      </c>
      <c r="O12" s="160">
        <f t="shared" si="7"/>
        <v>13048.320083333334</v>
      </c>
      <c r="P12" s="160">
        <f t="shared" si="7"/>
        <v>13048.320083333334</v>
      </c>
      <c r="Q12" s="160">
        <f t="shared" si="7"/>
        <v>13048.320083333334</v>
      </c>
      <c r="R12" s="160">
        <f t="shared" si="7"/>
        <v>13048.320083333334</v>
      </c>
      <c r="S12" s="160">
        <f t="shared" si="7"/>
        <v>13048.320083333334</v>
      </c>
      <c r="T12" s="160">
        <f t="shared" si="7"/>
        <v>13048.320083333334</v>
      </c>
      <c r="U12" s="160">
        <f t="shared" si="7"/>
        <v>13048.320083333334</v>
      </c>
      <c r="V12" s="160">
        <f>SUMIFS(Потребности!AM:AM,Потребности!AF:AF,Потребности!B12,Потребности!AH:AH,Потребности!D12)</f>
        <v>156579.84100000001</v>
      </c>
      <c r="W12" s="160">
        <v>190237.19</v>
      </c>
      <c r="X12" s="160">
        <v>0</v>
      </c>
      <c r="Y12" s="160" t="s">
        <v>450</v>
      </c>
      <c r="AF12" s="269" t="s">
        <v>547</v>
      </c>
      <c r="AG12" s="269" t="s">
        <v>533</v>
      </c>
      <c r="AH12" s="270" t="s">
        <v>64</v>
      </c>
      <c r="AI12" s="271">
        <v>50</v>
      </c>
      <c r="AJ12" s="271">
        <v>4290000</v>
      </c>
      <c r="AK12" s="271">
        <v>0</v>
      </c>
      <c r="AL12" s="271">
        <f t="shared" si="3"/>
        <v>91806</v>
      </c>
      <c r="AM12" s="271">
        <f t="shared" si="4"/>
        <v>0</v>
      </c>
      <c r="AN12" s="271"/>
      <c r="AO12" s="272">
        <f t="shared" si="5"/>
        <v>0</v>
      </c>
    </row>
    <row r="13" spans="1:49" x14ac:dyDescent="0.15">
      <c r="A13" s="160" t="s">
        <v>54</v>
      </c>
      <c r="B13" s="160" t="s">
        <v>552</v>
      </c>
      <c r="C13" s="162">
        <v>0</v>
      </c>
      <c r="D13" s="160" t="s">
        <v>64</v>
      </c>
      <c r="E13" s="160" t="s">
        <v>507</v>
      </c>
      <c r="F13" s="262">
        <f>SUMIFS(Потребности!AK:AK,Потребности!AF:AF,Потребности!B13,Потребности!AH:AH,Потребности!D13)</f>
        <v>53</v>
      </c>
      <c r="G13" s="262">
        <f>SUMIFS(Потребности!AM:AM,Потребности!AF:AF,Потребности!B13,Потребности!AH:AH,Потребности!D13)</f>
        <v>672280.03700000024</v>
      </c>
      <c r="H13" s="160" t="s">
        <v>512</v>
      </c>
      <c r="J13" s="160">
        <f t="shared" si="7"/>
        <v>56023.336416666687</v>
      </c>
      <c r="K13" s="160">
        <f t="shared" si="7"/>
        <v>56023.336416666687</v>
      </c>
      <c r="L13" s="160">
        <f t="shared" si="7"/>
        <v>56023.336416666687</v>
      </c>
      <c r="M13" s="160">
        <f t="shared" si="7"/>
        <v>56023.336416666687</v>
      </c>
      <c r="N13" s="160">
        <f t="shared" si="7"/>
        <v>56023.336416666687</v>
      </c>
      <c r="O13" s="160">
        <f t="shared" si="7"/>
        <v>56023.336416666687</v>
      </c>
      <c r="P13" s="160">
        <f t="shared" si="7"/>
        <v>56023.336416666687</v>
      </c>
      <c r="Q13" s="160">
        <f t="shared" si="7"/>
        <v>56023.336416666687</v>
      </c>
      <c r="R13" s="160">
        <f t="shared" si="7"/>
        <v>56023.336416666687</v>
      </c>
      <c r="S13" s="160">
        <f t="shared" si="7"/>
        <v>56023.336416666687</v>
      </c>
      <c r="T13" s="160">
        <f t="shared" si="7"/>
        <v>56023.336416666687</v>
      </c>
      <c r="U13" s="160">
        <f t="shared" si="7"/>
        <v>56023.336416666687</v>
      </c>
      <c r="V13" s="160">
        <f>SUMIFS(Потребности!AM:AM,Потребности!AF:AF,Потребности!B13,Потребности!AH:AH,Потребности!D13)</f>
        <v>672280.03700000024</v>
      </c>
      <c r="W13" s="160">
        <v>628299.10000000009</v>
      </c>
      <c r="X13" s="160">
        <v>0</v>
      </c>
      <c r="Y13" s="160" t="s">
        <v>450</v>
      </c>
      <c r="AF13" s="269" t="s">
        <v>470</v>
      </c>
      <c r="AG13" s="269" t="s">
        <v>551</v>
      </c>
      <c r="AH13" s="270" t="s">
        <v>64</v>
      </c>
      <c r="AI13" s="271">
        <v>0</v>
      </c>
      <c r="AJ13" s="271">
        <v>0</v>
      </c>
      <c r="AK13" s="271">
        <v>20</v>
      </c>
      <c r="AL13" s="271">
        <v>140000</v>
      </c>
      <c r="AM13" s="271">
        <f t="shared" si="4"/>
        <v>2800000</v>
      </c>
      <c r="AN13" s="271"/>
      <c r="AO13" s="272">
        <f t="shared" si="5"/>
        <v>-2800000</v>
      </c>
    </row>
    <row r="14" spans="1:49" x14ac:dyDescent="0.15">
      <c r="A14" s="160" t="s">
        <v>54</v>
      </c>
      <c r="B14" s="160" t="s">
        <v>550</v>
      </c>
      <c r="C14" s="162">
        <v>0</v>
      </c>
      <c r="D14" s="160" t="s">
        <v>64</v>
      </c>
      <c r="E14" s="160" t="s">
        <v>507</v>
      </c>
      <c r="F14" s="262">
        <f>SUMIFS(Потребности!AK:AK,Потребности!AF:AF,Потребности!B14,Потребности!AH:AH,Потребности!D14)</f>
        <v>6</v>
      </c>
      <c r="G14" s="262">
        <f>SUMIFS(Потребности!AM:AM,Потребности!AF:AF,Потребности!B14,Потребности!AH:AH,Потребности!D14)</f>
        <v>282480</v>
      </c>
      <c r="H14" s="160" t="s">
        <v>512</v>
      </c>
      <c r="J14" s="160">
        <f t="shared" si="7"/>
        <v>23540</v>
      </c>
      <c r="K14" s="160">
        <f t="shared" si="7"/>
        <v>23540</v>
      </c>
      <c r="L14" s="160">
        <f t="shared" si="7"/>
        <v>23540</v>
      </c>
      <c r="M14" s="160">
        <f t="shared" si="7"/>
        <v>23540</v>
      </c>
      <c r="N14" s="160">
        <f t="shared" si="7"/>
        <v>23540</v>
      </c>
      <c r="O14" s="160">
        <f t="shared" si="7"/>
        <v>23540</v>
      </c>
      <c r="P14" s="160">
        <f t="shared" si="7"/>
        <v>23540</v>
      </c>
      <c r="Q14" s="160">
        <f t="shared" si="7"/>
        <v>23540</v>
      </c>
      <c r="R14" s="160">
        <f t="shared" si="7"/>
        <v>23540</v>
      </c>
      <c r="S14" s="160">
        <f t="shared" si="7"/>
        <v>23540</v>
      </c>
      <c r="T14" s="160">
        <f t="shared" si="7"/>
        <v>23540</v>
      </c>
      <c r="U14" s="160">
        <f t="shared" si="7"/>
        <v>23540</v>
      </c>
      <c r="V14" s="160">
        <f>SUMIFS(Потребности!AM:AM,Потребности!AF:AF,Потребности!B14,Потребности!AH:AH,Потребности!D14)</f>
        <v>282480</v>
      </c>
      <c r="W14" s="160">
        <v>572000</v>
      </c>
      <c r="X14" s="160">
        <v>0</v>
      </c>
      <c r="Y14" s="160" t="s">
        <v>450</v>
      </c>
      <c r="AF14" s="269" t="s">
        <v>469</v>
      </c>
      <c r="AG14" s="269" t="s">
        <v>551</v>
      </c>
      <c r="AH14" s="270" t="s">
        <v>64</v>
      </c>
      <c r="AI14" s="271">
        <v>0</v>
      </c>
      <c r="AJ14" s="271">
        <v>0</v>
      </c>
      <c r="AK14" s="271">
        <v>50</v>
      </c>
      <c r="AL14" s="271">
        <v>140000</v>
      </c>
      <c r="AM14" s="271">
        <f t="shared" si="4"/>
        <v>7000000</v>
      </c>
      <c r="AN14" s="271"/>
      <c r="AO14" s="272"/>
    </row>
    <row r="15" spans="1:49" x14ac:dyDescent="0.15">
      <c r="A15" s="160" t="s">
        <v>54</v>
      </c>
      <c r="B15" s="160" t="s">
        <v>549</v>
      </c>
      <c r="C15" s="162">
        <v>0</v>
      </c>
      <c r="D15" s="160" t="s">
        <v>64</v>
      </c>
      <c r="E15" s="160" t="s">
        <v>507</v>
      </c>
      <c r="F15" s="262">
        <f>SUMIFS(Потребности!AK:AK,Потребности!AF:AF,Потребности!B15,Потребности!AH:AH,Потребности!D15)</f>
        <v>5</v>
      </c>
      <c r="G15" s="262">
        <f>SUMIFS(Потребности!AM:AM,Потребности!AF:AF,Потребности!B15,Потребности!AH:AH,Потребности!D15)</f>
        <v>14124.000000000004</v>
      </c>
      <c r="H15" s="160" t="s">
        <v>512</v>
      </c>
      <c r="J15" s="160">
        <f t="shared" ref="J15:U15" si="8">$V15/12</f>
        <v>1177.0000000000002</v>
      </c>
      <c r="K15" s="160">
        <f t="shared" si="8"/>
        <v>1177.0000000000002</v>
      </c>
      <c r="L15" s="160">
        <f t="shared" si="8"/>
        <v>1177.0000000000002</v>
      </c>
      <c r="M15" s="160">
        <f t="shared" si="8"/>
        <v>1177.0000000000002</v>
      </c>
      <c r="N15" s="160">
        <f t="shared" si="8"/>
        <v>1177.0000000000002</v>
      </c>
      <c r="O15" s="160">
        <f t="shared" si="8"/>
        <v>1177.0000000000002</v>
      </c>
      <c r="P15" s="160">
        <f t="shared" si="8"/>
        <v>1177.0000000000002</v>
      </c>
      <c r="Q15" s="160">
        <f t="shared" si="8"/>
        <v>1177.0000000000002</v>
      </c>
      <c r="R15" s="160">
        <f t="shared" si="8"/>
        <v>1177.0000000000002</v>
      </c>
      <c r="S15" s="160">
        <f t="shared" si="8"/>
        <v>1177.0000000000002</v>
      </c>
      <c r="T15" s="160">
        <f t="shared" si="8"/>
        <v>1177.0000000000002</v>
      </c>
      <c r="U15" s="160">
        <f t="shared" si="8"/>
        <v>1177.0000000000002</v>
      </c>
      <c r="V15" s="160">
        <f>SUMIFS(Потребности!AM:AM,Потребности!AF:AF,Потребности!B15,Потребности!AH:AH,Потребности!D15)</f>
        <v>14124.000000000004</v>
      </c>
      <c r="W15" s="160">
        <v>13200.000000000002</v>
      </c>
      <c r="X15" s="160">
        <v>0</v>
      </c>
      <c r="Y15" s="160" t="s">
        <v>450</v>
      </c>
      <c r="AF15" s="269" t="s">
        <v>470</v>
      </c>
      <c r="AG15" s="269" t="s">
        <v>471</v>
      </c>
      <c r="AH15" s="270" t="s">
        <v>64</v>
      </c>
      <c r="AI15" s="271">
        <v>0</v>
      </c>
      <c r="AJ15" s="271">
        <v>0</v>
      </c>
      <c r="AK15" s="271">
        <v>6</v>
      </c>
      <c r="AL15" s="271">
        <f>AL13</f>
        <v>140000</v>
      </c>
      <c r="AM15" s="271">
        <f t="shared" si="4"/>
        <v>840000</v>
      </c>
      <c r="AN15" s="271"/>
      <c r="AO15" s="272">
        <f>AN15-AM15</f>
        <v>-840000</v>
      </c>
    </row>
    <row r="16" spans="1:49" x14ac:dyDescent="0.15">
      <c r="A16" s="160" t="s">
        <v>54</v>
      </c>
      <c r="B16" s="160" t="s">
        <v>548</v>
      </c>
      <c r="C16" s="162">
        <v>0</v>
      </c>
      <c r="D16" s="160" t="s">
        <v>64</v>
      </c>
      <c r="E16" s="160" t="s">
        <v>507</v>
      </c>
      <c r="F16" s="262">
        <f>SUMIFS(Потребности!AK:AK,Потребности!AF:AF,Потребности!B16,Потребности!AH:AH,Потребности!D16)</f>
        <v>0</v>
      </c>
      <c r="G16" s="262">
        <f>SUMIFS(Потребности!AM:AM,Потребности!AF:AF,Потребности!B16,Потребности!AH:AH,Потребности!D16)</f>
        <v>0</v>
      </c>
      <c r="H16" s="160" t="s">
        <v>512</v>
      </c>
      <c r="J16" s="160">
        <f t="shared" ref="J16:U18" si="9">$V16/12</f>
        <v>0</v>
      </c>
      <c r="K16" s="160">
        <f t="shared" si="9"/>
        <v>0</v>
      </c>
      <c r="L16" s="160">
        <f t="shared" si="9"/>
        <v>0</v>
      </c>
      <c r="M16" s="160">
        <f t="shared" si="9"/>
        <v>0</v>
      </c>
      <c r="N16" s="160">
        <f t="shared" si="9"/>
        <v>0</v>
      </c>
      <c r="O16" s="160">
        <f t="shared" si="9"/>
        <v>0</v>
      </c>
      <c r="P16" s="160">
        <f t="shared" si="9"/>
        <v>0</v>
      </c>
      <c r="Q16" s="160">
        <f t="shared" si="9"/>
        <v>0</v>
      </c>
      <c r="R16" s="160">
        <f t="shared" si="9"/>
        <v>0</v>
      </c>
      <c r="S16" s="160">
        <f t="shared" si="9"/>
        <v>0</v>
      </c>
      <c r="T16" s="160">
        <f t="shared" si="9"/>
        <v>0</v>
      </c>
      <c r="U16" s="160">
        <f t="shared" si="9"/>
        <v>0</v>
      </c>
      <c r="V16" s="160">
        <f>SUMIFS(Потребности!AM:AM,Потребности!AF:AF,Потребности!B16,Потребности!AH:AH,Потребности!D16)</f>
        <v>0</v>
      </c>
      <c r="W16" s="160">
        <v>3432000</v>
      </c>
      <c r="X16" s="160">
        <v>0</v>
      </c>
      <c r="Y16" s="160" t="s">
        <v>450</v>
      </c>
      <c r="AF16" s="269" t="s">
        <v>545</v>
      </c>
      <c r="AG16" s="269" t="s">
        <v>533</v>
      </c>
      <c r="AH16" s="270" t="s">
        <v>64</v>
      </c>
      <c r="AI16" s="271">
        <v>9</v>
      </c>
      <c r="AJ16" s="271">
        <v>84059.217000000004</v>
      </c>
      <c r="AK16" s="271">
        <v>5</v>
      </c>
      <c r="AL16" s="271">
        <f t="shared" ref="AL16:AL22" si="10">AJ16/AI16*(1+AH$3)</f>
        <v>9993.7069100000008</v>
      </c>
      <c r="AM16" s="271">
        <f t="shared" si="4"/>
        <v>49968.534550000004</v>
      </c>
      <c r="AN16" s="271"/>
      <c r="AO16" s="272">
        <f>AN16-AM16</f>
        <v>-49968.534550000004</v>
      </c>
    </row>
    <row r="17" spans="1:41" x14ac:dyDescent="0.15">
      <c r="A17" s="160" t="s">
        <v>54</v>
      </c>
      <c r="B17" s="160" t="s">
        <v>547</v>
      </c>
      <c r="C17" s="162">
        <v>0</v>
      </c>
      <c r="D17" s="160" t="s">
        <v>64</v>
      </c>
      <c r="E17" s="160" t="s">
        <v>507</v>
      </c>
      <c r="F17" s="262">
        <f>SUMIFS(Потребности!AK:AK,Потребности!AF:AF,Потребности!B17,Потребности!AH:AH,Потребности!D17)</f>
        <v>0</v>
      </c>
      <c r="G17" s="262">
        <f>SUMIFS(Потребности!AM:AM,Потребности!AF:AF,Потребности!B17,Потребности!AH:AH,Потребности!D17)</f>
        <v>0</v>
      </c>
      <c r="H17" s="160" t="s">
        <v>512</v>
      </c>
      <c r="I17" s="160" t="s">
        <v>546</v>
      </c>
      <c r="J17" s="160">
        <f t="shared" si="9"/>
        <v>0</v>
      </c>
      <c r="K17" s="160">
        <f t="shared" si="9"/>
        <v>0</v>
      </c>
      <c r="L17" s="160">
        <f t="shared" si="9"/>
        <v>0</v>
      </c>
      <c r="M17" s="160">
        <f t="shared" si="9"/>
        <v>0</v>
      </c>
      <c r="N17" s="160">
        <f t="shared" si="9"/>
        <v>0</v>
      </c>
      <c r="O17" s="160">
        <f t="shared" si="9"/>
        <v>0</v>
      </c>
      <c r="P17" s="160">
        <f t="shared" si="9"/>
        <v>0</v>
      </c>
      <c r="Q17" s="160">
        <f t="shared" si="9"/>
        <v>0</v>
      </c>
      <c r="R17" s="160">
        <f t="shared" si="9"/>
        <v>0</v>
      </c>
      <c r="S17" s="160">
        <f t="shared" si="9"/>
        <v>0</v>
      </c>
      <c r="T17" s="160">
        <f t="shared" si="9"/>
        <v>0</v>
      </c>
      <c r="U17" s="160">
        <f t="shared" si="9"/>
        <v>0</v>
      </c>
      <c r="V17" s="160">
        <f>SUMIFS(Потребности!AM:AM,Потребности!AF:AF,Потребности!B17,Потребности!AH:AH,Потребности!D17)</f>
        <v>0</v>
      </c>
      <c r="W17" s="160">
        <v>4290000</v>
      </c>
      <c r="X17" s="160">
        <v>0</v>
      </c>
      <c r="Y17" s="160" t="s">
        <v>450</v>
      </c>
      <c r="AF17" s="269" t="s">
        <v>544</v>
      </c>
      <c r="AG17" s="269" t="s">
        <v>504</v>
      </c>
      <c r="AH17" s="270" t="s">
        <v>64</v>
      </c>
      <c r="AI17" s="271">
        <v>1</v>
      </c>
      <c r="AJ17" s="271">
        <v>105600</v>
      </c>
      <c r="AK17" s="271">
        <v>0</v>
      </c>
      <c r="AL17" s="271">
        <f t="shared" si="10"/>
        <v>112992</v>
      </c>
      <c r="AM17" s="271">
        <f t="shared" si="4"/>
        <v>0</v>
      </c>
      <c r="AN17" s="271"/>
      <c r="AO17" s="272">
        <f>AN17-AM17</f>
        <v>0</v>
      </c>
    </row>
    <row r="18" spans="1:41" x14ac:dyDescent="0.15">
      <c r="A18" s="160" t="s">
        <v>54</v>
      </c>
      <c r="B18" s="160" t="s">
        <v>545</v>
      </c>
      <c r="C18" s="162">
        <v>0</v>
      </c>
      <c r="D18" s="160" t="s">
        <v>64</v>
      </c>
      <c r="E18" s="160" t="s">
        <v>507</v>
      </c>
      <c r="F18" s="262">
        <f>SUMIFS(Потребности!AK:AK,Потребности!AF:AF,Потребности!B18,Потребности!AH:AH,Потребности!D18)</f>
        <v>5</v>
      </c>
      <c r="G18" s="262">
        <f>SUMIFS(Потребности!AM:AM,Потребности!AF:AF,Потребности!B18,Потребности!AH:AH,Потребности!D18)</f>
        <v>49968.534550000004</v>
      </c>
      <c r="H18" s="160" t="s">
        <v>512</v>
      </c>
      <c r="J18" s="160">
        <f t="shared" si="9"/>
        <v>4164.0445458333334</v>
      </c>
      <c r="K18" s="160">
        <f t="shared" si="9"/>
        <v>4164.0445458333334</v>
      </c>
      <c r="L18" s="160">
        <f t="shared" si="9"/>
        <v>4164.0445458333334</v>
      </c>
      <c r="M18" s="160">
        <f t="shared" si="9"/>
        <v>4164.0445458333334</v>
      </c>
      <c r="N18" s="160">
        <f t="shared" si="9"/>
        <v>4164.0445458333334</v>
      </c>
      <c r="O18" s="160">
        <f t="shared" si="9"/>
        <v>4164.0445458333334</v>
      </c>
      <c r="P18" s="160">
        <f t="shared" si="9"/>
        <v>4164.0445458333334</v>
      </c>
      <c r="Q18" s="160">
        <f t="shared" si="9"/>
        <v>4164.0445458333334</v>
      </c>
      <c r="R18" s="160">
        <f t="shared" si="9"/>
        <v>4164.0445458333334</v>
      </c>
      <c r="S18" s="160">
        <f t="shared" si="9"/>
        <v>4164.0445458333334</v>
      </c>
      <c r="T18" s="160">
        <f t="shared" si="9"/>
        <v>4164.0445458333334</v>
      </c>
      <c r="U18" s="160">
        <f t="shared" si="9"/>
        <v>4164.0445458333334</v>
      </c>
      <c r="V18" s="160">
        <f>SUMIFS(Потребности!AM:AM,Потребности!AF:AF,Потребности!B18,Потребности!AH:AH,Потребности!D18)</f>
        <v>49968.534550000004</v>
      </c>
      <c r="W18" s="160">
        <v>84059.217000000004</v>
      </c>
      <c r="X18" s="160">
        <v>58524.6</v>
      </c>
      <c r="Y18" s="160" t="s">
        <v>450</v>
      </c>
      <c r="AF18" s="269" t="s">
        <v>542</v>
      </c>
      <c r="AG18" s="269" t="s">
        <v>471</v>
      </c>
      <c r="AH18" s="270" t="s">
        <v>64</v>
      </c>
      <c r="AI18" s="271">
        <v>5</v>
      </c>
      <c r="AJ18" s="271">
        <v>115000</v>
      </c>
      <c r="AK18" s="271">
        <v>7</v>
      </c>
      <c r="AL18" s="271">
        <f t="shared" si="10"/>
        <v>24610</v>
      </c>
      <c r="AM18" s="271">
        <f t="shared" si="4"/>
        <v>172270</v>
      </c>
      <c r="AN18" s="271"/>
      <c r="AO18" s="272">
        <f>AN18-AM18</f>
        <v>-172270</v>
      </c>
    </row>
    <row r="19" spans="1:41" x14ac:dyDescent="0.15">
      <c r="A19" s="160" t="s">
        <v>54</v>
      </c>
      <c r="B19" s="160" t="s">
        <v>544</v>
      </c>
      <c r="C19" s="162">
        <v>0</v>
      </c>
      <c r="D19" s="160" t="s">
        <v>64</v>
      </c>
      <c r="E19" s="160" t="s">
        <v>493</v>
      </c>
      <c r="F19" s="262">
        <f>SUMIFS(Потребности!AK:AK,Потребности!AF:AF,Потребности!B19,Потребности!AH:AH,Потребности!D19)</f>
        <v>0</v>
      </c>
      <c r="G19" s="262">
        <f>SUMIFS(Потребности!AM:AM,Потребности!AF:AF,Потребности!B19,Потребности!AH:AH,Потребности!D19)</f>
        <v>0</v>
      </c>
      <c r="H19" s="160" t="s">
        <v>504</v>
      </c>
      <c r="V19" s="160">
        <f>SUMIFS(Потребности!AM:AM,Потребности!AF:AF,Потребности!B19,Потребности!AH:AH,Потребности!D19)</f>
        <v>0</v>
      </c>
      <c r="W19" s="160">
        <v>105600</v>
      </c>
      <c r="X19" s="160">
        <v>0</v>
      </c>
      <c r="Y19" s="160" t="s">
        <v>450</v>
      </c>
      <c r="AF19" s="269" t="s">
        <v>530</v>
      </c>
      <c r="AG19" s="269" t="s">
        <v>529</v>
      </c>
      <c r="AH19" s="270" t="s">
        <v>64</v>
      </c>
      <c r="AI19" s="271">
        <v>1</v>
      </c>
      <c r="AJ19" s="271">
        <v>4860000</v>
      </c>
      <c r="AK19" s="271">
        <f>AI19</f>
        <v>1</v>
      </c>
      <c r="AL19" s="271">
        <f t="shared" si="10"/>
        <v>5200200</v>
      </c>
      <c r="AM19" s="271">
        <f t="shared" si="4"/>
        <v>5200200</v>
      </c>
      <c r="AN19" s="271"/>
      <c r="AO19" s="272"/>
    </row>
    <row r="20" spans="1:41" x14ac:dyDescent="0.15">
      <c r="A20" s="160" t="s">
        <v>54</v>
      </c>
      <c r="B20" s="160" t="s">
        <v>542</v>
      </c>
      <c r="C20" s="162">
        <v>0</v>
      </c>
      <c r="D20" s="160" t="s">
        <v>64</v>
      </c>
      <c r="E20" s="160" t="s">
        <v>493</v>
      </c>
      <c r="F20" s="262">
        <f>SUMIFS(Потребности!AK:AK,Потребности!AF:AF,Потребности!B20,Потребности!AH:AH,Потребности!D20)</f>
        <v>7</v>
      </c>
      <c r="G20" s="262">
        <f>SUMIFS(Потребности!AM:AM,Потребности!AF:AF,Потребности!B20,Потребности!AH:AH,Потребности!D20)</f>
        <v>172270</v>
      </c>
      <c r="H20" s="160" t="s">
        <v>471</v>
      </c>
      <c r="J20" s="160">
        <f t="shared" ref="J20:U23" si="11">$V20/12</f>
        <v>14355.833333333334</v>
      </c>
      <c r="K20" s="160">
        <f t="shared" si="11"/>
        <v>14355.833333333334</v>
      </c>
      <c r="L20" s="160">
        <f t="shared" si="11"/>
        <v>14355.833333333334</v>
      </c>
      <c r="M20" s="160">
        <f t="shared" si="11"/>
        <v>14355.833333333334</v>
      </c>
      <c r="N20" s="160">
        <f t="shared" si="11"/>
        <v>14355.833333333334</v>
      </c>
      <c r="O20" s="160">
        <f t="shared" si="11"/>
        <v>14355.833333333334</v>
      </c>
      <c r="P20" s="160">
        <f t="shared" si="11"/>
        <v>14355.833333333334</v>
      </c>
      <c r="Q20" s="160">
        <f t="shared" si="11"/>
        <v>14355.833333333334</v>
      </c>
      <c r="R20" s="160">
        <f t="shared" si="11"/>
        <v>14355.833333333334</v>
      </c>
      <c r="S20" s="160">
        <f t="shared" si="11"/>
        <v>14355.833333333334</v>
      </c>
      <c r="T20" s="160">
        <f t="shared" si="11"/>
        <v>14355.833333333334</v>
      </c>
      <c r="U20" s="160">
        <f t="shared" si="11"/>
        <v>14355.833333333334</v>
      </c>
      <c r="V20" s="160">
        <f>SUMIFS(Потребности!AM:AM,Потребности!AF:AF,Потребности!B20,Потребности!AH:AH,Потребности!D20)</f>
        <v>172270</v>
      </c>
      <c r="W20" s="160">
        <v>115000</v>
      </c>
      <c r="X20" s="160">
        <v>0</v>
      </c>
      <c r="Y20" s="160" t="s">
        <v>450</v>
      </c>
      <c r="AF20" s="269" t="s">
        <v>535</v>
      </c>
      <c r="AG20" s="269" t="s">
        <v>543</v>
      </c>
      <c r="AH20" s="270" t="s">
        <v>64</v>
      </c>
      <c r="AI20" s="271">
        <v>1</v>
      </c>
      <c r="AJ20" s="271">
        <v>572400</v>
      </c>
      <c r="AK20" s="271">
        <v>0</v>
      </c>
      <c r="AL20" s="271">
        <f t="shared" si="10"/>
        <v>612468</v>
      </c>
      <c r="AM20" s="271">
        <f t="shared" si="4"/>
        <v>0</v>
      </c>
      <c r="AN20" s="271"/>
      <c r="AO20" s="272">
        <f t="shared" ref="AO20:AO25" si="12">AN20-AM20</f>
        <v>0</v>
      </c>
    </row>
    <row r="21" spans="1:41" x14ac:dyDescent="0.15">
      <c r="A21" s="160" t="s">
        <v>54</v>
      </c>
      <c r="B21" s="160" t="s">
        <v>530</v>
      </c>
      <c r="C21" s="162">
        <v>0</v>
      </c>
      <c r="D21" s="160" t="s">
        <v>64</v>
      </c>
      <c r="E21" s="160" t="s">
        <v>493</v>
      </c>
      <c r="F21" s="262">
        <f>SUMIFS(Потребности!AK:AK,Потребности!AF:AF,Потребности!B21,Потребности!AH:AH,Потребности!D21)</f>
        <v>1</v>
      </c>
      <c r="G21" s="262">
        <f>SUMIFS(Потребности!AM:AM,Потребности!AF:AF,Потребности!B21,Потребности!AH:AH,Потребности!D21)</f>
        <v>5200200</v>
      </c>
      <c r="H21" s="160" t="s">
        <v>541</v>
      </c>
      <c r="J21" s="160">
        <f t="shared" si="11"/>
        <v>433350</v>
      </c>
      <c r="K21" s="160">
        <f t="shared" si="11"/>
        <v>433350</v>
      </c>
      <c r="L21" s="160">
        <f t="shared" si="11"/>
        <v>433350</v>
      </c>
      <c r="M21" s="160">
        <f t="shared" si="11"/>
        <v>433350</v>
      </c>
      <c r="N21" s="160">
        <f t="shared" si="11"/>
        <v>433350</v>
      </c>
      <c r="O21" s="160">
        <f t="shared" si="11"/>
        <v>433350</v>
      </c>
      <c r="P21" s="160">
        <f t="shared" si="11"/>
        <v>433350</v>
      </c>
      <c r="Q21" s="160">
        <f t="shared" si="11"/>
        <v>433350</v>
      </c>
      <c r="R21" s="160">
        <f t="shared" si="11"/>
        <v>433350</v>
      </c>
      <c r="S21" s="160">
        <f t="shared" si="11"/>
        <v>433350</v>
      </c>
      <c r="T21" s="160">
        <f t="shared" si="11"/>
        <v>433350</v>
      </c>
      <c r="U21" s="160">
        <f t="shared" si="11"/>
        <v>433350</v>
      </c>
      <c r="V21" s="160">
        <f>SUMIFS(Потребности!AM:AM,Потребности!AF:AF,Потребности!B21,Потребности!AH:AH,Потребности!D21)</f>
        <v>5200200</v>
      </c>
      <c r="W21" s="160">
        <v>4860000</v>
      </c>
      <c r="X21" s="160">
        <v>0</v>
      </c>
      <c r="Y21" s="160" t="s">
        <v>450</v>
      </c>
      <c r="AF21" s="269" t="s">
        <v>532</v>
      </c>
      <c r="AG21" s="269" t="s">
        <v>527</v>
      </c>
      <c r="AH21" s="270" t="s">
        <v>64</v>
      </c>
      <c r="AI21" s="271">
        <v>1</v>
      </c>
      <c r="AJ21" s="271">
        <v>1000000</v>
      </c>
      <c r="AK21" s="271">
        <v>0</v>
      </c>
      <c r="AL21" s="271">
        <f t="shared" si="10"/>
        <v>1070000</v>
      </c>
      <c r="AM21" s="271">
        <f t="shared" si="4"/>
        <v>0</v>
      </c>
      <c r="AN21" s="271"/>
      <c r="AO21" s="272">
        <f t="shared" si="12"/>
        <v>0</v>
      </c>
    </row>
    <row r="22" spans="1:41" x14ac:dyDescent="0.15">
      <c r="A22" s="160" t="s">
        <v>54</v>
      </c>
      <c r="B22" s="160" t="s">
        <v>530</v>
      </c>
      <c r="C22" s="162">
        <v>0</v>
      </c>
      <c r="D22" s="160" t="s">
        <v>61</v>
      </c>
      <c r="E22" s="160" t="s">
        <v>493</v>
      </c>
      <c r="F22" s="262">
        <f>SUMIFS(Потребности!AK:AK,Потребности!AF:AF,Потребности!B22,Потребности!AH:AH,Потребности!D22)</f>
        <v>6</v>
      </c>
      <c r="G22" s="262">
        <f>SUMIFS(Потребности!AM:AM,Потребности!AF:AF,Потребности!B22,Потребности!AH:AH,Потребности!D22)</f>
        <v>240000</v>
      </c>
      <c r="H22" s="160" t="s">
        <v>541</v>
      </c>
      <c r="J22" s="160">
        <f t="shared" si="11"/>
        <v>20000</v>
      </c>
      <c r="K22" s="160">
        <f t="shared" si="11"/>
        <v>20000</v>
      </c>
      <c r="L22" s="160">
        <f t="shared" si="11"/>
        <v>20000</v>
      </c>
      <c r="M22" s="160">
        <f t="shared" si="11"/>
        <v>20000</v>
      </c>
      <c r="N22" s="160">
        <f t="shared" si="11"/>
        <v>20000</v>
      </c>
      <c r="O22" s="160">
        <f t="shared" si="11"/>
        <v>20000</v>
      </c>
      <c r="P22" s="160">
        <f t="shared" si="11"/>
        <v>20000</v>
      </c>
      <c r="Q22" s="160">
        <f t="shared" si="11"/>
        <v>20000</v>
      </c>
      <c r="R22" s="160">
        <f t="shared" si="11"/>
        <v>20000</v>
      </c>
      <c r="S22" s="160">
        <f t="shared" si="11"/>
        <v>20000</v>
      </c>
      <c r="T22" s="160">
        <f t="shared" si="11"/>
        <v>20000</v>
      </c>
      <c r="U22" s="160">
        <f t="shared" si="11"/>
        <v>20000</v>
      </c>
      <c r="V22" s="160">
        <f>SUMIFS(Потребности!AM:AM,Потребности!AF:AF,Потребности!B22,Потребности!AH:AH,Потребности!D22)</f>
        <v>240000</v>
      </c>
      <c r="W22" s="160">
        <v>4860000</v>
      </c>
      <c r="X22" s="160">
        <v>0</v>
      </c>
      <c r="Y22" s="160" t="s">
        <v>54</v>
      </c>
      <c r="AF22" s="269" t="s">
        <v>517</v>
      </c>
      <c r="AG22" s="269" t="s">
        <v>516</v>
      </c>
      <c r="AH22" s="270" t="s">
        <v>64</v>
      </c>
      <c r="AI22" s="271">
        <v>2</v>
      </c>
      <c r="AJ22" s="271">
        <v>53509.84</v>
      </c>
      <c r="AK22" s="271">
        <v>3</v>
      </c>
      <c r="AL22" s="271">
        <f t="shared" si="10"/>
        <v>28627.7644</v>
      </c>
      <c r="AM22" s="271">
        <f t="shared" si="4"/>
        <v>85883.2932</v>
      </c>
      <c r="AN22" s="271"/>
      <c r="AO22" s="272">
        <f t="shared" si="12"/>
        <v>-85883.2932</v>
      </c>
    </row>
    <row r="23" spans="1:41" x14ac:dyDescent="0.15">
      <c r="A23" s="160" t="s">
        <v>54</v>
      </c>
      <c r="B23" s="160" t="s">
        <v>539</v>
      </c>
      <c r="C23" s="162">
        <v>0</v>
      </c>
      <c r="D23" s="160" t="s">
        <v>64</v>
      </c>
      <c r="E23" s="160" t="s">
        <v>538</v>
      </c>
      <c r="F23" s="262">
        <f>30+(309*0.05)</f>
        <v>45.45</v>
      </c>
      <c r="G23" s="262">
        <v>300000</v>
      </c>
      <c r="H23" s="160" t="s">
        <v>537</v>
      </c>
      <c r="I23" s="160" t="s">
        <v>536</v>
      </c>
      <c r="J23" s="160">
        <f t="shared" si="11"/>
        <v>1136250</v>
      </c>
      <c r="K23" s="160">
        <f t="shared" si="11"/>
        <v>1136250</v>
      </c>
      <c r="L23" s="160">
        <f t="shared" si="11"/>
        <v>1136250</v>
      </c>
      <c r="M23" s="160">
        <f t="shared" si="11"/>
        <v>1136250</v>
      </c>
      <c r="N23" s="160">
        <f t="shared" si="11"/>
        <v>1136250</v>
      </c>
      <c r="O23" s="160">
        <f t="shared" si="11"/>
        <v>1136250</v>
      </c>
      <c r="P23" s="160">
        <f t="shared" si="11"/>
        <v>1136250</v>
      </c>
      <c r="Q23" s="160">
        <f t="shared" si="11"/>
        <v>1136250</v>
      </c>
      <c r="R23" s="160">
        <f t="shared" si="11"/>
        <v>1136250</v>
      </c>
      <c r="S23" s="160">
        <f t="shared" si="11"/>
        <v>1136250</v>
      </c>
      <c r="T23" s="160">
        <f t="shared" si="11"/>
        <v>1136250</v>
      </c>
      <c r="U23" s="160">
        <f t="shared" si="11"/>
        <v>1136250</v>
      </c>
      <c r="V23" s="160">
        <f>F23*G23</f>
        <v>13635000</v>
      </c>
      <c r="W23" s="160">
        <v>36141099.999999985</v>
      </c>
      <c r="X23" s="160">
        <v>2137044.16</v>
      </c>
      <c r="Y23" s="160" t="s">
        <v>450</v>
      </c>
      <c r="AE23" s="275"/>
      <c r="AF23" s="276" t="s">
        <v>540</v>
      </c>
      <c r="AG23" s="276"/>
      <c r="AH23" s="266"/>
      <c r="AI23" s="277"/>
      <c r="AJ23" s="277">
        <f>SUM(AJ7:AJ22)</f>
        <v>15916305.346999999</v>
      </c>
      <c r="AK23" s="277"/>
      <c r="AL23" s="277"/>
      <c r="AM23" s="277">
        <f>SUM(AM7:AM22)</f>
        <v>17273785.705750003</v>
      </c>
      <c r="AN23" s="277">
        <f>SUM(AN7:AN22)</f>
        <v>0</v>
      </c>
      <c r="AO23" s="278">
        <f t="shared" si="12"/>
        <v>-17273785.705750003</v>
      </c>
    </row>
    <row r="24" spans="1:41" x14ac:dyDescent="0.15">
      <c r="A24" s="160" t="s">
        <v>54</v>
      </c>
      <c r="B24" s="160" t="s">
        <v>535</v>
      </c>
      <c r="C24" s="162">
        <v>0</v>
      </c>
      <c r="D24" s="160" t="s">
        <v>64</v>
      </c>
      <c r="E24" s="160" t="s">
        <v>493</v>
      </c>
      <c r="F24" s="262">
        <f>SUMIFS(Потребности!AK:AK,Потребности!AF:AF,Потребности!B24,Потребности!AH:AH,Потребности!D24)</f>
        <v>0</v>
      </c>
      <c r="G24" s="262">
        <f>SUMIFS(Потребности!AM:AM,Потребности!AF:AF,Потребности!B24,Потребности!AH:AH,Потребности!D24)</f>
        <v>0</v>
      </c>
      <c r="H24" s="160" t="s">
        <v>534</v>
      </c>
      <c r="V24" s="160">
        <f>SUMIFS(Потребности!AM:AM,Потребности!AF:AF,Потребности!B24,Потребности!AH:AH,Потребности!D24)</f>
        <v>0</v>
      </c>
      <c r="W24" s="160">
        <v>0</v>
      </c>
      <c r="X24" s="160">
        <v>572400</v>
      </c>
      <c r="Y24" s="160" t="s">
        <v>450</v>
      </c>
      <c r="AF24" s="269" t="s">
        <v>514</v>
      </c>
      <c r="AG24" s="269" t="s">
        <v>533</v>
      </c>
      <c r="AH24" s="270" t="s">
        <v>61</v>
      </c>
      <c r="AI24" s="271">
        <v>14</v>
      </c>
      <c r="AJ24" s="271">
        <v>431668.00599999999</v>
      </c>
      <c r="AK24" s="271">
        <v>14</v>
      </c>
      <c r="AL24" s="271">
        <f>AJ24/AI24*(1+AH$3)</f>
        <v>32991.769030000003</v>
      </c>
      <c r="AM24" s="271">
        <f t="shared" ref="AM24:AM37" si="13">AK24*AL24</f>
        <v>461884.76642000006</v>
      </c>
      <c r="AN24" s="271"/>
      <c r="AO24" s="272">
        <f t="shared" si="12"/>
        <v>-461884.76642000006</v>
      </c>
    </row>
    <row r="25" spans="1:41" x14ac:dyDescent="0.15">
      <c r="A25" s="160" t="s">
        <v>54</v>
      </c>
      <c r="B25" s="160" t="s">
        <v>532</v>
      </c>
      <c r="C25" s="162">
        <v>0</v>
      </c>
      <c r="D25" s="160" t="s">
        <v>64</v>
      </c>
      <c r="E25" s="160" t="s">
        <v>30</v>
      </c>
      <c r="F25" s="262">
        <f>SUMIFS(Потребности!AK:AK,Потребности!AF:AF,Потребности!B25,Потребности!AH:AH,Потребности!D25)</f>
        <v>0</v>
      </c>
      <c r="G25" s="262">
        <f>SUMIFS(Потребности!AM:AM,Потребности!AF:AF,Потребности!B25,Потребности!AH:AH,Потребности!D25)</f>
        <v>0</v>
      </c>
      <c r="H25" s="160" t="s">
        <v>531</v>
      </c>
      <c r="V25" s="160">
        <f>SUMIFS(Потребности!AM:AM,Потребности!AF:AF,Потребности!B25,Потребности!AH:AH,Потребности!D25)</f>
        <v>0</v>
      </c>
      <c r="W25" s="160">
        <v>0</v>
      </c>
      <c r="X25" s="160">
        <v>1000000</v>
      </c>
      <c r="Y25" s="160" t="s">
        <v>450</v>
      </c>
      <c r="AF25" s="269" t="s">
        <v>513</v>
      </c>
      <c r="AG25" s="269" t="s">
        <v>533</v>
      </c>
      <c r="AH25" s="270" t="s">
        <v>61</v>
      </c>
      <c r="AI25" s="271">
        <v>5</v>
      </c>
      <c r="AJ25" s="271">
        <v>339502.84500000003</v>
      </c>
      <c r="AK25" s="271">
        <v>5</v>
      </c>
      <c r="AL25" s="271">
        <f>AJ25/AI25*(1+AH$3)</f>
        <v>72653.608830000012</v>
      </c>
      <c r="AM25" s="271">
        <f t="shared" si="13"/>
        <v>363268.04415000009</v>
      </c>
      <c r="AN25" s="271"/>
      <c r="AO25" s="272">
        <f t="shared" si="12"/>
        <v>-363268.04415000009</v>
      </c>
    </row>
    <row r="26" spans="1:41" x14ac:dyDescent="0.15">
      <c r="A26" s="160" t="s">
        <v>449</v>
      </c>
      <c r="B26" s="160" t="s">
        <v>528</v>
      </c>
      <c r="C26" s="162">
        <v>0</v>
      </c>
      <c r="D26" s="160" t="s">
        <v>64</v>
      </c>
      <c r="E26" s="160" t="s">
        <v>30</v>
      </c>
      <c r="F26" s="262" t="s">
        <v>467</v>
      </c>
      <c r="G26" s="262" t="s">
        <v>467</v>
      </c>
      <c r="H26" s="160" t="s">
        <v>519</v>
      </c>
      <c r="J26" s="160">
        <v>0</v>
      </c>
      <c r="K26" s="160">
        <v>0</v>
      </c>
      <c r="L26" s="160">
        <v>0</v>
      </c>
      <c r="M26" s="160">
        <v>0</v>
      </c>
      <c r="N26" s="160">
        <v>0</v>
      </c>
      <c r="O26" s="160">
        <v>26000000</v>
      </c>
      <c r="P26" s="160">
        <v>7202000</v>
      </c>
      <c r="Q26" s="160">
        <v>14123500</v>
      </c>
      <c r="R26" s="160">
        <v>138470000</v>
      </c>
      <c r="S26" s="160">
        <v>152593500</v>
      </c>
      <c r="T26" s="160">
        <v>0</v>
      </c>
      <c r="U26" s="160">
        <v>100000000</v>
      </c>
      <c r="V26" s="160">
        <v>438389000</v>
      </c>
      <c r="W26" s="160">
        <v>433315500</v>
      </c>
      <c r="X26" s="160">
        <v>0</v>
      </c>
      <c r="Y26" s="160" t="s">
        <v>449</v>
      </c>
      <c r="AF26" s="269" t="s">
        <v>530</v>
      </c>
      <c r="AG26" s="269" t="s">
        <v>529</v>
      </c>
      <c r="AH26" s="270" t="s">
        <v>61</v>
      </c>
      <c r="AI26" s="271">
        <v>0</v>
      </c>
      <c r="AJ26" s="271">
        <v>0</v>
      </c>
      <c r="AK26" s="271">
        <v>6</v>
      </c>
      <c r="AL26" s="271">
        <v>40000</v>
      </c>
      <c r="AM26" s="271">
        <f t="shared" si="13"/>
        <v>240000</v>
      </c>
      <c r="AN26" s="271"/>
      <c r="AO26" s="272"/>
    </row>
    <row r="27" spans="1:41" x14ac:dyDescent="0.15">
      <c r="A27" s="160" t="s">
        <v>449</v>
      </c>
      <c r="B27" s="160" t="s">
        <v>528</v>
      </c>
      <c r="C27" s="162">
        <v>0</v>
      </c>
      <c r="D27" s="160" t="s">
        <v>61</v>
      </c>
      <c r="E27" s="160" t="s">
        <v>30</v>
      </c>
      <c r="F27" s="262" t="s">
        <v>467</v>
      </c>
      <c r="G27" s="262" t="s">
        <v>467</v>
      </c>
      <c r="H27" s="160" t="s">
        <v>519</v>
      </c>
      <c r="J27" s="160">
        <v>0</v>
      </c>
      <c r="K27" s="160">
        <v>0</v>
      </c>
      <c r="L27" s="160">
        <v>0</v>
      </c>
      <c r="M27" s="160">
        <v>0</v>
      </c>
      <c r="N27" s="160">
        <v>0</v>
      </c>
      <c r="O27" s="160">
        <v>0</v>
      </c>
      <c r="P27" s="160">
        <v>0</v>
      </c>
      <c r="Q27" s="160">
        <v>94700.534630770315</v>
      </c>
      <c r="R27" s="160">
        <v>1022765.7743380062</v>
      </c>
      <c r="S27" s="160">
        <v>2045531.5486760123</v>
      </c>
      <c r="T27" s="160">
        <v>2045531.5486760123</v>
      </c>
      <c r="U27" s="160">
        <v>2045531.5486760123</v>
      </c>
      <c r="V27" s="160">
        <v>7254060.9549968131</v>
      </c>
      <c r="W27" s="160">
        <v>433315500</v>
      </c>
      <c r="X27" s="160">
        <v>0</v>
      </c>
      <c r="Y27" s="160" t="s">
        <v>54</v>
      </c>
      <c r="AF27" s="269" t="s">
        <v>511</v>
      </c>
      <c r="AG27" s="269" t="s">
        <v>504</v>
      </c>
      <c r="AH27" s="270" t="s">
        <v>61</v>
      </c>
      <c r="AI27" s="271">
        <v>1</v>
      </c>
      <c r="AJ27" s="271">
        <v>12000</v>
      </c>
      <c r="AK27" s="271">
        <v>0</v>
      </c>
      <c r="AL27" s="271">
        <f>AJ27/AI27*(1+AH$3)</f>
        <v>12840</v>
      </c>
      <c r="AM27" s="271">
        <f t="shared" si="13"/>
        <v>0</v>
      </c>
      <c r="AN27" s="271"/>
      <c r="AO27" s="272">
        <f t="shared" ref="AO27:AO34" si="14">AN27-AM27</f>
        <v>0</v>
      </c>
    </row>
    <row r="28" spans="1:41" x14ac:dyDescent="0.15">
      <c r="A28" s="160" t="s">
        <v>449</v>
      </c>
      <c r="B28" s="160" t="s">
        <v>526</v>
      </c>
      <c r="C28" s="162">
        <v>0</v>
      </c>
      <c r="D28" s="160" t="s">
        <v>64</v>
      </c>
      <c r="E28" s="160" t="s">
        <v>30</v>
      </c>
      <c r="F28" s="262" t="s">
        <v>467</v>
      </c>
      <c r="G28" s="262" t="s">
        <v>467</v>
      </c>
      <c r="H28" s="160" t="s">
        <v>519</v>
      </c>
      <c r="J28" s="160">
        <v>0</v>
      </c>
      <c r="K28" s="160">
        <v>0</v>
      </c>
      <c r="L28" s="160">
        <v>0</v>
      </c>
      <c r="M28" s="160">
        <v>0</v>
      </c>
      <c r="N28" s="160">
        <v>18305560</v>
      </c>
      <c r="O28" s="160">
        <v>14357558.140000001</v>
      </c>
      <c r="P28" s="160">
        <v>21536337.210000001</v>
      </c>
      <c r="Q28" s="160">
        <v>25556453.4892</v>
      </c>
      <c r="R28" s="160">
        <v>0</v>
      </c>
      <c r="S28" s="160">
        <v>0</v>
      </c>
      <c r="T28" s="160">
        <v>0</v>
      </c>
      <c r="U28" s="160">
        <v>0</v>
      </c>
      <c r="V28" s="160">
        <v>79755908.839200005</v>
      </c>
      <c r="W28" s="160">
        <v>211950000</v>
      </c>
      <c r="X28" s="160">
        <v>56565820</v>
      </c>
      <c r="Y28" s="160" t="s">
        <v>449</v>
      </c>
      <c r="AF28" s="269" t="s">
        <v>509</v>
      </c>
      <c r="AG28" s="269" t="s">
        <v>504</v>
      </c>
      <c r="AH28" s="270" t="s">
        <v>61</v>
      </c>
      <c r="AI28" s="271">
        <v>4</v>
      </c>
      <c r="AJ28" s="271">
        <v>288000</v>
      </c>
      <c r="AK28" s="271">
        <v>0</v>
      </c>
      <c r="AL28" s="271">
        <f>AJ28/AI28*(1+AH$3)</f>
        <v>77040</v>
      </c>
      <c r="AM28" s="271">
        <f t="shared" si="13"/>
        <v>0</v>
      </c>
      <c r="AN28" s="271"/>
      <c r="AO28" s="272">
        <f t="shared" si="14"/>
        <v>0</v>
      </c>
    </row>
    <row r="29" spans="1:41" x14ac:dyDescent="0.15">
      <c r="A29" s="160" t="s">
        <v>449</v>
      </c>
      <c r="B29" s="160" t="s">
        <v>526</v>
      </c>
      <c r="C29" s="162">
        <v>0</v>
      </c>
      <c r="D29" s="160" t="s">
        <v>61</v>
      </c>
      <c r="E29" s="160" t="s">
        <v>30</v>
      </c>
      <c r="F29" s="262" t="s">
        <v>467</v>
      </c>
      <c r="G29" s="262" t="s">
        <v>467</v>
      </c>
      <c r="H29" s="160" t="s">
        <v>519</v>
      </c>
      <c r="J29" s="160">
        <v>0</v>
      </c>
      <c r="K29" s="160">
        <v>0</v>
      </c>
      <c r="L29" s="160">
        <v>0</v>
      </c>
      <c r="M29" s="160">
        <v>0</v>
      </c>
      <c r="N29" s="160">
        <v>0</v>
      </c>
      <c r="O29" s="160">
        <v>50506.950934579407</v>
      </c>
      <c r="P29" s="160">
        <v>126267.37733644852</v>
      </c>
      <c r="Q29" s="160">
        <v>216169.74999999985</v>
      </c>
      <c r="R29" s="160">
        <v>216169.74999999985</v>
      </c>
      <c r="S29" s="160">
        <v>216169.74999999985</v>
      </c>
      <c r="T29" s="160">
        <v>216169.74999999985</v>
      </c>
      <c r="U29" s="160">
        <v>216169.74999999985</v>
      </c>
      <c r="V29" s="160">
        <v>1257623.0782710272</v>
      </c>
      <c r="Y29" s="160" t="s">
        <v>54</v>
      </c>
      <c r="AF29" s="269" t="s">
        <v>508</v>
      </c>
      <c r="AG29" s="269" t="s">
        <v>527</v>
      </c>
      <c r="AH29" s="270" t="s">
        <v>61</v>
      </c>
      <c r="AI29" s="271">
        <v>1</v>
      </c>
      <c r="AJ29" s="271">
        <v>180000</v>
      </c>
      <c r="AK29" s="271">
        <f>AI29</f>
        <v>1</v>
      </c>
      <c r="AL29" s="271">
        <f>AJ29/AI29*(1+AH$3)</f>
        <v>192600</v>
      </c>
      <c r="AM29" s="271">
        <f t="shared" si="13"/>
        <v>192600</v>
      </c>
      <c r="AN29" s="271"/>
      <c r="AO29" s="272">
        <f t="shared" si="14"/>
        <v>-192600</v>
      </c>
    </row>
    <row r="30" spans="1:41" x14ac:dyDescent="0.15">
      <c r="A30" s="160" t="s">
        <v>449</v>
      </c>
      <c r="B30" s="160" t="s">
        <v>525</v>
      </c>
      <c r="C30" s="162">
        <v>0</v>
      </c>
      <c r="D30" s="160" t="s">
        <v>64</v>
      </c>
      <c r="E30" s="160" t="s">
        <v>30</v>
      </c>
      <c r="F30" s="262" t="s">
        <v>467</v>
      </c>
      <c r="G30" s="262" t="s">
        <v>467</v>
      </c>
      <c r="H30" s="160" t="s">
        <v>519</v>
      </c>
      <c r="I30" s="160" t="s">
        <v>524</v>
      </c>
      <c r="J30" s="160">
        <v>0</v>
      </c>
      <c r="K30" s="160">
        <v>0</v>
      </c>
      <c r="L30" s="160">
        <v>0</v>
      </c>
      <c r="M30" s="160">
        <v>0</v>
      </c>
      <c r="N30" s="160">
        <v>0</v>
      </c>
      <c r="O30" s="160">
        <v>0</v>
      </c>
      <c r="P30" s="160">
        <v>0</v>
      </c>
      <c r="Q30" s="160">
        <v>0</v>
      </c>
      <c r="R30" s="160">
        <v>0</v>
      </c>
      <c r="S30" s="160">
        <v>0</v>
      </c>
      <c r="T30" s="160">
        <v>0</v>
      </c>
      <c r="U30" s="160">
        <v>0</v>
      </c>
      <c r="V30" s="160">
        <v>0</v>
      </c>
      <c r="W30" s="160">
        <v>66599999.999999993</v>
      </c>
      <c r="X30" s="160">
        <v>0</v>
      </c>
      <c r="Y30" s="160" t="s">
        <v>449</v>
      </c>
      <c r="AF30" s="269" t="s">
        <v>505</v>
      </c>
      <c r="AG30" s="269" t="s">
        <v>504</v>
      </c>
      <c r="AH30" s="270" t="s">
        <v>61</v>
      </c>
      <c r="AI30" s="271">
        <v>1</v>
      </c>
      <c r="AJ30" s="271">
        <v>30000</v>
      </c>
      <c r="AK30" s="271">
        <v>0</v>
      </c>
      <c r="AL30" s="271">
        <f>AJ30/AI30*(1+AH$3)</f>
        <v>32100.000000000004</v>
      </c>
      <c r="AM30" s="271">
        <f t="shared" si="13"/>
        <v>0</v>
      </c>
      <c r="AN30" s="271"/>
      <c r="AO30" s="272">
        <f t="shared" si="14"/>
        <v>0</v>
      </c>
    </row>
    <row r="31" spans="1:41" x14ac:dyDescent="0.15">
      <c r="A31" s="160" t="s">
        <v>449</v>
      </c>
      <c r="B31" s="160" t="s">
        <v>523</v>
      </c>
      <c r="C31" s="162">
        <v>0</v>
      </c>
      <c r="D31" s="160" t="s">
        <v>64</v>
      </c>
      <c r="E31" s="160" t="s">
        <v>30</v>
      </c>
      <c r="F31" s="262" t="s">
        <v>467</v>
      </c>
      <c r="G31" s="262" t="s">
        <v>467</v>
      </c>
      <c r="H31" s="160" t="s">
        <v>519</v>
      </c>
      <c r="J31" s="160">
        <v>0</v>
      </c>
      <c r="K31" s="160">
        <v>0</v>
      </c>
      <c r="L31" s="160">
        <v>0</v>
      </c>
      <c r="M31" s="160">
        <v>9430560</v>
      </c>
      <c r="N31" s="160">
        <v>0</v>
      </c>
      <c r="O31" s="160">
        <v>0</v>
      </c>
      <c r="P31" s="160">
        <v>0</v>
      </c>
      <c r="Q31" s="160">
        <v>0</v>
      </c>
      <c r="R31" s="160">
        <v>0</v>
      </c>
      <c r="S31" s="160">
        <v>0</v>
      </c>
      <c r="T31" s="160">
        <v>0</v>
      </c>
      <c r="U31" s="160">
        <v>0</v>
      </c>
      <c r="V31" s="160">
        <v>9430560</v>
      </c>
      <c r="W31" s="160">
        <v>9430000</v>
      </c>
      <c r="X31" s="160">
        <v>25036976.740000002</v>
      </c>
      <c r="Y31" s="160" t="s">
        <v>449</v>
      </c>
      <c r="AF31" s="269" t="s">
        <v>503</v>
      </c>
      <c r="AG31" s="269" t="s">
        <v>502</v>
      </c>
      <c r="AH31" s="270" t="s">
        <v>61</v>
      </c>
      <c r="AI31" s="271">
        <v>1</v>
      </c>
      <c r="AJ31" s="271">
        <v>50000</v>
      </c>
      <c r="AK31" s="271">
        <v>0</v>
      </c>
      <c r="AL31" s="271">
        <f>AJ31/AI31*(1+AH$3)</f>
        <v>53500</v>
      </c>
      <c r="AM31" s="271">
        <f t="shared" si="13"/>
        <v>0</v>
      </c>
      <c r="AN31" s="271"/>
      <c r="AO31" s="272">
        <f t="shared" si="14"/>
        <v>0</v>
      </c>
    </row>
    <row r="32" spans="1:41" x14ac:dyDescent="0.15">
      <c r="A32" s="160" t="s">
        <v>449</v>
      </c>
      <c r="B32" s="160" t="s">
        <v>523</v>
      </c>
      <c r="C32" s="162">
        <v>0</v>
      </c>
      <c r="D32" s="160" t="s">
        <v>61</v>
      </c>
      <c r="E32" s="160" t="s">
        <v>30</v>
      </c>
      <c r="F32" s="262" t="s">
        <v>467</v>
      </c>
      <c r="G32" s="262" t="s">
        <v>467</v>
      </c>
      <c r="H32" s="160" t="s">
        <v>519</v>
      </c>
      <c r="J32" s="160">
        <v>1709712</v>
      </c>
      <c r="K32" s="160">
        <v>1709712</v>
      </c>
      <c r="L32" s="160">
        <v>1709712</v>
      </c>
      <c r="M32" s="160">
        <v>1709712</v>
      </c>
      <c r="N32" s="160">
        <v>1709712</v>
      </c>
      <c r="O32" s="160">
        <v>1709712</v>
      </c>
      <c r="P32" s="160">
        <v>1709712</v>
      </c>
      <c r="Q32" s="160">
        <v>1709712</v>
      </c>
      <c r="R32" s="160">
        <v>1709712</v>
      </c>
      <c r="S32" s="160">
        <v>1709712</v>
      </c>
      <c r="T32" s="160">
        <v>1709712</v>
      </c>
      <c r="U32" s="160">
        <v>1709712</v>
      </c>
      <c r="V32" s="160">
        <v>20516544</v>
      </c>
      <c r="W32" s="160">
        <v>9430000</v>
      </c>
      <c r="X32" s="160">
        <v>25036976.740000002</v>
      </c>
      <c r="Y32" s="160" t="s">
        <v>54</v>
      </c>
      <c r="AF32" s="269" t="s">
        <v>494</v>
      </c>
      <c r="AG32" s="269" t="s">
        <v>492</v>
      </c>
      <c r="AH32" s="270" t="s">
        <v>61</v>
      </c>
      <c r="AI32" s="271"/>
      <c r="AJ32" s="271"/>
      <c r="AK32" s="271">
        <v>100</v>
      </c>
      <c r="AL32" s="271">
        <f>3200000/100*1.25</f>
        <v>40000</v>
      </c>
      <c r="AM32" s="271">
        <f t="shared" si="13"/>
        <v>4000000</v>
      </c>
      <c r="AN32" s="271"/>
      <c r="AO32" s="272">
        <f t="shared" si="14"/>
        <v>-4000000</v>
      </c>
    </row>
    <row r="33" spans="1:41" x14ac:dyDescent="0.15">
      <c r="A33" s="160" t="s">
        <v>449</v>
      </c>
      <c r="B33" s="160" t="s">
        <v>520</v>
      </c>
      <c r="C33" s="162">
        <v>0</v>
      </c>
      <c r="D33" s="160" t="s">
        <v>64</v>
      </c>
      <c r="E33" s="160" t="s">
        <v>30</v>
      </c>
      <c r="F33" s="262" t="s">
        <v>467</v>
      </c>
      <c r="G33" s="262" t="s">
        <v>467</v>
      </c>
      <c r="H33" s="160" t="s">
        <v>519</v>
      </c>
      <c r="J33" s="160">
        <v>0</v>
      </c>
      <c r="K33" s="160">
        <v>0</v>
      </c>
      <c r="L33" s="160">
        <v>0</v>
      </c>
      <c r="M33" s="160">
        <v>800000</v>
      </c>
      <c r="N33" s="160">
        <v>55400</v>
      </c>
      <c r="O33" s="160">
        <v>12215000</v>
      </c>
      <c r="P33" s="160">
        <v>16940000</v>
      </c>
      <c r="Q33" s="160">
        <v>16940000</v>
      </c>
      <c r="R33" s="160">
        <v>16940000</v>
      </c>
      <c r="S33" s="160">
        <v>18140000</v>
      </c>
      <c r="T33" s="160">
        <v>0</v>
      </c>
      <c r="U33" s="160">
        <v>0</v>
      </c>
      <c r="V33" s="160">
        <v>82030400</v>
      </c>
      <c r="W33" s="160">
        <v>11250000</v>
      </c>
      <c r="X33" s="160">
        <v>2585</v>
      </c>
      <c r="Y33" s="160" t="s">
        <v>449</v>
      </c>
      <c r="AF33" s="269" t="s">
        <v>501</v>
      </c>
      <c r="AG33" s="269" t="s">
        <v>497</v>
      </c>
      <c r="AH33" s="270" t="s">
        <v>61</v>
      </c>
      <c r="AI33" s="271">
        <v>1</v>
      </c>
      <c r="AJ33" s="271">
        <v>1851000.0299999998</v>
      </c>
      <c r="AK33" s="271">
        <f>AI33</f>
        <v>1</v>
      </c>
      <c r="AL33" s="271">
        <v>1200000</v>
      </c>
      <c r="AM33" s="271">
        <f t="shared" si="13"/>
        <v>1200000</v>
      </c>
      <c r="AN33" s="271"/>
      <c r="AO33" s="272">
        <f t="shared" si="14"/>
        <v>-1200000</v>
      </c>
    </row>
    <row r="34" spans="1:41" x14ac:dyDescent="0.15">
      <c r="A34" s="160" t="s">
        <v>449</v>
      </c>
      <c r="B34" s="160" t="s">
        <v>520</v>
      </c>
      <c r="C34" s="162">
        <v>0</v>
      </c>
      <c r="D34" s="160" t="s">
        <v>61</v>
      </c>
      <c r="E34" s="160" t="s">
        <v>30</v>
      </c>
      <c r="F34" s="262" t="s">
        <v>467</v>
      </c>
      <c r="G34" s="262" t="s">
        <v>467</v>
      </c>
      <c r="H34" s="160" t="s">
        <v>519</v>
      </c>
      <c r="J34" s="160">
        <v>0</v>
      </c>
      <c r="K34" s="160">
        <v>0</v>
      </c>
      <c r="L34" s="160">
        <v>0</v>
      </c>
      <c r="M34" s="160">
        <v>0</v>
      </c>
      <c r="N34" s="160">
        <v>0</v>
      </c>
      <c r="O34" s="160">
        <v>0</v>
      </c>
      <c r="P34" s="160">
        <v>166666.66666666669</v>
      </c>
      <c r="Q34" s="160">
        <v>250000.00000000003</v>
      </c>
      <c r="R34" s="160">
        <v>333333.33333333337</v>
      </c>
      <c r="S34" s="160">
        <v>416666.66666666674</v>
      </c>
      <c r="T34" s="160">
        <v>416666.66666666669</v>
      </c>
      <c r="U34" s="160">
        <v>416666.66666666669</v>
      </c>
      <c r="V34" s="160">
        <v>2000000.0000000005</v>
      </c>
      <c r="W34" s="160">
        <v>11250000</v>
      </c>
      <c r="X34" s="160">
        <v>2585</v>
      </c>
      <c r="Y34" s="160" t="s">
        <v>54</v>
      </c>
      <c r="AF34" s="269" t="s">
        <v>500</v>
      </c>
      <c r="AG34" s="269" t="s">
        <v>497</v>
      </c>
      <c r="AH34" s="270" t="s">
        <v>61</v>
      </c>
      <c r="AI34" s="271">
        <v>1</v>
      </c>
      <c r="AJ34" s="271">
        <v>7200000</v>
      </c>
      <c r="AK34" s="271">
        <f>AI34</f>
        <v>1</v>
      </c>
      <c r="AL34" s="271">
        <v>8000000</v>
      </c>
      <c r="AM34" s="271">
        <f t="shared" si="13"/>
        <v>8000000</v>
      </c>
      <c r="AN34" s="271"/>
      <c r="AO34" s="272">
        <f t="shared" si="14"/>
        <v>-8000000</v>
      </c>
    </row>
    <row r="35" spans="1:41" x14ac:dyDescent="0.15">
      <c r="A35" s="160" t="s">
        <v>449</v>
      </c>
      <c r="B35" s="160" t="s">
        <v>704</v>
      </c>
      <c r="C35" s="162">
        <v>0</v>
      </c>
      <c r="D35" s="160" t="s">
        <v>61</v>
      </c>
      <c r="E35" s="160" t="s">
        <v>30</v>
      </c>
      <c r="F35" s="262" t="s">
        <v>467</v>
      </c>
      <c r="G35" s="262" t="s">
        <v>467</v>
      </c>
      <c r="H35" s="160" t="s">
        <v>519</v>
      </c>
      <c r="I35" s="160" t="s">
        <v>707</v>
      </c>
      <c r="J35" s="160">
        <f t="shared" ref="J35:O35" si="15">(655740+65574)/3*1.2</f>
        <v>288525.59999999998</v>
      </c>
      <c r="K35" s="160">
        <f t="shared" si="15"/>
        <v>288525.59999999998</v>
      </c>
      <c r="L35" s="160">
        <f t="shared" si="15"/>
        <v>288525.59999999998</v>
      </c>
      <c r="M35" s="160">
        <f t="shared" si="15"/>
        <v>288525.59999999998</v>
      </c>
      <c r="N35" s="160">
        <f t="shared" si="15"/>
        <v>288525.59999999998</v>
      </c>
      <c r="O35" s="160">
        <f t="shared" si="15"/>
        <v>288525.59999999998</v>
      </c>
      <c r="P35" s="160">
        <f t="shared" ref="P35:U35" si="16">(655740+65574+721314+131148)/3*1.2</f>
        <v>629510.40000000002</v>
      </c>
      <c r="Q35" s="160">
        <f t="shared" si="16"/>
        <v>629510.40000000002</v>
      </c>
      <c r="R35" s="160">
        <f t="shared" si="16"/>
        <v>629510.40000000002</v>
      </c>
      <c r="S35" s="160">
        <f t="shared" si="16"/>
        <v>629510.40000000002</v>
      </c>
      <c r="T35" s="160">
        <f t="shared" si="16"/>
        <v>629510.40000000002</v>
      </c>
      <c r="U35" s="160">
        <f t="shared" si="16"/>
        <v>629510.40000000002</v>
      </c>
      <c r="V35" s="160">
        <f>SUM(J35:U35)</f>
        <v>5508216.0000000009</v>
      </c>
      <c r="Y35" s="160" t="s">
        <v>48</v>
      </c>
      <c r="AF35" s="269" t="s">
        <v>499</v>
      </c>
      <c r="AG35" s="269" t="s">
        <v>497</v>
      </c>
      <c r="AH35" s="270" t="s">
        <v>61</v>
      </c>
      <c r="AI35" s="271">
        <v>1</v>
      </c>
      <c r="AJ35" s="271">
        <v>11999997</v>
      </c>
      <c r="AK35" s="271">
        <v>1</v>
      </c>
      <c r="AL35" s="271">
        <v>12000000</v>
      </c>
      <c r="AM35" s="271">
        <f t="shared" si="13"/>
        <v>12000000</v>
      </c>
      <c r="AN35" s="271"/>
      <c r="AO35" s="272"/>
    </row>
    <row r="36" spans="1:41" x14ac:dyDescent="0.15">
      <c r="A36" s="160" t="s">
        <v>54</v>
      </c>
      <c r="B36" s="160" t="s">
        <v>517</v>
      </c>
      <c r="C36" s="162">
        <v>0</v>
      </c>
      <c r="D36" s="160" t="s">
        <v>64</v>
      </c>
      <c r="E36" s="160" t="s">
        <v>493</v>
      </c>
      <c r="F36" s="262">
        <f>SUMIFS(Потребности!AK:AK,Потребности!AF:AF,Потребности!B36,Потребности!AH:AH,Потребности!D36)</f>
        <v>3</v>
      </c>
      <c r="G36" s="262">
        <f>SUMIFS(Потребности!AM:AM,Потребности!AF:AF,Потребности!B36,Потребности!AH:AH,Потребности!D36)</f>
        <v>85883.2932</v>
      </c>
      <c r="H36" s="160" t="s">
        <v>516</v>
      </c>
      <c r="J36" s="160">
        <f t="shared" ref="J36:U38" si="17">$V36/12</f>
        <v>7156.9411</v>
      </c>
      <c r="K36" s="160">
        <f t="shared" si="17"/>
        <v>7156.9411</v>
      </c>
      <c r="L36" s="160">
        <f t="shared" si="17"/>
        <v>7156.9411</v>
      </c>
      <c r="M36" s="160">
        <f t="shared" si="17"/>
        <v>7156.9411</v>
      </c>
      <c r="N36" s="160">
        <f t="shared" si="17"/>
        <v>7156.9411</v>
      </c>
      <c r="O36" s="160">
        <f t="shared" si="17"/>
        <v>7156.9411</v>
      </c>
      <c r="P36" s="160">
        <f t="shared" si="17"/>
        <v>7156.9411</v>
      </c>
      <c r="Q36" s="160">
        <f t="shared" si="17"/>
        <v>7156.9411</v>
      </c>
      <c r="R36" s="160">
        <f t="shared" si="17"/>
        <v>7156.9411</v>
      </c>
      <c r="S36" s="160">
        <f t="shared" si="17"/>
        <v>7156.9411</v>
      </c>
      <c r="T36" s="160">
        <f t="shared" si="17"/>
        <v>7156.9411</v>
      </c>
      <c r="U36" s="160">
        <f t="shared" si="17"/>
        <v>7156.9411</v>
      </c>
      <c r="V36" s="160">
        <f>SUMIFS(Потребности!AM:AM,Потребности!AF:AF,Потребности!B36,Потребности!AH:AH,Потребности!D36)</f>
        <v>85883.2932</v>
      </c>
      <c r="W36" s="160">
        <v>0</v>
      </c>
      <c r="X36" s="160">
        <f>SUMIFS(Потребности!AJ:AJ,Потребности!AF:AF,Потребности!B36,Потребности!AH:AH,Потребности!D36)</f>
        <v>53509.84</v>
      </c>
      <c r="Y36" s="160" t="s">
        <v>450</v>
      </c>
      <c r="AF36" s="269" t="s">
        <v>522</v>
      </c>
      <c r="AG36" s="269" t="s">
        <v>497</v>
      </c>
      <c r="AH36" s="270" t="s">
        <v>61</v>
      </c>
      <c r="AI36" s="271">
        <v>1</v>
      </c>
      <c r="AJ36" s="271">
        <v>4608000</v>
      </c>
      <c r="AK36" s="271">
        <v>1</v>
      </c>
      <c r="AL36" s="271">
        <v>2400000</v>
      </c>
      <c r="AM36" s="271">
        <f t="shared" si="13"/>
        <v>2400000</v>
      </c>
      <c r="AN36" s="271"/>
      <c r="AO36" s="272"/>
    </row>
    <row r="37" spans="1:41" x14ac:dyDescent="0.15">
      <c r="A37" s="160" t="s">
        <v>54</v>
      </c>
      <c r="B37" s="160" t="s">
        <v>514</v>
      </c>
      <c r="C37" s="162">
        <v>0</v>
      </c>
      <c r="D37" s="160" t="s">
        <v>61</v>
      </c>
      <c r="E37" s="160" t="s">
        <v>507</v>
      </c>
      <c r="F37" s="262">
        <f>SUMIFS(Потребности!AK:AK,Потребности!AF:AF,Потребности!B37,Потребности!AH:AH,Потребности!D37)</f>
        <v>14</v>
      </c>
      <c r="G37" s="262">
        <f>SUMIFS(Потребности!AM:AM,Потребности!AF:AF,Потребности!B37,Потребности!AH:AH,Потребности!D37)</f>
        <v>461884.76642000006</v>
      </c>
      <c r="H37" s="160" t="s">
        <v>512</v>
      </c>
      <c r="J37" s="160">
        <f t="shared" si="17"/>
        <v>38490.397201666674</v>
      </c>
      <c r="K37" s="160">
        <f t="shared" si="17"/>
        <v>38490.397201666674</v>
      </c>
      <c r="L37" s="160">
        <f t="shared" si="17"/>
        <v>38490.397201666674</v>
      </c>
      <c r="M37" s="160">
        <f t="shared" si="17"/>
        <v>38490.397201666674</v>
      </c>
      <c r="N37" s="160">
        <f t="shared" si="17"/>
        <v>38490.397201666674</v>
      </c>
      <c r="O37" s="160">
        <f t="shared" si="17"/>
        <v>38490.397201666674</v>
      </c>
      <c r="P37" s="160">
        <f t="shared" si="17"/>
        <v>38490.397201666674</v>
      </c>
      <c r="Q37" s="160">
        <f t="shared" si="17"/>
        <v>38490.397201666674</v>
      </c>
      <c r="R37" s="160">
        <f t="shared" si="17"/>
        <v>38490.397201666674</v>
      </c>
      <c r="S37" s="160">
        <f t="shared" si="17"/>
        <v>38490.397201666674</v>
      </c>
      <c r="T37" s="160">
        <f t="shared" si="17"/>
        <v>38490.397201666674</v>
      </c>
      <c r="U37" s="160">
        <f t="shared" si="17"/>
        <v>38490.397201666674</v>
      </c>
      <c r="V37" s="160">
        <f>SUMIFS(Потребности!AM:AM,Потребности!AF:AF,Потребности!B37,Потребности!AH:AH,Потребности!D37)</f>
        <v>461884.76642000006</v>
      </c>
      <c r="W37" s="160">
        <v>431668.00599999999</v>
      </c>
      <c r="X37" s="160">
        <v>0</v>
      </c>
      <c r="Y37" s="160" t="s">
        <v>54</v>
      </c>
      <c r="AF37" s="269" t="s">
        <v>496</v>
      </c>
      <c r="AG37" s="269" t="s">
        <v>521</v>
      </c>
      <c r="AH37" s="270" t="s">
        <v>61</v>
      </c>
      <c r="AI37" s="271">
        <v>1</v>
      </c>
      <c r="AJ37" s="271">
        <v>972031.99999999977</v>
      </c>
      <c r="AK37" s="271">
        <f>AI37</f>
        <v>1</v>
      </c>
      <c r="AL37" s="271">
        <f>AJ37/AI37*(1+AH$3)</f>
        <v>1040074.2399999998</v>
      </c>
      <c r="AM37" s="271">
        <f t="shared" si="13"/>
        <v>1040074.2399999998</v>
      </c>
      <c r="AN37" s="271"/>
      <c r="AO37" s="272">
        <f>AN37-AM37</f>
        <v>-1040074.2399999998</v>
      </c>
    </row>
    <row r="38" spans="1:41" x14ac:dyDescent="0.15">
      <c r="A38" s="160" t="s">
        <v>54</v>
      </c>
      <c r="B38" s="160" t="s">
        <v>513</v>
      </c>
      <c r="C38" s="162">
        <v>0</v>
      </c>
      <c r="D38" s="160" t="s">
        <v>61</v>
      </c>
      <c r="E38" s="160" t="s">
        <v>507</v>
      </c>
      <c r="F38" s="262">
        <f>SUMIFS(Потребности!AK:AK,Потребности!AF:AF,Потребности!B38,Потребности!AH:AH,Потребности!D38)</f>
        <v>5</v>
      </c>
      <c r="G38" s="262">
        <f>SUMIFS(Потребности!AM:AM,Потребности!AF:AF,Потребности!B38,Потребности!AH:AH,Потребности!D38)</f>
        <v>363268.04415000009</v>
      </c>
      <c r="H38" s="160" t="s">
        <v>512</v>
      </c>
      <c r="J38" s="160">
        <f t="shared" si="17"/>
        <v>30272.337012500007</v>
      </c>
      <c r="K38" s="160">
        <f t="shared" si="17"/>
        <v>30272.337012500007</v>
      </c>
      <c r="L38" s="160">
        <f t="shared" si="17"/>
        <v>30272.337012500007</v>
      </c>
      <c r="M38" s="160">
        <f t="shared" si="17"/>
        <v>30272.337012500007</v>
      </c>
      <c r="N38" s="160">
        <f t="shared" si="17"/>
        <v>30272.337012500007</v>
      </c>
      <c r="O38" s="160">
        <f t="shared" si="17"/>
        <v>30272.337012500007</v>
      </c>
      <c r="P38" s="160">
        <f t="shared" si="17"/>
        <v>30272.337012500007</v>
      </c>
      <c r="Q38" s="160">
        <f t="shared" si="17"/>
        <v>30272.337012500007</v>
      </c>
      <c r="R38" s="160">
        <f t="shared" si="17"/>
        <v>30272.337012500007</v>
      </c>
      <c r="S38" s="160">
        <f t="shared" si="17"/>
        <v>30272.337012500007</v>
      </c>
      <c r="T38" s="160">
        <f t="shared" si="17"/>
        <v>30272.337012500007</v>
      </c>
      <c r="U38" s="160">
        <f t="shared" si="17"/>
        <v>30272.337012500007</v>
      </c>
      <c r="V38" s="160">
        <f>SUMIFS(Потребности!AM:AM,Потребности!AF:AF,Потребности!B38,Потребности!AH:AH,Потребности!D38)</f>
        <v>363268.04415000009</v>
      </c>
      <c r="W38" s="160">
        <v>339502.84500000003</v>
      </c>
      <c r="X38" s="160">
        <v>0</v>
      </c>
      <c r="Y38" s="160" t="s">
        <v>54</v>
      </c>
      <c r="AE38" s="275"/>
      <c r="AF38" s="276" t="s">
        <v>518</v>
      </c>
      <c r="AG38" s="276"/>
      <c r="AH38" s="266"/>
      <c r="AI38" s="277"/>
      <c r="AJ38" s="277">
        <f>SUM(AJ24:AJ37)</f>
        <v>27962199.881000001</v>
      </c>
      <c r="AK38" s="277"/>
      <c r="AL38" s="277"/>
      <c r="AM38" s="277">
        <f>SUM(AM24:AM37)</f>
        <v>29897827.05057</v>
      </c>
      <c r="AN38" s="277">
        <f>SUM(AN24:AN37)</f>
        <v>0</v>
      </c>
      <c r="AO38" s="278">
        <f>AN38-AM38</f>
        <v>-29897827.05057</v>
      </c>
    </row>
    <row r="39" spans="1:41" ht="13" thickBot="1" x14ac:dyDescent="0.2">
      <c r="A39" s="160" t="s">
        <v>54</v>
      </c>
      <c r="B39" s="160" t="s">
        <v>511</v>
      </c>
      <c r="C39" s="162">
        <v>0</v>
      </c>
      <c r="D39" s="160" t="s">
        <v>61</v>
      </c>
      <c r="E39" s="160" t="s">
        <v>493</v>
      </c>
      <c r="F39" s="262">
        <f>SUMIFS(Потребности!AK:AK,Потребности!AF:AF,Потребности!B39,Потребности!AH:AH,Потребности!D39)</f>
        <v>0</v>
      </c>
      <c r="G39" s="262">
        <f>SUMIFS(Потребности!AM:AM,Потребности!AF:AF,Потребности!B39,Потребности!AH:AH,Потребности!D39)</f>
        <v>0</v>
      </c>
      <c r="H39" s="160" t="s">
        <v>504</v>
      </c>
      <c r="V39" s="160">
        <f>SUMIFS(Потребности!AM:AM,Потребности!AF:AF,Потребности!B39,Потребности!AH:AH,Потребности!D39)</f>
        <v>0</v>
      </c>
      <c r="W39" s="160">
        <v>12000</v>
      </c>
      <c r="X39" s="160">
        <v>0</v>
      </c>
      <c r="Y39" s="160" t="s">
        <v>54</v>
      </c>
      <c r="AE39" s="275"/>
      <c r="AF39" s="279" t="s">
        <v>515</v>
      </c>
      <c r="AG39" s="279"/>
      <c r="AH39" s="280"/>
      <c r="AI39" s="281"/>
      <c r="AJ39" s="281">
        <f>AJ23+AJ38</f>
        <v>43878505.228</v>
      </c>
      <c r="AK39" s="281"/>
      <c r="AL39" s="281"/>
      <c r="AM39" s="281">
        <f>AM23+AM38</f>
        <v>47171612.75632</v>
      </c>
      <c r="AN39" s="281">
        <f>AN23+AN38</f>
        <v>0</v>
      </c>
      <c r="AO39" s="282">
        <f>AO23+AO38</f>
        <v>-47171612.75632</v>
      </c>
    </row>
    <row r="40" spans="1:41" x14ac:dyDescent="0.15">
      <c r="A40" s="160" t="s">
        <v>54</v>
      </c>
      <c r="B40" s="160" t="s">
        <v>509</v>
      </c>
      <c r="C40" s="162">
        <v>0</v>
      </c>
      <c r="D40" s="160" t="s">
        <v>61</v>
      </c>
      <c r="E40" s="160" t="s">
        <v>493</v>
      </c>
      <c r="F40" s="262">
        <f>SUMIFS(Потребности!AK:AK,Потребности!AF:AF,Потребности!B40,Потребности!AH:AH,Потребности!D40)</f>
        <v>0</v>
      </c>
      <c r="G40" s="262">
        <f>SUMIFS(Потребности!AM:AM,Потребности!AF:AF,Потребности!B40,Потребности!AH:AH,Потребности!D40)</f>
        <v>0</v>
      </c>
      <c r="H40" s="160" t="s">
        <v>504</v>
      </c>
      <c r="V40" s="160">
        <f>SUMIFS(Потребности!AM:AM,Потребности!AF:AF,Потребности!B40,Потребности!AH:AH,Потребности!D40)</f>
        <v>0</v>
      </c>
      <c r="W40" s="160">
        <v>288000</v>
      </c>
      <c r="X40" s="160">
        <v>0</v>
      </c>
      <c r="Y40" s="160" t="s">
        <v>54</v>
      </c>
    </row>
    <row r="41" spans="1:41" x14ac:dyDescent="0.15">
      <c r="A41" s="160" t="s">
        <v>54</v>
      </c>
      <c r="B41" s="160" t="s">
        <v>508</v>
      </c>
      <c r="C41" s="162">
        <v>0</v>
      </c>
      <c r="D41" s="160" t="s">
        <v>61</v>
      </c>
      <c r="E41" s="160" t="s">
        <v>507</v>
      </c>
      <c r="F41" s="262">
        <f>SUMIFS(Потребности!AK:AK,Потребности!AF:AF,Потребности!B41,Потребности!AH:AH,Потребности!D41)</f>
        <v>1</v>
      </c>
      <c r="G41" s="262">
        <f>SUMIFS(Потребности!AM:AM,Потребности!AF:AF,Потребности!B41,Потребности!AH:AH,Потребности!D41)</f>
        <v>192600</v>
      </c>
      <c r="H41" s="160" t="s">
        <v>506</v>
      </c>
      <c r="J41" s="160">
        <f t="shared" ref="J41:U41" si="18">$V41/12</f>
        <v>16050</v>
      </c>
      <c r="K41" s="160">
        <f t="shared" si="18"/>
        <v>16050</v>
      </c>
      <c r="L41" s="160">
        <f t="shared" si="18"/>
        <v>16050</v>
      </c>
      <c r="M41" s="160">
        <f t="shared" si="18"/>
        <v>16050</v>
      </c>
      <c r="N41" s="160">
        <f t="shared" si="18"/>
        <v>16050</v>
      </c>
      <c r="O41" s="160">
        <f t="shared" si="18"/>
        <v>16050</v>
      </c>
      <c r="P41" s="160">
        <f t="shared" si="18"/>
        <v>16050</v>
      </c>
      <c r="Q41" s="160">
        <f t="shared" si="18"/>
        <v>16050</v>
      </c>
      <c r="R41" s="160">
        <f t="shared" si="18"/>
        <v>16050</v>
      </c>
      <c r="S41" s="160">
        <f t="shared" si="18"/>
        <v>16050</v>
      </c>
      <c r="T41" s="160">
        <f t="shared" si="18"/>
        <v>16050</v>
      </c>
      <c r="U41" s="160">
        <f t="shared" si="18"/>
        <v>16050</v>
      </c>
      <c r="V41" s="160">
        <f>SUMIFS(Потребности!AM:AM,Потребности!AF:AF,Потребности!B41,Потребности!AH:AH,Потребности!D41)</f>
        <v>192600</v>
      </c>
      <c r="W41" s="160">
        <v>0</v>
      </c>
      <c r="X41" s="160">
        <v>78073.740000000005</v>
      </c>
      <c r="Y41" s="160" t="s">
        <v>54</v>
      </c>
      <c r="AF41" s="269" t="s">
        <v>490</v>
      </c>
      <c r="AG41" s="269"/>
      <c r="AH41" s="270" t="s">
        <v>61</v>
      </c>
      <c r="AI41" s="271">
        <v>1</v>
      </c>
      <c r="AJ41" s="271">
        <v>25100000</v>
      </c>
      <c r="AK41" s="271">
        <v>1</v>
      </c>
      <c r="AL41" s="271">
        <v>27774501.699999999</v>
      </c>
      <c r="AM41" s="271">
        <f>AK41*AL41</f>
        <v>27774501.699999999</v>
      </c>
      <c r="AN41" s="271"/>
      <c r="AO41" s="272"/>
    </row>
    <row r="42" spans="1:41" ht="13" thickBot="1" x14ac:dyDescent="0.2">
      <c r="A42" s="160" t="s">
        <v>54</v>
      </c>
      <c r="B42" s="160" t="s">
        <v>505</v>
      </c>
      <c r="C42" s="162">
        <v>0</v>
      </c>
      <c r="D42" s="160" t="s">
        <v>61</v>
      </c>
      <c r="E42" s="160" t="s">
        <v>493</v>
      </c>
      <c r="F42" s="262">
        <f>SUMIFS(Потребности!AK:AK,Потребности!AF:AF,Потребности!B42,Потребности!AH:AH,Потребности!D42)</f>
        <v>0</v>
      </c>
      <c r="G42" s="262">
        <f>SUMIFS(Потребности!AM:AM,Потребности!AF:AF,Потребности!B42,Потребности!AH:AH,Потребности!D42)</f>
        <v>0</v>
      </c>
      <c r="H42" s="160" t="s">
        <v>504</v>
      </c>
      <c r="V42" s="160">
        <f>SUMIFS(Потребности!AM:AM,Потребности!AF:AF,Потребности!B42,Потребности!AH:AH,Потребности!D42)</f>
        <v>0</v>
      </c>
      <c r="W42" s="160">
        <v>30000</v>
      </c>
      <c r="X42" s="160">
        <v>0</v>
      </c>
      <c r="Y42" s="160" t="s">
        <v>54</v>
      </c>
      <c r="AE42" s="275"/>
      <c r="AF42" s="279" t="s">
        <v>510</v>
      </c>
      <c r="AG42" s="279"/>
      <c r="AH42" s="280"/>
      <c r="AI42" s="281"/>
      <c r="AJ42" s="281">
        <f>AJ39+AJ41</f>
        <v>68978505.228</v>
      </c>
      <c r="AK42" s="281"/>
      <c r="AL42" s="281">
        <f>AL26+AL41</f>
        <v>27814501.699999999</v>
      </c>
      <c r="AM42" s="281">
        <f>AM39+AM41</f>
        <v>74946114.456320003</v>
      </c>
      <c r="AN42" s="281">
        <f>AN26+AN41</f>
        <v>0</v>
      </c>
      <c r="AO42" s="282">
        <f>AO26+AO41</f>
        <v>0</v>
      </c>
    </row>
    <row r="43" spans="1:41" x14ac:dyDescent="0.15">
      <c r="A43" s="160" t="s">
        <v>54</v>
      </c>
      <c r="B43" s="160" t="s">
        <v>503</v>
      </c>
      <c r="C43" s="162">
        <v>0</v>
      </c>
      <c r="D43" s="160" t="s">
        <v>61</v>
      </c>
      <c r="E43" s="160" t="s">
        <v>493</v>
      </c>
      <c r="F43" s="262">
        <f>SUMIFS(Потребности!AK:AK,Потребности!AF:AF,Потребности!B43,Потребности!AH:AH,Потребности!D43)</f>
        <v>0</v>
      </c>
      <c r="G43" s="262">
        <f>SUMIFS(Потребности!AM:AM,Потребности!AF:AF,Потребности!B43,Потребности!AH:AH,Потребности!D43)</f>
        <v>0</v>
      </c>
      <c r="H43" s="160" t="s">
        <v>502</v>
      </c>
      <c r="V43" s="160">
        <f>SUMIFS(Потребности!AM:AM,Потребности!AF:AF,Потребности!B43,Потребности!AH:AH,Потребности!D43)</f>
        <v>0</v>
      </c>
      <c r="W43" s="160">
        <v>50000</v>
      </c>
      <c r="X43" s="160">
        <v>0</v>
      </c>
      <c r="Y43" s="160" t="s">
        <v>54</v>
      </c>
    </row>
    <row r="44" spans="1:41" x14ac:dyDescent="0.15">
      <c r="A44" s="160" t="s">
        <v>54</v>
      </c>
      <c r="B44" s="160" t="s">
        <v>501</v>
      </c>
      <c r="C44" s="162">
        <v>0</v>
      </c>
      <c r="D44" s="160" t="s">
        <v>61</v>
      </c>
      <c r="E44" s="160" t="s">
        <v>493</v>
      </c>
      <c r="F44" s="262">
        <f>SUMIFS(Потребности!AK:AK,Потребности!AF:AF,Потребности!B44,Потребности!AH:AH,Потребности!D44)</f>
        <v>1</v>
      </c>
      <c r="G44" s="262">
        <f>SUMIFS(Потребности!AM:AM,Потребности!AF:AF,Потребности!B44,Потребности!AH:AH,Потребности!D44)</f>
        <v>1200000</v>
      </c>
      <c r="H44" s="160" t="s">
        <v>497</v>
      </c>
      <c r="J44" s="160">
        <f t="shared" ref="J44:U44" si="19">$V$44/12</f>
        <v>100000</v>
      </c>
      <c r="K44" s="160">
        <f t="shared" si="19"/>
        <v>100000</v>
      </c>
      <c r="L44" s="160">
        <f t="shared" si="19"/>
        <v>100000</v>
      </c>
      <c r="M44" s="160">
        <f t="shared" si="19"/>
        <v>100000</v>
      </c>
      <c r="N44" s="160">
        <f t="shared" si="19"/>
        <v>100000</v>
      </c>
      <c r="O44" s="160">
        <f t="shared" si="19"/>
        <v>100000</v>
      </c>
      <c r="P44" s="160">
        <f t="shared" si="19"/>
        <v>100000</v>
      </c>
      <c r="Q44" s="160">
        <f t="shared" si="19"/>
        <v>100000</v>
      </c>
      <c r="R44" s="160">
        <f t="shared" si="19"/>
        <v>100000</v>
      </c>
      <c r="S44" s="160">
        <f t="shared" si="19"/>
        <v>100000</v>
      </c>
      <c r="T44" s="160">
        <f t="shared" si="19"/>
        <v>100000</v>
      </c>
      <c r="U44" s="160">
        <f t="shared" si="19"/>
        <v>100000</v>
      </c>
      <c r="V44" s="160">
        <f>SUMIFS(Потребности!AM:AM,Потребности!AF:AF,Потребности!B44,Потребности!AH:AH,Потребности!D44)</f>
        <v>1200000</v>
      </c>
      <c r="W44" s="160">
        <v>1851000.0299999998</v>
      </c>
      <c r="X44" s="160">
        <v>1273976.8899999999</v>
      </c>
      <c r="Y44" s="160" t="s">
        <v>54</v>
      </c>
    </row>
    <row r="45" spans="1:41" x14ac:dyDescent="0.15">
      <c r="A45" s="160" t="s">
        <v>54</v>
      </c>
      <c r="B45" s="160" t="s">
        <v>500</v>
      </c>
      <c r="C45" s="162">
        <v>0</v>
      </c>
      <c r="D45" s="160" t="s">
        <v>61</v>
      </c>
      <c r="E45" s="160" t="s">
        <v>493</v>
      </c>
      <c r="F45" s="262">
        <f>SUMIFS(Потребности!AK:AK,Потребности!AF:AF,Потребности!B45,Потребности!AH:AH,Потребности!D45)</f>
        <v>1</v>
      </c>
      <c r="G45" s="262">
        <f>SUMIFS(Потребности!AM:AM,Потребности!AF:AF,Потребности!B45,Потребности!AH:AH,Потребности!D45)</f>
        <v>8000000</v>
      </c>
      <c r="H45" s="160" t="s">
        <v>497</v>
      </c>
      <c r="J45" s="160">
        <v>600000</v>
      </c>
      <c r="K45" s="160">
        <v>600000</v>
      </c>
      <c r="L45" s="160">
        <v>1000000</v>
      </c>
      <c r="M45" s="160">
        <v>600000</v>
      </c>
      <c r="N45" s="160">
        <v>600000</v>
      </c>
      <c r="O45" s="160">
        <v>1000000</v>
      </c>
      <c r="P45" s="160">
        <v>600000</v>
      </c>
      <c r="Q45" s="160">
        <v>600000</v>
      </c>
      <c r="R45" s="160">
        <v>600000</v>
      </c>
      <c r="S45" s="160">
        <v>600000</v>
      </c>
      <c r="T45" s="160">
        <v>600000</v>
      </c>
      <c r="U45" s="160">
        <v>600000</v>
      </c>
      <c r="V45" s="160">
        <f>SUMIFS(Потребности!AM:AM,Потребности!AF:AF,Потребности!B45,Потребности!AH:AH,Потребности!D45)</f>
        <v>8000000</v>
      </c>
      <c r="W45" s="160">
        <v>7200000</v>
      </c>
      <c r="X45" s="160">
        <v>3142856.8599999994</v>
      </c>
      <c r="Y45" s="160" t="s">
        <v>54</v>
      </c>
    </row>
    <row r="46" spans="1:41" x14ac:dyDescent="0.15">
      <c r="A46" s="160" t="s">
        <v>54</v>
      </c>
      <c r="B46" s="160" t="s">
        <v>499</v>
      </c>
      <c r="C46" s="162">
        <v>0</v>
      </c>
      <c r="D46" s="160" t="s">
        <v>61</v>
      </c>
      <c r="E46" s="160" t="s">
        <v>493</v>
      </c>
      <c r="F46" s="262">
        <f>SUMIFS(Потребности!AK:AK,Потребности!AF:AF,Потребности!B46,Потребности!AH:AH,Потребности!D46)</f>
        <v>1</v>
      </c>
      <c r="G46" s="262">
        <f>SUMIFS(Потребности!AM:AM,Потребности!AF:AF,Потребности!B46,Потребности!AH:AH,Потребности!D46)</f>
        <v>12000000</v>
      </c>
      <c r="H46" s="160" t="s">
        <v>497</v>
      </c>
      <c r="J46" s="160">
        <v>1000000</v>
      </c>
      <c r="K46" s="160">
        <v>1000000</v>
      </c>
      <c r="L46" s="160">
        <v>1000000</v>
      </c>
      <c r="M46" s="160">
        <v>1000000</v>
      </c>
      <c r="N46" s="160">
        <v>1000000</v>
      </c>
      <c r="O46" s="160">
        <v>1000000</v>
      </c>
      <c r="P46" s="160">
        <v>1000000</v>
      </c>
      <c r="Q46" s="160">
        <v>1000000</v>
      </c>
      <c r="R46" s="160">
        <v>1000000</v>
      </c>
      <c r="S46" s="160">
        <v>1000000</v>
      </c>
      <c r="T46" s="160">
        <v>1000000</v>
      </c>
      <c r="U46" s="160">
        <v>1000000</v>
      </c>
      <c r="V46" s="160">
        <f>SUMIFS(Потребности!AM:AM,Потребности!AF:AF,Потребности!B46,Потребности!AH:AH,Потребности!D46)</f>
        <v>12000000</v>
      </c>
      <c r="W46" s="160">
        <v>11999997</v>
      </c>
      <c r="X46" s="160">
        <v>0</v>
      </c>
      <c r="Y46" s="160" t="s">
        <v>54</v>
      </c>
    </row>
    <row r="47" spans="1:41" x14ac:dyDescent="0.15">
      <c r="A47" s="160" t="s">
        <v>54</v>
      </c>
      <c r="B47" s="160" t="s">
        <v>498</v>
      </c>
      <c r="C47" s="162">
        <v>0</v>
      </c>
      <c r="D47" s="160" t="s">
        <v>61</v>
      </c>
      <c r="E47" s="160" t="s">
        <v>493</v>
      </c>
      <c r="F47" s="262">
        <f>SUMIFS(Потребности!AK:AK,Потребности!AF:AF,Потребности!B47,Потребности!AH:AH,Потребности!D47)</f>
        <v>1</v>
      </c>
      <c r="G47" s="262">
        <f>SUMIFS(Потребности!AM:AM,Потребности!AF:AF,Потребности!B47,Потребности!AH:AH,Потребности!D47)</f>
        <v>2400000</v>
      </c>
      <c r="H47" s="160" t="s">
        <v>497</v>
      </c>
      <c r="J47" s="160">
        <v>0</v>
      </c>
      <c r="K47" s="160">
        <v>0</v>
      </c>
      <c r="L47" s="160">
        <v>0</v>
      </c>
      <c r="M47" s="160">
        <v>200000</v>
      </c>
      <c r="N47" s="160">
        <v>200000</v>
      </c>
      <c r="O47" s="160">
        <v>200000</v>
      </c>
      <c r="P47" s="160">
        <v>300000</v>
      </c>
      <c r="Q47" s="160">
        <v>300000</v>
      </c>
      <c r="R47" s="160">
        <v>300000</v>
      </c>
      <c r="S47" s="160">
        <v>300000</v>
      </c>
      <c r="T47" s="160">
        <v>300000</v>
      </c>
      <c r="U47" s="160">
        <v>300000</v>
      </c>
      <c r="V47" s="160">
        <f>SUMIFS(Потребности!AM:AM,Потребности!AF:AF,Потребности!B47,Потребности!AH:AH,Потребности!D47)</f>
        <v>2400000</v>
      </c>
      <c r="W47" s="160">
        <v>4608000</v>
      </c>
      <c r="X47" s="160">
        <v>0</v>
      </c>
      <c r="Y47" s="160" t="s">
        <v>54</v>
      </c>
    </row>
    <row r="48" spans="1:41" x14ac:dyDescent="0.15">
      <c r="A48" s="160" t="s">
        <v>54</v>
      </c>
      <c r="B48" s="160" t="s">
        <v>496</v>
      </c>
      <c r="C48" s="162">
        <v>0</v>
      </c>
      <c r="D48" s="160" t="s">
        <v>61</v>
      </c>
      <c r="E48" s="160" t="s">
        <v>493</v>
      </c>
      <c r="F48" s="262">
        <f>SUMIFS(Потребности!AK:AK,Потребности!AF:AF,Потребности!B48,Потребности!AH:AH,Потребности!D48)</f>
        <v>1</v>
      </c>
      <c r="G48" s="262">
        <f>SUMIFS(Потребности!AM:AM,Потребности!AF:AF,Потребности!B48,Потребности!AH:AH,Потребности!D48)</f>
        <v>1040074.2399999998</v>
      </c>
      <c r="H48" s="160" t="s">
        <v>495</v>
      </c>
      <c r="J48" s="160">
        <f t="shared" ref="J48:U50" si="20">$V48/12</f>
        <v>86672.853333333318</v>
      </c>
      <c r="K48" s="160">
        <f t="shared" si="20"/>
        <v>86672.853333333318</v>
      </c>
      <c r="L48" s="160">
        <f t="shared" si="20"/>
        <v>86672.853333333318</v>
      </c>
      <c r="M48" s="160">
        <f t="shared" si="20"/>
        <v>86672.853333333318</v>
      </c>
      <c r="N48" s="160">
        <f t="shared" si="20"/>
        <v>86672.853333333318</v>
      </c>
      <c r="O48" s="160">
        <f t="shared" si="20"/>
        <v>86672.853333333318</v>
      </c>
      <c r="P48" s="160">
        <f t="shared" si="20"/>
        <v>86672.853333333318</v>
      </c>
      <c r="Q48" s="160">
        <f t="shared" si="20"/>
        <v>86672.853333333318</v>
      </c>
      <c r="R48" s="160">
        <f t="shared" si="20"/>
        <v>86672.853333333318</v>
      </c>
      <c r="S48" s="160">
        <f t="shared" si="20"/>
        <v>86672.853333333318</v>
      </c>
      <c r="T48" s="160">
        <f t="shared" si="20"/>
        <v>86672.853333333318</v>
      </c>
      <c r="U48" s="160">
        <f t="shared" si="20"/>
        <v>86672.853333333318</v>
      </c>
      <c r="V48" s="160">
        <f>SUMIFS(Потребности!AM:AM,Потребности!AF:AF,Потребности!B48,Потребности!AH:AH,Потребности!D48)</f>
        <v>1040074.2399999998</v>
      </c>
      <c r="W48" s="160">
        <v>0</v>
      </c>
      <c r="X48" s="160">
        <v>110855.48000000004</v>
      </c>
      <c r="Y48" s="160" t="s">
        <v>54</v>
      </c>
    </row>
    <row r="49" spans="1:25" x14ac:dyDescent="0.15">
      <c r="A49" s="160" t="s">
        <v>54</v>
      </c>
      <c r="B49" s="160" t="s">
        <v>494</v>
      </c>
      <c r="C49" s="162">
        <v>0</v>
      </c>
      <c r="D49" s="160" t="s">
        <v>61</v>
      </c>
      <c r="E49" s="160" t="s">
        <v>493</v>
      </c>
      <c r="F49" s="262">
        <f>SUMIFS(Потребности!AK:AK,Потребности!AF:AF,Потребности!B49,Потребности!AH:AH,Потребности!D49)</f>
        <v>100</v>
      </c>
      <c r="G49" s="262">
        <f>SUMIFS(Потребности!AM:AM,Потребности!AF:AF,Потребности!B49,Потребности!AH:AH,Потребности!D49)</f>
        <v>4000000</v>
      </c>
      <c r="H49" s="160" t="s">
        <v>492</v>
      </c>
      <c r="I49" s="263" t="s">
        <v>491</v>
      </c>
      <c r="J49" s="160">
        <f t="shared" si="20"/>
        <v>333333.33333333331</v>
      </c>
      <c r="K49" s="160">
        <f t="shared" si="20"/>
        <v>333333.33333333331</v>
      </c>
      <c r="L49" s="160">
        <f t="shared" si="20"/>
        <v>333333.33333333331</v>
      </c>
      <c r="M49" s="160">
        <f t="shared" si="20"/>
        <v>333333.33333333331</v>
      </c>
      <c r="N49" s="160">
        <f t="shared" si="20"/>
        <v>333333.33333333331</v>
      </c>
      <c r="O49" s="160">
        <f t="shared" si="20"/>
        <v>333333.33333333331</v>
      </c>
      <c r="P49" s="160">
        <f t="shared" si="20"/>
        <v>333333.33333333331</v>
      </c>
      <c r="Q49" s="160">
        <f t="shared" si="20"/>
        <v>333333.33333333331</v>
      </c>
      <c r="R49" s="160">
        <f t="shared" si="20"/>
        <v>333333.33333333331</v>
      </c>
      <c r="S49" s="160">
        <f t="shared" si="20"/>
        <v>333333.33333333331</v>
      </c>
      <c r="T49" s="160">
        <f t="shared" si="20"/>
        <v>333333.33333333331</v>
      </c>
      <c r="U49" s="160">
        <f t="shared" si="20"/>
        <v>333333.33333333331</v>
      </c>
      <c r="V49" s="160">
        <f>SUMIFS(Потребности!AM:AM,Потребности!AF:AF,Потребности!B49,Потребности!AH:AH,Потребности!D49)</f>
        <v>4000000</v>
      </c>
      <c r="W49" s="160">
        <v>6679000</v>
      </c>
      <c r="X49" s="160">
        <v>2931886.17</v>
      </c>
      <c r="Y49" s="160" t="s">
        <v>54</v>
      </c>
    </row>
    <row r="50" spans="1:25" x14ac:dyDescent="0.15">
      <c r="A50" s="160" t="s">
        <v>54</v>
      </c>
      <c r="B50" s="160" t="s">
        <v>490</v>
      </c>
      <c r="C50" s="162">
        <v>0</v>
      </c>
      <c r="D50" s="160" t="s">
        <v>61</v>
      </c>
      <c r="E50" s="160" t="s">
        <v>490</v>
      </c>
      <c r="F50" s="262" t="s">
        <v>467</v>
      </c>
      <c r="G50" s="262" t="s">
        <v>467</v>
      </c>
      <c r="H50" s="160" t="s">
        <v>468</v>
      </c>
      <c r="J50" s="160">
        <f t="shared" si="20"/>
        <v>2314541.8083333331</v>
      </c>
      <c r="K50" s="160">
        <f t="shared" si="20"/>
        <v>2314541.8083333331</v>
      </c>
      <c r="L50" s="160">
        <f t="shared" si="20"/>
        <v>2314541.8083333331</v>
      </c>
      <c r="M50" s="160">
        <f t="shared" si="20"/>
        <v>2314541.8083333331</v>
      </c>
      <c r="N50" s="160">
        <f t="shared" si="20"/>
        <v>2314541.8083333331</v>
      </c>
      <c r="O50" s="160">
        <f t="shared" si="20"/>
        <v>2314541.8083333331</v>
      </c>
      <c r="P50" s="160">
        <f t="shared" si="20"/>
        <v>2314541.8083333331</v>
      </c>
      <c r="Q50" s="160">
        <f t="shared" si="20"/>
        <v>2314541.8083333331</v>
      </c>
      <c r="R50" s="160">
        <f t="shared" si="20"/>
        <v>2314541.8083333331</v>
      </c>
      <c r="S50" s="160">
        <f t="shared" si="20"/>
        <v>2314541.8083333331</v>
      </c>
      <c r="T50" s="160">
        <f t="shared" si="20"/>
        <v>2314541.8083333331</v>
      </c>
      <c r="U50" s="160">
        <f t="shared" si="20"/>
        <v>2314541.8083333331</v>
      </c>
      <c r="V50" s="160">
        <f>SUMIFS(Потребности!AM:AM,Потребности!AF:AF,Потребности!B50,Потребности!AH:AH,Потребности!D50)</f>
        <v>27774501.699999999</v>
      </c>
      <c r="W50" s="160">
        <v>25100000</v>
      </c>
      <c r="X50" s="160">
        <v>0</v>
      </c>
      <c r="Y50" s="160" t="s">
        <v>54</v>
      </c>
    </row>
    <row r="51" spans="1:25" x14ac:dyDescent="0.15">
      <c r="A51" s="160" t="s">
        <v>45</v>
      </c>
      <c r="B51" s="160" t="s">
        <v>39</v>
      </c>
      <c r="C51" s="162" t="s">
        <v>489</v>
      </c>
      <c r="D51" s="160" t="s">
        <v>61</v>
      </c>
      <c r="E51" s="160" t="s">
        <v>467</v>
      </c>
      <c r="F51" s="262" t="s">
        <v>467</v>
      </c>
      <c r="G51" s="262" t="s">
        <v>467</v>
      </c>
      <c r="H51" s="160" t="s">
        <v>479</v>
      </c>
      <c r="I51" s="263"/>
      <c r="L51" s="160">
        <v>135000</v>
      </c>
      <c r="P51" s="160">
        <v>135000</v>
      </c>
      <c r="V51" s="160">
        <f>SUM(J51:U51)</f>
        <v>270000</v>
      </c>
      <c r="W51" s="160">
        <v>595000</v>
      </c>
      <c r="X51" s="160">
        <v>270361.5</v>
      </c>
      <c r="Y51" s="160" t="s">
        <v>39</v>
      </c>
    </row>
    <row r="52" spans="1:25" x14ac:dyDescent="0.15">
      <c r="A52" s="160" t="s">
        <v>45</v>
      </c>
      <c r="B52" s="160" t="s">
        <v>40</v>
      </c>
      <c r="C52" s="162">
        <v>0</v>
      </c>
      <c r="D52" s="160" t="s">
        <v>61</v>
      </c>
      <c r="E52" s="160" t="s">
        <v>467</v>
      </c>
      <c r="F52" s="262" t="s">
        <v>467</v>
      </c>
      <c r="G52" s="262" t="s">
        <v>467</v>
      </c>
      <c r="H52" s="160" t="s">
        <v>473</v>
      </c>
      <c r="I52" s="263"/>
      <c r="J52" s="160">
        <v>869198.13325652853</v>
      </c>
      <c r="K52" s="160">
        <v>869198.13325652853</v>
      </c>
      <c r="L52" s="160">
        <v>869198.13325652853</v>
      </c>
      <c r="M52" s="160">
        <v>869198.13325652853</v>
      </c>
      <c r="N52" s="160">
        <v>869198.13325652853</v>
      </c>
      <c r="O52" s="160">
        <v>869198.13325652853</v>
      </c>
      <c r="P52" s="160">
        <v>869198.13325652853</v>
      </c>
      <c r="Q52" s="160">
        <v>869198.13325652853</v>
      </c>
      <c r="R52" s="160">
        <v>869198.13325652853</v>
      </c>
      <c r="S52" s="160">
        <v>869198.13325652853</v>
      </c>
      <c r="T52" s="160">
        <v>882419.92396037711</v>
      </c>
      <c r="U52" s="160">
        <v>972502.9820228311</v>
      </c>
      <c r="V52" s="160">
        <v>10546904.238548497</v>
      </c>
      <c r="W52" s="160">
        <v>14457641</v>
      </c>
      <c r="X52" s="160">
        <v>1841964.9</v>
      </c>
      <c r="Y52" s="160" t="s">
        <v>40</v>
      </c>
    </row>
    <row r="53" spans="1:25" x14ac:dyDescent="0.15">
      <c r="A53" s="160" t="s">
        <v>45</v>
      </c>
      <c r="B53" s="160" t="s">
        <v>38</v>
      </c>
      <c r="C53" s="162">
        <v>0</v>
      </c>
      <c r="D53" s="160" t="s">
        <v>61</v>
      </c>
      <c r="E53" s="160" t="s">
        <v>467</v>
      </c>
      <c r="F53" s="262" t="s">
        <v>467</v>
      </c>
      <c r="G53" s="262" t="s">
        <v>467</v>
      </c>
      <c r="H53" s="160" t="s">
        <v>473</v>
      </c>
      <c r="I53" s="263"/>
      <c r="J53" s="160">
        <v>5000</v>
      </c>
      <c r="L53" s="160">
        <v>5000</v>
      </c>
      <c r="M53" s="160">
        <v>5000</v>
      </c>
      <c r="N53" s="160">
        <v>5000</v>
      </c>
      <c r="P53" s="160">
        <v>5000</v>
      </c>
      <c r="R53" s="160">
        <v>5000</v>
      </c>
      <c r="T53" s="160">
        <v>5000</v>
      </c>
      <c r="U53" s="160">
        <v>5000</v>
      </c>
      <c r="V53" s="160">
        <v>40000</v>
      </c>
      <c r="W53" s="160">
        <v>1597000</v>
      </c>
      <c r="X53" s="160">
        <v>0</v>
      </c>
      <c r="Y53" s="160" t="s">
        <v>38</v>
      </c>
    </row>
    <row r="54" spans="1:25" x14ac:dyDescent="0.15">
      <c r="A54" s="160" t="s">
        <v>45</v>
      </c>
      <c r="B54" s="160" t="s">
        <v>454</v>
      </c>
      <c r="C54" s="162" t="s">
        <v>488</v>
      </c>
      <c r="D54" s="160" t="s">
        <v>61</v>
      </c>
      <c r="E54" s="160" t="s">
        <v>467</v>
      </c>
      <c r="F54" s="262" t="s">
        <v>467</v>
      </c>
      <c r="G54" s="262" t="s">
        <v>467</v>
      </c>
      <c r="H54" s="160" t="s">
        <v>484</v>
      </c>
      <c r="I54" s="263"/>
      <c r="J54" s="160">
        <v>37333</v>
      </c>
      <c r="K54" s="160">
        <v>37333</v>
      </c>
      <c r="L54" s="160">
        <v>37333</v>
      </c>
      <c r="M54" s="160">
        <v>37333</v>
      </c>
      <c r="N54" s="160">
        <v>37333</v>
      </c>
      <c r="O54" s="160">
        <v>37333</v>
      </c>
      <c r="P54" s="160">
        <v>37333</v>
      </c>
      <c r="Q54" s="160">
        <v>37333</v>
      </c>
      <c r="R54" s="160">
        <v>37333</v>
      </c>
      <c r="S54" s="160">
        <v>37333</v>
      </c>
      <c r="T54" s="160">
        <v>37333</v>
      </c>
      <c r="U54" s="160">
        <v>37333</v>
      </c>
      <c r="V54" s="160">
        <f t="shared" ref="V54:V63" si="21">SUM(J54:U54)</f>
        <v>447996</v>
      </c>
      <c r="Y54" s="160" t="s">
        <v>454</v>
      </c>
    </row>
    <row r="55" spans="1:25" x14ac:dyDescent="0.15">
      <c r="A55" s="160" t="s">
        <v>45</v>
      </c>
      <c r="B55" s="160" t="s">
        <v>454</v>
      </c>
      <c r="C55" s="162" t="s">
        <v>487</v>
      </c>
      <c r="D55" s="160" t="s">
        <v>61</v>
      </c>
      <c r="E55" s="160" t="s">
        <v>467</v>
      </c>
      <c r="F55" s="262" t="s">
        <v>467</v>
      </c>
      <c r="G55" s="262" t="s">
        <v>467</v>
      </c>
      <c r="H55" s="160" t="s">
        <v>484</v>
      </c>
      <c r="I55" s="263"/>
      <c r="M55" s="160">
        <v>335000.67</v>
      </c>
      <c r="Q55" s="160">
        <v>339670</v>
      </c>
      <c r="V55" s="160">
        <f t="shared" si="21"/>
        <v>674670.66999999993</v>
      </c>
      <c r="Y55" s="160" t="s">
        <v>454</v>
      </c>
    </row>
    <row r="56" spans="1:25" x14ac:dyDescent="0.15">
      <c r="A56" s="160" t="s">
        <v>54</v>
      </c>
      <c r="B56" s="160" t="s">
        <v>691</v>
      </c>
      <c r="C56" s="162" t="s">
        <v>486</v>
      </c>
      <c r="D56" s="160" t="s">
        <v>61</v>
      </c>
      <c r="E56" s="160" t="s">
        <v>493</v>
      </c>
      <c r="F56" s="262" t="s">
        <v>467</v>
      </c>
      <c r="G56" s="262" t="s">
        <v>467</v>
      </c>
      <c r="H56" s="160" t="s">
        <v>484</v>
      </c>
      <c r="I56" s="263"/>
      <c r="N56" s="160">
        <v>500000</v>
      </c>
      <c r="R56" s="160">
        <v>500000</v>
      </c>
      <c r="V56" s="283">
        <f t="shared" si="21"/>
        <v>1000000</v>
      </c>
      <c r="Y56" s="160" t="s">
        <v>54</v>
      </c>
    </row>
    <row r="57" spans="1:25" collapsed="1" x14ac:dyDescent="0.15">
      <c r="A57" s="160" t="s">
        <v>54</v>
      </c>
      <c r="B57" s="160" t="s">
        <v>691</v>
      </c>
      <c r="C57" s="162" t="s">
        <v>485</v>
      </c>
      <c r="D57" s="160" t="s">
        <v>61</v>
      </c>
      <c r="E57" s="160" t="s">
        <v>493</v>
      </c>
      <c r="F57" s="262" t="s">
        <v>467</v>
      </c>
      <c r="G57" s="262" t="s">
        <v>467</v>
      </c>
      <c r="H57" s="160" t="s">
        <v>484</v>
      </c>
      <c r="I57" s="263"/>
      <c r="J57" s="160">
        <v>200000</v>
      </c>
      <c r="K57" s="160">
        <v>200000</v>
      </c>
      <c r="L57" s="160">
        <v>200000</v>
      </c>
      <c r="M57" s="160">
        <v>200000</v>
      </c>
      <c r="N57" s="160">
        <v>200000</v>
      </c>
      <c r="O57" s="160">
        <v>200000</v>
      </c>
      <c r="P57" s="160">
        <v>200000</v>
      </c>
      <c r="Q57" s="160">
        <v>200000</v>
      </c>
      <c r="R57" s="160">
        <v>200000</v>
      </c>
      <c r="S57" s="160">
        <v>200000</v>
      </c>
      <c r="T57" s="160">
        <v>200000</v>
      </c>
      <c r="U57" s="160">
        <v>200000</v>
      </c>
      <c r="V57" s="283">
        <f t="shared" si="21"/>
        <v>2400000</v>
      </c>
      <c r="Y57" s="160" t="s">
        <v>54</v>
      </c>
    </row>
    <row r="58" spans="1:25" x14ac:dyDescent="0.15">
      <c r="A58" s="160" t="s">
        <v>45</v>
      </c>
      <c r="B58" s="160" t="s">
        <v>42</v>
      </c>
      <c r="C58" s="162" t="s">
        <v>483</v>
      </c>
      <c r="D58" s="162" t="s">
        <v>61</v>
      </c>
      <c r="E58" s="160" t="s">
        <v>467</v>
      </c>
      <c r="F58" s="262" t="s">
        <v>467</v>
      </c>
      <c r="G58" s="262" t="s">
        <v>467</v>
      </c>
      <c r="H58" s="160" t="s">
        <v>479</v>
      </c>
      <c r="I58" s="263"/>
      <c r="L58" s="160">
        <v>156640</v>
      </c>
      <c r="M58" s="160">
        <v>156640</v>
      </c>
      <c r="N58" s="160">
        <v>156640</v>
      </c>
      <c r="O58" s="160">
        <v>156640</v>
      </c>
      <c r="P58" s="160">
        <v>156640</v>
      </c>
      <c r="Q58" s="160">
        <v>156640</v>
      </c>
      <c r="R58" s="160">
        <v>156640</v>
      </c>
      <c r="S58" s="160">
        <v>156640</v>
      </c>
      <c r="T58" s="160">
        <v>156640</v>
      </c>
      <c r="U58" s="160">
        <v>156640</v>
      </c>
      <c r="V58" s="283">
        <f t="shared" si="21"/>
        <v>1566400</v>
      </c>
      <c r="W58" s="160">
        <v>1500000</v>
      </c>
      <c r="X58" s="160">
        <v>1220000</v>
      </c>
      <c r="Y58" s="160" t="s">
        <v>42</v>
      </c>
    </row>
    <row r="59" spans="1:25" x14ac:dyDescent="0.15">
      <c r="A59" s="160" t="s">
        <v>45</v>
      </c>
      <c r="B59" s="160" t="s">
        <v>42</v>
      </c>
      <c r="C59" s="162" t="s">
        <v>482</v>
      </c>
      <c r="D59" s="162" t="s">
        <v>61</v>
      </c>
      <c r="E59" s="160" t="s">
        <v>467</v>
      </c>
      <c r="F59" s="262" t="s">
        <v>467</v>
      </c>
      <c r="G59" s="262" t="s">
        <v>467</v>
      </c>
      <c r="H59" s="160" t="s">
        <v>479</v>
      </c>
      <c r="I59" s="263"/>
      <c r="L59" s="160">
        <v>153450</v>
      </c>
      <c r="M59" s="160">
        <v>153450</v>
      </c>
      <c r="N59" s="160">
        <v>153450</v>
      </c>
      <c r="O59" s="160">
        <v>153450</v>
      </c>
      <c r="P59" s="160">
        <v>153450</v>
      </c>
      <c r="Q59" s="160">
        <v>153450</v>
      </c>
      <c r="R59" s="160">
        <v>153450</v>
      </c>
      <c r="S59" s="160">
        <v>153450</v>
      </c>
      <c r="T59" s="160">
        <v>153450</v>
      </c>
      <c r="U59" s="160">
        <v>153450</v>
      </c>
      <c r="V59" s="283">
        <f t="shared" si="21"/>
        <v>1534500</v>
      </c>
      <c r="W59" s="160">
        <v>1500000</v>
      </c>
      <c r="X59" s="160">
        <v>1108763.28</v>
      </c>
      <c r="Y59" s="160" t="s">
        <v>42</v>
      </c>
    </row>
    <row r="60" spans="1:25" x14ac:dyDescent="0.15">
      <c r="A60" s="160" t="s">
        <v>45</v>
      </c>
      <c r="B60" s="160" t="s">
        <v>42</v>
      </c>
      <c r="C60" s="162" t="s">
        <v>481</v>
      </c>
      <c r="D60" s="162" t="s">
        <v>61</v>
      </c>
      <c r="E60" s="160" t="s">
        <v>467</v>
      </c>
      <c r="F60" s="262" t="s">
        <v>467</v>
      </c>
      <c r="G60" s="262" t="s">
        <v>467</v>
      </c>
      <c r="H60" s="160" t="s">
        <v>479</v>
      </c>
      <c r="I60" s="263"/>
      <c r="L60" s="160">
        <v>55000</v>
      </c>
      <c r="M60" s="160">
        <v>55000</v>
      </c>
      <c r="N60" s="160">
        <v>55000</v>
      </c>
      <c r="O60" s="160">
        <v>55000</v>
      </c>
      <c r="P60" s="160">
        <v>55000</v>
      </c>
      <c r="Q60" s="160">
        <v>55000</v>
      </c>
      <c r="R60" s="160">
        <v>55000</v>
      </c>
      <c r="S60" s="160">
        <v>55000</v>
      </c>
      <c r="T60" s="160">
        <v>55000</v>
      </c>
      <c r="U60" s="160">
        <v>55000</v>
      </c>
      <c r="V60" s="283">
        <f t="shared" si="21"/>
        <v>550000</v>
      </c>
      <c r="W60" s="160">
        <v>500000</v>
      </c>
      <c r="X60" s="160">
        <v>490000</v>
      </c>
      <c r="Y60" s="160" t="s">
        <v>42</v>
      </c>
    </row>
    <row r="61" spans="1:25" x14ac:dyDescent="0.15">
      <c r="A61" s="160" t="s">
        <v>45</v>
      </c>
      <c r="B61" s="160" t="s">
        <v>42</v>
      </c>
      <c r="C61" s="162" t="s">
        <v>480</v>
      </c>
      <c r="D61" s="162" t="s">
        <v>61</v>
      </c>
      <c r="E61" s="160" t="s">
        <v>467</v>
      </c>
      <c r="F61" s="262" t="s">
        <v>467</v>
      </c>
      <c r="G61" s="262" t="s">
        <v>467</v>
      </c>
      <c r="H61" s="160" t="s">
        <v>479</v>
      </c>
      <c r="I61" s="263"/>
      <c r="L61" s="160">
        <v>147000</v>
      </c>
      <c r="M61" s="160">
        <v>147000</v>
      </c>
      <c r="N61" s="160">
        <v>147000</v>
      </c>
      <c r="O61" s="160">
        <v>147000</v>
      </c>
      <c r="P61" s="160">
        <v>147000</v>
      </c>
      <c r="Q61" s="160">
        <v>147000</v>
      </c>
      <c r="R61" s="160">
        <v>147000</v>
      </c>
      <c r="S61" s="160">
        <v>147000</v>
      </c>
      <c r="T61" s="160">
        <v>147000</v>
      </c>
      <c r="U61" s="160">
        <v>147000</v>
      </c>
      <c r="V61" s="283">
        <f t="shared" si="21"/>
        <v>1470000</v>
      </c>
      <c r="Y61" s="160" t="s">
        <v>42</v>
      </c>
    </row>
    <row r="62" spans="1:25" ht="39" x14ac:dyDescent="0.15">
      <c r="A62" s="160" t="s">
        <v>45</v>
      </c>
      <c r="B62" s="160" t="s">
        <v>43</v>
      </c>
      <c r="C62" s="284" t="s">
        <v>478</v>
      </c>
      <c r="D62" s="162" t="s">
        <v>61</v>
      </c>
      <c r="E62" s="160" t="s">
        <v>467</v>
      </c>
      <c r="F62" s="262" t="s">
        <v>467</v>
      </c>
      <c r="G62" s="262" t="s">
        <v>467</v>
      </c>
      <c r="H62" s="160" t="s">
        <v>476</v>
      </c>
      <c r="K62" s="160">
        <v>4000000</v>
      </c>
      <c r="M62" s="160">
        <v>4250000</v>
      </c>
      <c r="V62" s="283">
        <f t="shared" si="21"/>
        <v>8250000</v>
      </c>
      <c r="Y62" s="160" t="s">
        <v>43</v>
      </c>
    </row>
    <row r="63" spans="1:25" x14ac:dyDescent="0.15">
      <c r="A63" s="160" t="s">
        <v>45</v>
      </c>
      <c r="B63" s="160" t="s">
        <v>43</v>
      </c>
      <c r="C63" s="162" t="s">
        <v>477</v>
      </c>
      <c r="D63" s="162" t="s">
        <v>61</v>
      </c>
      <c r="E63" s="160" t="s">
        <v>467</v>
      </c>
      <c r="F63" s="262" t="s">
        <v>467</v>
      </c>
      <c r="G63" s="262" t="s">
        <v>467</v>
      </c>
      <c r="H63" s="160" t="s">
        <v>476</v>
      </c>
      <c r="M63" s="160">
        <v>6000000</v>
      </c>
      <c r="P63" s="160">
        <v>6000000</v>
      </c>
      <c r="V63" s="283">
        <f t="shared" si="21"/>
        <v>12000000</v>
      </c>
      <c r="Y63" s="160" t="s">
        <v>43</v>
      </c>
    </row>
    <row r="64" spans="1:25" x14ac:dyDescent="0.15">
      <c r="A64" s="160" t="s">
        <v>45</v>
      </c>
      <c r="B64" s="161" t="s">
        <v>453</v>
      </c>
      <c r="D64" s="160" t="s">
        <v>61</v>
      </c>
      <c r="E64" s="160" t="s">
        <v>467</v>
      </c>
      <c r="F64" s="262" t="s">
        <v>467</v>
      </c>
      <c r="G64" s="262" t="s">
        <v>467</v>
      </c>
      <c r="H64" s="160" t="s">
        <v>473</v>
      </c>
      <c r="J64" s="160">
        <f t="shared" ref="J64:U66" si="22">$V64/12</f>
        <v>27996.75</v>
      </c>
      <c r="K64" s="160">
        <f t="shared" si="22"/>
        <v>27996.75</v>
      </c>
      <c r="L64" s="160">
        <f t="shared" si="22"/>
        <v>27996.75</v>
      </c>
      <c r="M64" s="160">
        <f t="shared" si="22"/>
        <v>27996.75</v>
      </c>
      <c r="N64" s="160">
        <f t="shared" si="22"/>
        <v>27996.75</v>
      </c>
      <c r="O64" s="160">
        <f t="shared" si="22"/>
        <v>27996.75</v>
      </c>
      <c r="P64" s="160">
        <f t="shared" si="22"/>
        <v>27996.75</v>
      </c>
      <c r="Q64" s="160">
        <f t="shared" si="22"/>
        <v>27996.75</v>
      </c>
      <c r="R64" s="160">
        <f t="shared" si="22"/>
        <v>27996.75</v>
      </c>
      <c r="S64" s="160">
        <f t="shared" si="22"/>
        <v>27996.75</v>
      </c>
      <c r="T64" s="160">
        <f t="shared" si="22"/>
        <v>27996.75</v>
      </c>
      <c r="U64" s="160">
        <f t="shared" si="22"/>
        <v>27996.75</v>
      </c>
      <c r="V64" s="283">
        <v>335961</v>
      </c>
      <c r="Y64" s="160" t="s">
        <v>453</v>
      </c>
    </row>
    <row r="65" spans="1:25" x14ac:dyDescent="0.15">
      <c r="A65" s="160" t="s">
        <v>45</v>
      </c>
      <c r="B65" s="161" t="s">
        <v>452</v>
      </c>
      <c r="C65" s="161" t="s">
        <v>475</v>
      </c>
      <c r="D65" s="160" t="s">
        <v>61</v>
      </c>
      <c r="E65" s="160" t="s">
        <v>467</v>
      </c>
      <c r="F65" s="262" t="s">
        <v>467</v>
      </c>
      <c r="G65" s="262" t="s">
        <v>467</v>
      </c>
      <c r="H65" s="160" t="s">
        <v>473</v>
      </c>
      <c r="J65" s="160">
        <f t="shared" si="22"/>
        <v>12500</v>
      </c>
      <c r="K65" s="160">
        <f t="shared" si="22"/>
        <v>12500</v>
      </c>
      <c r="L65" s="160">
        <f t="shared" si="22"/>
        <v>12500</v>
      </c>
      <c r="M65" s="160">
        <f t="shared" si="22"/>
        <v>12500</v>
      </c>
      <c r="N65" s="160">
        <f t="shared" si="22"/>
        <v>12500</v>
      </c>
      <c r="O65" s="160">
        <f t="shared" si="22"/>
        <v>12500</v>
      </c>
      <c r="P65" s="160">
        <f t="shared" si="22"/>
        <v>12500</v>
      </c>
      <c r="Q65" s="160">
        <f t="shared" si="22"/>
        <v>12500</v>
      </c>
      <c r="R65" s="160">
        <f t="shared" si="22"/>
        <v>12500</v>
      </c>
      <c r="S65" s="160">
        <f t="shared" si="22"/>
        <v>12500</v>
      </c>
      <c r="T65" s="160">
        <f t="shared" si="22"/>
        <v>12500</v>
      </c>
      <c r="U65" s="160">
        <f t="shared" si="22"/>
        <v>12500</v>
      </c>
      <c r="V65" s="283">
        <v>150000</v>
      </c>
      <c r="Y65" s="160" t="s">
        <v>452</v>
      </c>
    </row>
    <row r="66" spans="1:25" x14ac:dyDescent="0.15">
      <c r="A66" s="160" t="s">
        <v>45</v>
      </c>
      <c r="B66" s="161" t="s">
        <v>452</v>
      </c>
      <c r="C66" s="161" t="s">
        <v>474</v>
      </c>
      <c r="D66" s="160" t="s">
        <v>61</v>
      </c>
      <c r="E66" s="160" t="s">
        <v>467</v>
      </c>
      <c r="F66" s="262" t="s">
        <v>467</v>
      </c>
      <c r="G66" s="262" t="s">
        <v>467</v>
      </c>
      <c r="H66" s="160" t="s">
        <v>473</v>
      </c>
      <c r="J66" s="160">
        <f t="shared" si="22"/>
        <v>29166.666666666668</v>
      </c>
      <c r="K66" s="160">
        <f t="shared" si="22"/>
        <v>29166.666666666668</v>
      </c>
      <c r="L66" s="160">
        <f t="shared" si="22"/>
        <v>29166.666666666668</v>
      </c>
      <c r="M66" s="160">
        <f t="shared" si="22"/>
        <v>29166.666666666668</v>
      </c>
      <c r="N66" s="160">
        <f t="shared" si="22"/>
        <v>29166.666666666668</v>
      </c>
      <c r="O66" s="160">
        <f t="shared" si="22"/>
        <v>29166.666666666668</v>
      </c>
      <c r="P66" s="160">
        <f t="shared" si="22"/>
        <v>29166.666666666668</v>
      </c>
      <c r="Q66" s="160">
        <f t="shared" si="22"/>
        <v>29166.666666666668</v>
      </c>
      <c r="R66" s="160">
        <f t="shared" si="22"/>
        <v>29166.666666666668</v>
      </c>
      <c r="S66" s="160">
        <f t="shared" si="22"/>
        <v>29166.666666666668</v>
      </c>
      <c r="T66" s="160">
        <f t="shared" si="22"/>
        <v>29166.666666666668</v>
      </c>
      <c r="U66" s="160">
        <f t="shared" si="22"/>
        <v>29166.666666666668</v>
      </c>
      <c r="V66" s="283">
        <v>350000</v>
      </c>
      <c r="Y66" s="160" t="s">
        <v>452</v>
      </c>
    </row>
    <row r="67" spans="1:25" collapsed="1" x14ac:dyDescent="0.15">
      <c r="A67" s="160" t="s">
        <v>472</v>
      </c>
      <c r="B67" s="160" t="s">
        <v>58</v>
      </c>
      <c r="C67" s="162">
        <v>0</v>
      </c>
      <c r="D67" s="160" t="s">
        <v>61</v>
      </c>
      <c r="E67" s="160" t="s">
        <v>467</v>
      </c>
      <c r="F67" s="262" t="s">
        <v>467</v>
      </c>
      <c r="G67" s="262" t="s">
        <v>467</v>
      </c>
      <c r="H67" s="160" t="s">
        <v>471</v>
      </c>
      <c r="I67" s="263"/>
      <c r="W67" s="160">
        <v>720000</v>
      </c>
      <c r="X67" s="160">
        <v>457265</v>
      </c>
      <c r="Y67" s="160" t="s">
        <v>58</v>
      </c>
    </row>
    <row r="68" spans="1:25" x14ac:dyDescent="0.15">
      <c r="A68" s="160" t="s">
        <v>472</v>
      </c>
      <c r="B68" s="160" t="s">
        <v>369</v>
      </c>
      <c r="C68" s="162">
        <v>0</v>
      </c>
      <c r="D68" s="160" t="s">
        <v>61</v>
      </c>
      <c r="E68" s="160" t="s">
        <v>467</v>
      </c>
      <c r="F68" s="262" t="s">
        <v>467</v>
      </c>
      <c r="G68" s="262" t="s">
        <v>467</v>
      </c>
      <c r="H68" s="160" t="s">
        <v>471</v>
      </c>
      <c r="I68" s="263"/>
      <c r="W68" s="160">
        <v>2555200</v>
      </c>
      <c r="X68" s="160">
        <v>635873.52</v>
      </c>
      <c r="Y68" s="160" t="s">
        <v>369</v>
      </c>
    </row>
    <row r="69" spans="1:25" x14ac:dyDescent="0.15">
      <c r="A69" s="160" t="s">
        <v>472</v>
      </c>
      <c r="B69" s="160" t="s">
        <v>370</v>
      </c>
      <c r="C69" s="162">
        <v>0</v>
      </c>
      <c r="D69" s="160" t="s">
        <v>61</v>
      </c>
      <c r="E69" s="160" t="s">
        <v>467</v>
      </c>
      <c r="F69" s="262" t="s">
        <v>467</v>
      </c>
      <c r="G69" s="262" t="s">
        <v>467</v>
      </c>
      <c r="H69" s="160" t="s">
        <v>471</v>
      </c>
      <c r="I69" s="263"/>
      <c r="W69" s="160">
        <v>1916399.9999999998</v>
      </c>
      <c r="X69" s="160">
        <v>582203</v>
      </c>
      <c r="Y69" s="160" t="s">
        <v>370</v>
      </c>
    </row>
    <row r="70" spans="1:25" x14ac:dyDescent="0.15">
      <c r="A70" s="160" t="s">
        <v>472</v>
      </c>
      <c r="B70" s="160" t="s">
        <v>371</v>
      </c>
      <c r="C70" s="162">
        <v>0</v>
      </c>
      <c r="D70" s="160" t="s">
        <v>61</v>
      </c>
      <c r="E70" s="160" t="s">
        <v>467</v>
      </c>
      <c r="F70" s="262" t="s">
        <v>467</v>
      </c>
      <c r="G70" s="262" t="s">
        <v>467</v>
      </c>
      <c r="H70" s="160" t="s">
        <v>471</v>
      </c>
      <c r="I70" s="263"/>
      <c r="W70" s="160">
        <v>191640</v>
      </c>
      <c r="X70" s="160">
        <v>177600</v>
      </c>
      <c r="Y70" s="160" t="s">
        <v>371</v>
      </c>
    </row>
    <row r="71" spans="1:25" x14ac:dyDescent="0.15">
      <c r="A71" s="160" t="s">
        <v>472</v>
      </c>
      <c r="B71" s="160" t="s">
        <v>59</v>
      </c>
      <c r="C71" s="162">
        <v>0</v>
      </c>
      <c r="D71" s="160" t="s">
        <v>61</v>
      </c>
      <c r="E71" s="160" t="s">
        <v>467</v>
      </c>
      <c r="F71" s="262" t="s">
        <v>467</v>
      </c>
      <c r="G71" s="262" t="s">
        <v>467</v>
      </c>
      <c r="H71" s="160" t="s">
        <v>471</v>
      </c>
      <c r="I71" s="263"/>
      <c r="W71" s="160">
        <v>500000</v>
      </c>
      <c r="X71" s="160">
        <v>0</v>
      </c>
      <c r="Y71" s="160" t="s">
        <v>59</v>
      </c>
    </row>
    <row r="72" spans="1:25" x14ac:dyDescent="0.15">
      <c r="A72" s="160" t="s">
        <v>54</v>
      </c>
      <c r="B72" s="160" t="s">
        <v>470</v>
      </c>
      <c r="D72" s="160" t="s">
        <v>64</v>
      </c>
      <c r="E72" s="160" t="s">
        <v>467</v>
      </c>
      <c r="F72" s="262">
        <f>SUMIFS(Потребности!AK:AK,Потребности!AF:AF,Потребности!B72,Потребности!AH:AH,Потребности!D72)</f>
        <v>26</v>
      </c>
      <c r="G72" s="262">
        <f>SUMIFS(Потребности!AM:AM,Потребности!AF:AF,Потребности!B72,Потребности!AH:AH,Потребности!D72)</f>
        <v>3640000</v>
      </c>
      <c r="H72" s="160" t="s">
        <v>468</v>
      </c>
      <c r="J72" s="160">
        <f t="shared" ref="J72:U73" si="23">$V72/12</f>
        <v>303333.33333333331</v>
      </c>
      <c r="K72" s="160">
        <f t="shared" si="23"/>
        <v>303333.33333333331</v>
      </c>
      <c r="L72" s="160">
        <f t="shared" si="23"/>
        <v>303333.33333333331</v>
      </c>
      <c r="M72" s="160">
        <f t="shared" si="23"/>
        <v>303333.33333333331</v>
      </c>
      <c r="N72" s="160">
        <f t="shared" si="23"/>
        <v>303333.33333333331</v>
      </c>
      <c r="O72" s="160">
        <f t="shared" si="23"/>
        <v>303333.33333333331</v>
      </c>
      <c r="P72" s="160">
        <f t="shared" si="23"/>
        <v>303333.33333333331</v>
      </c>
      <c r="Q72" s="160">
        <f t="shared" si="23"/>
        <v>303333.33333333331</v>
      </c>
      <c r="R72" s="160">
        <f t="shared" si="23"/>
        <v>303333.33333333331</v>
      </c>
      <c r="S72" s="160">
        <f t="shared" si="23"/>
        <v>303333.33333333331</v>
      </c>
      <c r="T72" s="160">
        <f t="shared" si="23"/>
        <v>303333.33333333331</v>
      </c>
      <c r="U72" s="160">
        <f t="shared" si="23"/>
        <v>303333.33333333331</v>
      </c>
      <c r="V72" s="160">
        <f>SUMIFS(Потребности!AM:AM,Потребности!AF:AF,Потребности!B72,Потребности!AH:AH,Потребности!D72)</f>
        <v>3640000</v>
      </c>
      <c r="W72" s="160">
        <v>0</v>
      </c>
      <c r="X72" s="160">
        <v>0</v>
      </c>
      <c r="Y72" s="160" t="s">
        <v>450</v>
      </c>
    </row>
    <row r="73" spans="1:25" x14ac:dyDescent="0.15">
      <c r="A73" s="160" t="s">
        <v>54</v>
      </c>
      <c r="B73" s="160" t="s">
        <v>469</v>
      </c>
      <c r="D73" s="160" t="s">
        <v>64</v>
      </c>
      <c r="E73" s="160" t="s">
        <v>467</v>
      </c>
      <c r="F73" s="262">
        <f>SUMIFS(Потребности!AK:AK,Потребности!AF:AF,Потребности!B73,Потребности!AH:AH,Потребности!D73)</f>
        <v>50</v>
      </c>
      <c r="G73" s="262">
        <f>SUMIFS(Потребности!AM:AM,Потребности!AF:AF,Потребности!B73,Потребности!AH:AH,Потребности!D73)</f>
        <v>7000000</v>
      </c>
      <c r="H73" s="160" t="s">
        <v>468</v>
      </c>
      <c r="J73" s="160">
        <f t="shared" si="23"/>
        <v>583333.33333333337</v>
      </c>
      <c r="K73" s="160">
        <f t="shared" si="23"/>
        <v>583333.33333333337</v>
      </c>
      <c r="L73" s="160">
        <f t="shared" si="23"/>
        <v>583333.33333333337</v>
      </c>
      <c r="M73" s="160">
        <f t="shared" si="23"/>
        <v>583333.33333333337</v>
      </c>
      <c r="N73" s="160">
        <f t="shared" si="23"/>
        <v>583333.33333333337</v>
      </c>
      <c r="O73" s="160">
        <f t="shared" si="23"/>
        <v>583333.33333333337</v>
      </c>
      <c r="P73" s="160">
        <f t="shared" si="23"/>
        <v>583333.33333333337</v>
      </c>
      <c r="Q73" s="160">
        <f t="shared" si="23"/>
        <v>583333.33333333337</v>
      </c>
      <c r="R73" s="160">
        <f t="shared" si="23"/>
        <v>583333.33333333337</v>
      </c>
      <c r="S73" s="160">
        <f t="shared" si="23"/>
        <v>583333.33333333337</v>
      </c>
      <c r="T73" s="160">
        <f t="shared" si="23"/>
        <v>583333.33333333337</v>
      </c>
      <c r="U73" s="160">
        <f t="shared" si="23"/>
        <v>583333.33333333337</v>
      </c>
      <c r="V73" s="160">
        <f>SUMIFS(Потребности!AM:AM,Потребности!AF:AF,Потребности!B73,Потребности!AH:AH,Потребности!D73)</f>
        <v>7000000</v>
      </c>
      <c r="W73" s="160">
        <v>0</v>
      </c>
      <c r="X73" s="160">
        <v>0</v>
      </c>
      <c r="Y73" s="160" t="s">
        <v>450</v>
      </c>
    </row>
    <row r="74" spans="1:25" x14ac:dyDescent="0.15">
      <c r="A74" s="160" t="s">
        <v>45</v>
      </c>
      <c r="B74" s="160" t="s">
        <v>39</v>
      </c>
      <c r="D74" s="160" t="s">
        <v>61</v>
      </c>
      <c r="E74" s="160" t="s">
        <v>467</v>
      </c>
      <c r="F74" s="262" t="s">
        <v>467</v>
      </c>
      <c r="G74" s="262" t="s">
        <v>467</v>
      </c>
      <c r="H74" s="160" t="s">
        <v>335</v>
      </c>
      <c r="I74" s="263"/>
      <c r="J74" s="160">
        <f t="shared" ref="J74:U74" si="24">$V$74/12</f>
        <v>375000</v>
      </c>
      <c r="K74" s="160">
        <f t="shared" si="24"/>
        <v>375000</v>
      </c>
      <c r="L74" s="160">
        <f t="shared" si="24"/>
        <v>375000</v>
      </c>
      <c r="M74" s="160">
        <f t="shared" si="24"/>
        <v>375000</v>
      </c>
      <c r="N74" s="160">
        <f t="shared" si="24"/>
        <v>375000</v>
      </c>
      <c r="O74" s="160">
        <f t="shared" si="24"/>
        <v>375000</v>
      </c>
      <c r="P74" s="160">
        <f t="shared" si="24"/>
        <v>375000</v>
      </c>
      <c r="Q74" s="160">
        <f t="shared" si="24"/>
        <v>375000</v>
      </c>
      <c r="R74" s="160">
        <f t="shared" si="24"/>
        <v>375000</v>
      </c>
      <c r="S74" s="160">
        <f t="shared" si="24"/>
        <v>375000</v>
      </c>
      <c r="T74" s="160">
        <f t="shared" si="24"/>
        <v>375000</v>
      </c>
      <c r="U74" s="160">
        <f t="shared" si="24"/>
        <v>375000</v>
      </c>
      <c r="V74" s="160">
        <v>4500000</v>
      </c>
      <c r="Y74" s="160" t="s">
        <v>39</v>
      </c>
    </row>
    <row r="75" spans="1:25" x14ac:dyDescent="0.15">
      <c r="A75" s="160" t="s">
        <v>52</v>
      </c>
      <c r="B75" s="160" t="s">
        <v>48</v>
      </c>
      <c r="C75" s="162">
        <v>0</v>
      </c>
      <c r="D75" s="160" t="s">
        <v>61</v>
      </c>
      <c r="E75" s="160" t="s">
        <v>467</v>
      </c>
      <c r="F75" s="262" t="s">
        <v>467</v>
      </c>
      <c r="G75" s="262" t="s">
        <v>467</v>
      </c>
      <c r="I75" s="263"/>
      <c r="J75" s="160">
        <v>837500</v>
      </c>
      <c r="K75" s="160">
        <v>837500</v>
      </c>
      <c r="L75" s="160">
        <v>837500</v>
      </c>
      <c r="M75" s="160">
        <v>837500</v>
      </c>
      <c r="N75" s="160">
        <v>837500</v>
      </c>
      <c r="O75" s="160">
        <v>837500</v>
      </c>
      <c r="P75" s="160">
        <v>837500</v>
      </c>
      <c r="Q75" s="160">
        <v>837500</v>
      </c>
      <c r="R75" s="160">
        <v>837500</v>
      </c>
      <c r="S75" s="160">
        <v>837500</v>
      </c>
      <c r="T75" s="160">
        <v>837500</v>
      </c>
      <c r="U75" s="160">
        <v>837500</v>
      </c>
      <c r="V75" s="160">
        <f>SUM(J75:U75)</f>
        <v>10050000</v>
      </c>
      <c r="W75" s="160">
        <v>8300000</v>
      </c>
      <c r="Y75" s="160" t="s">
        <v>48</v>
      </c>
    </row>
  </sheetData>
  <autoFilter ref="A3:Y74" xr:uid="{3E4948DD-AA09-4363-B745-5EBD7084FEE9}"/>
  <mergeCells count="8">
    <mergeCell ref="Z1:AD3"/>
    <mergeCell ref="AP1:AR3"/>
    <mergeCell ref="AO5:AO6"/>
    <mergeCell ref="AG5:AG6"/>
    <mergeCell ref="AF5:AF6"/>
    <mergeCell ref="AH5:AH6"/>
    <mergeCell ref="AI5:AJ5"/>
    <mergeCell ref="AK5:AL5"/>
  </mergeCells>
  <dataValidations count="5">
    <dataValidation type="list" allowBlank="1" showInputMessage="1" showErrorMessage="1" sqref="A13 A26:A35" xr:uid="{09FEE4CB-9480-4325-8A55-2BA079ED1665}">
      <formula1>"Не выбрано,Marketing,IT,Instore Digital,MIP/CF,PEX,Other PEX,Other OPEX (HR)"</formula1>
    </dataValidation>
    <dataValidation type="list" allowBlank="1" showInputMessage="1" showErrorMessage="1" sqref="A14:A25 A36:A1048576 A4:A12" xr:uid="{8EBE98AC-0CBA-4967-AC2B-81CBAA4388F8}">
      <formula1>"Не выбрано,Marketing,IT,MIP/CF,PEX,Other PEX,Other OPEX (HR)"</formula1>
    </dataValidation>
    <dataValidation type="list" allowBlank="1" showInputMessage="1" showErrorMessage="1" sqref="D64:D75 D4:D53" xr:uid="{2296B6B3-3A03-4F3A-93D6-2C5C89DC2FAC}">
      <formula1>"Не выбрано,CAPEX,OPEX,PEX"</formula1>
    </dataValidation>
    <dataValidation type="list" allowBlank="1" showInputMessage="1" showErrorMessage="1" sqref="B58:B61 B67:B75 B4:B55" xr:uid="{C17C9EB3-75B9-4B9D-A699-47D17F2BF3DC}">
      <formula1>INDIRECT(SUBSTITUTE(SUBSTITUTE(A4,"/","_")," ","_"))</formula1>
    </dataValidation>
    <dataValidation type="list" allowBlank="1" showInputMessage="1" showErrorMessage="1" sqref="E4:E75" xr:uid="{A6CD03B8-DF54-4AB5-AC8D-ECF8261F338F}">
      <formula1>"Service soft,Soft,Laptops,Instore digital,Clouds,Other"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23A90-CA07-9A4A-A6D8-48348473E759}">
  <sheetPr>
    <tabColor rgb="FF808080"/>
  </sheetPr>
  <dimension ref="A1:BT31"/>
  <sheetViews>
    <sheetView showGridLines="0" zoomScale="80" zoomScaleNormal="80" workbookViewId="0"/>
  </sheetViews>
  <sheetFormatPr baseColWidth="10" defaultColWidth="11.5" defaultRowHeight="15" x14ac:dyDescent="0.2"/>
  <cols>
    <col min="1" max="1" width="53" bestFit="1" customWidth="1"/>
    <col min="2" max="2" width="7.1640625" bestFit="1" customWidth="1"/>
    <col min="3" max="14" width="11.6640625" bestFit="1" customWidth="1"/>
    <col min="15" max="15" width="12.6640625" bestFit="1" customWidth="1"/>
    <col min="16" max="16" width="8.1640625" bestFit="1" customWidth="1"/>
    <col min="17" max="28" width="10.6640625" customWidth="1"/>
    <col min="29" max="29" width="5.33203125" bestFit="1" customWidth="1"/>
    <col min="31" max="42" width="11.1640625" bestFit="1" customWidth="1"/>
    <col min="43" max="43" width="12.6640625" bestFit="1" customWidth="1"/>
    <col min="45" max="51" width="11.1640625" bestFit="1" customWidth="1"/>
    <col min="52" max="52" width="10.1640625" bestFit="1" customWidth="1"/>
    <col min="53" max="56" width="11.1640625" bestFit="1" customWidth="1"/>
    <col min="57" max="57" width="12.6640625" bestFit="1" customWidth="1"/>
    <col min="59" max="70" width="10.1640625" bestFit="1" customWidth="1"/>
    <col min="71" max="71" width="11.1640625" bestFit="1" customWidth="1"/>
  </cols>
  <sheetData>
    <row r="1" spans="1:72" x14ac:dyDescent="0.2">
      <c r="A1" s="288" t="s">
        <v>318</v>
      </c>
      <c r="B1" s="288"/>
      <c r="C1" s="287" t="s">
        <v>599</v>
      </c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7" t="s">
        <v>600</v>
      </c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7" t="s">
        <v>601</v>
      </c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300" t="s">
        <v>61</v>
      </c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8"/>
      <c r="BE1" s="288"/>
      <c r="BF1" s="288"/>
      <c r="BG1" s="300" t="s">
        <v>64</v>
      </c>
      <c r="BH1" s="288"/>
      <c r="BI1" s="288"/>
      <c r="BJ1" s="288"/>
      <c r="BK1" s="288"/>
      <c r="BL1" s="288"/>
      <c r="BM1" s="288"/>
      <c r="BN1" s="288"/>
      <c r="BO1" s="288"/>
      <c r="BP1" s="288"/>
      <c r="BQ1" s="288"/>
      <c r="BR1" s="288"/>
      <c r="BS1" s="288"/>
      <c r="BT1" s="201" t="s">
        <v>638</v>
      </c>
    </row>
    <row r="2" spans="1:72" x14ac:dyDescent="0.2">
      <c r="A2" s="301"/>
      <c r="B2" s="288"/>
      <c r="C2" s="302">
        <v>46388</v>
      </c>
      <c r="D2" s="302">
        <v>46419</v>
      </c>
      <c r="E2" s="302">
        <v>46447</v>
      </c>
      <c r="F2" s="302">
        <v>46478</v>
      </c>
      <c r="G2" s="302">
        <v>46508</v>
      </c>
      <c r="H2" s="302">
        <v>46539</v>
      </c>
      <c r="I2" s="302">
        <v>46569</v>
      </c>
      <c r="J2" s="302">
        <v>46600</v>
      </c>
      <c r="K2" s="302">
        <v>46631</v>
      </c>
      <c r="L2" s="302">
        <v>46661</v>
      </c>
      <c r="M2" s="302">
        <v>46692</v>
      </c>
      <c r="N2" s="302">
        <v>46722</v>
      </c>
      <c r="O2" s="302" t="s">
        <v>598</v>
      </c>
      <c r="P2" s="288"/>
      <c r="Q2" s="303">
        <v>46388</v>
      </c>
      <c r="R2" s="303">
        <v>46419</v>
      </c>
      <c r="S2" s="303">
        <v>46447</v>
      </c>
      <c r="T2" s="303">
        <v>46478</v>
      </c>
      <c r="U2" s="303">
        <v>46508</v>
      </c>
      <c r="V2" s="303">
        <v>46539</v>
      </c>
      <c r="W2" s="303">
        <v>46569</v>
      </c>
      <c r="X2" s="303">
        <v>46600</v>
      </c>
      <c r="Y2" s="303">
        <v>46631</v>
      </c>
      <c r="Z2" s="303">
        <v>46661</v>
      </c>
      <c r="AA2" s="303">
        <v>46692</v>
      </c>
      <c r="AB2" s="303">
        <v>46722</v>
      </c>
      <c r="AC2" s="303" t="s">
        <v>598</v>
      </c>
      <c r="AD2" s="304"/>
      <c r="AE2" s="305">
        <v>46388</v>
      </c>
      <c r="AF2" s="305">
        <v>46419</v>
      </c>
      <c r="AG2" s="305">
        <v>46447</v>
      </c>
      <c r="AH2" s="305">
        <v>46478</v>
      </c>
      <c r="AI2" s="305">
        <v>46508</v>
      </c>
      <c r="AJ2" s="305">
        <v>46539</v>
      </c>
      <c r="AK2" s="305">
        <v>46569</v>
      </c>
      <c r="AL2" s="305">
        <v>46600</v>
      </c>
      <c r="AM2" s="305">
        <v>46631</v>
      </c>
      <c r="AN2" s="305">
        <v>46661</v>
      </c>
      <c r="AO2" s="305">
        <v>46692</v>
      </c>
      <c r="AP2" s="305">
        <v>46722</v>
      </c>
      <c r="AQ2" s="305" t="s">
        <v>598</v>
      </c>
      <c r="AR2" s="304"/>
      <c r="AS2" s="306">
        <v>46388</v>
      </c>
      <c r="AT2" s="306">
        <v>46419</v>
      </c>
      <c r="AU2" s="306">
        <v>46447</v>
      </c>
      <c r="AV2" s="306">
        <v>46478</v>
      </c>
      <c r="AW2" s="306">
        <v>46508</v>
      </c>
      <c r="AX2" s="306">
        <v>46539</v>
      </c>
      <c r="AY2" s="306">
        <v>46569</v>
      </c>
      <c r="AZ2" s="306">
        <v>46600</v>
      </c>
      <c r="BA2" s="306">
        <v>46631</v>
      </c>
      <c r="BB2" s="306">
        <v>46661</v>
      </c>
      <c r="BC2" s="306">
        <v>46692</v>
      </c>
      <c r="BD2" s="306">
        <v>46722</v>
      </c>
      <c r="BE2" s="306" t="s">
        <v>598</v>
      </c>
      <c r="BF2" s="304"/>
      <c r="BG2" s="307">
        <v>46388</v>
      </c>
      <c r="BH2" s="307">
        <v>46419</v>
      </c>
      <c r="BI2" s="307">
        <v>46447</v>
      </c>
      <c r="BJ2" s="307">
        <v>46478</v>
      </c>
      <c r="BK2" s="307">
        <v>46508</v>
      </c>
      <c r="BL2" s="307">
        <v>46539</v>
      </c>
      <c r="BM2" s="307">
        <v>46569</v>
      </c>
      <c r="BN2" s="307">
        <v>46600</v>
      </c>
      <c r="BO2" s="307">
        <v>46631</v>
      </c>
      <c r="BP2" s="307">
        <v>46661</v>
      </c>
      <c r="BQ2" s="307">
        <v>46692</v>
      </c>
      <c r="BR2" s="307">
        <v>46722</v>
      </c>
      <c r="BS2" s="307" t="s">
        <v>598</v>
      </c>
      <c r="BT2" s="288"/>
    </row>
    <row r="3" spans="1:72" x14ac:dyDescent="0.2">
      <c r="A3" s="308" t="s">
        <v>332</v>
      </c>
      <c r="B3" s="309"/>
      <c r="C3" s="310">
        <v>24.500000000000007</v>
      </c>
      <c r="D3" s="310">
        <v>24.500000000000007</v>
      </c>
      <c r="E3" s="310">
        <v>26.460000000000008</v>
      </c>
      <c r="F3" s="310">
        <v>26.460000000000008</v>
      </c>
      <c r="G3" s="310">
        <v>26.460000000000008</v>
      </c>
      <c r="H3" s="310">
        <v>26.460000000000008</v>
      </c>
      <c r="I3" s="310">
        <v>26.460000000000008</v>
      </c>
      <c r="J3" s="310">
        <v>26.460000000000008</v>
      </c>
      <c r="K3" s="310">
        <v>26.460000000000008</v>
      </c>
      <c r="L3" s="310">
        <v>26.460000000000008</v>
      </c>
      <c r="M3" s="310">
        <v>26.460000000000008</v>
      </c>
      <c r="N3" s="310">
        <v>26.460000000000008</v>
      </c>
      <c r="O3" s="310">
        <v>26.460000000000008</v>
      </c>
      <c r="P3" s="309"/>
      <c r="Q3" s="311">
        <v>25</v>
      </c>
      <c r="R3" s="311">
        <v>25</v>
      </c>
      <c r="S3" s="311">
        <v>27</v>
      </c>
      <c r="T3" s="311">
        <v>27</v>
      </c>
      <c r="U3" s="311">
        <v>27</v>
      </c>
      <c r="V3" s="311">
        <v>27</v>
      </c>
      <c r="W3" s="311">
        <v>27</v>
      </c>
      <c r="X3" s="311">
        <v>27</v>
      </c>
      <c r="Y3" s="311">
        <v>27</v>
      </c>
      <c r="Z3" s="311">
        <v>27</v>
      </c>
      <c r="AA3" s="311">
        <v>27</v>
      </c>
      <c r="AB3" s="311">
        <v>27</v>
      </c>
      <c r="AC3" s="311">
        <v>27</v>
      </c>
      <c r="AD3" s="309"/>
      <c r="AE3" s="312">
        <v>14145598.198402669</v>
      </c>
      <c r="AF3" s="312">
        <v>13701846.679999996</v>
      </c>
      <c r="AG3" s="312">
        <v>13994813.159999998</v>
      </c>
      <c r="AH3" s="312">
        <v>14437528.759999994</v>
      </c>
      <c r="AI3" s="312">
        <v>13906520.059999997</v>
      </c>
      <c r="AJ3" s="312">
        <v>13708400.619999999</v>
      </c>
      <c r="AK3" s="312">
        <v>14140196.359280001</v>
      </c>
      <c r="AL3" s="312">
        <v>12398771.74824</v>
      </c>
      <c r="AM3" s="312">
        <v>14074777.317760002</v>
      </c>
      <c r="AN3" s="312">
        <v>14556836.520960001</v>
      </c>
      <c r="AO3" s="312">
        <v>14646535.498220002</v>
      </c>
      <c r="AP3" s="312">
        <v>14966660.057617331</v>
      </c>
      <c r="AQ3" s="312">
        <v>168678484.98047999</v>
      </c>
      <c r="AR3" s="309"/>
      <c r="AS3" s="312">
        <v>5847207.6860656058</v>
      </c>
      <c r="AT3" s="312">
        <v>5403456.1676629344</v>
      </c>
      <c r="AU3" s="312">
        <v>5229414.459170687</v>
      </c>
      <c r="AV3" s="312">
        <v>5695740.0180525528</v>
      </c>
      <c r="AW3" s="312">
        <v>5196422.1491979677</v>
      </c>
      <c r="AX3" s="312">
        <v>5054689.4460972613</v>
      </c>
      <c r="AY3" s="312">
        <v>4875723.0906231441</v>
      </c>
      <c r="AZ3" s="312">
        <v>3245768.9443057571</v>
      </c>
      <c r="BA3" s="312">
        <v>5096087.9398890529</v>
      </c>
      <c r="BB3" s="312">
        <v>5602631.1988231866</v>
      </c>
      <c r="BC3" s="312">
        <v>5716528.075778571</v>
      </c>
      <c r="BD3" s="312">
        <v>6066090.3661839776</v>
      </c>
      <c r="BE3" s="312">
        <v>63029759.541850701</v>
      </c>
      <c r="BF3" s="309"/>
      <c r="BG3" s="312">
        <v>8298390.5123370662</v>
      </c>
      <c r="BH3" s="312">
        <v>8298390.5123370662</v>
      </c>
      <c r="BI3" s="312">
        <v>8765398.7008293141</v>
      </c>
      <c r="BJ3" s="312">
        <v>8741788.7419474479</v>
      </c>
      <c r="BK3" s="312">
        <v>8710097.9108020347</v>
      </c>
      <c r="BL3" s="312">
        <v>8653711.1739027426</v>
      </c>
      <c r="BM3" s="312">
        <v>9264473.2686568536</v>
      </c>
      <c r="BN3" s="312">
        <v>9153002.8039342463</v>
      </c>
      <c r="BO3" s="312">
        <v>8978689.3778709453</v>
      </c>
      <c r="BP3" s="312">
        <v>8954205.3221368138</v>
      </c>
      <c r="BQ3" s="312">
        <v>8930007.4224414267</v>
      </c>
      <c r="BR3" s="312">
        <v>8900569.6914333515</v>
      </c>
      <c r="BS3" s="312">
        <v>105648725.43862931</v>
      </c>
      <c r="BT3" s="288"/>
    </row>
    <row r="4" spans="1:72" x14ac:dyDescent="0.2">
      <c r="A4" s="308" t="s">
        <v>338</v>
      </c>
      <c r="B4" s="309"/>
      <c r="C4" s="310">
        <v>17.640000000000004</v>
      </c>
      <c r="D4" s="310">
        <v>18.620000000000005</v>
      </c>
      <c r="E4" s="310">
        <v>20.580000000000005</v>
      </c>
      <c r="F4" s="310">
        <v>22.540000000000006</v>
      </c>
      <c r="G4" s="310">
        <v>22.540000000000006</v>
      </c>
      <c r="H4" s="310">
        <v>23.520000000000007</v>
      </c>
      <c r="I4" s="310">
        <v>24.500000000000007</v>
      </c>
      <c r="J4" s="310">
        <v>24.500000000000007</v>
      </c>
      <c r="K4" s="310">
        <v>24.500000000000007</v>
      </c>
      <c r="L4" s="310">
        <v>24.500000000000007</v>
      </c>
      <c r="M4" s="310">
        <v>24.500000000000007</v>
      </c>
      <c r="N4" s="310">
        <v>24.500000000000007</v>
      </c>
      <c r="O4" s="310">
        <v>24.500000000000007</v>
      </c>
      <c r="P4" s="309"/>
      <c r="Q4" s="311">
        <v>18</v>
      </c>
      <c r="R4" s="311">
        <v>19</v>
      </c>
      <c r="S4" s="311">
        <v>21</v>
      </c>
      <c r="T4" s="311">
        <v>23</v>
      </c>
      <c r="U4" s="311">
        <v>23</v>
      </c>
      <c r="V4" s="311">
        <v>24</v>
      </c>
      <c r="W4" s="311">
        <v>25</v>
      </c>
      <c r="X4" s="311">
        <v>25</v>
      </c>
      <c r="Y4" s="311">
        <v>25</v>
      </c>
      <c r="Z4" s="311">
        <v>25</v>
      </c>
      <c r="AA4" s="311">
        <v>25</v>
      </c>
      <c r="AB4" s="311">
        <v>25</v>
      </c>
      <c r="AC4" s="311">
        <v>25</v>
      </c>
      <c r="AD4" s="309"/>
      <c r="AE4" s="312">
        <v>6875719.2285356373</v>
      </c>
      <c r="AF4" s="312">
        <v>7187165.2999999998</v>
      </c>
      <c r="AG4" s="312">
        <v>7943346.8100000005</v>
      </c>
      <c r="AH4" s="312">
        <v>8787046.9750000015</v>
      </c>
      <c r="AI4" s="312">
        <v>8961516.0300000012</v>
      </c>
      <c r="AJ4" s="312">
        <v>8855709.1427343581</v>
      </c>
      <c r="AK4" s="312">
        <v>9447342.010400001</v>
      </c>
      <c r="AL4" s="312">
        <v>8508378.7775999997</v>
      </c>
      <c r="AM4" s="312">
        <v>9386532.5889999997</v>
      </c>
      <c r="AN4" s="312">
        <v>9776638.7093000002</v>
      </c>
      <c r="AO4" s="312">
        <v>9701654.1422000006</v>
      </c>
      <c r="AP4" s="312">
        <v>10137128.561430005</v>
      </c>
      <c r="AQ4" s="312">
        <v>105568178.2762</v>
      </c>
      <c r="AR4" s="309"/>
      <c r="AS4" s="312">
        <v>6875719.2285356373</v>
      </c>
      <c r="AT4" s="312">
        <v>7187165.2999999998</v>
      </c>
      <c r="AU4" s="312">
        <v>7943346.8100000005</v>
      </c>
      <c r="AV4" s="312">
        <v>8787046.9750000015</v>
      </c>
      <c r="AW4" s="312">
        <v>8961516.0300000012</v>
      </c>
      <c r="AX4" s="312">
        <v>8855709.1427343581</v>
      </c>
      <c r="AY4" s="312">
        <v>9447342.010400001</v>
      </c>
      <c r="AZ4" s="312">
        <v>8508378.7775999997</v>
      </c>
      <c r="BA4" s="312">
        <v>9386532.5889999997</v>
      </c>
      <c r="BB4" s="312">
        <v>9776638.7093000002</v>
      </c>
      <c r="BC4" s="312">
        <v>9701654.1422000006</v>
      </c>
      <c r="BD4" s="312">
        <v>10137128.561430005</v>
      </c>
      <c r="BE4" s="312">
        <v>105568178.2762</v>
      </c>
      <c r="BF4" s="309"/>
      <c r="BG4" s="312">
        <v>0</v>
      </c>
      <c r="BH4" s="312">
        <v>0</v>
      </c>
      <c r="BI4" s="312">
        <v>0</v>
      </c>
      <c r="BJ4" s="312">
        <v>0</v>
      </c>
      <c r="BK4" s="312">
        <v>0</v>
      </c>
      <c r="BL4" s="312">
        <v>0</v>
      </c>
      <c r="BM4" s="312">
        <v>0</v>
      </c>
      <c r="BN4" s="312">
        <v>0</v>
      </c>
      <c r="BO4" s="312">
        <v>0</v>
      </c>
      <c r="BP4" s="312">
        <v>0</v>
      </c>
      <c r="BQ4" s="312">
        <v>0</v>
      </c>
      <c r="BR4" s="312">
        <v>0</v>
      </c>
      <c r="BS4" s="312">
        <v>0</v>
      </c>
      <c r="BT4" s="288"/>
    </row>
    <row r="5" spans="1:72" x14ac:dyDescent="0.2">
      <c r="A5" s="308" t="s">
        <v>339</v>
      </c>
      <c r="B5" s="309"/>
      <c r="C5" s="310">
        <v>8.8200000000000021</v>
      </c>
      <c r="D5" s="310">
        <v>8.8200000000000021</v>
      </c>
      <c r="E5" s="310">
        <v>8.8200000000000021</v>
      </c>
      <c r="F5" s="310">
        <v>8.8200000000000021</v>
      </c>
      <c r="G5" s="310">
        <v>8.8200000000000021</v>
      </c>
      <c r="H5" s="310">
        <v>8.8200000000000021</v>
      </c>
      <c r="I5" s="310">
        <v>8.8200000000000021</v>
      </c>
      <c r="J5" s="310">
        <v>8.8200000000000021</v>
      </c>
      <c r="K5" s="310">
        <v>8.8200000000000021</v>
      </c>
      <c r="L5" s="310">
        <v>8.8200000000000021</v>
      </c>
      <c r="M5" s="310">
        <v>8.8200000000000021</v>
      </c>
      <c r="N5" s="310">
        <v>8.8200000000000021</v>
      </c>
      <c r="O5" s="310">
        <v>8.8200000000000021</v>
      </c>
      <c r="P5" s="309"/>
      <c r="Q5" s="311">
        <v>9</v>
      </c>
      <c r="R5" s="311">
        <v>9</v>
      </c>
      <c r="S5" s="311">
        <v>9</v>
      </c>
      <c r="T5" s="311">
        <v>9</v>
      </c>
      <c r="U5" s="311">
        <v>9</v>
      </c>
      <c r="V5" s="311">
        <v>9</v>
      </c>
      <c r="W5" s="311">
        <v>9</v>
      </c>
      <c r="X5" s="311">
        <v>9</v>
      </c>
      <c r="Y5" s="311">
        <v>9</v>
      </c>
      <c r="Z5" s="311">
        <v>9</v>
      </c>
      <c r="AA5" s="311">
        <v>9</v>
      </c>
      <c r="AB5" s="311">
        <v>9</v>
      </c>
      <c r="AC5" s="311">
        <v>9</v>
      </c>
      <c r="AD5" s="309"/>
      <c r="AE5" s="312">
        <v>2035431.8418339575</v>
      </c>
      <c r="AF5" s="312">
        <v>1996246.4482</v>
      </c>
      <c r="AG5" s="312">
        <v>1939591.7075999996</v>
      </c>
      <c r="AH5" s="312">
        <v>1941258.0234999994</v>
      </c>
      <c r="AI5" s="312">
        <v>1986248.5527999999</v>
      </c>
      <c r="AJ5" s="312">
        <v>1903644.064938945</v>
      </c>
      <c r="AK5" s="312">
        <v>1998760.674874</v>
      </c>
      <c r="AL5" s="312">
        <v>1749272.2543539996</v>
      </c>
      <c r="AM5" s="312">
        <v>1967226.3740739999</v>
      </c>
      <c r="AN5" s="312">
        <v>2094366.2772440002</v>
      </c>
      <c r="AO5" s="312">
        <v>2112529.1205540001</v>
      </c>
      <c r="AP5" s="312">
        <v>2172778.0053710979</v>
      </c>
      <c r="AQ5" s="312">
        <v>23897353.345344003</v>
      </c>
      <c r="AR5" s="309"/>
      <c r="AS5" s="312">
        <v>833127.57647026202</v>
      </c>
      <c r="AT5" s="312">
        <v>793942.18283630488</v>
      </c>
      <c r="AU5" s="312">
        <v>737287.44223630487</v>
      </c>
      <c r="AV5" s="312">
        <v>738953.75813630456</v>
      </c>
      <c r="AW5" s="312">
        <v>783944.28743630485</v>
      </c>
      <c r="AX5" s="312">
        <v>701339.79957524978</v>
      </c>
      <c r="AY5" s="312">
        <v>689993.14584944805</v>
      </c>
      <c r="AZ5" s="312">
        <v>460255.66563166783</v>
      </c>
      <c r="BA5" s="312">
        <v>678209.78535166779</v>
      </c>
      <c r="BB5" s="312">
        <v>805349.68852166797</v>
      </c>
      <c r="BC5" s="312">
        <v>823512.53183166799</v>
      </c>
      <c r="BD5" s="312">
        <v>883761.41664876591</v>
      </c>
      <c r="BE5" s="312">
        <v>8929677.2805256173</v>
      </c>
      <c r="BF5" s="309"/>
      <c r="BG5" s="312">
        <v>1202304.2653636946</v>
      </c>
      <c r="BH5" s="312">
        <v>1202304.2653636946</v>
      </c>
      <c r="BI5" s="312">
        <v>1202304.2653636946</v>
      </c>
      <c r="BJ5" s="312">
        <v>1202304.2653636946</v>
      </c>
      <c r="BK5" s="312">
        <v>1202304.2653636951</v>
      </c>
      <c r="BL5" s="312">
        <v>1202304.2653636946</v>
      </c>
      <c r="BM5" s="312">
        <v>1308767.5290245519</v>
      </c>
      <c r="BN5" s="312">
        <v>1289016.5887223319</v>
      </c>
      <c r="BO5" s="312">
        <v>1289016.5887223321</v>
      </c>
      <c r="BP5" s="312">
        <v>1289016.5887223321</v>
      </c>
      <c r="BQ5" s="312">
        <v>1289016.5887223321</v>
      </c>
      <c r="BR5" s="312">
        <v>1289016.5887223321</v>
      </c>
      <c r="BS5" s="312">
        <v>14967676.064818382</v>
      </c>
      <c r="BT5" s="288"/>
    </row>
    <row r="6" spans="1:72" x14ac:dyDescent="0.2">
      <c r="A6" s="308" t="s">
        <v>330</v>
      </c>
      <c r="B6" s="309"/>
      <c r="C6" s="310">
        <v>41.159999999999982</v>
      </c>
      <c r="D6" s="310">
        <v>43.119999999999976</v>
      </c>
      <c r="E6" s="310">
        <v>46.059999999999967</v>
      </c>
      <c r="F6" s="310">
        <v>48.999999999999957</v>
      </c>
      <c r="G6" s="310">
        <v>48.999999999999957</v>
      </c>
      <c r="H6" s="310">
        <v>48.999999999999957</v>
      </c>
      <c r="I6" s="310">
        <v>51.939999999999948</v>
      </c>
      <c r="J6" s="310">
        <v>51.939999999999948</v>
      </c>
      <c r="K6" s="310">
        <v>51.939999999999948</v>
      </c>
      <c r="L6" s="310">
        <v>51.939999999999948</v>
      </c>
      <c r="M6" s="310">
        <v>51.939999999999948</v>
      </c>
      <c r="N6" s="310">
        <v>51.939999999999948</v>
      </c>
      <c r="O6" s="310">
        <v>51.939999999999948</v>
      </c>
      <c r="P6" s="309"/>
      <c r="Q6" s="311">
        <v>42</v>
      </c>
      <c r="R6" s="311">
        <v>44</v>
      </c>
      <c r="S6" s="311">
        <v>47</v>
      </c>
      <c r="T6" s="311">
        <v>50</v>
      </c>
      <c r="U6" s="311">
        <v>50</v>
      </c>
      <c r="V6" s="311">
        <v>50</v>
      </c>
      <c r="W6" s="311">
        <v>53</v>
      </c>
      <c r="X6" s="311">
        <v>53</v>
      </c>
      <c r="Y6" s="311">
        <v>53</v>
      </c>
      <c r="Z6" s="311">
        <v>53</v>
      </c>
      <c r="AA6" s="311">
        <v>53</v>
      </c>
      <c r="AB6" s="311">
        <v>53</v>
      </c>
      <c r="AC6" s="311">
        <v>53</v>
      </c>
      <c r="AD6" s="309"/>
      <c r="AE6" s="312">
        <v>20747578.039135415</v>
      </c>
      <c r="AF6" s="312">
        <v>20979208.742799997</v>
      </c>
      <c r="AG6" s="312">
        <v>21913481.926799994</v>
      </c>
      <c r="AH6" s="312">
        <v>23252101.228576057</v>
      </c>
      <c r="AI6" s="312">
        <v>23795051.856799986</v>
      </c>
      <c r="AJ6" s="312">
        <v>22899389.186799992</v>
      </c>
      <c r="AK6" s="312">
        <v>24722747.516463991</v>
      </c>
      <c r="AL6" s="312">
        <v>22245496.958944</v>
      </c>
      <c r="AM6" s="312">
        <v>24380852.811195996</v>
      </c>
      <c r="AN6" s="312">
        <v>25269590.842579994</v>
      </c>
      <c r="AO6" s="312">
        <v>24711739.152617995</v>
      </c>
      <c r="AP6" s="312">
        <v>25286561.175818518</v>
      </c>
      <c r="AQ6" s="312">
        <v>280203799.43853194</v>
      </c>
      <c r="AR6" s="309"/>
      <c r="AS6" s="312">
        <v>20747578.039135415</v>
      </c>
      <c r="AT6" s="312">
        <v>20979208.742799997</v>
      </c>
      <c r="AU6" s="312">
        <v>21913481.926799994</v>
      </c>
      <c r="AV6" s="312">
        <v>23252101.228576057</v>
      </c>
      <c r="AW6" s="312">
        <v>23795051.856799986</v>
      </c>
      <c r="AX6" s="312">
        <v>22899389.186799992</v>
      </c>
      <c r="AY6" s="312">
        <v>24722747.516463991</v>
      </c>
      <c r="AZ6" s="312">
        <v>22245496.958944</v>
      </c>
      <c r="BA6" s="312">
        <v>24380852.811195996</v>
      </c>
      <c r="BB6" s="312">
        <v>25269590.842579994</v>
      </c>
      <c r="BC6" s="312">
        <v>24711739.152617995</v>
      </c>
      <c r="BD6" s="312">
        <v>25286561.175818518</v>
      </c>
      <c r="BE6" s="312">
        <v>280203799.43853194</v>
      </c>
      <c r="BF6" s="309"/>
      <c r="BG6" s="312">
        <v>0</v>
      </c>
      <c r="BH6" s="312">
        <v>0</v>
      </c>
      <c r="BI6" s="312">
        <v>0</v>
      </c>
      <c r="BJ6" s="312">
        <v>0</v>
      </c>
      <c r="BK6" s="312">
        <v>0</v>
      </c>
      <c r="BL6" s="312">
        <v>0</v>
      </c>
      <c r="BM6" s="312">
        <v>0</v>
      </c>
      <c r="BN6" s="312">
        <v>0</v>
      </c>
      <c r="BO6" s="312">
        <v>0</v>
      </c>
      <c r="BP6" s="312">
        <v>0</v>
      </c>
      <c r="BQ6" s="312">
        <v>0</v>
      </c>
      <c r="BR6" s="312">
        <v>0</v>
      </c>
      <c r="BS6" s="312">
        <v>0</v>
      </c>
      <c r="BT6" s="288"/>
    </row>
    <row r="7" spans="1:72" x14ac:dyDescent="0.2">
      <c r="A7" s="308" t="s">
        <v>334</v>
      </c>
      <c r="B7" s="309"/>
      <c r="C7" s="310">
        <v>13.965000000000003</v>
      </c>
      <c r="D7" s="310">
        <v>15.925000000000004</v>
      </c>
      <c r="E7" s="310">
        <v>16.905000000000005</v>
      </c>
      <c r="F7" s="310">
        <v>16.905000000000005</v>
      </c>
      <c r="G7" s="310">
        <v>18.865000000000006</v>
      </c>
      <c r="H7" s="310">
        <v>18.865000000000006</v>
      </c>
      <c r="I7" s="310">
        <v>18.865000000000006</v>
      </c>
      <c r="J7" s="310">
        <v>18.865000000000006</v>
      </c>
      <c r="K7" s="310">
        <v>18.865000000000006</v>
      </c>
      <c r="L7" s="310">
        <v>18.865000000000006</v>
      </c>
      <c r="M7" s="310">
        <v>18.865000000000006</v>
      </c>
      <c r="N7" s="310">
        <v>18.865000000000006</v>
      </c>
      <c r="O7" s="310">
        <v>18.865000000000006</v>
      </c>
      <c r="P7" s="309"/>
      <c r="Q7" s="311">
        <v>14.25</v>
      </c>
      <c r="R7" s="311">
        <v>16.25</v>
      </c>
      <c r="S7" s="311">
        <v>17.25</v>
      </c>
      <c r="T7" s="311">
        <v>17.25</v>
      </c>
      <c r="U7" s="311">
        <v>19.25</v>
      </c>
      <c r="V7" s="311">
        <v>19.25</v>
      </c>
      <c r="W7" s="311">
        <v>19.25</v>
      </c>
      <c r="X7" s="311">
        <v>19.25</v>
      </c>
      <c r="Y7" s="311">
        <v>19.25</v>
      </c>
      <c r="Z7" s="311">
        <v>19.25</v>
      </c>
      <c r="AA7" s="311">
        <v>19.25</v>
      </c>
      <c r="AB7" s="311">
        <v>19.25</v>
      </c>
      <c r="AC7" s="311">
        <v>19.25</v>
      </c>
      <c r="AD7" s="309"/>
      <c r="AE7" s="312">
        <v>8009951.0630263854</v>
      </c>
      <c r="AF7" s="312">
        <v>8805329.71844</v>
      </c>
      <c r="AG7" s="312">
        <v>8883818.4838399999</v>
      </c>
      <c r="AH7" s="312">
        <v>8815289.8856399991</v>
      </c>
      <c r="AI7" s="312">
        <v>9784153.4003599957</v>
      </c>
      <c r="AJ7" s="312">
        <v>9303933.2504200004</v>
      </c>
      <c r="AK7" s="312">
        <v>9357342.2383538</v>
      </c>
      <c r="AL7" s="312">
        <v>8242995.8654978005</v>
      </c>
      <c r="AM7" s="312">
        <v>9176336.6659538001</v>
      </c>
      <c r="AN7" s="312">
        <v>9615093.9222197998</v>
      </c>
      <c r="AO7" s="312">
        <v>9586966.2072578017</v>
      </c>
      <c r="AP7" s="312">
        <v>9902690.215173414</v>
      </c>
      <c r="AQ7" s="312">
        <v>109483900.9161828</v>
      </c>
      <c r="AR7" s="309"/>
      <c r="AS7" s="312">
        <v>8009951.0630263854</v>
      </c>
      <c r="AT7" s="312">
        <v>8805329.71844</v>
      </c>
      <c r="AU7" s="312">
        <v>8883818.4838399999</v>
      </c>
      <c r="AV7" s="312">
        <v>8815289.8856399991</v>
      </c>
      <c r="AW7" s="312">
        <v>9784153.4003599957</v>
      </c>
      <c r="AX7" s="312">
        <v>9303933.2504200004</v>
      </c>
      <c r="AY7" s="312">
        <v>9357342.2383538</v>
      </c>
      <c r="AZ7" s="312">
        <v>8242995.8654978005</v>
      </c>
      <c r="BA7" s="312">
        <v>9176336.6659538001</v>
      </c>
      <c r="BB7" s="312">
        <v>9615093.9222197998</v>
      </c>
      <c r="BC7" s="312">
        <v>9586966.2072578017</v>
      </c>
      <c r="BD7" s="312">
        <v>9902690.215173414</v>
      </c>
      <c r="BE7" s="312">
        <v>109483900.9161828</v>
      </c>
      <c r="BF7" s="309"/>
      <c r="BG7" s="312">
        <v>0</v>
      </c>
      <c r="BH7" s="312">
        <v>0</v>
      </c>
      <c r="BI7" s="312">
        <v>0</v>
      </c>
      <c r="BJ7" s="312">
        <v>0</v>
      </c>
      <c r="BK7" s="312">
        <v>0</v>
      </c>
      <c r="BL7" s="312">
        <v>0</v>
      </c>
      <c r="BM7" s="312">
        <v>0</v>
      </c>
      <c r="BN7" s="312">
        <v>0</v>
      </c>
      <c r="BO7" s="312">
        <v>0</v>
      </c>
      <c r="BP7" s="312">
        <v>0</v>
      </c>
      <c r="BQ7" s="312">
        <v>0</v>
      </c>
      <c r="BR7" s="312">
        <v>0</v>
      </c>
      <c r="BS7" s="312">
        <v>0</v>
      </c>
      <c r="BT7" s="288"/>
    </row>
    <row r="8" spans="1:72" x14ac:dyDescent="0.2">
      <c r="A8" s="308" t="s">
        <v>335</v>
      </c>
      <c r="B8" s="309"/>
      <c r="C8" s="310">
        <v>2.94</v>
      </c>
      <c r="D8" s="310">
        <v>2.94</v>
      </c>
      <c r="E8" s="310">
        <v>2.94</v>
      </c>
      <c r="F8" s="310">
        <v>2.94</v>
      </c>
      <c r="G8" s="310">
        <v>2.94</v>
      </c>
      <c r="H8" s="310">
        <v>2.94</v>
      </c>
      <c r="I8" s="310">
        <v>2.94</v>
      </c>
      <c r="J8" s="310">
        <v>2.94</v>
      </c>
      <c r="K8" s="310">
        <v>2.94</v>
      </c>
      <c r="L8" s="310">
        <v>2.94</v>
      </c>
      <c r="M8" s="310">
        <v>2.94</v>
      </c>
      <c r="N8" s="310">
        <v>2.94</v>
      </c>
      <c r="O8" s="310">
        <v>2.94</v>
      </c>
      <c r="P8" s="309"/>
      <c r="Q8" s="311">
        <v>3</v>
      </c>
      <c r="R8" s="311">
        <v>3</v>
      </c>
      <c r="S8" s="311">
        <v>3</v>
      </c>
      <c r="T8" s="311">
        <v>3</v>
      </c>
      <c r="U8" s="311">
        <v>3</v>
      </c>
      <c r="V8" s="311">
        <v>3</v>
      </c>
      <c r="W8" s="311">
        <v>3</v>
      </c>
      <c r="X8" s="311">
        <v>3</v>
      </c>
      <c r="Y8" s="311">
        <v>3</v>
      </c>
      <c r="Z8" s="311">
        <v>3</v>
      </c>
      <c r="AA8" s="311">
        <v>3</v>
      </c>
      <c r="AB8" s="311">
        <v>3</v>
      </c>
      <c r="AC8" s="311">
        <v>3</v>
      </c>
      <c r="AD8" s="309"/>
      <c r="AE8" s="312">
        <v>1414040.0092096021</v>
      </c>
      <c r="AF8" s="312">
        <v>1373895.0456000001</v>
      </c>
      <c r="AG8" s="312">
        <v>1332944.3736</v>
      </c>
      <c r="AH8" s="312">
        <v>1363657.3776</v>
      </c>
      <c r="AI8" s="312">
        <v>1384132.7135999999</v>
      </c>
      <c r="AJ8" s="312">
        <v>1267359.0336</v>
      </c>
      <c r="AK8" s="312">
        <v>1303480.4715239999</v>
      </c>
      <c r="AL8" s="312">
        <v>1136094.5997240001</v>
      </c>
      <c r="AM8" s="312">
        <v>1315755.435456</v>
      </c>
      <c r="AN8" s="312">
        <v>1371501.0383639999</v>
      </c>
      <c r="AO8" s="312">
        <v>1344363.476484</v>
      </c>
      <c r="AP8" s="312">
        <v>1373640.1395823979</v>
      </c>
      <c r="AQ8" s="312">
        <v>15980863.714344</v>
      </c>
      <c r="AR8" s="309"/>
      <c r="AS8" s="312">
        <v>1414040.0092096021</v>
      </c>
      <c r="AT8" s="312">
        <v>1373895.0456000001</v>
      </c>
      <c r="AU8" s="312">
        <v>1332944.3736</v>
      </c>
      <c r="AV8" s="312">
        <v>1363657.3776</v>
      </c>
      <c r="AW8" s="312">
        <v>1384132.7135999999</v>
      </c>
      <c r="AX8" s="312">
        <v>1267359.0336</v>
      </c>
      <c r="AY8" s="312">
        <v>1303480.4715239999</v>
      </c>
      <c r="AZ8" s="312">
        <v>1136094.5997240001</v>
      </c>
      <c r="BA8" s="312">
        <v>1315755.435456</v>
      </c>
      <c r="BB8" s="312">
        <v>1371501.0383639999</v>
      </c>
      <c r="BC8" s="312">
        <v>1344363.476484</v>
      </c>
      <c r="BD8" s="312">
        <v>1373640.1395823979</v>
      </c>
      <c r="BE8" s="312">
        <v>15980863.714344</v>
      </c>
      <c r="BF8" s="309"/>
      <c r="BG8" s="312">
        <v>0</v>
      </c>
      <c r="BH8" s="312">
        <v>0</v>
      </c>
      <c r="BI8" s="312">
        <v>0</v>
      </c>
      <c r="BJ8" s="312">
        <v>0</v>
      </c>
      <c r="BK8" s="312">
        <v>0</v>
      </c>
      <c r="BL8" s="312">
        <v>0</v>
      </c>
      <c r="BM8" s="312">
        <v>0</v>
      </c>
      <c r="BN8" s="312">
        <v>0</v>
      </c>
      <c r="BO8" s="312">
        <v>0</v>
      </c>
      <c r="BP8" s="312">
        <v>0</v>
      </c>
      <c r="BQ8" s="312">
        <v>0</v>
      </c>
      <c r="BR8" s="312">
        <v>0</v>
      </c>
      <c r="BS8" s="312">
        <v>0</v>
      </c>
      <c r="BT8" s="288"/>
    </row>
    <row r="9" spans="1:72" x14ac:dyDescent="0.2">
      <c r="A9" s="308" t="s">
        <v>54</v>
      </c>
      <c r="B9" s="309"/>
      <c r="C9" s="310">
        <v>65.659999999999911</v>
      </c>
      <c r="D9" s="310">
        <v>65.659999999999911</v>
      </c>
      <c r="E9" s="310">
        <v>65.659999999999911</v>
      </c>
      <c r="F9" s="310">
        <v>65.659999999999911</v>
      </c>
      <c r="G9" s="310">
        <v>65.659999999999911</v>
      </c>
      <c r="H9" s="310">
        <v>65.659999999999911</v>
      </c>
      <c r="I9" s="310">
        <v>65.659999999999911</v>
      </c>
      <c r="J9" s="310">
        <v>65.659999999999911</v>
      </c>
      <c r="K9" s="310">
        <v>65.659999999999911</v>
      </c>
      <c r="L9" s="310">
        <v>65.659999999999911</v>
      </c>
      <c r="M9" s="310">
        <v>65.659999999999911</v>
      </c>
      <c r="N9" s="310">
        <v>65.659999999999911</v>
      </c>
      <c r="O9" s="310">
        <v>65.659999999999911</v>
      </c>
      <c r="P9" s="309"/>
      <c r="Q9" s="311">
        <v>67</v>
      </c>
      <c r="R9" s="311">
        <v>67</v>
      </c>
      <c r="S9" s="311">
        <v>67</v>
      </c>
      <c r="T9" s="311">
        <v>67</v>
      </c>
      <c r="U9" s="311">
        <v>67</v>
      </c>
      <c r="V9" s="311">
        <v>67</v>
      </c>
      <c r="W9" s="311">
        <v>67</v>
      </c>
      <c r="X9" s="311">
        <v>67</v>
      </c>
      <c r="Y9" s="311">
        <v>67</v>
      </c>
      <c r="Z9" s="311">
        <v>67</v>
      </c>
      <c r="AA9" s="311">
        <v>67</v>
      </c>
      <c r="AB9" s="311">
        <v>67</v>
      </c>
      <c r="AC9" s="311">
        <v>67</v>
      </c>
      <c r="AD9" s="309"/>
      <c r="AE9" s="312">
        <v>39610561.562880002</v>
      </c>
      <c r="AF9" s="312">
        <v>39233174.659680001</v>
      </c>
      <c r="AG9" s="312">
        <v>38186345.066880003</v>
      </c>
      <c r="AH9" s="312">
        <v>37758602.288479984</v>
      </c>
      <c r="AI9" s="312">
        <v>35376086.128474467</v>
      </c>
      <c r="AJ9" s="312">
        <v>36189797.867079996</v>
      </c>
      <c r="AK9" s="312">
        <v>37173265.756912</v>
      </c>
      <c r="AL9" s="312">
        <v>32472795.423079986</v>
      </c>
      <c r="AM9" s="312">
        <v>36218321.408581205</v>
      </c>
      <c r="AN9" s="312">
        <v>38709196.380859204</v>
      </c>
      <c r="AO9" s="312">
        <v>38934789.276668802</v>
      </c>
      <c r="AP9" s="312">
        <v>39780150.986725114</v>
      </c>
      <c r="AQ9" s="312">
        <v>449643086.8063007</v>
      </c>
      <c r="AR9" s="309"/>
      <c r="AS9" s="312">
        <v>16412198.494884562</v>
      </c>
      <c r="AT9" s="312">
        <v>16069806.389537644</v>
      </c>
      <c r="AU9" s="312">
        <v>15074515.585001009</v>
      </c>
      <c r="AV9" s="312">
        <v>14713307.098265896</v>
      </c>
      <c r="AW9" s="312">
        <v>12522119.736999355</v>
      </c>
      <c r="AX9" s="312">
        <v>13522970.980526662</v>
      </c>
      <c r="AY9" s="312">
        <v>12792969.500441054</v>
      </c>
      <c r="AZ9" s="312">
        <v>8402573.1383978985</v>
      </c>
      <c r="BA9" s="312">
        <v>12315413.193397537</v>
      </c>
      <c r="BB9" s="312">
        <v>14903386.496255189</v>
      </c>
      <c r="BC9" s="312">
        <v>15207181.752921596</v>
      </c>
      <c r="BD9" s="312">
        <v>16080810.363240128</v>
      </c>
      <c r="BE9" s="312">
        <v>168017252.72986853</v>
      </c>
      <c r="BF9" s="309"/>
      <c r="BG9" s="312">
        <v>23198363.067995444</v>
      </c>
      <c r="BH9" s="312">
        <v>23163368.270142358</v>
      </c>
      <c r="BI9" s="312">
        <v>23111829.481878996</v>
      </c>
      <c r="BJ9" s="312">
        <v>23045295.190214109</v>
      </c>
      <c r="BK9" s="312">
        <v>22853966.391475134</v>
      </c>
      <c r="BL9" s="312">
        <v>22666826.886553336</v>
      </c>
      <c r="BM9" s="312">
        <v>24380296.256470934</v>
      </c>
      <c r="BN9" s="312">
        <v>24070222.284682095</v>
      </c>
      <c r="BO9" s="312">
        <v>23902908.215183668</v>
      </c>
      <c r="BP9" s="312">
        <v>23805809.884604011</v>
      </c>
      <c r="BQ9" s="312">
        <v>23727607.523747202</v>
      </c>
      <c r="BR9" s="312">
        <v>23699340.623484977</v>
      </c>
      <c r="BS9" s="312">
        <v>281625834.07643229</v>
      </c>
      <c r="BT9" s="288"/>
    </row>
    <row r="10" spans="1:72" x14ac:dyDescent="0.2">
      <c r="A10" s="308" t="s">
        <v>340</v>
      </c>
      <c r="B10" s="309"/>
      <c r="C10" s="310">
        <v>8.8200000000000021</v>
      </c>
      <c r="D10" s="310">
        <v>9.8000000000000025</v>
      </c>
      <c r="E10" s="310">
        <v>10.780000000000003</v>
      </c>
      <c r="F10" s="310">
        <v>10.780000000000003</v>
      </c>
      <c r="G10" s="310">
        <v>10.780000000000003</v>
      </c>
      <c r="H10" s="310">
        <v>10.780000000000003</v>
      </c>
      <c r="I10" s="310">
        <v>10.780000000000003</v>
      </c>
      <c r="J10" s="310">
        <v>10.780000000000003</v>
      </c>
      <c r="K10" s="310">
        <v>10.780000000000003</v>
      </c>
      <c r="L10" s="310">
        <v>10.780000000000003</v>
      </c>
      <c r="M10" s="310">
        <v>10.780000000000003</v>
      </c>
      <c r="N10" s="310">
        <v>10.780000000000003</v>
      </c>
      <c r="O10" s="310">
        <v>10.780000000000003</v>
      </c>
      <c r="P10" s="309"/>
      <c r="Q10" s="311">
        <v>9</v>
      </c>
      <c r="R10" s="311">
        <v>10</v>
      </c>
      <c r="S10" s="311">
        <v>11</v>
      </c>
      <c r="T10" s="311">
        <v>11</v>
      </c>
      <c r="U10" s="311">
        <v>11</v>
      </c>
      <c r="V10" s="311">
        <v>11</v>
      </c>
      <c r="W10" s="311">
        <v>11</v>
      </c>
      <c r="X10" s="311">
        <v>11</v>
      </c>
      <c r="Y10" s="311">
        <v>11</v>
      </c>
      <c r="Z10" s="311">
        <v>11</v>
      </c>
      <c r="AA10" s="311">
        <v>11</v>
      </c>
      <c r="AB10" s="311">
        <v>11</v>
      </c>
      <c r="AC10" s="311">
        <v>11</v>
      </c>
      <c r="AD10" s="309"/>
      <c r="AE10" s="312">
        <v>3543763.01949427</v>
      </c>
      <c r="AF10" s="312">
        <v>3774951.0623999997</v>
      </c>
      <c r="AG10" s="312">
        <v>3964323.2832000009</v>
      </c>
      <c r="AH10" s="312">
        <v>3967340.2719999999</v>
      </c>
      <c r="AI10" s="312">
        <v>4017692.9696</v>
      </c>
      <c r="AJ10" s="312">
        <v>3747782.2296489915</v>
      </c>
      <c r="AK10" s="312">
        <v>3847408.4223680007</v>
      </c>
      <c r="AL10" s="312">
        <v>3459803.479328</v>
      </c>
      <c r="AM10" s="312">
        <v>3798460.1778080007</v>
      </c>
      <c r="AN10" s="312">
        <v>4014863.2802879997</v>
      </c>
      <c r="AO10" s="312">
        <v>4047163.6922080005</v>
      </c>
      <c r="AP10" s="312">
        <v>4175726.2931607398</v>
      </c>
      <c r="AQ10" s="312">
        <v>46359278.181504004</v>
      </c>
      <c r="AR10" s="309"/>
      <c r="AS10" s="312">
        <v>3543763.019494269</v>
      </c>
      <c r="AT10" s="312">
        <v>3774951.0623999997</v>
      </c>
      <c r="AU10" s="312">
        <v>3964323.2832000009</v>
      </c>
      <c r="AV10" s="312">
        <v>3967340.2719999999</v>
      </c>
      <c r="AW10" s="312">
        <v>4017692.9696</v>
      </c>
      <c r="AX10" s="312">
        <v>3747782.2296489915</v>
      </c>
      <c r="AY10" s="312">
        <v>3847408.4223680007</v>
      </c>
      <c r="AZ10" s="312">
        <v>3459803.479328</v>
      </c>
      <c r="BA10" s="312">
        <v>3798460.1778080007</v>
      </c>
      <c r="BB10" s="312">
        <v>4014863.2802879997</v>
      </c>
      <c r="BC10" s="312">
        <v>4047163.6922080005</v>
      </c>
      <c r="BD10" s="312">
        <v>4175726.2931607398</v>
      </c>
      <c r="BE10" s="312">
        <v>46359278.181504004</v>
      </c>
      <c r="BF10" s="309"/>
      <c r="BG10" s="312">
        <v>0</v>
      </c>
      <c r="BH10" s="312">
        <v>0</v>
      </c>
      <c r="BI10" s="312">
        <v>0</v>
      </c>
      <c r="BJ10" s="312">
        <v>0</v>
      </c>
      <c r="BK10" s="312">
        <v>0</v>
      </c>
      <c r="BL10" s="312">
        <v>0</v>
      </c>
      <c r="BM10" s="312">
        <v>0</v>
      </c>
      <c r="BN10" s="312">
        <v>0</v>
      </c>
      <c r="BO10" s="312">
        <v>0</v>
      </c>
      <c r="BP10" s="312">
        <v>0</v>
      </c>
      <c r="BQ10" s="312">
        <v>0</v>
      </c>
      <c r="BR10" s="312">
        <v>0</v>
      </c>
      <c r="BS10" s="312">
        <v>0</v>
      </c>
      <c r="BT10" s="288"/>
    </row>
    <row r="11" spans="1:72" x14ac:dyDescent="0.2">
      <c r="A11" s="308" t="s">
        <v>333</v>
      </c>
      <c r="B11" s="309"/>
      <c r="C11" s="310">
        <v>3.92</v>
      </c>
      <c r="D11" s="310">
        <v>3.92</v>
      </c>
      <c r="E11" s="310">
        <v>3.92</v>
      </c>
      <c r="F11" s="310">
        <v>3.92</v>
      </c>
      <c r="G11" s="310">
        <v>3.92</v>
      </c>
      <c r="H11" s="310">
        <v>3.92</v>
      </c>
      <c r="I11" s="310">
        <v>3.92</v>
      </c>
      <c r="J11" s="310">
        <v>3.92</v>
      </c>
      <c r="K11" s="310">
        <v>3.92</v>
      </c>
      <c r="L11" s="310">
        <v>3.92</v>
      </c>
      <c r="M11" s="310">
        <v>3.92</v>
      </c>
      <c r="N11" s="310">
        <v>3.92</v>
      </c>
      <c r="O11" s="310">
        <v>3.92</v>
      </c>
      <c r="P11" s="309"/>
      <c r="Q11" s="311">
        <v>4</v>
      </c>
      <c r="R11" s="311">
        <v>4</v>
      </c>
      <c r="S11" s="311">
        <v>4</v>
      </c>
      <c r="T11" s="311">
        <v>4</v>
      </c>
      <c r="U11" s="311">
        <v>4</v>
      </c>
      <c r="V11" s="311">
        <v>4</v>
      </c>
      <c r="W11" s="311">
        <v>4</v>
      </c>
      <c r="X11" s="311">
        <v>4</v>
      </c>
      <c r="Y11" s="311">
        <v>4</v>
      </c>
      <c r="Z11" s="311">
        <v>4</v>
      </c>
      <c r="AA11" s="311">
        <v>4</v>
      </c>
      <c r="AB11" s="311">
        <v>4</v>
      </c>
      <c r="AC11" s="311">
        <v>4</v>
      </c>
      <c r="AD11" s="309"/>
      <c r="AE11" s="312">
        <v>10325414.595151134</v>
      </c>
      <c r="AF11" s="312">
        <v>9853284.1615155768</v>
      </c>
      <c r="AG11" s="312">
        <v>9410673.8159999996</v>
      </c>
      <c r="AH11" s="312">
        <v>9228833.2640000004</v>
      </c>
      <c r="AI11" s="312">
        <v>9307946.7039999999</v>
      </c>
      <c r="AJ11" s="312">
        <v>8991492.9440000001</v>
      </c>
      <c r="AK11" s="312">
        <v>9369559.0609599985</v>
      </c>
      <c r="AL11" s="312">
        <v>8334755.2657599999</v>
      </c>
      <c r="AM11" s="312">
        <v>9179845.0318400003</v>
      </c>
      <c r="AN11" s="312">
        <v>9973194.6081600003</v>
      </c>
      <c r="AO11" s="312">
        <v>10059428.257760001</v>
      </c>
      <c r="AP11" s="312">
        <v>10288826.808613291</v>
      </c>
      <c r="AQ11" s="312">
        <v>114323254.51776001</v>
      </c>
      <c r="AR11" s="309"/>
      <c r="AS11" s="312">
        <v>10325414.595151134</v>
      </c>
      <c r="AT11" s="312">
        <v>9853284.1615155768</v>
      </c>
      <c r="AU11" s="312">
        <v>9410673.8159999996</v>
      </c>
      <c r="AV11" s="312">
        <v>9228833.2640000004</v>
      </c>
      <c r="AW11" s="312">
        <v>9307946.7039999999</v>
      </c>
      <c r="AX11" s="312">
        <v>8991492.9440000001</v>
      </c>
      <c r="AY11" s="312">
        <v>9369559.0609599985</v>
      </c>
      <c r="AZ11" s="312">
        <v>8334755.2657599999</v>
      </c>
      <c r="BA11" s="312">
        <v>9179845.0318400003</v>
      </c>
      <c r="BB11" s="312">
        <v>9973194.6081600003</v>
      </c>
      <c r="BC11" s="312">
        <v>10059428.257760001</v>
      </c>
      <c r="BD11" s="312">
        <v>10288826.808613291</v>
      </c>
      <c r="BE11" s="312">
        <v>114323254.51776001</v>
      </c>
      <c r="BF11" s="309"/>
      <c r="BG11" s="312">
        <v>0</v>
      </c>
      <c r="BH11" s="312">
        <v>0</v>
      </c>
      <c r="BI11" s="312">
        <v>0</v>
      </c>
      <c r="BJ11" s="312">
        <v>0</v>
      </c>
      <c r="BK11" s="312">
        <v>0</v>
      </c>
      <c r="BL11" s="312">
        <v>0</v>
      </c>
      <c r="BM11" s="312">
        <v>0</v>
      </c>
      <c r="BN11" s="312">
        <v>0</v>
      </c>
      <c r="BO11" s="312">
        <v>0</v>
      </c>
      <c r="BP11" s="312">
        <v>0</v>
      </c>
      <c r="BQ11" s="312">
        <v>0</v>
      </c>
      <c r="BR11" s="312">
        <v>0</v>
      </c>
      <c r="BS11" s="312">
        <v>0</v>
      </c>
      <c r="BT11" s="288"/>
    </row>
    <row r="12" spans="1:72" x14ac:dyDescent="0.2">
      <c r="A12" s="308" t="s">
        <v>336</v>
      </c>
      <c r="B12" s="309"/>
      <c r="C12" s="310">
        <v>20.580000000000005</v>
      </c>
      <c r="D12" s="310">
        <v>21.560000000000006</v>
      </c>
      <c r="E12" s="310">
        <v>21.560000000000006</v>
      </c>
      <c r="F12" s="310">
        <v>21.560000000000006</v>
      </c>
      <c r="G12" s="310">
        <v>21.560000000000006</v>
      </c>
      <c r="H12" s="310">
        <v>21.560000000000006</v>
      </c>
      <c r="I12" s="310">
        <v>21.560000000000006</v>
      </c>
      <c r="J12" s="310">
        <v>21.560000000000006</v>
      </c>
      <c r="K12" s="310">
        <v>21.560000000000006</v>
      </c>
      <c r="L12" s="310">
        <v>21.560000000000006</v>
      </c>
      <c r="M12" s="310">
        <v>21.560000000000006</v>
      </c>
      <c r="N12" s="310">
        <v>21.560000000000006</v>
      </c>
      <c r="O12" s="310">
        <v>21.560000000000006</v>
      </c>
      <c r="P12" s="309"/>
      <c r="Q12" s="311">
        <v>21</v>
      </c>
      <c r="R12" s="311">
        <v>22</v>
      </c>
      <c r="S12" s="311">
        <v>22</v>
      </c>
      <c r="T12" s="311">
        <v>22</v>
      </c>
      <c r="U12" s="311">
        <v>22</v>
      </c>
      <c r="V12" s="311">
        <v>22</v>
      </c>
      <c r="W12" s="311">
        <v>22</v>
      </c>
      <c r="X12" s="311">
        <v>22</v>
      </c>
      <c r="Y12" s="311">
        <v>22</v>
      </c>
      <c r="Z12" s="311">
        <v>22</v>
      </c>
      <c r="AA12" s="311">
        <v>22</v>
      </c>
      <c r="AB12" s="311">
        <v>22</v>
      </c>
      <c r="AC12" s="311">
        <v>22</v>
      </c>
      <c r="AD12" s="309"/>
      <c r="AE12" s="312">
        <v>8312585.942761926</v>
      </c>
      <c r="AF12" s="312">
        <v>8435628.1460000016</v>
      </c>
      <c r="AG12" s="312">
        <v>8184193.6260000011</v>
      </c>
      <c r="AH12" s="312">
        <v>8084353.5562087679</v>
      </c>
      <c r="AI12" s="312">
        <v>8312153.6340000015</v>
      </c>
      <c r="AJ12" s="312">
        <v>8028189.5464000003</v>
      </c>
      <c r="AK12" s="312">
        <v>8325829.420446001</v>
      </c>
      <c r="AL12" s="312">
        <v>7441105.0778460009</v>
      </c>
      <c r="AM12" s="312">
        <v>8227077.7838460002</v>
      </c>
      <c r="AN12" s="312">
        <v>8400979.8736460004</v>
      </c>
      <c r="AO12" s="312">
        <v>8384225.9203960001</v>
      </c>
      <c r="AP12" s="312">
        <v>8535297.9662253056</v>
      </c>
      <c r="AQ12" s="312">
        <v>98671620.493776023</v>
      </c>
      <c r="AR12" s="313"/>
      <c r="AS12" s="312">
        <v>8312585.942761926</v>
      </c>
      <c r="AT12" s="312">
        <v>8435628.1460000016</v>
      </c>
      <c r="AU12" s="312">
        <v>8184193.6260000011</v>
      </c>
      <c r="AV12" s="312">
        <v>8084353.5562087679</v>
      </c>
      <c r="AW12" s="312">
        <v>8312153.6340000015</v>
      </c>
      <c r="AX12" s="312">
        <v>8028189.5464000003</v>
      </c>
      <c r="AY12" s="312">
        <v>8325829.420446001</v>
      </c>
      <c r="AZ12" s="312">
        <v>7441105.0778460009</v>
      </c>
      <c r="BA12" s="312">
        <v>8227077.7838460002</v>
      </c>
      <c r="BB12" s="312">
        <v>8400979.8736460004</v>
      </c>
      <c r="BC12" s="312">
        <v>8384225.9203960001</v>
      </c>
      <c r="BD12" s="312">
        <v>8535297.9662253056</v>
      </c>
      <c r="BE12" s="312">
        <v>98671620.493776023</v>
      </c>
      <c r="BF12" s="309"/>
      <c r="BG12" s="312">
        <v>0</v>
      </c>
      <c r="BH12" s="312">
        <v>0</v>
      </c>
      <c r="BI12" s="312">
        <v>0</v>
      </c>
      <c r="BJ12" s="312">
        <v>0</v>
      </c>
      <c r="BK12" s="312">
        <v>0</v>
      </c>
      <c r="BL12" s="312">
        <v>0</v>
      </c>
      <c r="BM12" s="312">
        <v>0</v>
      </c>
      <c r="BN12" s="312">
        <v>0</v>
      </c>
      <c r="BO12" s="312">
        <v>0</v>
      </c>
      <c r="BP12" s="312">
        <v>0</v>
      </c>
      <c r="BQ12" s="312">
        <v>0</v>
      </c>
      <c r="BR12" s="312">
        <v>0</v>
      </c>
      <c r="BS12" s="312">
        <v>0</v>
      </c>
      <c r="BT12" s="288"/>
    </row>
    <row r="13" spans="1:72" x14ac:dyDescent="0.2">
      <c r="A13" s="308" t="s">
        <v>337</v>
      </c>
      <c r="B13" s="309"/>
      <c r="C13" s="310">
        <v>81.339999999999975</v>
      </c>
      <c r="D13" s="310">
        <v>81.339999999999975</v>
      </c>
      <c r="E13" s="310">
        <v>81.339999999999975</v>
      </c>
      <c r="F13" s="310">
        <v>81.339999999999975</v>
      </c>
      <c r="G13" s="310">
        <v>81.339999999999975</v>
      </c>
      <c r="H13" s="310">
        <v>81.339999999999975</v>
      </c>
      <c r="I13" s="310">
        <v>83.299999999999983</v>
      </c>
      <c r="J13" s="310">
        <v>83.299999999999983</v>
      </c>
      <c r="K13" s="310">
        <v>83.299999999999983</v>
      </c>
      <c r="L13" s="310">
        <v>83.299999999999983</v>
      </c>
      <c r="M13" s="310">
        <v>83.299999999999983</v>
      </c>
      <c r="N13" s="310">
        <v>83.299999999999983</v>
      </c>
      <c r="O13" s="310">
        <v>83.299999999999983</v>
      </c>
      <c r="P13" s="309"/>
      <c r="Q13" s="311">
        <v>83</v>
      </c>
      <c r="R13" s="311">
        <v>83</v>
      </c>
      <c r="S13" s="311">
        <v>83</v>
      </c>
      <c r="T13" s="311">
        <v>83</v>
      </c>
      <c r="U13" s="311">
        <v>83</v>
      </c>
      <c r="V13" s="311">
        <v>83</v>
      </c>
      <c r="W13" s="311">
        <v>85</v>
      </c>
      <c r="X13" s="311">
        <v>85</v>
      </c>
      <c r="Y13" s="311">
        <v>85</v>
      </c>
      <c r="Z13" s="311">
        <v>85</v>
      </c>
      <c r="AA13" s="311">
        <v>85</v>
      </c>
      <c r="AB13" s="311">
        <v>85</v>
      </c>
      <c r="AC13" s="311">
        <v>85</v>
      </c>
      <c r="AD13" s="309"/>
      <c r="AE13" s="312">
        <v>20316729.755169608</v>
      </c>
      <c r="AF13" s="312">
        <v>20264215.420685008</v>
      </c>
      <c r="AG13" s="312">
        <v>19473048.402624</v>
      </c>
      <c r="AH13" s="312">
        <v>18592395.797524001</v>
      </c>
      <c r="AI13" s="312">
        <v>19771224.157683998</v>
      </c>
      <c r="AJ13" s="312">
        <v>19067672.097603999</v>
      </c>
      <c r="AK13" s="312">
        <v>20453120.290601157</v>
      </c>
      <c r="AL13" s="312">
        <v>18246950.974067762</v>
      </c>
      <c r="AM13" s="312">
        <v>20667088.462052763</v>
      </c>
      <c r="AN13" s="312">
        <v>21138070.859255247</v>
      </c>
      <c r="AO13" s="312">
        <v>21175826.832289588</v>
      </c>
      <c r="AP13" s="312">
        <v>21455059.35409997</v>
      </c>
      <c r="AQ13" s="312">
        <v>240621402.40365711</v>
      </c>
      <c r="AR13" s="309"/>
      <c r="AS13" s="312">
        <v>20316729.755169608</v>
      </c>
      <c r="AT13" s="312">
        <v>20264215.420685008</v>
      </c>
      <c r="AU13" s="312">
        <v>19473048.402624</v>
      </c>
      <c r="AV13" s="312">
        <v>18592395.797524001</v>
      </c>
      <c r="AW13" s="312">
        <v>19771224.157683998</v>
      </c>
      <c r="AX13" s="312">
        <v>19067672.097603999</v>
      </c>
      <c r="AY13" s="312">
        <v>20453120.290601157</v>
      </c>
      <c r="AZ13" s="312">
        <v>18246950.974067762</v>
      </c>
      <c r="BA13" s="312">
        <v>20667088.462052763</v>
      </c>
      <c r="BB13" s="312">
        <v>21138070.859255247</v>
      </c>
      <c r="BC13" s="312">
        <v>21175826.832289588</v>
      </c>
      <c r="BD13" s="312">
        <v>21455059.35409997</v>
      </c>
      <c r="BE13" s="312">
        <v>240621402.40365711</v>
      </c>
      <c r="BF13" s="309"/>
      <c r="BG13" s="312">
        <v>0</v>
      </c>
      <c r="BH13" s="312">
        <v>0</v>
      </c>
      <c r="BI13" s="312">
        <v>0</v>
      </c>
      <c r="BJ13" s="312">
        <v>0</v>
      </c>
      <c r="BK13" s="312">
        <v>0</v>
      </c>
      <c r="BL13" s="312">
        <v>0</v>
      </c>
      <c r="BM13" s="312">
        <v>0</v>
      </c>
      <c r="BN13" s="312">
        <v>0</v>
      </c>
      <c r="BO13" s="312">
        <v>0</v>
      </c>
      <c r="BP13" s="312">
        <v>0</v>
      </c>
      <c r="BQ13" s="312">
        <v>0</v>
      </c>
      <c r="BR13" s="312">
        <v>0</v>
      </c>
      <c r="BS13" s="312">
        <v>0</v>
      </c>
      <c r="BT13" s="288"/>
    </row>
    <row r="14" spans="1:72" x14ac:dyDescent="0.2">
      <c r="A14" s="308" t="s">
        <v>331</v>
      </c>
      <c r="B14" s="309"/>
      <c r="C14" s="310">
        <v>15.778000000000004</v>
      </c>
      <c r="D14" s="310">
        <v>16.758000000000003</v>
      </c>
      <c r="E14" s="310">
        <v>18.718000000000004</v>
      </c>
      <c r="F14" s="310">
        <v>18.718000000000004</v>
      </c>
      <c r="G14" s="310">
        <v>19.698000000000004</v>
      </c>
      <c r="H14" s="310">
        <v>19.698000000000004</v>
      </c>
      <c r="I14" s="310">
        <v>19.698000000000004</v>
      </c>
      <c r="J14" s="310">
        <v>19.698000000000004</v>
      </c>
      <c r="K14" s="310">
        <v>19.698000000000004</v>
      </c>
      <c r="L14" s="310">
        <v>19.698000000000004</v>
      </c>
      <c r="M14" s="310">
        <v>19.698000000000004</v>
      </c>
      <c r="N14" s="310">
        <v>19.698000000000004</v>
      </c>
      <c r="O14" s="310">
        <v>19.698000000000004</v>
      </c>
      <c r="P14" s="309"/>
      <c r="Q14" s="311">
        <v>16.100000000000001</v>
      </c>
      <c r="R14" s="311">
        <v>17.100000000000001</v>
      </c>
      <c r="S14" s="311">
        <v>19.100000000000001</v>
      </c>
      <c r="T14" s="311">
        <v>19.100000000000001</v>
      </c>
      <c r="U14" s="311">
        <v>20.100000000000001</v>
      </c>
      <c r="V14" s="311">
        <v>20.100000000000001</v>
      </c>
      <c r="W14" s="311">
        <v>20.100000000000001</v>
      </c>
      <c r="X14" s="311">
        <v>20.100000000000001</v>
      </c>
      <c r="Y14" s="311">
        <v>20.100000000000001</v>
      </c>
      <c r="Z14" s="311">
        <v>20.100000000000001</v>
      </c>
      <c r="AA14" s="311">
        <v>20.100000000000001</v>
      </c>
      <c r="AB14" s="311">
        <v>20.100000000000001</v>
      </c>
      <c r="AC14" s="311">
        <v>20.100000000000001</v>
      </c>
      <c r="AD14" s="309"/>
      <c r="AE14" s="312">
        <v>12145375.579361074</v>
      </c>
      <c r="AF14" s="312">
        <v>12874174.627589609</v>
      </c>
      <c r="AG14" s="312">
        <v>14501615.731600001</v>
      </c>
      <c r="AH14" s="312">
        <v>14428240.291600002</v>
      </c>
      <c r="AI14" s="312">
        <v>15187242.829600001</v>
      </c>
      <c r="AJ14" s="312">
        <v>14504018.5096</v>
      </c>
      <c r="AK14" s="312">
        <v>14239210.906472005</v>
      </c>
      <c r="AL14" s="312">
        <v>12862647.681923999</v>
      </c>
      <c r="AM14" s="312">
        <v>14467317.927979998</v>
      </c>
      <c r="AN14" s="312">
        <v>15393674.401775999</v>
      </c>
      <c r="AO14" s="312">
        <v>15501778.592896001</v>
      </c>
      <c r="AP14" s="312">
        <v>16140188.264665313</v>
      </c>
      <c r="AQ14" s="312">
        <v>172245485.34506398</v>
      </c>
      <c r="AR14" s="314"/>
      <c r="AS14" s="312">
        <v>4961243.4101408739</v>
      </c>
      <c r="AT14" s="312">
        <v>5068389.703112822</v>
      </c>
      <c r="AU14" s="312">
        <v>5650979.478797337</v>
      </c>
      <c r="AV14" s="312">
        <v>5623561.4216573732</v>
      </c>
      <c r="AW14" s="312">
        <v>6000531.7183102779</v>
      </c>
      <c r="AX14" s="312">
        <v>5419688.2261328828</v>
      </c>
      <c r="AY14" s="312">
        <v>4659634.737503984</v>
      </c>
      <c r="AZ14" s="312">
        <v>3327576.5913488255</v>
      </c>
      <c r="BA14" s="312">
        <v>4971037.9774150243</v>
      </c>
      <c r="BB14" s="312">
        <v>5926098.7688339567</v>
      </c>
      <c r="BC14" s="312">
        <v>6053481.1333086202</v>
      </c>
      <c r="BD14" s="312">
        <v>6700410.4243498174</v>
      </c>
      <c r="BE14" s="312">
        <v>64362633.590911791</v>
      </c>
      <c r="BF14" s="309"/>
      <c r="BG14" s="312">
        <v>7184132.1692202007</v>
      </c>
      <c r="BH14" s="312">
        <v>7805784.9244767884</v>
      </c>
      <c r="BI14" s="312">
        <v>8850636.2528026626</v>
      </c>
      <c r="BJ14" s="312">
        <v>8804678.8699426278</v>
      </c>
      <c r="BK14" s="312">
        <v>9186711.1112897228</v>
      </c>
      <c r="BL14" s="312">
        <v>9084330.2834671177</v>
      </c>
      <c r="BM14" s="312">
        <v>9579576.1689680163</v>
      </c>
      <c r="BN14" s="312">
        <v>9535071.0905751735</v>
      </c>
      <c r="BO14" s="312">
        <v>9496279.9505649768</v>
      </c>
      <c r="BP14" s="312">
        <v>9467575.6329420432</v>
      </c>
      <c r="BQ14" s="312">
        <v>9448297.4595873784</v>
      </c>
      <c r="BR14" s="312">
        <v>9439777.8403154947</v>
      </c>
      <c r="BS14" s="312">
        <v>107882851.75415219</v>
      </c>
      <c r="BT14" s="288"/>
    </row>
    <row r="15" spans="1:72" x14ac:dyDescent="0.2">
      <c r="A15" s="308" t="s">
        <v>341</v>
      </c>
      <c r="B15" s="309"/>
      <c r="C15" s="310">
        <v>8.8200000000000021</v>
      </c>
      <c r="D15" s="310">
        <v>8.8200000000000021</v>
      </c>
      <c r="E15" s="310">
        <v>8.8200000000000021</v>
      </c>
      <c r="F15" s="310">
        <v>8.8200000000000021</v>
      </c>
      <c r="G15" s="310">
        <v>8.8200000000000021</v>
      </c>
      <c r="H15" s="310">
        <v>8.8200000000000021</v>
      </c>
      <c r="I15" s="310">
        <v>8.8200000000000021</v>
      </c>
      <c r="J15" s="310">
        <v>8.8200000000000021</v>
      </c>
      <c r="K15" s="310">
        <v>8.8200000000000021</v>
      </c>
      <c r="L15" s="310">
        <v>8.8200000000000021</v>
      </c>
      <c r="M15" s="310">
        <v>8.8200000000000021</v>
      </c>
      <c r="N15" s="310">
        <v>8.8200000000000021</v>
      </c>
      <c r="O15" s="310">
        <v>8.8200000000000021</v>
      </c>
      <c r="P15" s="309"/>
      <c r="Q15" s="311">
        <v>9</v>
      </c>
      <c r="R15" s="311">
        <v>9</v>
      </c>
      <c r="S15" s="311">
        <v>9</v>
      </c>
      <c r="T15" s="311">
        <v>9</v>
      </c>
      <c r="U15" s="311">
        <v>9</v>
      </c>
      <c r="V15" s="311">
        <v>9</v>
      </c>
      <c r="W15" s="311">
        <v>9</v>
      </c>
      <c r="X15" s="311">
        <v>9</v>
      </c>
      <c r="Y15" s="311">
        <v>9</v>
      </c>
      <c r="Z15" s="311">
        <v>9</v>
      </c>
      <c r="AA15" s="311">
        <v>9</v>
      </c>
      <c r="AB15" s="311">
        <v>9</v>
      </c>
      <c r="AC15" s="311">
        <v>9</v>
      </c>
      <c r="AD15" s="309"/>
      <c r="AE15" s="312">
        <v>4791908.0323757399</v>
      </c>
      <c r="AF15" s="312">
        <v>4709745.3872000007</v>
      </c>
      <c r="AG15" s="312">
        <v>4590953.5896000005</v>
      </c>
      <c r="AH15" s="312">
        <v>4471487.3203999996</v>
      </c>
      <c r="AI15" s="312">
        <v>4545584.8424000004</v>
      </c>
      <c r="AJ15" s="312">
        <v>4360513.8678251524</v>
      </c>
      <c r="AK15" s="312">
        <v>4528063.1393759996</v>
      </c>
      <c r="AL15" s="312">
        <v>4071064.1062559998</v>
      </c>
      <c r="AM15" s="312">
        <v>4414552.5284759998</v>
      </c>
      <c r="AN15" s="312">
        <v>4575734.7911960008</v>
      </c>
      <c r="AO15" s="312">
        <v>4608444.0143560003</v>
      </c>
      <c r="AP15" s="312">
        <v>4734771.8953951104</v>
      </c>
      <c r="AQ15" s="312">
        <v>54402823.514856003</v>
      </c>
      <c r="AR15" s="309"/>
      <c r="AS15" s="312">
        <v>4791908.0323757399</v>
      </c>
      <c r="AT15" s="312">
        <v>4709745.3872000007</v>
      </c>
      <c r="AU15" s="312">
        <v>4590953.5896000005</v>
      </c>
      <c r="AV15" s="312">
        <v>4471487.3203999996</v>
      </c>
      <c r="AW15" s="312">
        <v>4545584.8424000004</v>
      </c>
      <c r="AX15" s="312">
        <v>4360513.8678251524</v>
      </c>
      <c r="AY15" s="312">
        <v>4528063.1393759996</v>
      </c>
      <c r="AZ15" s="312">
        <v>4071064.1062559998</v>
      </c>
      <c r="BA15" s="312">
        <v>4414552.5284759998</v>
      </c>
      <c r="BB15" s="312">
        <v>4575734.7911960008</v>
      </c>
      <c r="BC15" s="312">
        <v>4608444.0143560003</v>
      </c>
      <c r="BD15" s="312">
        <v>4734771.8953951104</v>
      </c>
      <c r="BE15" s="312">
        <v>54402823.514856003</v>
      </c>
      <c r="BF15" s="309"/>
      <c r="BG15" s="312">
        <v>0</v>
      </c>
      <c r="BH15" s="312">
        <v>0</v>
      </c>
      <c r="BI15" s="312">
        <v>0</v>
      </c>
      <c r="BJ15" s="312">
        <v>0</v>
      </c>
      <c r="BK15" s="312">
        <v>0</v>
      </c>
      <c r="BL15" s="312">
        <v>0</v>
      </c>
      <c r="BM15" s="312">
        <v>0</v>
      </c>
      <c r="BN15" s="312">
        <v>0</v>
      </c>
      <c r="BO15" s="312">
        <v>0</v>
      </c>
      <c r="BP15" s="312">
        <v>0</v>
      </c>
      <c r="BQ15" s="312">
        <v>0</v>
      </c>
      <c r="BR15" s="312">
        <v>0</v>
      </c>
      <c r="BS15" s="312">
        <v>0</v>
      </c>
      <c r="BT15" s="288"/>
    </row>
    <row r="16" spans="1:72" x14ac:dyDescent="0.2">
      <c r="A16" s="315" t="s">
        <v>598</v>
      </c>
      <c r="B16" s="316"/>
      <c r="C16" s="317">
        <v>313.94299999999993</v>
      </c>
      <c r="D16" s="317">
        <v>321.78299999999984</v>
      </c>
      <c r="E16" s="317">
        <v>332.56299999999987</v>
      </c>
      <c r="F16" s="317">
        <v>337.46299999999985</v>
      </c>
      <c r="G16" s="317">
        <v>340.40299999999985</v>
      </c>
      <c r="H16" s="317">
        <v>341.38299999999987</v>
      </c>
      <c r="I16" s="317">
        <v>347.26299999999986</v>
      </c>
      <c r="J16" s="317">
        <v>347.26299999999986</v>
      </c>
      <c r="K16" s="317">
        <v>347.26299999999986</v>
      </c>
      <c r="L16" s="317">
        <v>347.26299999999986</v>
      </c>
      <c r="M16" s="317">
        <v>347.26299999999986</v>
      </c>
      <c r="N16" s="317">
        <v>347.26299999999986</v>
      </c>
      <c r="O16" s="317">
        <v>347.26299999999986</v>
      </c>
      <c r="P16" s="316"/>
      <c r="Q16" s="317">
        <v>320.35000000000002</v>
      </c>
      <c r="R16" s="317">
        <v>328.35</v>
      </c>
      <c r="S16" s="317">
        <v>339.35</v>
      </c>
      <c r="T16" s="317">
        <v>344.35</v>
      </c>
      <c r="U16" s="317">
        <v>347.35</v>
      </c>
      <c r="V16" s="317">
        <v>348.35</v>
      </c>
      <c r="W16" s="317">
        <v>354.35</v>
      </c>
      <c r="X16" s="317">
        <v>354.35</v>
      </c>
      <c r="Y16" s="317">
        <v>354.35</v>
      </c>
      <c r="Z16" s="317">
        <v>354.35</v>
      </c>
      <c r="AA16" s="317">
        <v>354.35</v>
      </c>
      <c r="AB16" s="317">
        <v>354.35</v>
      </c>
      <c r="AC16" s="317">
        <v>354.35</v>
      </c>
      <c r="AD16" s="316"/>
      <c r="AE16" s="317">
        <v>152274656.86733744</v>
      </c>
      <c r="AF16" s="317">
        <v>153188865.40011016</v>
      </c>
      <c r="AG16" s="317">
        <v>154319149.97774401</v>
      </c>
      <c r="AH16" s="317">
        <v>155128135.0405288</v>
      </c>
      <c r="AI16" s="317">
        <v>156335553.87931845</v>
      </c>
      <c r="AJ16" s="317">
        <v>152827902.36065146</v>
      </c>
      <c r="AK16" s="317">
        <v>158906326.26803094</v>
      </c>
      <c r="AL16" s="317">
        <v>141170132.21262157</v>
      </c>
      <c r="AM16" s="317">
        <v>157274144.51402378</v>
      </c>
      <c r="AN16" s="317">
        <v>164889741.50584823</v>
      </c>
      <c r="AO16" s="317">
        <v>164815444.18390819</v>
      </c>
      <c r="AP16" s="317">
        <v>168949479.72387758</v>
      </c>
      <c r="AQ16" s="317">
        <v>1880079531.9340007</v>
      </c>
      <c r="AR16" s="316"/>
      <c r="AS16" s="317">
        <v>112391466.852421</v>
      </c>
      <c r="AT16" s="317">
        <v>112719017.42779028</v>
      </c>
      <c r="AU16" s="317">
        <v>112388981.27686933</v>
      </c>
      <c r="AV16" s="317">
        <v>113334067.97306097</v>
      </c>
      <c r="AW16" s="317">
        <v>114382474.2003879</v>
      </c>
      <c r="AX16" s="317">
        <v>111220729.75136454</v>
      </c>
      <c r="AY16" s="317">
        <v>114373213.04491058</v>
      </c>
      <c r="AZ16" s="317">
        <v>97122819.444707707</v>
      </c>
      <c r="BA16" s="317">
        <v>113607250.38168184</v>
      </c>
      <c r="BB16" s="317">
        <v>121373134.07744303</v>
      </c>
      <c r="BC16" s="317">
        <v>121420515.18940985</v>
      </c>
      <c r="BD16" s="317">
        <v>125620774.97992145</v>
      </c>
      <c r="BE16" s="317">
        <v>1369954444.5999689</v>
      </c>
      <c r="BF16" s="316"/>
      <c r="BG16" s="317">
        <v>39883190.014916405</v>
      </c>
      <c r="BH16" s="317">
        <v>40469847.972319908</v>
      </c>
      <c r="BI16" s="317">
        <v>41930168.700874671</v>
      </c>
      <c r="BJ16" s="317">
        <v>41794067.067467883</v>
      </c>
      <c r="BK16" s="317">
        <v>41953079.678930588</v>
      </c>
      <c r="BL16" s="317">
        <v>41607172.609286889</v>
      </c>
      <c r="BM16" s="317">
        <v>44533113.223120354</v>
      </c>
      <c r="BN16" s="317">
        <v>44047312.767913848</v>
      </c>
      <c r="BO16" s="317">
        <v>43666894.132341921</v>
      </c>
      <c r="BP16" s="317">
        <v>43516607.428405203</v>
      </c>
      <c r="BQ16" s="317">
        <v>43394928.994498342</v>
      </c>
      <c r="BR16" s="317">
        <v>43328704.743956149</v>
      </c>
      <c r="BS16" s="317">
        <v>510125087.33403218</v>
      </c>
      <c r="BT16" s="288"/>
    </row>
    <row r="17" spans="1:72" x14ac:dyDescent="0.2">
      <c r="A17" s="288"/>
      <c r="B17" s="288"/>
      <c r="C17" s="288"/>
      <c r="D17" s="288"/>
      <c r="E17" s="288"/>
      <c r="F17" s="288"/>
      <c r="G17" s="288"/>
      <c r="H17" s="288"/>
      <c r="I17" s="288"/>
      <c r="J17" s="288"/>
      <c r="K17" s="288"/>
      <c r="L17" s="288"/>
      <c r="M17" s="288"/>
      <c r="N17" s="288"/>
      <c r="O17" s="288"/>
      <c r="P17" s="288"/>
      <c r="Q17" s="288"/>
      <c r="R17" s="288"/>
      <c r="S17" s="288"/>
      <c r="T17" s="288"/>
      <c r="U17" s="288"/>
      <c r="V17" s="288"/>
      <c r="W17" s="288"/>
      <c r="X17" s="288"/>
      <c r="Y17" s="288"/>
      <c r="Z17" s="288"/>
      <c r="AA17" s="288"/>
      <c r="AB17" s="288"/>
      <c r="AC17" s="288"/>
      <c r="AD17" s="288"/>
      <c r="AE17" s="288"/>
      <c r="AF17" s="288"/>
      <c r="AG17" s="288"/>
      <c r="AH17" s="288"/>
      <c r="AI17" s="288"/>
      <c r="AJ17" s="288"/>
      <c r="AK17" s="288"/>
      <c r="AL17" s="288"/>
      <c r="AM17" s="288"/>
      <c r="AN17" s="288"/>
      <c r="AO17" s="288"/>
      <c r="AP17" s="288"/>
      <c r="AQ17" s="288"/>
      <c r="AR17" s="288"/>
      <c r="AS17" s="288"/>
      <c r="AT17" s="288"/>
      <c r="AU17" s="288"/>
      <c r="AV17" s="288"/>
      <c r="AW17" s="288"/>
      <c r="AX17" s="288"/>
      <c r="AY17" s="288"/>
      <c r="AZ17" s="288"/>
      <c r="BA17" s="288"/>
      <c r="BB17" s="288"/>
      <c r="BC17" s="288"/>
      <c r="BD17" s="288"/>
      <c r="BE17" s="288"/>
      <c r="BF17" s="288"/>
      <c r="BG17" s="288"/>
      <c r="BH17" s="288"/>
      <c r="BI17" s="288"/>
      <c r="BJ17" s="288"/>
      <c r="BK17" s="288"/>
      <c r="BL17" s="288"/>
      <c r="BM17" s="288"/>
      <c r="BN17" s="288"/>
      <c r="BO17" s="288"/>
      <c r="BP17" s="288"/>
      <c r="BQ17" s="288"/>
      <c r="BR17" s="288"/>
      <c r="BS17" s="288"/>
      <c r="BT17" s="288"/>
    </row>
    <row r="18" spans="1:72" x14ac:dyDescent="0.2">
      <c r="A18" s="288"/>
      <c r="B18" s="288"/>
      <c r="C18" s="288"/>
      <c r="D18" s="288"/>
      <c r="E18" s="288"/>
      <c r="F18" s="288"/>
      <c r="G18" s="288"/>
      <c r="H18" s="288"/>
      <c r="I18" s="288"/>
      <c r="J18" s="288"/>
      <c r="K18" s="288"/>
      <c r="L18" s="288"/>
      <c r="M18" s="288"/>
      <c r="N18" s="288"/>
      <c r="O18" s="288"/>
      <c r="P18" s="192" t="s">
        <v>706</v>
      </c>
      <c r="Q18" s="288"/>
      <c r="R18" s="288"/>
      <c r="S18" s="288"/>
      <c r="T18" s="288"/>
      <c r="U18" s="288"/>
      <c r="V18" s="288"/>
      <c r="W18" s="288"/>
      <c r="X18" s="288"/>
      <c r="Y18" s="288"/>
      <c r="Z18" s="288"/>
      <c r="AA18" s="288"/>
      <c r="AB18" s="288"/>
      <c r="AC18" s="288"/>
      <c r="AD18" s="288"/>
      <c r="AE18" s="288"/>
      <c r="AF18" s="288"/>
      <c r="AG18" s="288"/>
      <c r="AH18" s="288"/>
      <c r="AI18" s="288"/>
      <c r="AJ18" s="288"/>
      <c r="AK18" s="288"/>
      <c r="AL18" s="288"/>
      <c r="AM18" s="288"/>
      <c r="AN18" s="288"/>
      <c r="AO18" s="288"/>
      <c r="AP18" s="288"/>
      <c r="AQ18" s="288"/>
      <c r="AR18" s="288"/>
      <c r="AS18" s="288"/>
      <c r="AT18" s="288"/>
      <c r="AU18" s="288"/>
      <c r="AV18" s="288"/>
      <c r="AW18" s="288"/>
      <c r="AX18" s="288"/>
      <c r="AY18" s="288"/>
      <c r="AZ18" s="288"/>
      <c r="BA18" s="288"/>
      <c r="BB18" s="288"/>
      <c r="BC18" s="288"/>
      <c r="BD18" s="288"/>
      <c r="BE18" s="288"/>
      <c r="BF18" s="288"/>
      <c r="BG18" s="288"/>
      <c r="BH18" s="288"/>
      <c r="BI18" s="288"/>
      <c r="BJ18" s="288"/>
      <c r="BK18" s="288"/>
      <c r="BL18" s="288"/>
      <c r="BM18" s="288"/>
      <c r="BN18" s="288"/>
      <c r="BO18" s="288"/>
      <c r="BP18" s="288"/>
      <c r="BQ18" s="288"/>
      <c r="BR18" s="288"/>
      <c r="BS18" s="288"/>
      <c r="BT18" s="288"/>
    </row>
    <row r="19" spans="1:72" x14ac:dyDescent="0.2">
      <c r="A19" s="2" t="s">
        <v>705</v>
      </c>
      <c r="B19" s="2"/>
      <c r="C19" s="2" t="s">
        <v>14</v>
      </c>
      <c r="D19" s="2" t="s">
        <v>15</v>
      </c>
      <c r="E19" s="2" t="s">
        <v>16</v>
      </c>
      <c r="F19" s="2" t="s">
        <v>17</v>
      </c>
      <c r="G19" s="2" t="s">
        <v>18</v>
      </c>
      <c r="H19" s="2" t="s">
        <v>19</v>
      </c>
      <c r="I19" s="2" t="s">
        <v>20</v>
      </c>
      <c r="J19" s="2" t="s">
        <v>21</v>
      </c>
      <c r="K19" s="2" t="s">
        <v>22</v>
      </c>
      <c r="L19" s="2" t="s">
        <v>23</v>
      </c>
      <c r="M19" s="2" t="s">
        <v>24</v>
      </c>
      <c r="N19" s="2" t="s">
        <v>25</v>
      </c>
      <c r="O19" s="2">
        <v>2027</v>
      </c>
      <c r="P19" s="288"/>
      <c r="Q19" s="288"/>
      <c r="R19" s="288"/>
      <c r="S19" s="288"/>
      <c r="T19" s="288"/>
      <c r="U19" s="288"/>
      <c r="V19" s="288"/>
      <c r="W19" s="288"/>
      <c r="X19" s="288"/>
      <c r="Y19" s="288"/>
      <c r="Z19" s="288"/>
      <c r="AA19" s="288"/>
      <c r="AB19" s="288"/>
      <c r="AC19" s="288"/>
      <c r="AD19" s="288"/>
      <c r="AE19" s="288"/>
      <c r="AF19" s="288"/>
      <c r="AG19" s="288"/>
      <c r="AH19" s="288"/>
      <c r="AI19" s="288"/>
      <c r="AJ19" s="288"/>
      <c r="AK19" s="288"/>
      <c r="AL19" s="288"/>
      <c r="AM19" s="288"/>
      <c r="AN19" s="288"/>
      <c r="AO19" s="288"/>
      <c r="AP19" s="288"/>
      <c r="AQ19" s="288"/>
      <c r="AR19" s="288"/>
      <c r="AS19" s="288"/>
      <c r="AT19" s="288"/>
      <c r="AU19" s="288"/>
      <c r="AV19" s="288"/>
      <c r="AW19" s="288"/>
      <c r="AX19" s="288"/>
      <c r="AY19" s="288"/>
      <c r="AZ19" s="288"/>
      <c r="BA19" s="288"/>
      <c r="BB19" s="288"/>
      <c r="BC19" s="288"/>
      <c r="BD19" s="288"/>
      <c r="BE19" s="288"/>
      <c r="BF19" s="288"/>
      <c r="BG19" s="288"/>
      <c r="BH19" s="288"/>
      <c r="BI19" s="288"/>
      <c r="BJ19" s="288"/>
      <c r="BK19" s="288"/>
      <c r="BL19" s="288"/>
      <c r="BM19" s="288"/>
      <c r="BN19" s="288"/>
      <c r="BO19" s="288"/>
      <c r="BP19" s="288"/>
      <c r="BQ19" s="288"/>
      <c r="BR19" s="288"/>
      <c r="BS19" s="288"/>
      <c r="BT19" s="288"/>
    </row>
    <row r="20" spans="1:72" x14ac:dyDescent="0.2">
      <c r="A20" s="7" t="s">
        <v>702</v>
      </c>
      <c r="B20" s="11"/>
      <c r="C20" s="286">
        <f>'Content factory'!C35</f>
        <v>-1.5725800000000001</v>
      </c>
      <c r="D20" s="286">
        <f>'Content factory'!D35</f>
        <v>-3.3871470000000001</v>
      </c>
      <c r="E20" s="286">
        <f>'Content factory'!E35</f>
        <v>-4.3215880000000002</v>
      </c>
      <c r="F20" s="286">
        <f>'Content factory'!F35</f>
        <v>-5.3287750000000003</v>
      </c>
      <c r="G20" s="286">
        <f>'Content factory'!G35</f>
        <v>-6.4955749999999997</v>
      </c>
      <c r="H20" s="286">
        <f>'Content factory'!H35</f>
        <v>-6.6178720000000002</v>
      </c>
      <c r="I20" s="286">
        <f>'Content factory'!I35</f>
        <v>-6.4108660000000004</v>
      </c>
      <c r="J20" s="286">
        <f>'Content factory'!J35</f>
        <v>-5.7607999999999997</v>
      </c>
      <c r="K20" s="286">
        <f>'Content factory'!K35</f>
        <v>-6.2377289999999999</v>
      </c>
      <c r="L20" s="286">
        <f>'Content factory'!L35</f>
        <v>-6.5958379999999996</v>
      </c>
      <c r="M20" s="286">
        <f>'Content factory'!M35</f>
        <v>-6.5973519999999999</v>
      </c>
      <c r="N20" s="286">
        <f>'Content factory'!N35</f>
        <v>-7.0823700000000001</v>
      </c>
      <c r="O20" s="8">
        <f>SUM(C20:N20)</f>
        <v>-66.408491999999995</v>
      </c>
      <c r="P20" s="288"/>
      <c r="Q20" s="288"/>
      <c r="R20" s="288"/>
      <c r="S20" s="288"/>
      <c r="T20" s="288"/>
      <c r="U20" s="288"/>
      <c r="V20" s="288"/>
      <c r="W20" s="288"/>
      <c r="X20" s="288"/>
      <c r="Y20" s="288"/>
      <c r="Z20" s="288"/>
      <c r="AA20" s="288"/>
      <c r="AB20" s="288"/>
      <c r="AC20" s="288"/>
      <c r="AD20" s="288"/>
      <c r="AE20" s="288"/>
      <c r="AF20" s="288"/>
      <c r="AG20" s="288"/>
      <c r="AH20" s="288"/>
      <c r="AI20" s="288"/>
      <c r="AJ20" s="288"/>
      <c r="AK20" s="288"/>
      <c r="AL20" s="288"/>
      <c r="AM20" s="288"/>
      <c r="AN20" s="288"/>
      <c r="AO20" s="288"/>
      <c r="AP20" s="288"/>
      <c r="AQ20" s="288"/>
      <c r="AR20" s="288"/>
      <c r="AS20" s="288"/>
      <c r="AT20" s="288"/>
      <c r="AU20" s="288"/>
      <c r="AV20" s="288"/>
      <c r="AW20" s="288"/>
      <c r="AX20" s="288"/>
      <c r="AY20" s="288"/>
      <c r="AZ20" s="288"/>
      <c r="BA20" s="288"/>
      <c r="BB20" s="288"/>
      <c r="BC20" s="288"/>
      <c r="BD20" s="288"/>
      <c r="BE20" s="288"/>
      <c r="BF20" s="288"/>
      <c r="BG20" s="288"/>
      <c r="BH20" s="288"/>
      <c r="BI20" s="288"/>
      <c r="BJ20" s="288"/>
      <c r="BK20" s="288"/>
      <c r="BL20" s="288"/>
      <c r="BM20" s="288"/>
      <c r="BN20" s="288"/>
      <c r="BO20" s="288"/>
      <c r="BP20" s="288"/>
      <c r="BQ20" s="288"/>
      <c r="BR20" s="288"/>
      <c r="BS20" s="288"/>
      <c r="BT20" s="288"/>
    </row>
    <row r="21" spans="1:72" x14ac:dyDescent="0.2">
      <c r="A21" s="288"/>
      <c r="B21" s="288"/>
      <c r="C21" s="288"/>
      <c r="D21" s="288"/>
      <c r="E21" s="288"/>
      <c r="F21" s="288"/>
      <c r="G21" s="288"/>
      <c r="H21" s="288"/>
      <c r="I21" s="288"/>
      <c r="J21" s="288"/>
      <c r="K21" s="288"/>
      <c r="L21" s="288"/>
      <c r="M21" s="288"/>
      <c r="N21" s="288"/>
      <c r="O21" s="288"/>
      <c r="P21" s="288"/>
      <c r="Q21" s="288"/>
      <c r="R21" s="288"/>
      <c r="S21" s="288"/>
      <c r="T21" s="288"/>
      <c r="U21" s="288"/>
      <c r="V21" s="288"/>
      <c r="W21" s="288"/>
      <c r="X21" s="288"/>
      <c r="Y21" s="288"/>
      <c r="Z21" s="288"/>
      <c r="AA21" s="288"/>
      <c r="AB21" s="288"/>
      <c r="AC21" s="288"/>
      <c r="AD21" s="288"/>
      <c r="AE21" s="288"/>
      <c r="AF21" s="288"/>
      <c r="AG21" s="288"/>
      <c r="AH21" s="288"/>
      <c r="AI21" s="288"/>
      <c r="AJ21" s="288"/>
      <c r="AK21" s="288"/>
      <c r="AL21" s="288"/>
      <c r="AM21" s="288"/>
      <c r="AN21" s="288"/>
      <c r="AO21" s="288"/>
      <c r="AP21" s="288"/>
      <c r="AQ21" s="288"/>
      <c r="AR21" s="288"/>
      <c r="AS21" s="288"/>
      <c r="AT21" s="288"/>
      <c r="AU21" s="288"/>
      <c r="AV21" s="288"/>
      <c r="AW21" s="288"/>
      <c r="AX21" s="288"/>
      <c r="AY21" s="288"/>
      <c r="AZ21" s="288"/>
      <c r="BA21" s="288"/>
      <c r="BB21" s="288"/>
      <c r="BC21" s="288"/>
      <c r="BD21" s="288"/>
      <c r="BE21" s="288"/>
      <c r="BF21" s="288"/>
      <c r="BG21" s="288"/>
      <c r="BH21" s="288"/>
      <c r="BI21" s="288"/>
      <c r="BJ21" s="288"/>
      <c r="BK21" s="288"/>
      <c r="BL21" s="288"/>
      <c r="BM21" s="288"/>
      <c r="BN21" s="288"/>
      <c r="BO21" s="288"/>
      <c r="BP21" s="288"/>
      <c r="BQ21" s="288"/>
      <c r="BR21" s="288"/>
      <c r="BS21" s="288"/>
      <c r="BT21" s="288"/>
    </row>
    <row r="22" spans="1:72" x14ac:dyDescent="0.2">
      <c r="A22" s="288" t="s">
        <v>321</v>
      </c>
      <c r="B22" s="288"/>
      <c r="C22" s="288"/>
      <c r="D22" s="288"/>
      <c r="E22" s="288"/>
      <c r="F22" s="288"/>
      <c r="G22" s="288"/>
      <c r="H22" s="288"/>
      <c r="I22" s="288"/>
      <c r="J22" s="288"/>
      <c r="K22" s="288"/>
      <c r="L22" s="288"/>
      <c r="M22" s="288"/>
      <c r="N22" s="288"/>
      <c r="O22" s="288"/>
      <c r="P22" s="288"/>
      <c r="Q22" s="192" t="s">
        <v>632</v>
      </c>
      <c r="R22" s="288"/>
      <c r="S22" s="288"/>
      <c r="T22" s="288"/>
      <c r="U22" s="288"/>
      <c r="V22" s="288"/>
      <c r="W22" s="288"/>
      <c r="X22" s="288"/>
      <c r="Y22" s="288"/>
      <c r="Z22" s="288"/>
      <c r="AA22" s="288"/>
      <c r="AB22" s="288"/>
      <c r="AC22" s="288"/>
      <c r="AD22" s="288"/>
      <c r="AE22" s="288"/>
      <c r="AF22" s="288"/>
      <c r="AG22" s="288"/>
      <c r="AH22" s="288"/>
      <c r="AI22" s="288"/>
      <c r="AJ22" s="288"/>
      <c r="AK22" s="288"/>
      <c r="AL22" s="288"/>
      <c r="AM22" s="288"/>
      <c r="AN22" s="288"/>
      <c r="AO22" s="288"/>
      <c r="AP22" s="288"/>
      <c r="AQ22" s="288"/>
      <c r="AR22" s="288"/>
      <c r="AS22" s="288"/>
      <c r="AT22" s="288"/>
      <c r="AU22" s="288"/>
      <c r="AV22" s="288"/>
      <c r="AW22" s="288"/>
      <c r="AX22" s="288"/>
      <c r="AY22" s="288"/>
      <c r="AZ22" s="288"/>
      <c r="BA22" s="288"/>
      <c r="BB22" s="288"/>
      <c r="BC22" s="288"/>
      <c r="BD22" s="288"/>
      <c r="BE22" s="288"/>
      <c r="BF22" s="288"/>
      <c r="BG22" s="288"/>
      <c r="BH22" s="288"/>
      <c r="BI22" s="288"/>
      <c r="BJ22" s="288"/>
      <c r="BK22" s="288"/>
      <c r="BL22" s="288"/>
      <c r="BM22" s="288"/>
      <c r="BN22" s="288"/>
      <c r="BO22" s="288"/>
      <c r="BP22" s="288"/>
      <c r="BQ22" s="288"/>
      <c r="BR22" s="288"/>
      <c r="BS22" s="288"/>
      <c r="BT22" s="288"/>
    </row>
    <row r="23" spans="1:72" x14ac:dyDescent="0.2">
      <c r="A23" s="2" t="s">
        <v>342</v>
      </c>
      <c r="B23" s="2" t="s">
        <v>343</v>
      </c>
      <c r="C23" s="2" t="s">
        <v>14</v>
      </c>
      <c r="D23" s="2" t="s">
        <v>15</v>
      </c>
      <c r="E23" s="2" t="s">
        <v>16</v>
      </c>
      <c r="F23" s="2" t="s">
        <v>17</v>
      </c>
      <c r="G23" s="2" t="s">
        <v>18</v>
      </c>
      <c r="H23" s="2" t="s">
        <v>19</v>
      </c>
      <c r="I23" s="2" t="s">
        <v>20</v>
      </c>
      <c r="J23" s="2" t="s">
        <v>21</v>
      </c>
      <c r="K23" s="2" t="s">
        <v>22</v>
      </c>
      <c r="L23" s="2" t="s">
        <v>23</v>
      </c>
      <c r="M23" s="2" t="s">
        <v>24</v>
      </c>
      <c r="N23" s="2" t="s">
        <v>25</v>
      </c>
      <c r="O23" s="2" t="s">
        <v>1</v>
      </c>
      <c r="P23" s="2" t="s">
        <v>2</v>
      </c>
      <c r="Q23" s="288"/>
      <c r="R23" s="288"/>
      <c r="S23" s="288"/>
      <c r="T23" s="288"/>
      <c r="U23" s="288"/>
      <c r="V23" s="288"/>
      <c r="W23" s="288"/>
      <c r="X23" s="288"/>
      <c r="Y23" s="288"/>
      <c r="Z23" s="288"/>
      <c r="AA23" s="288"/>
      <c r="AB23" s="288"/>
      <c r="AC23" s="288"/>
      <c r="AD23" s="288"/>
      <c r="AE23" s="288"/>
      <c r="AF23" s="288"/>
      <c r="AG23" s="288"/>
      <c r="AH23" s="288"/>
      <c r="AI23" s="288"/>
      <c r="AJ23" s="288"/>
      <c r="AK23" s="288"/>
      <c r="AL23" s="288"/>
      <c r="AM23" s="288"/>
      <c r="AN23" s="288"/>
      <c r="AO23" s="288"/>
      <c r="AP23" s="288"/>
      <c r="AQ23" s="288"/>
      <c r="AR23" s="288"/>
      <c r="AS23" s="288"/>
      <c r="AT23" s="288"/>
      <c r="AU23" s="288"/>
      <c r="AV23" s="288"/>
      <c r="AW23" s="288"/>
      <c r="AX23" s="288"/>
      <c r="AY23" s="288"/>
      <c r="AZ23" s="288"/>
      <c r="BA23" s="288"/>
      <c r="BB23" s="288"/>
      <c r="BC23" s="288"/>
      <c r="BD23" s="288"/>
      <c r="BE23" s="288"/>
      <c r="BF23" s="288"/>
      <c r="BG23" s="288"/>
      <c r="BH23" s="288"/>
      <c r="BI23" s="288"/>
      <c r="BJ23" s="288"/>
      <c r="BK23" s="288"/>
      <c r="BL23" s="288"/>
      <c r="BM23" s="288"/>
      <c r="BN23" s="288"/>
      <c r="BO23" s="288"/>
      <c r="BP23" s="288"/>
      <c r="BQ23" s="288"/>
      <c r="BR23" s="288"/>
      <c r="BS23" s="288"/>
      <c r="BT23" s="288"/>
    </row>
    <row r="24" spans="1:72" x14ac:dyDescent="0.2">
      <c r="A24" s="95" t="s">
        <v>33</v>
      </c>
      <c r="B24" s="19">
        <v>0.1799</v>
      </c>
      <c r="C24" s="189">
        <f t="shared" ref="C24:N30" si="0">(-AS$16/1000000+C$20)*$B24</f>
        <v>-20.502132028750541</v>
      </c>
      <c r="D24" s="189">
        <f t="shared" si="0"/>
        <v>-20.887498980559474</v>
      </c>
      <c r="E24" s="189">
        <f t="shared" si="0"/>
        <v>-20.996231412908795</v>
      </c>
      <c r="F24" s="189">
        <f t="shared" si="0"/>
        <v>-21.34744545085367</v>
      </c>
      <c r="G24" s="189">
        <f t="shared" si="0"/>
        <v>-21.745961051149781</v>
      </c>
      <c r="H24" s="189">
        <f t="shared" si="0"/>
        <v>-21.199164455070484</v>
      </c>
      <c r="I24" s="189">
        <f t="shared" si="0"/>
        <v>-21.729055820179415</v>
      </c>
      <c r="J24" s="189">
        <f t="shared" si="0"/>
        <v>-18.508763138102918</v>
      </c>
      <c r="K24" s="189">
        <f t="shared" si="0"/>
        <v>-21.560111790764566</v>
      </c>
      <c r="L24" s="189">
        <f t="shared" si="0"/>
        <v>-23.021618076732</v>
      </c>
      <c r="M24" s="189">
        <f t="shared" si="0"/>
        <v>-23.030414307374834</v>
      </c>
      <c r="N24" s="189">
        <f t="shared" si="0"/>
        <v>-23.873295781887872</v>
      </c>
      <c r="O24" s="189">
        <f>SUM(C24:N24)</f>
        <v>-258.40169229433434</v>
      </c>
      <c r="P24" s="4">
        <v>-201.50085205600007</v>
      </c>
      <c r="Q24" s="288"/>
      <c r="R24" s="288"/>
      <c r="S24" s="288"/>
      <c r="T24" s="288"/>
      <c r="U24" s="288"/>
      <c r="V24" s="288"/>
      <c r="W24" s="288"/>
      <c r="X24" s="288"/>
      <c r="Y24" s="288"/>
      <c r="Z24" s="288"/>
      <c r="AA24" s="288"/>
      <c r="AB24" s="288"/>
      <c r="AC24" s="288"/>
      <c r="AD24" s="288"/>
      <c r="AE24" s="288"/>
      <c r="AF24" s="288"/>
      <c r="AG24" s="288"/>
      <c r="AH24" s="288"/>
      <c r="AI24" s="288"/>
      <c r="AJ24" s="288"/>
      <c r="AK24" s="288"/>
      <c r="AL24" s="288"/>
      <c r="AM24" s="288"/>
      <c r="AN24" s="288"/>
      <c r="AO24" s="288"/>
      <c r="AP24" s="288"/>
      <c r="AQ24" s="288"/>
      <c r="AR24" s="288"/>
      <c r="AS24" s="288"/>
      <c r="AT24" s="288"/>
      <c r="AU24" s="288"/>
      <c r="AV24" s="288"/>
      <c r="AW24" s="288"/>
      <c r="AX24" s="288"/>
      <c r="AY24" s="288"/>
      <c r="AZ24" s="288"/>
      <c r="BA24" s="288"/>
      <c r="BB24" s="288"/>
      <c r="BC24" s="288"/>
      <c r="BD24" s="288"/>
      <c r="BE24" s="288"/>
      <c r="BF24" s="288"/>
      <c r="BG24" s="288"/>
      <c r="BH24" s="288"/>
      <c r="BI24" s="288"/>
      <c r="BJ24" s="288"/>
      <c r="BK24" s="288"/>
      <c r="BL24" s="288"/>
      <c r="BM24" s="288"/>
      <c r="BN24" s="288"/>
      <c r="BO24" s="288"/>
      <c r="BP24" s="288"/>
      <c r="BQ24" s="288"/>
      <c r="BR24" s="288"/>
      <c r="BS24" s="288"/>
      <c r="BT24" s="288"/>
    </row>
    <row r="25" spans="1:72" x14ac:dyDescent="0.2">
      <c r="A25" s="95" t="s">
        <v>34</v>
      </c>
      <c r="B25" s="19">
        <v>0</v>
      </c>
      <c r="C25" s="189">
        <f t="shared" si="0"/>
        <v>0</v>
      </c>
      <c r="D25" s="189">
        <f t="shared" si="0"/>
        <v>0</v>
      </c>
      <c r="E25" s="189">
        <f t="shared" si="0"/>
        <v>0</v>
      </c>
      <c r="F25" s="189">
        <f t="shared" si="0"/>
        <v>0</v>
      </c>
      <c r="G25" s="189">
        <f t="shared" si="0"/>
        <v>0</v>
      </c>
      <c r="H25" s="189">
        <f t="shared" si="0"/>
        <v>0</v>
      </c>
      <c r="I25" s="189">
        <f t="shared" si="0"/>
        <v>0</v>
      </c>
      <c r="J25" s="189">
        <f t="shared" si="0"/>
        <v>0</v>
      </c>
      <c r="K25" s="189">
        <f t="shared" si="0"/>
        <v>0</v>
      </c>
      <c r="L25" s="189">
        <f t="shared" si="0"/>
        <v>0</v>
      </c>
      <c r="M25" s="189">
        <f t="shared" si="0"/>
        <v>0</v>
      </c>
      <c r="N25" s="189">
        <f t="shared" si="0"/>
        <v>0</v>
      </c>
      <c r="O25" s="189">
        <f t="shared" ref="O25:O30" si="1">SUM(C25:N25)</f>
        <v>0</v>
      </c>
      <c r="P25" s="4">
        <v>0</v>
      </c>
      <c r="Q25" s="288"/>
      <c r="R25" s="288"/>
      <c r="S25" s="288"/>
      <c r="T25" s="288"/>
      <c r="U25" s="288"/>
      <c r="V25" s="288"/>
      <c r="W25" s="288"/>
      <c r="X25" s="288"/>
      <c r="Y25" s="288"/>
      <c r="Z25" s="288"/>
      <c r="AA25" s="288"/>
      <c r="AB25" s="288"/>
      <c r="AC25" s="288"/>
      <c r="AD25" s="288"/>
      <c r="AE25" s="288"/>
      <c r="AF25" s="288"/>
      <c r="AG25" s="288"/>
      <c r="AH25" s="288"/>
      <c r="AI25" s="288"/>
      <c r="AJ25" s="288"/>
      <c r="AK25" s="288"/>
      <c r="AL25" s="288"/>
      <c r="AM25" s="288"/>
      <c r="AN25" s="288"/>
      <c r="AO25" s="288"/>
      <c r="AP25" s="288"/>
      <c r="AQ25" s="288"/>
      <c r="AR25" s="288"/>
      <c r="AS25" s="288"/>
      <c r="AT25" s="288"/>
      <c r="AU25" s="288"/>
      <c r="AV25" s="288"/>
      <c r="AW25" s="288"/>
      <c r="AX25" s="288"/>
      <c r="AY25" s="288"/>
      <c r="AZ25" s="288"/>
      <c r="BA25" s="288"/>
      <c r="BB25" s="288"/>
      <c r="BC25" s="288"/>
      <c r="BD25" s="288"/>
      <c r="BE25" s="288"/>
      <c r="BF25" s="288"/>
      <c r="BG25" s="288"/>
      <c r="BH25" s="288"/>
      <c r="BI25" s="288"/>
      <c r="BJ25" s="288"/>
      <c r="BK25" s="288"/>
      <c r="BL25" s="288"/>
      <c r="BM25" s="288"/>
      <c r="BN25" s="288"/>
      <c r="BO25" s="288"/>
      <c r="BP25" s="288"/>
      <c r="BQ25" s="288"/>
      <c r="BR25" s="288"/>
      <c r="BS25" s="288"/>
      <c r="BT25" s="288"/>
    </row>
    <row r="26" spans="1:72" x14ac:dyDescent="0.2">
      <c r="A26" s="95" t="s">
        <v>366</v>
      </c>
      <c r="B26" s="19">
        <v>0.62519999999999998</v>
      </c>
      <c r="C26" s="189">
        <f t="shared" si="0"/>
        <v>-71.250322092133615</v>
      </c>
      <c r="D26" s="189">
        <f t="shared" si="0"/>
        <v>-72.589574000254487</v>
      </c>
      <c r="E26" s="189">
        <f t="shared" si="0"/>
        <v>-72.967447911898702</v>
      </c>
      <c r="F26" s="189">
        <f t="shared" si="0"/>
        <v>-74.188009426757716</v>
      </c>
      <c r="G26" s="189">
        <f t="shared" si="0"/>
        <v>-75.5729563600825</v>
      </c>
      <c r="H26" s="189">
        <f t="shared" si="0"/>
        <v>-73.672693814953121</v>
      </c>
      <c r="I26" s="189">
        <f t="shared" si="0"/>
        <v>-75.514206218878101</v>
      </c>
      <c r="J26" s="189">
        <f t="shared" si="0"/>
        <v>-64.322838876831256</v>
      </c>
      <c r="K26" s="189">
        <f t="shared" si="0"/>
        <v>-74.92708110942749</v>
      </c>
      <c r="L26" s="189">
        <f t="shared" si="0"/>
        <v>-80.006201342817377</v>
      </c>
      <c r="M26" s="189">
        <f t="shared" si="0"/>
        <v>-80.036770566819044</v>
      </c>
      <c r="N26" s="189">
        <f t="shared" si="0"/>
        <v>-82.966006241446891</v>
      </c>
      <c r="O26" s="189">
        <f t="shared" si="1"/>
        <v>-898.01410796230027</v>
      </c>
      <c r="P26" s="4">
        <v>-700.2686642880002</v>
      </c>
      <c r="Q26" s="288"/>
      <c r="R26" s="288"/>
      <c r="S26" s="288"/>
      <c r="T26" s="288"/>
      <c r="U26" s="288"/>
      <c r="V26" s="288"/>
      <c r="W26" s="288"/>
      <c r="X26" s="288"/>
      <c r="Y26" s="288"/>
      <c r="Z26" s="288"/>
      <c r="AA26" s="288"/>
      <c r="AB26" s="288"/>
      <c r="AC26" s="288"/>
      <c r="AD26" s="288"/>
      <c r="AE26" s="288"/>
      <c r="AF26" s="288"/>
      <c r="AG26" s="288"/>
      <c r="AH26" s="288"/>
      <c r="AI26" s="288"/>
      <c r="AJ26" s="288"/>
      <c r="AK26" s="288"/>
      <c r="AL26" s="288"/>
      <c r="AM26" s="288"/>
      <c r="AN26" s="288"/>
      <c r="AO26" s="288"/>
      <c r="AP26" s="288"/>
      <c r="AQ26" s="288"/>
      <c r="AR26" s="288"/>
      <c r="AS26" s="288"/>
      <c r="AT26" s="288"/>
      <c r="AU26" s="288"/>
      <c r="AV26" s="288"/>
      <c r="AW26" s="288"/>
      <c r="AX26" s="288"/>
      <c r="AY26" s="288"/>
      <c r="AZ26" s="288"/>
      <c r="BA26" s="288"/>
      <c r="BB26" s="288"/>
      <c r="BC26" s="288"/>
      <c r="BD26" s="288"/>
      <c r="BE26" s="288"/>
      <c r="BF26" s="288"/>
      <c r="BG26" s="288"/>
      <c r="BH26" s="288"/>
      <c r="BI26" s="288"/>
      <c r="BJ26" s="288"/>
      <c r="BK26" s="288"/>
      <c r="BL26" s="288"/>
      <c r="BM26" s="288"/>
      <c r="BN26" s="288"/>
      <c r="BO26" s="288"/>
      <c r="BP26" s="288"/>
      <c r="BQ26" s="288"/>
      <c r="BR26" s="288"/>
      <c r="BS26" s="288"/>
      <c r="BT26" s="288"/>
    </row>
    <row r="27" spans="1:72" x14ac:dyDescent="0.2">
      <c r="A27" s="95" t="s">
        <v>367</v>
      </c>
      <c r="B27" s="19">
        <v>2.3599999999999999E-2</v>
      </c>
      <c r="C27" s="189">
        <f t="shared" si="0"/>
        <v>-2.6895515057171355</v>
      </c>
      <c r="D27" s="189">
        <f t="shared" si="0"/>
        <v>-2.7401054804958509</v>
      </c>
      <c r="E27" s="189">
        <f t="shared" si="0"/>
        <v>-2.7543694349341163</v>
      </c>
      <c r="F27" s="189">
        <f t="shared" si="0"/>
        <v>-2.8004430941642391</v>
      </c>
      <c r="G27" s="189">
        <f t="shared" si="0"/>
        <v>-2.8527219611291543</v>
      </c>
      <c r="H27" s="189">
        <f t="shared" si="0"/>
        <v>-2.7809910013322034</v>
      </c>
      <c r="I27" s="189">
        <f t="shared" si="0"/>
        <v>-2.8505042654598896</v>
      </c>
      <c r="J27" s="189">
        <f t="shared" si="0"/>
        <v>-2.428053418895102</v>
      </c>
      <c r="K27" s="189">
        <f t="shared" si="0"/>
        <v>-2.8283415134076915</v>
      </c>
      <c r="L27" s="189">
        <f t="shared" si="0"/>
        <v>-3.0200677410276553</v>
      </c>
      <c r="M27" s="189">
        <f t="shared" si="0"/>
        <v>-3.0212216656700726</v>
      </c>
      <c r="N27" s="189">
        <f t="shared" si="0"/>
        <v>-3.1317942215261465</v>
      </c>
      <c r="O27" s="189">
        <f t="shared" si="1"/>
        <v>-33.898165303759264</v>
      </c>
      <c r="P27" s="4">
        <v>-26.433685984000007</v>
      </c>
      <c r="Q27" s="288"/>
      <c r="R27" s="288"/>
      <c r="S27" s="288"/>
      <c r="T27" s="288"/>
      <c r="U27" s="288"/>
      <c r="V27" s="288"/>
      <c r="W27" s="288"/>
      <c r="X27" s="288"/>
      <c r="Y27" s="288"/>
      <c r="Z27" s="288"/>
      <c r="AA27" s="288"/>
      <c r="AB27" s="288"/>
      <c r="AC27" s="288"/>
      <c r="AD27" s="288"/>
      <c r="AE27" s="288"/>
      <c r="AF27" s="288"/>
      <c r="AG27" s="288"/>
      <c r="AH27" s="288"/>
      <c r="AI27" s="288"/>
      <c r="AJ27" s="288"/>
      <c r="AK27" s="288"/>
      <c r="AL27" s="288"/>
      <c r="AM27" s="288"/>
      <c r="AN27" s="288"/>
      <c r="AO27" s="288"/>
      <c r="AP27" s="288"/>
      <c r="AQ27" s="288"/>
      <c r="AR27" s="288"/>
      <c r="AS27" s="288"/>
      <c r="AT27" s="288"/>
      <c r="AU27" s="288"/>
      <c r="AV27" s="288"/>
      <c r="AW27" s="288"/>
      <c r="AX27" s="288"/>
      <c r="AY27" s="288"/>
      <c r="AZ27" s="288"/>
      <c r="BA27" s="288"/>
      <c r="BB27" s="288"/>
      <c r="BC27" s="288"/>
      <c r="BD27" s="288"/>
      <c r="BE27" s="288"/>
      <c r="BF27" s="288"/>
      <c r="BG27" s="288"/>
      <c r="BH27" s="288"/>
      <c r="BI27" s="288"/>
      <c r="BJ27" s="288"/>
      <c r="BK27" s="288"/>
      <c r="BL27" s="288"/>
      <c r="BM27" s="288"/>
      <c r="BN27" s="288"/>
      <c r="BO27" s="288"/>
      <c r="BP27" s="288"/>
      <c r="BQ27" s="288"/>
      <c r="BR27" s="288"/>
      <c r="BS27" s="288"/>
      <c r="BT27" s="288"/>
    </row>
    <row r="28" spans="1:72" x14ac:dyDescent="0.2">
      <c r="A28" s="95" t="s">
        <v>368</v>
      </c>
      <c r="B28" s="19">
        <v>4.0500000000000001E-2</v>
      </c>
      <c r="C28" s="189">
        <f t="shared" si="0"/>
        <v>-4.6155438975230512</v>
      </c>
      <c r="D28" s="189">
        <f t="shared" si="0"/>
        <v>-4.7022996593255071</v>
      </c>
      <c r="E28" s="189">
        <f t="shared" si="0"/>
        <v>-4.7267780557132086</v>
      </c>
      <c r="F28" s="189">
        <f t="shared" si="0"/>
        <v>-4.8058451404089695</v>
      </c>
      <c r="G28" s="189">
        <f t="shared" si="0"/>
        <v>-4.8955609926157102</v>
      </c>
      <c r="H28" s="189">
        <f t="shared" si="0"/>
        <v>-4.7724633709302644</v>
      </c>
      <c r="I28" s="189">
        <f t="shared" si="0"/>
        <v>-4.8917552013188788</v>
      </c>
      <c r="J28" s="189">
        <f t="shared" si="0"/>
        <v>-4.1667865875106624</v>
      </c>
      <c r="K28" s="189">
        <f t="shared" si="0"/>
        <v>-4.8537216649581154</v>
      </c>
      <c r="L28" s="189">
        <f t="shared" si="0"/>
        <v>-5.1827433691364426</v>
      </c>
      <c r="M28" s="189">
        <f t="shared" si="0"/>
        <v>-5.1847236211710994</v>
      </c>
      <c r="N28" s="189">
        <f t="shared" si="0"/>
        <v>-5.3744773716868197</v>
      </c>
      <c r="O28" s="189">
        <f t="shared" si="1"/>
        <v>-58.172698932298729</v>
      </c>
      <c r="P28" s="4">
        <v>-45.362893320000019</v>
      </c>
      <c r="Q28" s="288"/>
      <c r="R28" s="288"/>
      <c r="S28" s="288"/>
      <c r="T28" s="288"/>
      <c r="U28" s="288"/>
      <c r="V28" s="288"/>
      <c r="W28" s="288"/>
      <c r="X28" s="288"/>
      <c r="Y28" s="288"/>
      <c r="Z28" s="288"/>
      <c r="AA28" s="288"/>
      <c r="AB28" s="288"/>
      <c r="AC28" s="288"/>
      <c r="AD28" s="288"/>
      <c r="AE28" s="288"/>
      <c r="AF28" s="288"/>
      <c r="AG28" s="288"/>
      <c r="AH28" s="288"/>
      <c r="AI28" s="288"/>
      <c r="AJ28" s="288"/>
      <c r="AK28" s="288"/>
      <c r="AL28" s="288"/>
      <c r="AM28" s="288"/>
      <c r="AN28" s="288"/>
      <c r="AO28" s="288"/>
      <c r="AP28" s="288"/>
      <c r="AQ28" s="288"/>
      <c r="AR28" s="288"/>
      <c r="AS28" s="288"/>
      <c r="AT28" s="288"/>
      <c r="AU28" s="288"/>
      <c r="AV28" s="288"/>
      <c r="AW28" s="288"/>
      <c r="AX28" s="288"/>
      <c r="AY28" s="288"/>
      <c r="AZ28" s="288"/>
      <c r="BA28" s="288"/>
      <c r="BB28" s="288"/>
      <c r="BC28" s="288"/>
      <c r="BD28" s="288"/>
      <c r="BE28" s="288"/>
      <c r="BF28" s="288"/>
      <c r="BG28" s="288"/>
      <c r="BH28" s="288"/>
      <c r="BI28" s="288"/>
      <c r="BJ28" s="288"/>
      <c r="BK28" s="288"/>
      <c r="BL28" s="288"/>
      <c r="BM28" s="288"/>
      <c r="BN28" s="288"/>
      <c r="BO28" s="288"/>
      <c r="BP28" s="288"/>
      <c r="BQ28" s="288"/>
      <c r="BR28" s="288"/>
      <c r="BS28" s="288"/>
      <c r="BT28" s="288"/>
    </row>
    <row r="29" spans="1:72" x14ac:dyDescent="0.2">
      <c r="A29" s="95" t="s">
        <v>35</v>
      </c>
      <c r="B29" s="19">
        <v>0.1014</v>
      </c>
      <c r="C29" s="189">
        <f t="shared" si="0"/>
        <v>-11.55595435083549</v>
      </c>
      <c r="D29" s="189">
        <f t="shared" si="0"/>
        <v>-11.773165072977935</v>
      </c>
      <c r="E29" s="189">
        <f t="shared" si="0"/>
        <v>-11.834451724674551</v>
      </c>
      <c r="F29" s="189">
        <f t="shared" si="0"/>
        <v>-12.032412277468383</v>
      </c>
      <c r="G29" s="189">
        <f t="shared" si="0"/>
        <v>-12.257034188919333</v>
      </c>
      <c r="H29" s="189">
        <f t="shared" si="0"/>
        <v>-11.948834217588367</v>
      </c>
      <c r="I29" s="189">
        <f t="shared" si="0"/>
        <v>-12.247505615153933</v>
      </c>
      <c r="J29" s="189">
        <f t="shared" si="0"/>
        <v>-10.432399011693361</v>
      </c>
      <c r="K29" s="189">
        <f t="shared" si="0"/>
        <v>-12.15228090930254</v>
      </c>
      <c r="L29" s="189">
        <f t="shared" si="0"/>
        <v>-12.976053768652724</v>
      </c>
      <c r="M29" s="189">
        <f t="shared" si="0"/>
        <v>-12.981011733006159</v>
      </c>
      <c r="N29" s="189">
        <f t="shared" si="0"/>
        <v>-13.456098900964037</v>
      </c>
      <c r="O29" s="189">
        <f t="shared" si="1"/>
        <v>-145.64720177123684</v>
      </c>
      <c r="P29" s="4">
        <v>-113.57524401600004</v>
      </c>
      <c r="Q29" s="288"/>
      <c r="R29" s="288"/>
      <c r="S29" s="288"/>
      <c r="T29" s="288"/>
      <c r="U29" s="288"/>
      <c r="V29" s="288"/>
      <c r="W29" s="288"/>
      <c r="X29" s="288"/>
      <c r="Y29" s="288"/>
      <c r="Z29" s="288"/>
      <c r="AA29" s="288"/>
      <c r="AB29" s="288"/>
      <c r="AC29" s="288"/>
      <c r="AD29" s="288"/>
      <c r="AE29" s="288"/>
      <c r="AF29" s="288"/>
      <c r="AG29" s="288"/>
      <c r="AH29" s="288"/>
      <c r="AI29" s="288"/>
      <c r="AJ29" s="288"/>
      <c r="AK29" s="288"/>
      <c r="AL29" s="288"/>
      <c r="AM29" s="288"/>
      <c r="AN29" s="288"/>
      <c r="AO29" s="288"/>
      <c r="AP29" s="288"/>
      <c r="AQ29" s="288"/>
      <c r="AR29" s="288"/>
      <c r="AS29" s="288"/>
      <c r="AT29" s="288"/>
      <c r="AU29" s="288"/>
      <c r="AV29" s="288"/>
      <c r="AW29" s="288"/>
      <c r="AX29" s="288"/>
      <c r="AY29" s="288"/>
      <c r="AZ29" s="288"/>
      <c r="BA29" s="288"/>
      <c r="BB29" s="288"/>
      <c r="BC29" s="288"/>
      <c r="BD29" s="288"/>
      <c r="BE29" s="288"/>
      <c r="BF29" s="288"/>
      <c r="BG29" s="288"/>
      <c r="BH29" s="288"/>
      <c r="BI29" s="288"/>
      <c r="BJ29" s="288"/>
      <c r="BK29" s="288"/>
      <c r="BL29" s="288"/>
      <c r="BM29" s="288"/>
      <c r="BN29" s="288"/>
      <c r="BO29" s="288"/>
      <c r="BP29" s="288"/>
      <c r="BQ29" s="288"/>
      <c r="BR29" s="288"/>
      <c r="BS29" s="288"/>
      <c r="BT29" s="288"/>
    </row>
    <row r="30" spans="1:72" x14ac:dyDescent="0.2">
      <c r="A30" s="95" t="s">
        <v>36</v>
      </c>
      <c r="B30" s="19">
        <v>2.9399999999999999E-2</v>
      </c>
      <c r="C30" s="189">
        <f t="shared" si="0"/>
        <v>-3.3505429774611777</v>
      </c>
      <c r="D30" s="189">
        <f t="shared" si="0"/>
        <v>-3.4135212341770345</v>
      </c>
      <c r="E30" s="189">
        <f t="shared" si="0"/>
        <v>-3.4312907367399585</v>
      </c>
      <c r="F30" s="189">
        <f t="shared" si="0"/>
        <v>-3.4886875834079927</v>
      </c>
      <c r="G30" s="189">
        <f t="shared" si="0"/>
        <v>-3.553814646491404</v>
      </c>
      <c r="H30" s="189">
        <f t="shared" si="0"/>
        <v>-3.4644548914901176</v>
      </c>
      <c r="I30" s="189">
        <f t="shared" si="0"/>
        <v>-3.5510519239203711</v>
      </c>
      <c r="J30" s="189">
        <f t="shared" si="0"/>
        <v>-3.0247784116744065</v>
      </c>
      <c r="K30" s="189">
        <f t="shared" si="0"/>
        <v>-3.5234423938214463</v>
      </c>
      <c r="L30" s="189">
        <f t="shared" si="0"/>
        <v>-3.762287779076825</v>
      </c>
      <c r="M30" s="189">
        <f t="shared" si="0"/>
        <v>-3.7637252953686495</v>
      </c>
      <c r="N30" s="189">
        <f t="shared" si="0"/>
        <v>-3.901472462409691</v>
      </c>
      <c r="O30" s="189">
        <f t="shared" si="1"/>
        <v>-42.229070336039086</v>
      </c>
      <c r="P30" s="4">
        <v>-32.93010033600001</v>
      </c>
      <c r="Q30" s="288"/>
      <c r="R30" s="288"/>
      <c r="S30" s="288"/>
      <c r="T30" s="288"/>
      <c r="U30" s="288"/>
      <c r="V30" s="288"/>
      <c r="W30" s="288"/>
      <c r="X30" s="288"/>
      <c r="Y30" s="288"/>
      <c r="Z30" s="288"/>
      <c r="AA30" s="288"/>
      <c r="AB30" s="288"/>
      <c r="AC30" s="288"/>
      <c r="AD30" s="288"/>
      <c r="AE30" s="288"/>
      <c r="AF30" s="288"/>
      <c r="AG30" s="288"/>
      <c r="AH30" s="288"/>
      <c r="AI30" s="288"/>
      <c r="AJ30" s="288"/>
      <c r="AK30" s="288"/>
      <c r="AL30" s="288"/>
      <c r="AM30" s="288"/>
      <c r="AN30" s="288"/>
      <c r="AO30" s="288"/>
      <c r="AP30" s="288"/>
      <c r="AQ30" s="288"/>
      <c r="AR30" s="288"/>
      <c r="AS30" s="288"/>
      <c r="AT30" s="288"/>
      <c r="AU30" s="288"/>
      <c r="AV30" s="288"/>
      <c r="AW30" s="288"/>
      <c r="AX30" s="288"/>
      <c r="AY30" s="288"/>
      <c r="AZ30" s="288"/>
      <c r="BA30" s="288"/>
      <c r="BB30" s="288"/>
      <c r="BC30" s="288"/>
      <c r="BD30" s="288"/>
      <c r="BE30" s="288"/>
      <c r="BF30" s="288"/>
      <c r="BG30" s="288"/>
      <c r="BH30" s="288"/>
      <c r="BI30" s="288"/>
      <c r="BJ30" s="288"/>
      <c r="BK30" s="288"/>
      <c r="BL30" s="288"/>
      <c r="BM30" s="288"/>
      <c r="BN30" s="288"/>
      <c r="BO30" s="288"/>
      <c r="BP30" s="288"/>
      <c r="BQ30" s="288"/>
      <c r="BR30" s="288"/>
      <c r="BS30" s="288"/>
      <c r="BT30" s="288"/>
    </row>
    <row r="31" spans="1:72" x14ac:dyDescent="0.2">
      <c r="A31" s="7" t="s">
        <v>344</v>
      </c>
      <c r="B31" s="11">
        <f t="shared" ref="B31:N31" si="2">SUM(B24:B30)</f>
        <v>0.99999999999999989</v>
      </c>
      <c r="C31" s="8">
        <f t="shared" si="2"/>
        <v>-113.96404685242101</v>
      </c>
      <c r="D31" s="8">
        <f t="shared" si="2"/>
        <v>-116.10616442779029</v>
      </c>
      <c r="E31" s="8">
        <f t="shared" si="2"/>
        <v>-116.71056927686934</v>
      </c>
      <c r="F31" s="8">
        <f t="shared" si="2"/>
        <v>-118.66284297306098</v>
      </c>
      <c r="G31" s="8">
        <f t="shared" si="2"/>
        <v>-120.87804920038788</v>
      </c>
      <c r="H31" s="8">
        <f t="shared" si="2"/>
        <v>-117.83860175136456</v>
      </c>
      <c r="I31" s="8">
        <f t="shared" si="2"/>
        <v>-120.78407904491058</v>
      </c>
      <c r="J31" s="8">
        <f t="shared" si="2"/>
        <v>-102.8836194447077</v>
      </c>
      <c r="K31" s="8">
        <f t="shared" si="2"/>
        <v>-119.84497938168185</v>
      </c>
      <c r="L31" s="8">
        <f t="shared" si="2"/>
        <v>-127.96897207744303</v>
      </c>
      <c r="M31" s="8">
        <f t="shared" si="2"/>
        <v>-128.01786718940986</v>
      </c>
      <c r="N31" s="8">
        <f t="shared" si="2"/>
        <v>-132.70314497992146</v>
      </c>
      <c r="O31" s="8">
        <f t="shared" ref="O31" si="3">SUM(C31:N31)</f>
        <v>-1436.3629365999684</v>
      </c>
      <c r="P31" s="8">
        <v>-1120.0714400000002</v>
      </c>
      <c r="Q31" s="288"/>
      <c r="R31" s="288"/>
      <c r="S31" s="288"/>
      <c r="T31" s="288"/>
      <c r="U31" s="288"/>
      <c r="V31" s="288"/>
      <c r="W31" s="288"/>
      <c r="X31" s="288"/>
      <c r="Y31" s="288"/>
      <c r="Z31" s="288"/>
      <c r="AA31" s="288"/>
      <c r="AB31" s="288"/>
      <c r="AC31" s="288"/>
      <c r="AD31" s="288"/>
      <c r="AE31" s="288"/>
      <c r="AF31" s="288"/>
      <c r="AG31" s="288"/>
      <c r="AH31" s="288"/>
      <c r="AI31" s="288"/>
      <c r="AJ31" s="288"/>
      <c r="AK31" s="288"/>
      <c r="AL31" s="288"/>
      <c r="AM31" s="288"/>
      <c r="AN31" s="288"/>
      <c r="AO31" s="288"/>
      <c r="AP31" s="288"/>
      <c r="AQ31" s="288"/>
      <c r="AR31" s="288"/>
      <c r="AS31" s="288"/>
      <c r="AT31" s="288"/>
      <c r="AU31" s="288"/>
      <c r="AV31" s="288"/>
      <c r="AW31" s="288"/>
      <c r="AX31" s="288"/>
      <c r="AY31" s="288"/>
      <c r="AZ31" s="288"/>
      <c r="BA31" s="288"/>
      <c r="BB31" s="288"/>
      <c r="BC31" s="288"/>
      <c r="BD31" s="288"/>
      <c r="BE31" s="288"/>
      <c r="BF31" s="288"/>
      <c r="BG31" s="288"/>
      <c r="BH31" s="288"/>
      <c r="BI31" s="288"/>
      <c r="BJ31" s="288"/>
      <c r="BK31" s="288"/>
      <c r="BL31" s="288"/>
      <c r="BM31" s="288"/>
      <c r="BN31" s="288"/>
      <c r="BO31" s="288"/>
      <c r="BP31" s="288"/>
      <c r="BQ31" s="288"/>
      <c r="BR31" s="288"/>
      <c r="BS31" s="288"/>
      <c r="BT31" s="288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9C6B2-7DA6-4C52-94DE-81F8FEA8CDC3}">
  <sheetPr>
    <tabColor theme="7" tint="-0.249977111117893"/>
  </sheetPr>
  <dimension ref="B1:AK40"/>
  <sheetViews>
    <sheetView showGridLines="0" zoomScaleNormal="100" workbookViewId="0"/>
  </sheetViews>
  <sheetFormatPr baseColWidth="10" defaultColWidth="8.83203125" defaultRowHeight="13" outlineLevelCol="1" x14ac:dyDescent="0.15"/>
  <cols>
    <col min="1" max="1" width="8.83203125" style="47"/>
    <col min="2" max="2" width="15.1640625" style="47" customWidth="1"/>
    <col min="3" max="4" width="23.83203125" style="47" customWidth="1"/>
    <col min="5" max="5" width="19.5" style="47" customWidth="1"/>
    <col min="6" max="6" width="8.83203125" style="47" customWidth="1" outlineLevel="1"/>
    <col min="7" max="7" width="9.33203125" style="47" customWidth="1" outlineLevel="1"/>
    <col min="8" max="17" width="8.83203125" style="47" customWidth="1" outlineLevel="1"/>
    <col min="18" max="19" width="8.83203125" style="47"/>
    <col min="20" max="20" width="2.5" style="47" customWidth="1"/>
    <col min="21" max="21" width="8.83203125" style="47"/>
    <col min="22" max="22" width="2.5" style="47" customWidth="1"/>
    <col min="23" max="23" width="17.5" style="47" customWidth="1"/>
    <col min="24" max="16384" width="8.83203125" style="47"/>
  </cols>
  <sheetData>
    <row r="1" spans="2:37" x14ac:dyDescent="0.15">
      <c r="B1" s="203" t="s">
        <v>664</v>
      </c>
      <c r="C1" s="203"/>
      <c r="D1" s="203"/>
      <c r="E1" s="203"/>
    </row>
    <row r="2" spans="2:37" s="209" customFormat="1" x14ac:dyDescent="0.15">
      <c r="B2" s="208" t="s">
        <v>641</v>
      </c>
      <c r="W2" s="208" t="s">
        <v>642</v>
      </c>
    </row>
    <row r="3" spans="2:37" s="95" customFormat="1" x14ac:dyDescent="0.15">
      <c r="B3" s="207"/>
      <c r="W3" s="207"/>
    </row>
    <row r="4" spans="2:37" ht="14" x14ac:dyDescent="0.15">
      <c r="B4" s="38" t="s">
        <v>13</v>
      </c>
      <c r="C4" s="38"/>
      <c r="D4" s="39"/>
      <c r="E4" s="39"/>
      <c r="F4" s="39" t="s">
        <v>14</v>
      </c>
      <c r="G4" s="39" t="s">
        <v>15</v>
      </c>
      <c r="H4" s="39" t="s">
        <v>16</v>
      </c>
      <c r="I4" s="39" t="s">
        <v>17</v>
      </c>
      <c r="J4" s="39" t="s">
        <v>18</v>
      </c>
      <c r="K4" s="39" t="s">
        <v>19</v>
      </c>
      <c r="L4" s="39" t="s">
        <v>20</v>
      </c>
      <c r="M4" s="39" t="s">
        <v>21</v>
      </c>
      <c r="N4" s="39" t="s">
        <v>22</v>
      </c>
      <c r="O4" s="39" t="s">
        <v>23</v>
      </c>
      <c r="P4" s="39" t="s">
        <v>24</v>
      </c>
      <c r="Q4" s="39" t="s">
        <v>25</v>
      </c>
      <c r="R4" s="39" t="s">
        <v>1</v>
      </c>
      <c r="S4" s="39" t="s">
        <v>2</v>
      </c>
      <c r="U4" s="210" t="s">
        <v>639</v>
      </c>
      <c r="W4" s="39" t="s">
        <v>660</v>
      </c>
      <c r="X4" s="39" t="s">
        <v>14</v>
      </c>
      <c r="Y4" s="39" t="s">
        <v>15</v>
      </c>
      <c r="Z4" s="39" t="s">
        <v>16</v>
      </c>
      <c r="AA4" s="39" t="s">
        <v>17</v>
      </c>
      <c r="AB4" s="39" t="s">
        <v>18</v>
      </c>
      <c r="AC4" s="39" t="s">
        <v>19</v>
      </c>
      <c r="AD4" s="39" t="s">
        <v>20</v>
      </c>
      <c r="AE4" s="39" t="s">
        <v>21</v>
      </c>
      <c r="AF4" s="39" t="s">
        <v>22</v>
      </c>
      <c r="AG4" s="39" t="s">
        <v>23</v>
      </c>
      <c r="AH4" s="39" t="s">
        <v>24</v>
      </c>
      <c r="AI4" s="39" t="s">
        <v>25</v>
      </c>
      <c r="AJ4" s="39" t="s">
        <v>1</v>
      </c>
      <c r="AK4" s="39" t="s">
        <v>2</v>
      </c>
    </row>
    <row r="5" spans="2:37" x14ac:dyDescent="0.15">
      <c r="B5" s="41" t="s">
        <v>26</v>
      </c>
      <c r="C5" s="41"/>
      <c r="D5" s="41"/>
      <c r="E5" s="41"/>
      <c r="F5" s="202">
        <f>'APP Медиа'!C54+'APP Перформанс'!C24</f>
        <v>164.02468395042072</v>
      </c>
      <c r="G5" s="202">
        <f>'APP Медиа'!D54+'APP Перформанс'!D24</f>
        <v>410.06170987605219</v>
      </c>
      <c r="H5" s="202">
        <f>'APP Медиа'!E54+'APP Перформанс'!E24</f>
        <v>574.08639382647266</v>
      </c>
      <c r="I5" s="202">
        <f>'APP Медиа'!F54+'APP Перформанс'!F24</f>
        <v>574.08639382647232</v>
      </c>
      <c r="J5" s="202">
        <f>'APP Медиа'!G54+'APP Перформанс'!G24</f>
        <v>574.08639382647311</v>
      </c>
      <c r="K5" s="202">
        <f>'APP Медиа'!H54+'APP Перформанс'!H24</f>
        <v>574.08639382647334</v>
      </c>
      <c r="L5" s="202">
        <f>'APP Медиа'!I54+'APP Перформанс'!I24</f>
        <v>574.08639382647311</v>
      </c>
      <c r="M5" s="202">
        <f>'APP Медиа'!J54+'APP Перформанс'!J24</f>
        <v>656.09873580168323</v>
      </c>
      <c r="N5" s="202">
        <f>'APP Медиа'!K54+'APP Перформанс'!K24</f>
        <v>656.09873580168335</v>
      </c>
      <c r="O5" s="202">
        <f>'APP Медиа'!L54+'APP Перформанс'!L24</f>
        <v>902.13576172731325</v>
      </c>
      <c r="P5" s="202">
        <f>'APP Медиа'!M54+'APP Перформанс'!M24</f>
        <v>1148.1727876529444</v>
      </c>
      <c r="Q5" s="202">
        <f>'APP Медиа'!N54+'APP Перформанс'!N24</f>
        <v>1394.2098135785786</v>
      </c>
      <c r="R5" s="99">
        <f>SUM(F5:Q5)</f>
        <v>8201.2341975210402</v>
      </c>
      <c r="S5" s="100">
        <f>'APP Медиа'!P54+'APP Перформанс'!P24</f>
        <v>6195.4</v>
      </c>
      <c r="W5" s="233" t="s">
        <v>640</v>
      </c>
      <c r="X5" s="234">
        <f>F5</f>
        <v>164.02468395042072</v>
      </c>
      <c r="Y5" s="234">
        <f t="shared" ref="Y5:AK5" si="0">G5</f>
        <v>410.06170987605219</v>
      </c>
      <c r="Z5" s="234">
        <f t="shared" si="0"/>
        <v>574.08639382647266</v>
      </c>
      <c r="AA5" s="234">
        <f t="shared" si="0"/>
        <v>574.08639382647232</v>
      </c>
      <c r="AB5" s="234">
        <f t="shared" si="0"/>
        <v>574.08639382647311</v>
      </c>
      <c r="AC5" s="234">
        <f t="shared" si="0"/>
        <v>574.08639382647334</v>
      </c>
      <c r="AD5" s="234">
        <f t="shared" si="0"/>
        <v>574.08639382647311</v>
      </c>
      <c r="AE5" s="234">
        <f t="shared" si="0"/>
        <v>656.09873580168323</v>
      </c>
      <c r="AF5" s="234">
        <f t="shared" si="0"/>
        <v>656.09873580168335</v>
      </c>
      <c r="AG5" s="234">
        <f t="shared" si="0"/>
        <v>902.13576172731325</v>
      </c>
      <c r="AH5" s="234">
        <f t="shared" si="0"/>
        <v>1148.1727876529444</v>
      </c>
      <c r="AI5" s="234">
        <f t="shared" si="0"/>
        <v>1394.2098135785786</v>
      </c>
      <c r="AJ5" s="234">
        <f>SUM(X5:AI5)</f>
        <v>8201.2341975210402</v>
      </c>
      <c r="AK5" s="234">
        <f t="shared" si="0"/>
        <v>6195.4</v>
      </c>
    </row>
    <row r="6" spans="2:37" x14ac:dyDescent="0.15">
      <c r="B6" s="41" t="s">
        <v>8</v>
      </c>
      <c r="C6" s="41"/>
      <c r="D6" s="41"/>
      <c r="E6" s="41"/>
      <c r="F6" s="99">
        <f>'Content factory'!C31</f>
        <v>4.266</v>
      </c>
      <c r="G6" s="99">
        <f>'Content factory'!D31</f>
        <v>10.665000000000001</v>
      </c>
      <c r="H6" s="99">
        <f>'Content factory'!E31</f>
        <v>14.931000000000001</v>
      </c>
      <c r="I6" s="99">
        <f>'Content factory'!F31</f>
        <v>14.931000000000001</v>
      </c>
      <c r="J6" s="99">
        <f>'Content factory'!G31</f>
        <v>14.931000000000001</v>
      </c>
      <c r="K6" s="99">
        <f>'Content factory'!H31</f>
        <v>14.931000000000001</v>
      </c>
      <c r="L6" s="99">
        <f>'Content factory'!I31</f>
        <v>14.931000000000001</v>
      </c>
      <c r="M6" s="99">
        <f>'Content factory'!J31</f>
        <v>17.064</v>
      </c>
      <c r="N6" s="99">
        <f>'Content factory'!K31</f>
        <v>17.064</v>
      </c>
      <c r="O6" s="99">
        <f>'Content factory'!L31</f>
        <v>23.463000000000072</v>
      </c>
      <c r="P6" s="99">
        <f>'Content factory'!M31</f>
        <v>29.862000000000002</v>
      </c>
      <c r="Q6" s="99">
        <f>'Content factory'!N31</f>
        <v>36.260999999999939</v>
      </c>
      <c r="R6" s="99">
        <f t="shared" ref="R6:R10" si="1">SUM(F6:Q6)</f>
        <v>213.3</v>
      </c>
      <c r="S6" s="100">
        <f>'Content factory'!P31</f>
        <v>0</v>
      </c>
      <c r="W6" s="233" t="s">
        <v>643</v>
      </c>
      <c r="X6" s="235">
        <f t="shared" ref="X6:AI6" si="2">F23+F31</f>
        <v>63.400814869459666</v>
      </c>
      <c r="Y6" s="235">
        <f t="shared" si="2"/>
        <v>158.50203717364909</v>
      </c>
      <c r="Z6" s="235">
        <f t="shared" si="2"/>
        <v>221.90285204310879</v>
      </c>
      <c r="AA6" s="235">
        <f t="shared" si="2"/>
        <v>221.90285204310899</v>
      </c>
      <c r="AB6" s="235">
        <f t="shared" si="2"/>
        <v>221.90285204310879</v>
      </c>
      <c r="AC6" s="235">
        <f t="shared" si="2"/>
        <v>221.90285204310888</v>
      </c>
      <c r="AD6" s="235">
        <f t="shared" si="2"/>
        <v>221.90285204310888</v>
      </c>
      <c r="AE6" s="235">
        <f t="shared" si="2"/>
        <v>253.60325947783878</v>
      </c>
      <c r="AF6" s="235">
        <f t="shared" si="2"/>
        <v>253.60325947783878</v>
      </c>
      <c r="AG6" s="235">
        <f t="shared" si="2"/>
        <v>348.70448178202821</v>
      </c>
      <c r="AH6" s="235">
        <f t="shared" si="2"/>
        <v>443.8057040862177</v>
      </c>
      <c r="AI6" s="235">
        <f t="shared" si="2"/>
        <v>538.90692639040719</v>
      </c>
      <c r="AJ6" s="99">
        <f t="shared" ref="AJ6:AJ10" si="3">SUM(X6:AI6)</f>
        <v>3170.0407434729836</v>
      </c>
      <c r="AK6" s="235">
        <f>S23+S31</f>
        <v>1862.313056404962</v>
      </c>
    </row>
    <row r="7" spans="2:37" x14ac:dyDescent="0.15">
      <c r="B7" s="41" t="s">
        <v>28</v>
      </c>
      <c r="C7" s="41"/>
      <c r="D7" s="41"/>
      <c r="E7" s="41"/>
      <c r="F7" s="99">
        <f>DMP!C20</f>
        <v>3.74</v>
      </c>
      <c r="G7" s="99">
        <f>DMP!D20</f>
        <v>9.35</v>
      </c>
      <c r="H7" s="99">
        <f>DMP!E20</f>
        <v>13.09</v>
      </c>
      <c r="I7" s="99">
        <f>DMP!F20</f>
        <v>13.090000000000002</v>
      </c>
      <c r="J7" s="99">
        <f>DMP!G20</f>
        <v>13.09</v>
      </c>
      <c r="K7" s="99">
        <f>DMP!H20</f>
        <v>13.090000000000002</v>
      </c>
      <c r="L7" s="99">
        <f>DMP!I20</f>
        <v>13.090000000000002</v>
      </c>
      <c r="M7" s="99">
        <f>DMP!J20</f>
        <v>14.96</v>
      </c>
      <c r="N7" s="99">
        <f>DMP!K20</f>
        <v>14.96</v>
      </c>
      <c r="O7" s="99">
        <f>DMP!L20</f>
        <v>20.57</v>
      </c>
      <c r="P7" s="99">
        <f>DMP!M20</f>
        <v>26.18</v>
      </c>
      <c r="Q7" s="99">
        <f>DMP!N20</f>
        <v>31.790000000000006</v>
      </c>
      <c r="R7" s="99">
        <f t="shared" si="1"/>
        <v>187</v>
      </c>
      <c r="S7" s="99">
        <f>DMP!P20</f>
        <v>102.4</v>
      </c>
      <c r="W7" s="233" t="s">
        <v>644</v>
      </c>
      <c r="X7" s="235">
        <f t="shared" ref="X7:AI7" si="4">F22+F34</f>
        <v>33.123158225494784</v>
      </c>
      <c r="Y7" s="235">
        <f t="shared" si="4"/>
        <v>82.807895563736949</v>
      </c>
      <c r="Z7" s="235">
        <f t="shared" si="4"/>
        <v>115.93105378923174</v>
      </c>
      <c r="AA7" s="235">
        <f t="shared" si="4"/>
        <v>115.93105378923177</v>
      </c>
      <c r="AB7" s="235">
        <f t="shared" si="4"/>
        <v>115.93105378923174</v>
      </c>
      <c r="AC7" s="235">
        <f t="shared" si="4"/>
        <v>115.93105378923175</v>
      </c>
      <c r="AD7" s="235">
        <f t="shared" si="4"/>
        <v>115.93105378923175</v>
      </c>
      <c r="AE7" s="235">
        <f t="shared" si="4"/>
        <v>132.49263290197916</v>
      </c>
      <c r="AF7" s="235">
        <f t="shared" si="4"/>
        <v>132.49263290197916</v>
      </c>
      <c r="AG7" s="235">
        <f t="shared" si="4"/>
        <v>182.17737024022134</v>
      </c>
      <c r="AH7" s="235">
        <f t="shared" si="4"/>
        <v>231.86210757846351</v>
      </c>
      <c r="AI7" s="235">
        <f t="shared" si="4"/>
        <v>281.54684491670565</v>
      </c>
      <c r="AJ7" s="235">
        <f t="shared" si="3"/>
        <v>1656.1579112747393</v>
      </c>
      <c r="AK7" s="235">
        <f>S22+S34</f>
        <v>1008.2742559999674</v>
      </c>
    </row>
    <row r="8" spans="2:37" x14ac:dyDescent="0.15">
      <c r="B8" s="41" t="s">
        <v>29</v>
      </c>
      <c r="C8" s="41"/>
      <c r="D8" s="41"/>
      <c r="E8" s="41"/>
      <c r="F8" s="99">
        <f>DMP!C9</f>
        <v>31.999999999999993</v>
      </c>
      <c r="G8" s="99">
        <f>DMP!D9</f>
        <v>79.999999999999972</v>
      </c>
      <c r="H8" s="99">
        <f>DMP!E9</f>
        <v>111.99999999999996</v>
      </c>
      <c r="I8" s="99">
        <f>DMP!F9</f>
        <v>111.99999999999997</v>
      </c>
      <c r="J8" s="99">
        <f>DMP!G9</f>
        <v>111.99999999999997</v>
      </c>
      <c r="K8" s="99">
        <f>DMP!H9</f>
        <v>111.99999999999997</v>
      </c>
      <c r="L8" s="99">
        <f>DMP!I9</f>
        <v>111.99999999999996</v>
      </c>
      <c r="M8" s="99">
        <f>DMP!J9</f>
        <v>127.99999999999997</v>
      </c>
      <c r="N8" s="99">
        <f>DMP!K9</f>
        <v>127.99999999999996</v>
      </c>
      <c r="O8" s="99">
        <f>DMP!L9</f>
        <v>175.99999999999994</v>
      </c>
      <c r="P8" s="99">
        <f>DMP!M9</f>
        <v>223.99999999999991</v>
      </c>
      <c r="Q8" s="99">
        <f>DMP!N9</f>
        <v>271.99999999999989</v>
      </c>
      <c r="R8" s="99">
        <f t="shared" si="1"/>
        <v>1599.9999999999995</v>
      </c>
      <c r="S8" s="99">
        <f>DMP!P9</f>
        <v>986.99999999999989</v>
      </c>
      <c r="W8" s="233" t="s">
        <v>645</v>
      </c>
      <c r="X8" s="235">
        <f t="shared" ref="X8:AI9" si="5">F24+F32</f>
        <v>11.595800345324292</v>
      </c>
      <c r="Y8" s="235">
        <f t="shared" si="5"/>
        <v>28.989500863310713</v>
      </c>
      <c r="Z8" s="235">
        <f t="shared" si="5"/>
        <v>40.585301208635016</v>
      </c>
      <c r="AA8" s="235">
        <f t="shared" si="5"/>
        <v>40.585301208635052</v>
      </c>
      <c r="AB8" s="235">
        <f t="shared" si="5"/>
        <v>40.585301208635016</v>
      </c>
      <c r="AC8" s="235">
        <f t="shared" si="5"/>
        <v>40.58530120863503</v>
      </c>
      <c r="AD8" s="235">
        <f t="shared" si="5"/>
        <v>40.58530120863503</v>
      </c>
      <c r="AE8" s="235">
        <f t="shared" si="5"/>
        <v>46.383201381297191</v>
      </c>
      <c r="AF8" s="235">
        <f t="shared" si="5"/>
        <v>46.383201381297191</v>
      </c>
      <c r="AG8" s="235">
        <f t="shared" si="5"/>
        <v>63.776901899283629</v>
      </c>
      <c r="AH8" s="235">
        <f t="shared" si="5"/>
        <v>81.170602417270047</v>
      </c>
      <c r="AI8" s="235">
        <f t="shared" si="5"/>
        <v>98.564302935256492</v>
      </c>
      <c r="AJ8" s="99">
        <f t="shared" si="3"/>
        <v>579.7900172662147</v>
      </c>
      <c r="AK8" s="235">
        <f>S24+S32</f>
        <v>339.74806428863667</v>
      </c>
    </row>
    <row r="9" spans="2:37" x14ac:dyDescent="0.15">
      <c r="B9" s="41" t="s">
        <v>30</v>
      </c>
      <c r="C9" s="41"/>
      <c r="D9" s="41"/>
      <c r="E9" s="41"/>
      <c r="F9" s="99">
        <f>'In-store'!C28</f>
        <v>83.733307135999993</v>
      </c>
      <c r="G9" s="99">
        <f>'In-store'!D28</f>
        <v>209.33326783999985</v>
      </c>
      <c r="H9" s="99">
        <f>'In-store'!E28</f>
        <v>293.06657497599991</v>
      </c>
      <c r="I9" s="99">
        <f>'In-store'!F28</f>
        <v>293.0665749760002</v>
      </c>
      <c r="J9" s="99">
        <f>'In-store'!G28</f>
        <v>293.06657497599991</v>
      </c>
      <c r="K9" s="99">
        <f>'In-store'!H28</f>
        <v>293.06657497600003</v>
      </c>
      <c r="L9" s="99">
        <f>'In-store'!I28</f>
        <v>293.06657497600003</v>
      </c>
      <c r="M9" s="99">
        <f>'In-store'!J28</f>
        <v>334.93322854400014</v>
      </c>
      <c r="N9" s="99">
        <f>'In-store'!K28</f>
        <v>334.93322854400014</v>
      </c>
      <c r="O9" s="99">
        <f>'In-store'!L28</f>
        <v>460.5331892480001</v>
      </c>
      <c r="P9" s="99">
        <f>'In-store'!M28</f>
        <v>586.13314995199994</v>
      </c>
      <c r="Q9" s="99">
        <f>'In-store'!N28</f>
        <v>711.73311065600001</v>
      </c>
      <c r="R9" s="99">
        <f t="shared" si="1"/>
        <v>4186.6653568000002</v>
      </c>
      <c r="S9" s="99">
        <f>'In-store'!P28</f>
        <v>2446.0892362999998</v>
      </c>
      <c r="W9" s="233" t="s">
        <v>646</v>
      </c>
      <c r="X9" s="235">
        <f t="shared" si="5"/>
        <v>5.1790295153827675</v>
      </c>
      <c r="Y9" s="235">
        <f t="shared" si="5"/>
        <v>12.947573788456912</v>
      </c>
      <c r="Z9" s="235">
        <f t="shared" si="5"/>
        <v>18.126603303839683</v>
      </c>
      <c r="AA9" s="235">
        <f t="shared" si="5"/>
        <v>18.126603303839701</v>
      </c>
      <c r="AB9" s="235">
        <f t="shared" si="5"/>
        <v>18.126603303839683</v>
      </c>
      <c r="AC9" s="235">
        <f t="shared" si="5"/>
        <v>18.126603303839691</v>
      </c>
      <c r="AD9" s="235">
        <f t="shared" si="5"/>
        <v>18.126603303839691</v>
      </c>
      <c r="AE9" s="235">
        <f t="shared" si="5"/>
        <v>20.716118061531084</v>
      </c>
      <c r="AF9" s="235">
        <f t="shared" si="5"/>
        <v>20.71611806153108</v>
      </c>
      <c r="AG9" s="235">
        <f t="shared" si="5"/>
        <v>28.484662334605229</v>
      </c>
      <c r="AH9" s="235">
        <f t="shared" si="5"/>
        <v>36.253206607679374</v>
      </c>
      <c r="AI9" s="235">
        <f t="shared" si="5"/>
        <v>44.021750880753537</v>
      </c>
      <c r="AJ9" s="99">
        <f t="shared" si="3"/>
        <v>258.95147576913843</v>
      </c>
      <c r="AK9" s="235">
        <f>S25+S33</f>
        <v>151.63503395702841</v>
      </c>
    </row>
    <row r="10" spans="2:37" ht="15" x14ac:dyDescent="0.2">
      <c r="B10" s="41" t="s">
        <v>31</v>
      </c>
      <c r="C10" s="41"/>
      <c r="D10" s="41"/>
      <c r="E10"/>
      <c r="F10" s="258">
        <f>RMN!B$18</f>
        <v>17.0041828989972</v>
      </c>
      <c r="G10" s="258">
        <f>RMN!C$18</f>
        <v>42.510457247493001</v>
      </c>
      <c r="H10" s="258">
        <f>RMN!D$18</f>
        <v>59.514640146490201</v>
      </c>
      <c r="I10" s="258">
        <f>RMN!E$18</f>
        <v>59.514640146490201</v>
      </c>
      <c r="J10" s="258">
        <f>RMN!F$18</f>
        <v>59.514640146490201</v>
      </c>
      <c r="K10" s="258">
        <f>RMN!G$18</f>
        <v>59.514640146490201</v>
      </c>
      <c r="L10" s="258">
        <f>RMN!H$18</f>
        <v>59.514640146490201</v>
      </c>
      <c r="M10" s="258">
        <f>RMN!I$18</f>
        <v>68.016731595988801</v>
      </c>
      <c r="N10" s="258">
        <f>RMN!J$18</f>
        <v>68.016731595988801</v>
      </c>
      <c r="O10" s="258">
        <f>RMN!K$18</f>
        <v>93.523005944484595</v>
      </c>
      <c r="P10" s="258">
        <f>RMN!L$18</f>
        <v>119.02928029298</v>
      </c>
      <c r="Q10" s="258">
        <f>RMN!M$18</f>
        <v>144.53555464147601</v>
      </c>
      <c r="R10" s="99">
        <f t="shared" si="1"/>
        <v>850.20914494985948</v>
      </c>
      <c r="S10" s="100">
        <v>592.55999999999995</v>
      </c>
      <c r="W10" s="233" t="s">
        <v>649</v>
      </c>
      <c r="X10" s="235">
        <f t="shared" ref="X10:AI10" si="6">F35</f>
        <v>2.4345041803384335</v>
      </c>
      <c r="Y10" s="235">
        <f t="shared" si="6"/>
        <v>6.0862604508460798</v>
      </c>
      <c r="Z10" s="235">
        <f t="shared" si="6"/>
        <v>8.520764631184516</v>
      </c>
      <c r="AA10" s="235">
        <f t="shared" si="6"/>
        <v>8.5207646311845249</v>
      </c>
      <c r="AB10" s="235">
        <f t="shared" si="6"/>
        <v>8.520764631184516</v>
      </c>
      <c r="AC10" s="235">
        <f t="shared" si="6"/>
        <v>8.5207646311845195</v>
      </c>
      <c r="AD10" s="235">
        <f t="shared" si="6"/>
        <v>8.5207646311845195</v>
      </c>
      <c r="AE10" s="235">
        <f t="shared" si="6"/>
        <v>9.7380167213537394</v>
      </c>
      <c r="AF10" s="235">
        <f t="shared" si="6"/>
        <v>9.7380167213537394</v>
      </c>
      <c r="AG10" s="235">
        <f t="shared" si="6"/>
        <v>13.389772991861388</v>
      </c>
      <c r="AH10" s="235">
        <f t="shared" si="6"/>
        <v>17.041529262369036</v>
      </c>
      <c r="AI10" s="235">
        <f t="shared" si="6"/>
        <v>20.693285532876686</v>
      </c>
      <c r="AJ10" s="99">
        <f t="shared" si="3"/>
        <v>121.7252090169217</v>
      </c>
      <c r="AK10" s="235">
        <f>S35</f>
        <v>71.118825649404201</v>
      </c>
    </row>
    <row r="11" spans="2:37" ht="14" thickBot="1" x14ac:dyDescent="0.2">
      <c r="B11" s="150" t="s">
        <v>5</v>
      </c>
      <c r="C11" s="150"/>
      <c r="D11" s="150"/>
      <c r="E11" s="150"/>
      <c r="F11" s="137">
        <f t="shared" ref="F11:S11" si="7">SUM(F5:F10)</f>
        <v>304.76817398541795</v>
      </c>
      <c r="G11" s="137">
        <f t="shared" si="7"/>
        <v>761.92043496354506</v>
      </c>
      <c r="H11" s="137">
        <f t="shared" si="7"/>
        <v>1066.6886089489628</v>
      </c>
      <c r="I11" s="137">
        <f t="shared" si="7"/>
        <v>1066.6886089489628</v>
      </c>
      <c r="J11" s="137">
        <f t="shared" si="7"/>
        <v>1066.6886089489633</v>
      </c>
      <c r="K11" s="137">
        <f t="shared" si="7"/>
        <v>1066.6886089489635</v>
      </c>
      <c r="L11" s="137">
        <f t="shared" si="7"/>
        <v>1066.6886089489633</v>
      </c>
      <c r="M11" s="137">
        <f t="shared" si="7"/>
        <v>1219.0726959416722</v>
      </c>
      <c r="N11" s="137">
        <f t="shared" si="7"/>
        <v>1219.0726959416725</v>
      </c>
      <c r="O11" s="137">
        <f t="shared" si="7"/>
        <v>1676.2249569197979</v>
      </c>
      <c r="P11" s="137">
        <f t="shared" si="7"/>
        <v>2133.3772178979243</v>
      </c>
      <c r="Q11" s="137">
        <f t="shared" si="7"/>
        <v>2590.5294788760548</v>
      </c>
      <c r="R11" s="137">
        <f t="shared" si="7"/>
        <v>15238.4086992709</v>
      </c>
      <c r="S11" s="102">
        <f t="shared" si="7"/>
        <v>10323.449236299999</v>
      </c>
      <c r="W11" s="233" t="s">
        <v>662</v>
      </c>
      <c r="X11" s="234">
        <f>SUM(F6,F7,F10)</f>
        <v>25.010182898997201</v>
      </c>
      <c r="Y11" s="234">
        <f t="shared" ref="Y11:AJ11" si="8">SUM(G6,G7,G10)</f>
        <v>62.525457247493001</v>
      </c>
      <c r="Z11" s="234">
        <f t="shared" si="8"/>
        <v>87.535640146490209</v>
      </c>
      <c r="AA11" s="234">
        <f t="shared" si="8"/>
        <v>87.535640146490209</v>
      </c>
      <c r="AB11" s="234">
        <f t="shared" si="8"/>
        <v>87.535640146490209</v>
      </c>
      <c r="AC11" s="234">
        <f t="shared" si="8"/>
        <v>87.535640146490209</v>
      </c>
      <c r="AD11" s="234">
        <f t="shared" si="8"/>
        <v>87.535640146490209</v>
      </c>
      <c r="AE11" s="234">
        <f t="shared" si="8"/>
        <v>100.0407315959888</v>
      </c>
      <c r="AF11" s="234">
        <f t="shared" si="8"/>
        <v>100.0407315959888</v>
      </c>
      <c r="AG11" s="234">
        <f t="shared" si="8"/>
        <v>137.55600594448467</v>
      </c>
      <c r="AH11" s="234">
        <f t="shared" si="8"/>
        <v>175.07128029298002</v>
      </c>
      <c r="AI11" s="234">
        <f t="shared" si="8"/>
        <v>212.58655464147597</v>
      </c>
      <c r="AJ11" s="234">
        <f t="shared" si="8"/>
        <v>1250.5091449498595</v>
      </c>
      <c r="AK11" s="234">
        <f>SUM(S6,S7,S10)</f>
        <v>694.95999999999992</v>
      </c>
    </row>
    <row r="12" spans="2:37" ht="15" thickTop="1" thickBot="1" x14ac:dyDescent="0.2">
      <c r="B12" s="46"/>
      <c r="C12" s="46"/>
      <c r="D12" s="46"/>
      <c r="E12" s="46"/>
      <c r="F12" s="230"/>
      <c r="G12" s="230"/>
      <c r="H12" s="230"/>
      <c r="I12" s="230"/>
      <c r="J12" s="230"/>
      <c r="K12" s="230"/>
      <c r="L12" s="230"/>
      <c r="M12" s="230"/>
      <c r="N12" s="230"/>
      <c r="O12" s="230"/>
      <c r="P12" s="230"/>
      <c r="Q12" s="230"/>
      <c r="R12" s="230"/>
      <c r="S12" s="231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</row>
    <row r="13" spans="2:37" ht="14" thickTop="1" x14ac:dyDescent="0.15">
      <c r="B13" s="46"/>
      <c r="C13" s="46"/>
      <c r="D13" s="46"/>
      <c r="E13" s="46"/>
      <c r="F13" s="230"/>
      <c r="G13" s="230"/>
      <c r="H13" s="230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1"/>
      <c r="W13" s="232" t="s">
        <v>661</v>
      </c>
      <c r="X13" s="236">
        <f t="shared" ref="X13:AK13" si="9">SUM(X5:X11)-F11</f>
        <v>0</v>
      </c>
      <c r="Y13" s="236">
        <f t="shared" si="9"/>
        <v>0</v>
      </c>
      <c r="Z13" s="236">
        <f t="shared" si="9"/>
        <v>0</v>
      </c>
      <c r="AA13" s="236">
        <f t="shared" si="9"/>
        <v>0</v>
      </c>
      <c r="AB13" s="236">
        <f t="shared" si="9"/>
        <v>0</v>
      </c>
      <c r="AC13" s="236">
        <f t="shared" si="9"/>
        <v>0</v>
      </c>
      <c r="AD13" s="236">
        <f t="shared" si="9"/>
        <v>0</v>
      </c>
      <c r="AE13" s="236">
        <f t="shared" si="9"/>
        <v>0</v>
      </c>
      <c r="AF13" s="236">
        <f t="shared" si="9"/>
        <v>0</v>
      </c>
      <c r="AG13" s="236">
        <f t="shared" si="9"/>
        <v>0</v>
      </c>
      <c r="AH13" s="236">
        <f t="shared" si="9"/>
        <v>0</v>
      </c>
      <c r="AI13" s="236">
        <f t="shared" si="9"/>
        <v>0</v>
      </c>
      <c r="AJ13" s="236">
        <f t="shared" si="9"/>
        <v>0</v>
      </c>
      <c r="AK13" s="236">
        <f t="shared" si="9"/>
        <v>0</v>
      </c>
    </row>
    <row r="15" spans="2:37" s="209" customFormat="1" x14ac:dyDescent="0.15">
      <c r="B15" s="208" t="s">
        <v>652</v>
      </c>
      <c r="W15" s="208"/>
    </row>
    <row r="16" spans="2:37" s="46" customFormat="1" x14ac:dyDescent="0.15">
      <c r="B16" s="211"/>
      <c r="W16" s="211"/>
    </row>
    <row r="17" spans="2:19" x14ac:dyDescent="0.15">
      <c r="B17" s="212" t="s">
        <v>26</v>
      </c>
      <c r="C17" s="213"/>
      <c r="D17" s="213"/>
      <c r="E17" s="213" t="s">
        <v>654</v>
      </c>
      <c r="F17" s="213"/>
      <c r="G17" s="213"/>
      <c r="H17" s="213"/>
      <c r="I17" s="213"/>
      <c r="J17" s="213"/>
      <c r="K17" s="213"/>
      <c r="L17" s="213"/>
      <c r="M17" s="213"/>
      <c r="N17" s="213"/>
      <c r="O17" s="213"/>
      <c r="P17" s="213"/>
      <c r="Q17" s="213"/>
      <c r="R17" s="213"/>
      <c r="S17" s="213"/>
    </row>
    <row r="18" spans="2:19" x14ac:dyDescent="0.15">
      <c r="B18" s="214" t="s">
        <v>8</v>
      </c>
      <c r="C18" s="215"/>
      <c r="D18" s="215"/>
      <c r="E18" s="215" t="s">
        <v>653</v>
      </c>
      <c r="F18" s="215"/>
      <c r="G18" s="215"/>
      <c r="H18" s="215"/>
      <c r="I18" s="215"/>
      <c r="J18" s="215"/>
      <c r="K18" s="215"/>
      <c r="L18" s="215"/>
      <c r="M18" s="215"/>
      <c r="N18" s="215"/>
      <c r="O18" s="215"/>
      <c r="P18" s="215"/>
      <c r="Q18" s="215"/>
      <c r="R18" s="215"/>
      <c r="S18" s="215"/>
    </row>
    <row r="19" spans="2:19" x14ac:dyDescent="0.15">
      <c r="B19" s="216" t="s">
        <v>27</v>
      </c>
      <c r="C19" s="213"/>
      <c r="D19" s="213"/>
      <c r="E19" s="213" t="s">
        <v>653</v>
      </c>
      <c r="F19" s="213"/>
      <c r="G19" s="213"/>
      <c r="H19" s="213"/>
      <c r="I19" s="213"/>
      <c r="J19" s="213"/>
      <c r="K19" s="213"/>
      <c r="L19" s="213"/>
      <c r="M19" s="213"/>
      <c r="N19" s="213"/>
      <c r="O19" s="213"/>
      <c r="P19" s="213"/>
      <c r="Q19" s="213"/>
      <c r="R19" s="213"/>
      <c r="S19" s="213"/>
    </row>
    <row r="20" spans="2:19" x14ac:dyDescent="0.15">
      <c r="B20" s="217" t="s">
        <v>28</v>
      </c>
      <c r="C20" s="218"/>
      <c r="D20" s="218"/>
      <c r="E20" s="218" t="s">
        <v>656</v>
      </c>
      <c r="F20" s="218"/>
      <c r="G20" s="218"/>
      <c r="H20" s="218"/>
      <c r="I20" s="218"/>
      <c r="J20" s="218"/>
      <c r="K20" s="218"/>
      <c r="L20" s="218"/>
      <c r="M20" s="218"/>
      <c r="N20" s="218"/>
      <c r="O20" s="218"/>
      <c r="P20" s="218"/>
      <c r="Q20" s="218"/>
      <c r="R20" s="218"/>
      <c r="S20" s="218"/>
    </row>
    <row r="21" spans="2:19" ht="38.5" customHeight="1" x14ac:dyDescent="0.15">
      <c r="B21" s="219" t="s">
        <v>29</v>
      </c>
      <c r="C21" s="220" t="s">
        <v>659</v>
      </c>
      <c r="D21" s="204" t="s">
        <v>655</v>
      </c>
      <c r="E21" s="220"/>
      <c r="F21" s="215"/>
      <c r="G21" s="204"/>
      <c r="H21" s="215"/>
      <c r="I21" s="215"/>
      <c r="J21" s="215"/>
      <c r="K21" s="215"/>
      <c r="L21" s="215"/>
      <c r="M21" s="215"/>
      <c r="N21" s="215"/>
      <c r="O21" s="215"/>
      <c r="P21" s="215"/>
      <c r="Q21" s="215"/>
      <c r="R21" s="215"/>
      <c r="S21" s="215"/>
    </row>
    <row r="22" spans="2:19" x14ac:dyDescent="0.15">
      <c r="B22" s="41" t="s">
        <v>644</v>
      </c>
      <c r="C22" s="221">
        <v>0.77752607610561753</v>
      </c>
      <c r="D22" s="221">
        <f>C22+(SUM($C$26:$C$29)/4)</f>
        <v>0.7789474983882424</v>
      </c>
      <c r="E22" s="221"/>
      <c r="F22" s="34">
        <f>F$8*$D22</f>
        <v>24.92631994842375</v>
      </c>
      <c r="G22" s="34">
        <f t="shared" ref="G22:S22" si="10">G$8*$D22</f>
        <v>62.315799871059369</v>
      </c>
      <c r="H22" s="34">
        <f t="shared" si="10"/>
        <v>87.242119819483122</v>
      </c>
      <c r="I22" s="34">
        <f t="shared" si="10"/>
        <v>87.242119819483122</v>
      </c>
      <c r="J22" s="34">
        <f t="shared" si="10"/>
        <v>87.242119819483122</v>
      </c>
      <c r="K22" s="34">
        <f t="shared" si="10"/>
        <v>87.242119819483122</v>
      </c>
      <c r="L22" s="34">
        <f t="shared" si="10"/>
        <v>87.242119819483122</v>
      </c>
      <c r="M22" s="34">
        <f t="shared" si="10"/>
        <v>99.705279793694999</v>
      </c>
      <c r="N22" s="34">
        <f t="shared" si="10"/>
        <v>99.705279793694999</v>
      </c>
      <c r="O22" s="34">
        <f t="shared" si="10"/>
        <v>137.09475971633063</v>
      </c>
      <c r="P22" s="34">
        <f t="shared" si="10"/>
        <v>174.48423963896624</v>
      </c>
      <c r="Q22" s="34">
        <f t="shared" si="10"/>
        <v>211.87371956160183</v>
      </c>
      <c r="R22" s="34">
        <f t="shared" si="10"/>
        <v>1246.3159974211874</v>
      </c>
      <c r="S22" s="34">
        <f t="shared" si="10"/>
        <v>768.82118090919516</v>
      </c>
    </row>
    <row r="23" spans="2:19" x14ac:dyDescent="0.15">
      <c r="B23" s="41" t="s">
        <v>643</v>
      </c>
      <c r="C23" s="221">
        <v>0.19390951914340682</v>
      </c>
      <c r="D23" s="221">
        <f t="shared" ref="D23:D25" si="11">C23+(SUM($C$26:$C$29)/4)</f>
        <v>0.19533094142603172</v>
      </c>
      <c r="E23" s="221"/>
      <c r="F23" s="34">
        <f t="shared" ref="F23:S25" si="12">F$8*$D23</f>
        <v>6.2505901256330132</v>
      </c>
      <c r="G23" s="34">
        <f t="shared" si="12"/>
        <v>15.626475314082532</v>
      </c>
      <c r="H23" s="34">
        <f t="shared" si="12"/>
        <v>21.877065439715544</v>
      </c>
      <c r="I23" s="34">
        <f t="shared" si="12"/>
        <v>21.877065439715548</v>
      </c>
      <c r="J23" s="34">
        <f t="shared" si="12"/>
        <v>21.877065439715548</v>
      </c>
      <c r="K23" s="34">
        <f t="shared" si="12"/>
        <v>21.877065439715548</v>
      </c>
      <c r="L23" s="34">
        <f t="shared" si="12"/>
        <v>21.877065439715544</v>
      </c>
      <c r="M23" s="34">
        <f t="shared" si="12"/>
        <v>25.002360502532053</v>
      </c>
      <c r="N23" s="34">
        <f t="shared" si="12"/>
        <v>25.002360502532053</v>
      </c>
      <c r="O23" s="34">
        <f t="shared" si="12"/>
        <v>34.378245690981572</v>
      </c>
      <c r="P23" s="34">
        <f t="shared" si="12"/>
        <v>43.754130879431088</v>
      </c>
      <c r="Q23" s="34">
        <f t="shared" si="12"/>
        <v>53.130016067880604</v>
      </c>
      <c r="R23" s="34">
        <f t="shared" si="12"/>
        <v>312.52950628165064</v>
      </c>
      <c r="S23" s="34">
        <f t="shared" si="12"/>
        <v>192.79163918749327</v>
      </c>
    </row>
    <row r="24" spans="2:19" x14ac:dyDescent="0.15">
      <c r="B24" s="41" t="s">
        <v>645</v>
      </c>
      <c r="C24" s="221">
        <v>1.7770378066430774E-2</v>
      </c>
      <c r="D24" s="221">
        <f t="shared" si="11"/>
        <v>1.9191800349055675E-2</v>
      </c>
      <c r="E24" s="221"/>
      <c r="F24" s="34">
        <f t="shared" si="12"/>
        <v>0.61413761116978149</v>
      </c>
      <c r="G24" s="34">
        <f t="shared" si="12"/>
        <v>1.5353440279244535</v>
      </c>
      <c r="H24" s="34">
        <f t="shared" si="12"/>
        <v>2.1494816390942346</v>
      </c>
      <c r="I24" s="34">
        <f t="shared" si="12"/>
        <v>2.1494816390942351</v>
      </c>
      <c r="J24" s="34">
        <f t="shared" si="12"/>
        <v>2.1494816390942351</v>
      </c>
      <c r="K24" s="34">
        <f t="shared" si="12"/>
        <v>2.1494816390942351</v>
      </c>
      <c r="L24" s="34">
        <f t="shared" si="12"/>
        <v>2.1494816390942346</v>
      </c>
      <c r="M24" s="34">
        <f t="shared" si="12"/>
        <v>2.456550444679126</v>
      </c>
      <c r="N24" s="34">
        <f t="shared" si="12"/>
        <v>2.4565504446791255</v>
      </c>
      <c r="O24" s="34">
        <f t="shared" si="12"/>
        <v>3.3777568614337978</v>
      </c>
      <c r="P24" s="34">
        <f t="shared" si="12"/>
        <v>4.2989632781884692</v>
      </c>
      <c r="Q24" s="34">
        <f t="shared" si="12"/>
        <v>5.2201696949431415</v>
      </c>
      <c r="R24" s="34">
        <f t="shared" si="12"/>
        <v>30.706880558489072</v>
      </c>
      <c r="S24" s="34">
        <f t="shared" si="12"/>
        <v>18.942306944517949</v>
      </c>
    </row>
    <row r="25" spans="2:19" x14ac:dyDescent="0.15">
      <c r="B25" s="41" t="s">
        <v>646</v>
      </c>
      <c r="C25" s="221">
        <v>5.1083375540443149E-3</v>
      </c>
      <c r="D25" s="221">
        <f t="shared" si="11"/>
        <v>6.5297598366692178E-3</v>
      </c>
      <c r="E25" s="221"/>
      <c r="F25" s="34">
        <f t="shared" si="12"/>
        <v>0.20895231477341492</v>
      </c>
      <c r="G25" s="34">
        <f t="shared" si="12"/>
        <v>0.52238078693353729</v>
      </c>
      <c r="H25" s="34">
        <f t="shared" si="12"/>
        <v>0.73133310170695209</v>
      </c>
      <c r="I25" s="34">
        <f t="shared" si="12"/>
        <v>0.7313331017069522</v>
      </c>
      <c r="J25" s="34">
        <f t="shared" si="12"/>
        <v>0.7313331017069522</v>
      </c>
      <c r="K25" s="34">
        <f t="shared" si="12"/>
        <v>0.7313331017069522</v>
      </c>
      <c r="L25" s="34">
        <f t="shared" si="12"/>
        <v>0.73133310170695209</v>
      </c>
      <c r="M25" s="34">
        <f t="shared" si="12"/>
        <v>0.83580925909365966</v>
      </c>
      <c r="N25" s="34">
        <f t="shared" si="12"/>
        <v>0.83580925909365955</v>
      </c>
      <c r="O25" s="34">
        <f t="shared" si="12"/>
        <v>1.149237731253782</v>
      </c>
      <c r="P25" s="34">
        <f t="shared" si="12"/>
        <v>1.4626662034139042</v>
      </c>
      <c r="Q25" s="34">
        <f t="shared" si="12"/>
        <v>1.7760946755740266</v>
      </c>
      <c r="R25" s="34">
        <f t="shared" si="12"/>
        <v>10.447615738670745</v>
      </c>
      <c r="S25" s="34">
        <f t="shared" si="12"/>
        <v>6.4448729587925175</v>
      </c>
    </row>
    <row r="26" spans="2:19" x14ac:dyDescent="0.15">
      <c r="B26" s="41" t="s">
        <v>647</v>
      </c>
      <c r="C26" s="221">
        <v>2.8891812068767625E-3</v>
      </c>
      <c r="D26" s="224" t="s">
        <v>657</v>
      </c>
      <c r="E26" s="221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</row>
    <row r="27" spans="2:19" x14ac:dyDescent="0.15">
      <c r="B27" s="41" t="s">
        <v>649</v>
      </c>
      <c r="C27" s="221">
        <v>1.8299111072458067E-3</v>
      </c>
      <c r="D27" s="224" t="s">
        <v>657</v>
      </c>
      <c r="E27" s="221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</row>
    <row r="28" spans="2:19" x14ac:dyDescent="0.15">
      <c r="B28" s="47" t="s">
        <v>651</v>
      </c>
      <c r="C28" s="221">
        <v>8.5822037589865989E-4</v>
      </c>
      <c r="D28" s="224" t="s">
        <v>657</v>
      </c>
      <c r="E28" s="221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</row>
    <row r="29" spans="2:19" x14ac:dyDescent="0.15">
      <c r="B29" s="213" t="s">
        <v>650</v>
      </c>
      <c r="C29" s="222">
        <v>1.0837644047838224E-4</v>
      </c>
      <c r="D29" s="226" t="s">
        <v>657</v>
      </c>
      <c r="E29" s="222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3"/>
      <c r="R29" s="223"/>
      <c r="S29" s="213"/>
    </row>
    <row r="30" spans="2:19" s="204" customFormat="1" ht="38.5" customHeight="1" x14ac:dyDescent="0.2">
      <c r="B30" s="206" t="s">
        <v>30</v>
      </c>
      <c r="C30" s="220" t="s">
        <v>659</v>
      </c>
      <c r="D30" s="204" t="s">
        <v>655</v>
      </c>
    </row>
    <row r="31" spans="2:19" x14ac:dyDescent="0.15">
      <c r="B31" s="205" t="s">
        <v>643</v>
      </c>
      <c r="C31" s="228">
        <v>0.73213271229420118</v>
      </c>
      <c r="D31" s="228">
        <f>C31+(SUM($C$36:$C$39)/5)-5%</f>
        <v>0.68252678293242397</v>
      </c>
      <c r="E31" s="228"/>
      <c r="F31" s="34">
        <f>F$9*$D31</f>
        <v>57.150224743826655</v>
      </c>
      <c r="G31" s="34">
        <f t="shared" ref="G31:P31" si="13">G$9*$D31</f>
        <v>142.87556185956655</v>
      </c>
      <c r="H31" s="34">
        <f t="shared" si="13"/>
        <v>200.02578660339324</v>
      </c>
      <c r="I31" s="34">
        <f t="shared" si="13"/>
        <v>200.02578660339344</v>
      </c>
      <c r="J31" s="34">
        <f t="shared" si="13"/>
        <v>200.02578660339324</v>
      </c>
      <c r="K31" s="34">
        <f t="shared" si="13"/>
        <v>200.02578660339333</v>
      </c>
      <c r="L31" s="34">
        <f t="shared" si="13"/>
        <v>200.02578660339333</v>
      </c>
      <c r="M31" s="34">
        <f t="shared" si="13"/>
        <v>228.60089897530673</v>
      </c>
      <c r="N31" s="34">
        <f t="shared" si="13"/>
        <v>228.60089897530673</v>
      </c>
      <c r="O31" s="34">
        <f t="shared" si="13"/>
        <v>314.32623609104667</v>
      </c>
      <c r="P31" s="34">
        <f t="shared" si="13"/>
        <v>400.0515732067866</v>
      </c>
      <c r="Q31" s="34">
        <f>Q$9*$D31</f>
        <v>485.77691032252659</v>
      </c>
      <c r="R31" s="34">
        <f t="shared" ref="R31:S31" si="14">R$9*$D31</f>
        <v>2857.5112371913328</v>
      </c>
      <c r="S31" s="34">
        <f t="shared" si="14"/>
        <v>1669.5214172174688</v>
      </c>
    </row>
    <row r="32" spans="2:19" x14ac:dyDescent="0.15">
      <c r="B32" s="205" t="s">
        <v>645</v>
      </c>
      <c r="C32" s="221">
        <v>0.1307564011366236</v>
      </c>
      <c r="D32" s="221">
        <f>C32+(SUM($C$36:$C$39)/5)</f>
        <v>0.1311504717748464</v>
      </c>
      <c r="E32" s="221"/>
      <c r="F32" s="34">
        <f t="shared" ref="F32:S35" si="15">F$9*$D32</f>
        <v>10.981662734154511</v>
      </c>
      <c r="G32" s="34">
        <f t="shared" si="15"/>
        <v>27.454156835386261</v>
      </c>
      <c r="H32" s="34">
        <f t="shared" si="15"/>
        <v>38.435819569540783</v>
      </c>
      <c r="I32" s="34">
        <f t="shared" si="15"/>
        <v>38.435819569540818</v>
      </c>
      <c r="J32" s="34">
        <f t="shared" si="15"/>
        <v>38.435819569540783</v>
      </c>
      <c r="K32" s="34">
        <f t="shared" si="15"/>
        <v>38.435819569540797</v>
      </c>
      <c r="L32" s="34">
        <f t="shared" si="15"/>
        <v>38.435819569540797</v>
      </c>
      <c r="M32" s="34">
        <f t="shared" si="15"/>
        <v>43.926650936618067</v>
      </c>
      <c r="N32" s="34">
        <f t="shared" si="15"/>
        <v>43.926650936618067</v>
      </c>
      <c r="O32" s="34">
        <f t="shared" si="15"/>
        <v>60.399145037849834</v>
      </c>
      <c r="P32" s="34">
        <f t="shared" si="15"/>
        <v>76.87163913908158</v>
      </c>
      <c r="Q32" s="34">
        <f t="shared" si="15"/>
        <v>93.344133240313354</v>
      </c>
      <c r="R32" s="34">
        <f t="shared" si="15"/>
        <v>549.08313670772566</v>
      </c>
      <c r="S32" s="34">
        <f t="shared" si="15"/>
        <v>320.80575734411872</v>
      </c>
    </row>
    <row r="33" spans="2:19" x14ac:dyDescent="0.15">
      <c r="B33" s="205" t="s">
        <v>646</v>
      </c>
      <c r="C33" s="221">
        <v>5.8961965455478035E-2</v>
      </c>
      <c r="D33" s="221">
        <f>C33+(SUM($C$36:$C$39)/5)</f>
        <v>5.9356036093700833E-2</v>
      </c>
      <c r="E33" s="221"/>
      <c r="F33" s="34">
        <f t="shared" si="15"/>
        <v>4.970077200609353</v>
      </c>
      <c r="G33" s="34">
        <f t="shared" si="15"/>
        <v>12.425193001523375</v>
      </c>
      <c r="H33" s="34">
        <f t="shared" si="15"/>
        <v>17.395270202132732</v>
      </c>
      <c r="I33" s="34">
        <f t="shared" si="15"/>
        <v>17.39527020213275</v>
      </c>
      <c r="J33" s="34">
        <f t="shared" si="15"/>
        <v>17.395270202132732</v>
      </c>
      <c r="K33" s="34">
        <f t="shared" si="15"/>
        <v>17.395270202132739</v>
      </c>
      <c r="L33" s="34">
        <f t="shared" si="15"/>
        <v>17.395270202132739</v>
      </c>
      <c r="M33" s="34">
        <f t="shared" si="15"/>
        <v>19.880308802437423</v>
      </c>
      <c r="N33" s="34">
        <f t="shared" si="15"/>
        <v>19.880308802437423</v>
      </c>
      <c r="O33" s="34">
        <f t="shared" si="15"/>
        <v>27.335424603351449</v>
      </c>
      <c r="P33" s="34">
        <f t="shared" si="15"/>
        <v>34.790540404265471</v>
      </c>
      <c r="Q33" s="34">
        <f t="shared" si="15"/>
        <v>42.245656205179507</v>
      </c>
      <c r="R33" s="34">
        <f t="shared" si="15"/>
        <v>248.50386003046768</v>
      </c>
      <c r="S33" s="34">
        <f t="shared" si="15"/>
        <v>145.19016099823588</v>
      </c>
    </row>
    <row r="34" spans="2:19" ht="52.25" customHeight="1" x14ac:dyDescent="0.15">
      <c r="B34" s="205" t="s">
        <v>644</v>
      </c>
      <c r="C34" s="228">
        <v>4.7498136864792657E-2</v>
      </c>
      <c r="D34" s="228">
        <f>C34+(SUM($C$36:$C$39)/5)+5%</f>
        <v>9.7892207503015458E-2</v>
      </c>
      <c r="E34" s="229" t="s">
        <v>658</v>
      </c>
      <c r="F34" s="34">
        <f t="shared" si="15"/>
        <v>8.196838277071036</v>
      </c>
      <c r="G34" s="34">
        <f t="shared" si="15"/>
        <v>20.492095692677577</v>
      </c>
      <c r="H34" s="34">
        <f t="shared" si="15"/>
        <v>28.688933969748621</v>
      </c>
      <c r="I34" s="34">
        <f t="shared" si="15"/>
        <v>28.68893396974865</v>
      </c>
      <c r="J34" s="34">
        <f t="shared" si="15"/>
        <v>28.688933969748621</v>
      </c>
      <c r="K34" s="34">
        <f t="shared" si="15"/>
        <v>28.688933969748632</v>
      </c>
      <c r="L34" s="34">
        <f t="shared" si="15"/>
        <v>28.688933969748632</v>
      </c>
      <c r="M34" s="34">
        <f t="shared" si="15"/>
        <v>32.787353108284165</v>
      </c>
      <c r="N34" s="34">
        <f t="shared" si="15"/>
        <v>32.787353108284165</v>
      </c>
      <c r="O34" s="34">
        <f t="shared" si="15"/>
        <v>45.082610523890715</v>
      </c>
      <c r="P34" s="34">
        <f t="shared" si="15"/>
        <v>57.37786793949725</v>
      </c>
      <c r="Q34" s="34">
        <f t="shared" si="15"/>
        <v>69.673125355103821</v>
      </c>
      <c r="R34" s="34">
        <f t="shared" si="15"/>
        <v>409.84191385355189</v>
      </c>
      <c r="S34" s="34">
        <f t="shared" si="15"/>
        <v>239.45307509077219</v>
      </c>
    </row>
    <row r="35" spans="2:19" x14ac:dyDescent="0.15">
      <c r="B35" s="205" t="s">
        <v>649</v>
      </c>
      <c r="C35" s="221">
        <v>2.868043105779049E-2</v>
      </c>
      <c r="D35" s="221">
        <f>C35+(SUM($C$36:$C$39)/5)</f>
        <v>2.9074501696013291E-2</v>
      </c>
      <c r="E35" s="221"/>
      <c r="F35" s="34">
        <f t="shared" si="15"/>
        <v>2.4345041803384335</v>
      </c>
      <c r="G35" s="34">
        <f t="shared" si="15"/>
        <v>6.0862604508460798</v>
      </c>
      <c r="H35" s="34">
        <f t="shared" si="15"/>
        <v>8.520764631184516</v>
      </c>
      <c r="I35" s="34">
        <f t="shared" si="15"/>
        <v>8.5207646311845249</v>
      </c>
      <c r="J35" s="34">
        <f t="shared" si="15"/>
        <v>8.520764631184516</v>
      </c>
      <c r="K35" s="34">
        <f t="shared" si="15"/>
        <v>8.5207646311845195</v>
      </c>
      <c r="L35" s="34">
        <f t="shared" si="15"/>
        <v>8.5207646311845195</v>
      </c>
      <c r="M35" s="34">
        <f t="shared" si="15"/>
        <v>9.7380167213537394</v>
      </c>
      <c r="N35" s="34">
        <f t="shared" si="15"/>
        <v>9.7380167213537394</v>
      </c>
      <c r="O35" s="34">
        <f t="shared" si="15"/>
        <v>13.389772991861388</v>
      </c>
      <c r="P35" s="34">
        <f t="shared" si="15"/>
        <v>17.041529262369036</v>
      </c>
      <c r="Q35" s="34">
        <f t="shared" si="15"/>
        <v>20.693285532876686</v>
      </c>
      <c r="R35" s="34">
        <f t="shared" si="15"/>
        <v>121.7252090169217</v>
      </c>
      <c r="S35" s="34">
        <f t="shared" si="15"/>
        <v>71.118825649404201</v>
      </c>
    </row>
    <row r="36" spans="2:19" x14ac:dyDescent="0.15">
      <c r="B36" s="205" t="s">
        <v>651</v>
      </c>
      <c r="C36" s="221">
        <v>1.4748350007998967E-3</v>
      </c>
      <c r="D36" s="224" t="s">
        <v>657</v>
      </c>
      <c r="E36" s="221"/>
      <c r="G36" s="225"/>
    </row>
    <row r="37" spans="2:19" x14ac:dyDescent="0.15">
      <c r="B37" s="205" t="s">
        <v>647</v>
      </c>
      <c r="C37" s="221">
        <v>3.0898295316190175E-4</v>
      </c>
      <c r="D37" s="224" t="s">
        <v>657</v>
      </c>
      <c r="E37" s="221"/>
      <c r="G37" s="225"/>
    </row>
    <row r="38" spans="2:19" x14ac:dyDescent="0.15">
      <c r="B38" s="205" t="s">
        <v>650</v>
      </c>
      <c r="C38" s="221">
        <v>1.3190573131838972E-4</v>
      </c>
      <c r="D38" s="224" t="s">
        <v>657</v>
      </c>
      <c r="E38" s="221"/>
      <c r="G38" s="225"/>
    </row>
    <row r="39" spans="2:19" x14ac:dyDescent="0.15">
      <c r="B39" s="216" t="s">
        <v>648</v>
      </c>
      <c r="C39" s="222">
        <v>5.462950583380897E-5</v>
      </c>
      <c r="D39" s="226" t="s">
        <v>657</v>
      </c>
      <c r="E39" s="222"/>
      <c r="F39" s="213"/>
      <c r="G39" s="227"/>
      <c r="H39" s="213"/>
      <c r="I39" s="213"/>
      <c r="J39" s="213"/>
      <c r="K39" s="213"/>
      <c r="L39" s="213"/>
      <c r="M39" s="213"/>
      <c r="N39" s="213"/>
      <c r="O39" s="213"/>
      <c r="P39" s="213"/>
      <c r="Q39" s="213"/>
      <c r="R39" s="213"/>
      <c r="S39" s="213"/>
    </row>
    <row r="40" spans="2:19" x14ac:dyDescent="0.15">
      <c r="B40" s="217" t="s">
        <v>31</v>
      </c>
      <c r="C40" s="218"/>
      <c r="D40" s="218"/>
      <c r="E40" s="218" t="s">
        <v>653</v>
      </c>
      <c r="F40" s="218"/>
      <c r="G40" s="218"/>
      <c r="H40" s="218"/>
      <c r="I40" s="218"/>
      <c r="J40" s="218"/>
      <c r="K40" s="218"/>
      <c r="L40" s="218"/>
      <c r="M40" s="218"/>
      <c r="N40" s="218"/>
      <c r="O40" s="218"/>
      <c r="P40" s="218"/>
      <c r="Q40" s="218"/>
      <c r="R40" s="218"/>
      <c r="S40" s="218"/>
    </row>
  </sheetData>
  <pageMargins left="0.7" right="0.7" top="0.75" bottom="0.75" header="0.3" footer="0.3"/>
  <ignoredErrors>
    <ignoredError sqref="AJ4:AK4 AK5:AK10" numberStoredAsText="1"/>
    <ignoredError sqref="AJ5:AJ10" numberStoredAsText="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P&amp;L 2027</vt:lpstr>
      <vt:lpstr>P&amp;L 2027_AdvInventory</vt:lpstr>
      <vt:lpstr>P&amp;L 2027_Formats</vt:lpstr>
      <vt:lpstr>Вводные</vt:lpstr>
      <vt:lpstr>DATA</vt:lpstr>
      <vt:lpstr>ПРАЙС</vt:lpstr>
      <vt:lpstr>APP Медиа</vt:lpstr>
      <vt:lpstr>APP Перформанс</vt:lpstr>
      <vt:lpstr>In-store</vt:lpstr>
      <vt:lpstr>DMP</vt:lpstr>
      <vt:lpstr>Content factory</vt:lpstr>
      <vt:lpstr>RMN</vt:lpstr>
      <vt:lpstr>Расходы</vt:lpstr>
      <vt:lpstr>М+ справочно</vt:lpstr>
      <vt:lpstr>Потребности</vt:lpstr>
      <vt:lpstr>PEX</vt:lpstr>
      <vt:lpstr>RevSplit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Бабкин Денис Владимирович</cp:lastModifiedBy>
  <cp:revision>0</cp:revision>
  <dcterms:created xsi:type="dcterms:W3CDTF">2026-09-08T17:39:14Z</dcterms:created>
  <dcterms:modified xsi:type="dcterms:W3CDTF">2026-10-16T11:59:07Z</dcterms:modified>
  <dc:language>en-US</dc:language>
</cp:coreProperties>
</file>