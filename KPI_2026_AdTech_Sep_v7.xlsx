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babkin_dv/Downloads/"/>
    </mc:Choice>
  </mc:AlternateContent>
  <xr:revisionPtr revIDLastSave="0" documentId="13_ncr:1_{D48BCCF1-62ED-D04F-B6BC-8F8A3B526B0A}" xr6:coauthVersionLast="47" xr6:coauthVersionMax="47" xr10:uidLastSave="{00000000-0000-0000-0000-000000000000}"/>
  <bookViews>
    <workbookView xWindow="0" yWindow="780" windowWidth="20960" windowHeight="15720" tabRatio="797" activeTab="2" xr2:uid="{00000000-000D-0000-FFFF-FFFF00000000}"/>
  </bookViews>
  <sheets>
    <sheet name="Корп КПЭ в разрезе BU" sheetId="1" state="hidden" r:id="rId1"/>
    <sheet name="Централиз. команда ОМНИ" sheetId="51" r:id="rId2"/>
    <sheet name="AdTech" sheetId="52" r:id="rId3"/>
    <sheet name="Округа" sheetId="15" state="hidden" r:id="rId4"/>
  </sheets>
  <externalReferences>
    <externalReference r:id="rId5"/>
  </externalReferences>
  <definedNames>
    <definedName name="_xlnm._FilterDatabase" localSheetId="3" hidden="1">Округа!$V$25:$W$25</definedName>
    <definedName name="ДатаТ1">'[1]3ср импорт(исх)'!$A:$A</definedName>
    <definedName name="ДатаТ2">'[1]3ср импорт(исх)'!$G:$G</definedName>
    <definedName name="значенияТ1">'[1]3ср импорт(исх)'!$E:$E</definedName>
    <definedName name="значенияТ2">'[1]3ср импорт(исх)'!$K:$K</definedName>
    <definedName name="Проц_свод">'[1]5формат(исх)'!$F:$F</definedName>
    <definedName name="Руб_свод">'[1]5формат(исх)'!$G:$G</definedName>
    <definedName name="СуммТ1">'[1]3ср импорт(исх)'!$F:$F</definedName>
    <definedName name="СуммТ2">'[1]3ср импорт(исх)'!$L:$L</definedName>
    <definedName name="тип_свод">'[1]5формат(исх)'!$E:$E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5" l="1"/>
  <c r="I131" i="15" l="1"/>
  <c r="I132" i="15" s="1"/>
  <c r="J132" i="15" s="1"/>
  <c r="H130" i="15"/>
  <c r="F130" i="15"/>
  <c r="I128" i="15"/>
  <c r="I129" i="15" s="1"/>
  <c r="J129" i="15" s="1"/>
  <c r="H127" i="15"/>
  <c r="F127" i="15"/>
  <c r="I120" i="15"/>
  <c r="I121" i="15" s="1"/>
  <c r="J121" i="15" s="1"/>
  <c r="H119" i="15"/>
  <c r="F119" i="15"/>
  <c r="I117" i="15"/>
  <c r="I118" i="15" s="1"/>
  <c r="J118" i="15" s="1"/>
  <c r="H116" i="15"/>
  <c r="F116" i="15"/>
  <c r="I109" i="15"/>
  <c r="I110" i="15" s="1"/>
  <c r="J110" i="15" s="1"/>
  <c r="H108" i="15"/>
  <c r="F108" i="15"/>
  <c r="I106" i="15"/>
  <c r="I107" i="15" s="1"/>
  <c r="J107" i="15" s="1"/>
  <c r="H105" i="15"/>
  <c r="F105" i="15"/>
  <c r="I97" i="15"/>
  <c r="I98" i="15" s="1"/>
  <c r="J98" i="15" s="1"/>
  <c r="H96" i="15"/>
  <c r="F96" i="15"/>
  <c r="I94" i="15"/>
  <c r="I95" i="15" s="1"/>
  <c r="J95" i="15" s="1"/>
  <c r="H93" i="15"/>
  <c r="F93" i="15"/>
  <c r="I86" i="15"/>
  <c r="I87" i="15" s="1"/>
  <c r="J87" i="15" s="1"/>
  <c r="H85" i="15"/>
  <c r="F85" i="15"/>
  <c r="I83" i="15"/>
  <c r="I84" i="15" s="1"/>
  <c r="J84" i="15" s="1"/>
  <c r="H82" i="15"/>
  <c r="F82" i="15"/>
  <c r="I75" i="15"/>
  <c r="I76" i="15" s="1"/>
  <c r="J76" i="15" s="1"/>
  <c r="H74" i="15"/>
  <c r="F74" i="15"/>
  <c r="I72" i="15"/>
  <c r="I73" i="15" s="1"/>
  <c r="J73" i="15" s="1"/>
  <c r="H71" i="15"/>
  <c r="F71" i="15"/>
  <c r="I64" i="15"/>
  <c r="I65" i="15" s="1"/>
  <c r="J65" i="15" s="1"/>
  <c r="H63" i="15"/>
  <c r="F63" i="15"/>
  <c r="I61" i="15"/>
  <c r="I62" i="15" s="1"/>
  <c r="J62" i="15" s="1"/>
  <c r="H60" i="15"/>
  <c r="F60" i="15"/>
  <c r="I54" i="15"/>
  <c r="I55" i="15" s="1"/>
  <c r="J55" i="15" s="1"/>
  <c r="H53" i="15"/>
  <c r="F53" i="15"/>
  <c r="I51" i="15"/>
  <c r="I52" i="15" s="1"/>
  <c r="H50" i="15"/>
  <c r="F50" i="15"/>
  <c r="I43" i="15"/>
  <c r="I44" i="15" s="1"/>
  <c r="J44" i="15" s="1"/>
  <c r="H42" i="15"/>
  <c r="F42" i="15"/>
  <c r="I40" i="15"/>
  <c r="I41" i="15" s="1"/>
  <c r="J41" i="15" s="1"/>
  <c r="H39" i="15"/>
  <c r="F39" i="15"/>
  <c r="I33" i="15"/>
  <c r="I34" i="15" s="1"/>
  <c r="J34" i="15" s="1"/>
  <c r="H32" i="15"/>
  <c r="F32" i="15"/>
  <c r="I30" i="15"/>
  <c r="I31" i="15" s="1"/>
  <c r="J31" i="15" s="1"/>
  <c r="H29" i="15"/>
  <c r="F29" i="15"/>
  <c r="J66" i="15" l="1"/>
  <c r="J35" i="15"/>
  <c r="J99" i="15"/>
  <c r="J133" i="15"/>
  <c r="J77" i="15"/>
  <c r="J88" i="15"/>
  <c r="J52" i="15"/>
  <c r="J56" i="15" s="1"/>
  <c r="J122" i="15"/>
  <c r="J111" i="15"/>
  <c r="J45" i="15"/>
  <c r="I203" i="1" l="1"/>
  <c r="I209" i="1" l="1"/>
  <c r="I210" i="1" s="1"/>
  <c r="I208" i="1"/>
  <c r="I181" i="1" l="1"/>
  <c r="I182" i="1" s="1"/>
  <c r="I51" i="1"/>
  <c r="I52" i="1" s="1"/>
  <c r="I146" i="1"/>
  <c r="Q196" i="1"/>
  <c r="N196" i="1"/>
  <c r="I163" i="1"/>
  <c r="G163" i="1"/>
  <c r="H163" i="1" s="1"/>
  <c r="G153" i="1"/>
  <c r="H153" i="1" s="1"/>
  <c r="G148" i="1"/>
  <c r="H148" i="1" s="1"/>
  <c r="I136" i="1"/>
  <c r="I137" i="1" s="1"/>
  <c r="I135" i="1"/>
  <c r="G135" i="1"/>
  <c r="H135" i="1" s="1"/>
  <c r="H133" i="1"/>
  <c r="F133" i="1"/>
  <c r="I131" i="1"/>
  <c r="I132" i="1" s="1"/>
  <c r="I130" i="1"/>
  <c r="G130" i="1"/>
  <c r="H130" i="1" s="1"/>
  <c r="H128" i="1"/>
  <c r="F128" i="1"/>
  <c r="I126" i="1"/>
  <c r="I127" i="1" s="1"/>
  <c r="I125" i="1"/>
  <c r="G125" i="1"/>
  <c r="H125" i="1" s="1"/>
  <c r="H123" i="1"/>
  <c r="F123" i="1"/>
  <c r="I121" i="1"/>
  <c r="I122" i="1" s="1"/>
  <c r="I120" i="1"/>
  <c r="G120" i="1"/>
  <c r="F120" i="1" s="1"/>
  <c r="H118" i="1"/>
  <c r="F118" i="1"/>
  <c r="I107" i="1"/>
  <c r="I108" i="1" s="1"/>
  <c r="I106" i="1"/>
  <c r="G106" i="1"/>
  <c r="H106" i="1" s="1"/>
  <c r="H104" i="1"/>
  <c r="F104" i="1"/>
  <c r="I102" i="1"/>
  <c r="I103" i="1" s="1"/>
  <c r="I101" i="1"/>
  <c r="G101" i="1"/>
  <c r="H101" i="1" s="1"/>
  <c r="H99" i="1"/>
  <c r="F99" i="1"/>
  <c r="I97" i="1"/>
  <c r="I98" i="1" s="1"/>
  <c r="I96" i="1"/>
  <c r="G96" i="1"/>
  <c r="H96" i="1" s="1"/>
  <c r="H94" i="1"/>
  <c r="F94" i="1"/>
  <c r="I92" i="1"/>
  <c r="I93" i="1" s="1"/>
  <c r="I91" i="1"/>
  <c r="G91" i="1"/>
  <c r="H91" i="1" s="1"/>
  <c r="H89" i="1"/>
  <c r="F89" i="1"/>
  <c r="I80" i="1"/>
  <c r="I81" i="1" s="1"/>
  <c r="I79" i="1"/>
  <c r="G79" i="1"/>
  <c r="H79" i="1" s="1"/>
  <c r="H77" i="1"/>
  <c r="F77" i="1"/>
  <c r="I75" i="1"/>
  <c r="I76" i="1" s="1"/>
  <c r="I74" i="1"/>
  <c r="G74" i="1"/>
  <c r="H74" i="1" s="1"/>
  <c r="H72" i="1"/>
  <c r="F72" i="1"/>
  <c r="I70" i="1"/>
  <c r="I71" i="1" s="1"/>
  <c r="I69" i="1"/>
  <c r="G69" i="1"/>
  <c r="H69" i="1" s="1"/>
  <c r="H67" i="1"/>
  <c r="F67" i="1"/>
  <c r="I65" i="1"/>
  <c r="I66" i="1" s="1"/>
  <c r="I64" i="1"/>
  <c r="G64" i="1"/>
  <c r="H64" i="1" s="1"/>
  <c r="H62" i="1"/>
  <c r="F62" i="1"/>
  <c r="I50" i="1"/>
  <c r="I45" i="1"/>
  <c r="I40" i="1"/>
  <c r="G45" i="1"/>
  <c r="H45" i="1" s="1"/>
  <c r="G11" i="1"/>
  <c r="H11" i="1" s="1"/>
  <c r="I159" i="1"/>
  <c r="I160" i="1" s="1"/>
  <c r="H206" i="1"/>
  <c r="G208" i="1"/>
  <c r="F206" i="1"/>
  <c r="M173" i="1"/>
  <c r="N173" i="1" s="1"/>
  <c r="I186" i="1"/>
  <c r="I187" i="1" s="1"/>
  <c r="I185" i="1"/>
  <c r="G185" i="1"/>
  <c r="H185" i="1" s="1"/>
  <c r="H183" i="1"/>
  <c r="F183" i="1"/>
  <c r="I164" i="1"/>
  <c r="I165" i="1" s="1"/>
  <c r="H161" i="1"/>
  <c r="F161" i="1"/>
  <c r="G50" i="1"/>
  <c r="H50" i="1" s="1"/>
  <c r="H48" i="1"/>
  <c r="F48" i="1"/>
  <c r="I46" i="1"/>
  <c r="I47" i="1" s="1"/>
  <c r="H43" i="1"/>
  <c r="F43" i="1"/>
  <c r="I41" i="1"/>
  <c r="I42" i="1" s="1"/>
  <c r="G40" i="1"/>
  <c r="H40" i="1" s="1"/>
  <c r="H38" i="1"/>
  <c r="F38" i="1"/>
  <c r="M219" i="1"/>
  <c r="N219" i="1" s="1"/>
  <c r="F219" i="1"/>
  <c r="H219" i="1"/>
  <c r="G221" i="1"/>
  <c r="F221" i="1" s="1"/>
  <c r="I221" i="1"/>
  <c r="I222" i="1"/>
  <c r="I223" i="1" s="1"/>
  <c r="F224" i="1"/>
  <c r="H224" i="1"/>
  <c r="G226" i="1"/>
  <c r="F226" i="1" s="1"/>
  <c r="I226" i="1"/>
  <c r="I227" i="1"/>
  <c r="I228" i="1" s="1"/>
  <c r="F156" i="1"/>
  <c r="M146" i="1"/>
  <c r="N146" i="1" s="1"/>
  <c r="H208" i="1" l="1"/>
  <c r="J209" i="1"/>
  <c r="J210" i="1" s="1"/>
  <c r="J121" i="1"/>
  <c r="J122" i="1" s="1"/>
  <c r="J92" i="1"/>
  <c r="J93" i="1" s="1"/>
  <c r="F106" i="1"/>
  <c r="J102" i="1"/>
  <c r="J103" i="1" s="1"/>
  <c r="F96" i="1"/>
  <c r="J65" i="1"/>
  <c r="J66" i="1" s="1"/>
  <c r="J136" i="1"/>
  <c r="J137" i="1" s="1"/>
  <c r="J82" i="1"/>
  <c r="J126" i="1"/>
  <c r="J127" i="1" s="1"/>
  <c r="J70" i="1"/>
  <c r="J71" i="1" s="1"/>
  <c r="F91" i="1"/>
  <c r="H120" i="1"/>
  <c r="J164" i="1"/>
  <c r="J165" i="1" s="1"/>
  <c r="F163" i="1"/>
  <c r="F153" i="1"/>
  <c r="F148" i="1"/>
  <c r="J138" i="1"/>
  <c r="F130" i="1"/>
  <c r="J131" i="1"/>
  <c r="J132" i="1" s="1"/>
  <c r="J97" i="1"/>
  <c r="J98" i="1" s="1"/>
  <c r="J107" i="1"/>
  <c r="J108" i="1" s="1"/>
  <c r="F125" i="1"/>
  <c r="F101" i="1"/>
  <c r="J109" i="1"/>
  <c r="F135" i="1"/>
  <c r="J75" i="1"/>
  <c r="J76" i="1" s="1"/>
  <c r="F64" i="1"/>
  <c r="J80" i="1"/>
  <c r="J81" i="1" s="1"/>
  <c r="F69" i="1"/>
  <c r="F79" i="1"/>
  <c r="F74" i="1"/>
  <c r="J51" i="1"/>
  <c r="J52" i="1" s="1"/>
  <c r="J41" i="1"/>
  <c r="J42" i="1" s="1"/>
  <c r="J46" i="1"/>
  <c r="J47" i="1" s="1"/>
  <c r="F45" i="1"/>
  <c r="F11" i="1"/>
  <c r="F208" i="1"/>
  <c r="J186" i="1"/>
  <c r="J187" i="1" s="1"/>
  <c r="F185" i="1"/>
  <c r="F50" i="1"/>
  <c r="F40" i="1"/>
  <c r="Q219" i="1"/>
  <c r="J222" i="1"/>
  <c r="J223" i="1" s="1"/>
  <c r="J229" i="1"/>
  <c r="J227" i="1"/>
  <c r="J228" i="1" s="1"/>
  <c r="H221" i="1"/>
  <c r="H226" i="1"/>
  <c r="M9" i="1"/>
  <c r="N9" i="1" l="1"/>
  <c r="J139" i="1"/>
  <c r="J110" i="1"/>
  <c r="J83" i="1"/>
  <c r="J230" i="1"/>
  <c r="Q146" i="1"/>
  <c r="G203" i="1" l="1"/>
  <c r="H203" i="1" s="1"/>
  <c r="I204" i="1"/>
  <c r="I205" i="1" s="1"/>
  <c r="H201" i="1"/>
  <c r="F201" i="1"/>
  <c r="I199" i="1"/>
  <c r="I200" i="1" s="1"/>
  <c r="I198" i="1"/>
  <c r="G198" i="1"/>
  <c r="H198" i="1" s="1"/>
  <c r="H196" i="1"/>
  <c r="F196" i="1"/>
  <c r="G180" i="1"/>
  <c r="F180" i="1" s="1"/>
  <c r="H178" i="1"/>
  <c r="F178" i="1"/>
  <c r="I176" i="1"/>
  <c r="I177" i="1" s="1"/>
  <c r="J188" i="1" s="1"/>
  <c r="I175" i="1"/>
  <c r="G175" i="1"/>
  <c r="F175" i="1" s="1"/>
  <c r="H173" i="1"/>
  <c r="F173" i="1"/>
  <c r="I148" i="1"/>
  <c r="I149" i="1"/>
  <c r="I150" i="1" s="1"/>
  <c r="I154" i="1"/>
  <c r="I155" i="1" s="1"/>
  <c r="F151" i="1"/>
  <c r="H146" i="1"/>
  <c r="F146" i="1"/>
  <c r="G35" i="1"/>
  <c r="H35" i="1" s="1"/>
  <c r="H33" i="1"/>
  <c r="F33" i="1"/>
  <c r="J211" i="1" l="1"/>
  <c r="J166" i="1"/>
  <c r="F198" i="1"/>
  <c r="J199" i="1"/>
  <c r="J200" i="1" s="1"/>
  <c r="F203" i="1"/>
  <c r="J204" i="1"/>
  <c r="J205" i="1" s="1"/>
  <c r="J176" i="1"/>
  <c r="J177" i="1" s="1"/>
  <c r="H175" i="1"/>
  <c r="H180" i="1"/>
  <c r="I180" i="1"/>
  <c r="J181" i="1" s="1"/>
  <c r="J182" i="1" s="1"/>
  <c r="J149" i="1"/>
  <c r="J150" i="1" s="1"/>
  <c r="G158" i="1"/>
  <c r="I158" i="1"/>
  <c r="H156" i="1"/>
  <c r="H151" i="1"/>
  <c r="F35" i="1"/>
  <c r="J212" i="1" l="1"/>
  <c r="J189" i="1"/>
  <c r="J154" i="1"/>
  <c r="J155" i="1" s="1"/>
  <c r="J159" i="1"/>
  <c r="J160" i="1" s="1"/>
  <c r="F158" i="1"/>
  <c r="H158" i="1"/>
  <c r="J167" i="1" l="1"/>
  <c r="F9" i="1"/>
  <c r="H9" i="1"/>
  <c r="I11" i="1" s="1"/>
  <c r="I12" i="1"/>
  <c r="I13" i="1" s="1"/>
  <c r="F14" i="1"/>
  <c r="I16" i="1"/>
  <c r="Q9" i="1" s="1"/>
  <c r="J12" i="1" l="1"/>
  <c r="J13" i="1" s="1"/>
  <c r="H14" i="1"/>
  <c r="G16" i="1"/>
  <c r="F16" i="1" s="1"/>
  <c r="I17" i="1"/>
  <c r="I18" i="1" s="1"/>
  <c r="J19" i="1" s="1"/>
  <c r="H16" i="1" l="1"/>
  <c r="J17" i="1"/>
  <c r="J18" i="1" s="1"/>
  <c r="J20" i="1" s="1"/>
  <c r="I35" i="1"/>
  <c r="J36" i="1" s="1"/>
  <c r="J37" i="1" s="1"/>
  <c r="I36" i="1"/>
  <c r="I37" i="1" s="1"/>
  <c r="J53" i="1" s="1"/>
  <c r="J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Айнутдинова Валерия Всеволодовна</author>
  </authors>
  <commentList>
    <comment ref="C10" authorId="0" shapeId="0" xr:uid="{CDD81174-5F01-403A-8ECE-4BCE3F5D7E7A}">
      <text>
        <r>
          <rPr>
            <b/>
            <sz val="9"/>
            <color indexed="81"/>
            <rFont val="Tahoma"/>
            <family val="2"/>
            <charset val="204"/>
          </rPr>
          <t>Айнутдинова Валерия Всеволодовна:</t>
        </r>
        <r>
          <rPr>
            <sz val="9"/>
            <color indexed="81"/>
            <rFont val="Tahoma"/>
            <family val="2"/>
            <charset val="204"/>
          </rPr>
          <t xml:space="preserve">
в КПЭ было не второе полуголие по РК, а полный год &lt;20 </t>
        </r>
      </text>
    </comment>
  </commentList>
</comments>
</file>

<file path=xl/sharedStrings.xml><?xml version="1.0" encoding="utf-8"?>
<sst xmlns="http://schemas.openxmlformats.org/spreadsheetml/2006/main" count="802" uniqueCount="142">
  <si>
    <t>Корп КПЭ</t>
  </si>
  <si>
    <t>Компания</t>
  </si>
  <si>
    <t>KPI value</t>
  </si>
  <si>
    <t>EBITDA IAS17</t>
  </si>
  <si>
    <t>% of budget achievement</t>
  </si>
  <si>
    <t>KPI evaluation, %</t>
  </si>
  <si>
    <t>Фарма</t>
  </si>
  <si>
    <t>МСА</t>
  </si>
  <si>
    <t>Дикси</t>
  </si>
  <si>
    <t>KPI</t>
  </si>
  <si>
    <t>Weight</t>
  </si>
  <si>
    <t>Min</t>
  </si>
  <si>
    <t>Target</t>
  </si>
  <si>
    <t>Max</t>
  </si>
  <si>
    <t>Act</t>
  </si>
  <si>
    <t>Scale</t>
  </si>
  <si>
    <t>Adjustment</t>
  </si>
  <si>
    <t>KPI value after adjustment</t>
  </si>
  <si>
    <t>Total bonus</t>
  </si>
  <si>
    <t>Total bonus after adjustment</t>
  </si>
  <si>
    <t>Act after adjustment</t>
  </si>
  <si>
    <t>Trigger</t>
  </si>
  <si>
    <t>Цель</t>
  </si>
  <si>
    <t>Условие триггера</t>
  </si>
  <si>
    <t>% выполнения</t>
  </si>
  <si>
    <t>Триггер выполнен</t>
  </si>
  <si>
    <t>≥85% of the budget</t>
  </si>
  <si>
    <t>NWC, days</t>
  </si>
  <si>
    <t>≤ 20 days</t>
  </si>
  <si>
    <t>да</t>
  </si>
  <si>
    <t xml:space="preserve">Факт </t>
  </si>
  <si>
    <t>Условие выплаты премии</t>
  </si>
  <si>
    <t>TWC, days</t>
  </si>
  <si>
    <t>&lt;=5 days</t>
  </si>
  <si>
    <t>2024 год</t>
  </si>
  <si>
    <t>2HY EBITDA IAS17</t>
  </si>
  <si>
    <t>2HY LFL sales</t>
  </si>
  <si>
    <t>2HY NWC, days</t>
  </si>
  <si>
    <t>2HY EBITDA IAS17, bln. RUB</t>
  </si>
  <si>
    <t>Admin cost</t>
  </si>
  <si>
    <t>1. Admin costs no higher than the bottom-up budget (35 742* million RUB +\- 2%)
2. Developing a long-term plan for 3 years for process reengineering with a target
effect of 20-30% on the efficiency (headcount, share in revenue, or 2 effects),
including projects (OPEX + CAPEX). Deadline - March 2025. Ownership of projects
FTEs should belong to business-functions.</t>
  </si>
  <si>
    <t xml:space="preserve">2024 год </t>
  </si>
  <si>
    <t>Revenue MA, bln. RUB</t>
  </si>
  <si>
    <t>Retail EBITDA MA (incl. E-com), bln. RUB</t>
  </si>
  <si>
    <t>Total EBITDA MSA</t>
  </si>
  <si>
    <t>&lt;=115% of the budget</t>
  </si>
  <si>
    <t>Retail EBITDA B1 + Admin PEX HD team (HQ,Hubs, SLA), B RUB (1)</t>
  </si>
  <si>
    <t>Год 2024</t>
  </si>
  <si>
    <t>Sales Density for mature stores on Dec/2024 (incl. VAT), thsRUB incl VAT /1 sqm.</t>
  </si>
  <si>
    <t>% of new stores with 1st full month's revenue &gt; 8,5 M RUB. excl VAT, % target new stores/all new stores(</t>
  </si>
  <si>
    <t>EBITDA IAS17, bln. RUB</t>
  </si>
  <si>
    <t>EBITDA IAS17 Marketplace</t>
  </si>
  <si>
    <t>MagnitCorporate Trigger</t>
  </si>
  <si>
    <t>EcomNet Revenue (OS + Partners + Other)</t>
  </si>
  <si>
    <t>GMV Marketplace, RUB mln</t>
  </si>
  <si>
    <t>Return openings 2024</t>
  </si>
  <si>
    <t>2HY Revenue МSА, bln. SUM</t>
  </si>
  <si>
    <t>Total EBITDA MSA, bln. SUM</t>
  </si>
  <si>
    <t>Gross income, %</t>
  </si>
  <si>
    <t>Positive unit economy for mature stores considering adjusted logistics costs = 3,8%) on December 2024, % of Revenue</t>
  </si>
  <si>
    <t>E-com (Сачков)</t>
  </si>
  <si>
    <t>E-com (Гюванч)</t>
  </si>
  <si>
    <t>E-com (Измаилов)</t>
  </si>
  <si>
    <t>E-com (Гладникова)</t>
  </si>
  <si>
    <t>КПЭ</t>
  </si>
  <si>
    <t>Бюджет</t>
  </si>
  <si>
    <t>EBITDA MA (Management account) 2 полугодие</t>
  </si>
  <si>
    <t>LFL РТО 2 полугодие</t>
  </si>
  <si>
    <t>Вес</t>
  </si>
  <si>
    <t>&gt;= -1 355</t>
  </si>
  <si>
    <t>&gt;= -3 253</t>
  </si>
  <si>
    <t>Выручка e-com (вкл. собственный сервис, партнерский , прочие)</t>
  </si>
  <si>
    <t>GMV Marketplace</t>
  </si>
  <si>
    <t>EBITDA Ритейл Магнит Аптека, (вкл.e-com)</t>
  </si>
  <si>
    <t>NWC Магнит Аптеки</t>
  </si>
  <si>
    <t>Return открытий МА 2024</t>
  </si>
  <si>
    <t>Выручка Магнит Аптеки</t>
  </si>
  <si>
    <t>Валовый доход МСА</t>
  </si>
  <si>
    <t>EBITDA МСА</t>
  </si>
  <si>
    <t>Выручка МСА 2 полугодие</t>
  </si>
  <si>
    <t>% Новых магазинов с выручкой за первый полный месяц &gt; 8,5 млн руб. без НДС. % целевых новых магазинов/всех новых магазинов</t>
  </si>
  <si>
    <t>Положительная Unit Economics для зрелых магазинов с учетом скорректированных логистических затрат = 3,8% на декабрь 2024 года, % от выручки</t>
  </si>
  <si>
    <t>Плотность продаж зрелых ТТ на кв.м</t>
  </si>
  <si>
    <t xml:space="preserve">&lt;=110% of the updated budget
</t>
  </si>
  <si>
    <t>LFL sales, %</t>
  </si>
  <si>
    <t>EBITDA Дикси</t>
  </si>
  <si>
    <t>LFL РТО Дикси</t>
  </si>
  <si>
    <t>обновленная цифра бюджета</t>
  </si>
  <si>
    <t>2HY LFL sales, %</t>
  </si>
  <si>
    <t>2HY EBITDA IAS17, bln.
RUB</t>
  </si>
  <si>
    <t xml:space="preserve">  EBITDA IAS17 E-Com</t>
  </si>
  <si>
    <t>EBITDA 2 полугодие</t>
  </si>
  <si>
    <t>B1</t>
  </si>
  <si>
    <t>36225(1,4%)</t>
  </si>
  <si>
    <t>Мин</t>
  </si>
  <si>
    <t>Макс</t>
  </si>
  <si>
    <t>Прогноз</t>
  </si>
  <si>
    <t>Триггер (если показатель не выполнен, премия = 0)</t>
  </si>
  <si>
    <t>Итоги с учетом прогноза</t>
  </si>
  <si>
    <t>Прогноз выполнения</t>
  </si>
  <si>
    <t>Шкала</t>
  </si>
  <si>
    <t>2 полугодие, EBITDA IAS17</t>
  </si>
  <si>
    <t>2 полугодие, Чистый оборотный капитал</t>
  </si>
  <si>
    <t>Административные затраты</t>
  </si>
  <si>
    <t>Значение КПЭ</t>
  </si>
  <si>
    <t>% выполнения бюджета</t>
  </si>
  <si>
    <t>Оценка (Выплата премии)</t>
  </si>
  <si>
    <t>≥85% от бюджета</t>
  </si>
  <si>
    <t>≤ 20 дней</t>
  </si>
  <si>
    <t>1. Административные расходы не выше, чем в bottom-up бюджете (35 742 млн. рублей +/- 2%)
2. Разработка долгосрочного плана на 3 года по реинжинирингу процессов с целевым эффектом 20-30% по эффективности (численность сотрудников, доля в выручке или оба эффекта), включая проекты (OPEX + CAPEX). Срок выполнения - март 2025 года. Ответственность за FTE проектов должна принадлежать бизнес-функциям.</t>
  </si>
  <si>
    <t>2 полугодие, LFL продажи, %</t>
  </si>
  <si>
    <t>2 полугодие, EBITDA IAS17, млрд. руб.</t>
  </si>
  <si>
    <t>Желтый цвет -выполнение триггера и выполнение корп КПЭ в диапазоне от нижней мин границы до цели</t>
  </si>
  <si>
    <t>Красный цвет -не выполнение триггера и выполнение корп КПЭ ниже установленной мин границы</t>
  </si>
  <si>
    <t xml:space="preserve"> </t>
  </si>
  <si>
    <t>Зеленый цвет -выполнение триггера и выполнение корп КПЭ =&gt; цели</t>
  </si>
  <si>
    <t>Округа план и факт 5 месяцев</t>
  </si>
  <si>
    <t>AdTech</t>
  </si>
  <si>
    <t>Южный</t>
  </si>
  <si>
    <t>Центральный</t>
  </si>
  <si>
    <t>Уральский</t>
  </si>
  <si>
    <t>Сибирский</t>
  </si>
  <si>
    <t>Северо-Западный</t>
  </si>
  <si>
    <t>Приволжский</t>
  </si>
  <si>
    <t>Московский</t>
  </si>
  <si>
    <t>Московский (объединенный)</t>
  </si>
  <si>
    <t>Волжский</t>
  </si>
  <si>
    <t>Кавказский</t>
  </si>
  <si>
    <t>2026 год</t>
  </si>
  <si>
    <t>≤108% от бюджета</t>
  </si>
  <si>
    <t>Директор ОМНИ и централи из. команда ОМНИ</t>
  </si>
  <si>
    <t>ВыручкаFoodTech (собств.+ партнеры), млрд. руб.</t>
  </si>
  <si>
    <t>Доля многофункциональных DAC,% отобщего объема DAC, среднее за 4 квартал 2026</t>
  </si>
  <si>
    <t>AdTech EBITDA, млрд.руб</t>
  </si>
  <si>
    <t>Количество DAC, млн шт.</t>
  </si>
  <si>
    <t>FCF 4 формата</t>
  </si>
  <si>
    <t>Инкрементальная выручка от некоммерческих поставщиков, млрд.руб</t>
  </si>
  <si>
    <t>EBITDA AdTech</t>
  </si>
  <si>
    <t>≥ 92 %</t>
  </si>
  <si>
    <t>План/факт 8 месяца</t>
  </si>
  <si>
    <t>Факт 8 месяцев</t>
  </si>
  <si>
    <t>План/факт 8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</si>
</sst>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0.0%"/>
    <numFmt numFmtId="166" formatCode="0.0"/>
    <numFmt numFmtId="167" formatCode="0.000"/>
    <numFmt numFmtId="168" formatCode="_-* #,##0_-;\-* #,##0_-;_-* &quot;-&quot;??_-;_-@_-"/>
    <numFmt numFmtId="169" formatCode=";;;"/>
    <numFmt numFmtId="170" formatCode="_-* #,##0.0_-;\-* #,##0.0_-;_-* &quot;-&quot;??_-;_-@_-"/>
    <numFmt numFmtId="171" formatCode="_-* #,##0.000_-;\-* #,##0.000_-;_-* &quot;-&quot;??_-;_-@_-"/>
  </numFmts>
  <fonts count="3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color rgb="FF000000"/>
      <name val="Verdana"/>
      <family val="2"/>
      <charset val="204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Verdana"/>
      <family val="2"/>
      <charset val="204"/>
    </font>
    <font>
      <b/>
      <sz val="11"/>
      <color rgb="FFFFFFFF"/>
      <name val="Verdana"/>
      <family val="2"/>
      <charset val="204"/>
    </font>
    <font>
      <sz val="11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4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rgb="FF000000"/>
      <name val="Verdana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Verdana"/>
      <family val="2"/>
      <charset val="204"/>
    </font>
    <font>
      <b/>
      <sz val="11"/>
      <color rgb="FFFF0000"/>
      <name val="Verdana"/>
      <family val="2"/>
      <charset val="204"/>
    </font>
    <font>
      <b/>
      <sz val="14"/>
      <name val="Calibri"/>
      <family val="2"/>
      <charset val="204"/>
      <scheme val="minor"/>
    </font>
    <font>
      <b/>
      <sz val="11"/>
      <name val="Verdan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ptos"/>
      <family val="2"/>
    </font>
    <font>
      <sz val="20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73539"/>
        <bgColor indexed="64"/>
      </patternFill>
    </fill>
    <fill>
      <patternFill patternType="solid">
        <fgColor rgb="FFF8E2D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17" fillId="0" borderId="0"/>
    <xf numFmtId="0" fontId="1" fillId="0" borderId="0"/>
    <xf numFmtId="0" fontId="2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9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0" fillId="0" borderId="0" xfId="1" applyNumberFormat="1" applyFont="1" applyFill="1"/>
    <xf numFmtId="164" fontId="0" fillId="0" borderId="0" xfId="0" applyNumberFormat="1"/>
    <xf numFmtId="10" fontId="0" fillId="0" borderId="0" xfId="2" applyNumberFormat="1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0" fontId="8" fillId="2" borderId="2" xfId="1" applyNumberFormat="1" applyFont="1" applyFill="1" applyBorder="1" applyAlignment="1">
      <alignment horizontal="center" vertical="center" wrapText="1"/>
    </xf>
    <xf numFmtId="10" fontId="8" fillId="2" borderId="7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 readingOrder="1"/>
    </xf>
    <xf numFmtId="0" fontId="13" fillId="4" borderId="9" xfId="0" applyFont="1" applyFill="1" applyBorder="1" applyAlignment="1">
      <alignment horizontal="left" vertical="center" wrapText="1" readingOrder="1"/>
    </xf>
    <xf numFmtId="0" fontId="13" fillId="4" borderId="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10" fontId="8" fillId="5" borderId="1" xfId="2" applyNumberFormat="1" applyFont="1" applyFill="1" applyBorder="1" applyAlignment="1">
      <alignment horizontal="right" wrapText="1"/>
    </xf>
    <xf numFmtId="10" fontId="8" fillId="5" borderId="1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center" vertical="center" wrapText="1"/>
    </xf>
    <xf numFmtId="10" fontId="10" fillId="5" borderId="4" xfId="2" applyNumberFormat="1" applyFont="1" applyFill="1" applyBorder="1" applyAlignment="1">
      <alignment horizontal="center" vertical="center" wrapText="1"/>
    </xf>
    <xf numFmtId="10" fontId="10" fillId="5" borderId="8" xfId="2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 readingOrder="1"/>
    </xf>
    <xf numFmtId="10" fontId="10" fillId="6" borderId="1" xfId="2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 readingOrder="1"/>
    </xf>
    <xf numFmtId="10" fontId="10" fillId="6" borderId="6" xfId="2" applyNumberFormat="1" applyFont="1" applyFill="1" applyBorder="1" applyAlignment="1">
      <alignment horizontal="center" vertical="center" wrapText="1"/>
    </xf>
    <xf numFmtId="10" fontId="8" fillId="6" borderId="4" xfId="2" applyNumberFormat="1" applyFont="1" applyFill="1" applyBorder="1" applyAlignment="1">
      <alignment horizontal="center" vertical="center" wrapText="1"/>
    </xf>
    <xf numFmtId="2" fontId="8" fillId="6" borderId="1" xfId="1" applyNumberFormat="1" applyFont="1" applyFill="1" applyBorder="1" applyAlignment="1">
      <alignment horizontal="center" vertical="center" wrapText="1"/>
    </xf>
    <xf numFmtId="2" fontId="8" fillId="5" borderId="1" xfId="1" applyNumberFormat="1" applyFont="1" applyFill="1" applyBorder="1" applyAlignment="1">
      <alignment horizontal="center" vertical="center" wrapText="1"/>
    </xf>
    <xf numFmtId="2" fontId="10" fillId="5" borderId="1" xfId="1" applyNumberFormat="1" applyFont="1" applyFill="1" applyBorder="1" applyAlignment="1">
      <alignment horizontal="center" vertical="center" wrapText="1"/>
    </xf>
    <xf numFmtId="2" fontId="10" fillId="5" borderId="1" xfId="2" applyNumberFormat="1" applyFont="1" applyFill="1" applyBorder="1" applyAlignment="1">
      <alignment horizontal="center" wrapText="1"/>
    </xf>
    <xf numFmtId="2" fontId="10" fillId="5" borderId="4" xfId="1" applyNumberFormat="1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10" fontId="8" fillId="5" borderId="1" xfId="2" applyNumberFormat="1" applyFont="1" applyFill="1" applyBorder="1" applyAlignment="1">
      <alignment wrapText="1"/>
    </xf>
    <xf numFmtId="166" fontId="8" fillId="5" borderId="1" xfId="1" applyNumberFormat="1" applyFont="1" applyFill="1" applyBorder="1" applyAlignment="1">
      <alignment horizontal="center" vertical="center" wrapText="1"/>
    </xf>
    <xf numFmtId="165" fontId="10" fillId="6" borderId="1" xfId="2" applyNumberFormat="1" applyFont="1" applyFill="1" applyBorder="1" applyAlignment="1">
      <alignment horizontal="center" vertical="center" wrapText="1"/>
    </xf>
    <xf numFmtId="9" fontId="10" fillId="6" borderId="1" xfId="2" applyFont="1" applyFill="1" applyBorder="1" applyAlignment="1">
      <alignment horizontal="center" vertical="center" wrapText="1"/>
    </xf>
    <xf numFmtId="169" fontId="10" fillId="6" borderId="1" xfId="2" applyNumberFormat="1" applyFont="1" applyFill="1" applyBorder="1" applyAlignment="1">
      <alignment horizontal="center" vertical="center" wrapText="1"/>
    </xf>
    <xf numFmtId="169" fontId="10" fillId="5" borderId="4" xfId="2" applyNumberFormat="1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right" wrapText="1"/>
    </xf>
    <xf numFmtId="0" fontId="7" fillId="6" borderId="14" xfId="0" applyFont="1" applyFill="1" applyBorder="1" applyAlignment="1">
      <alignment horizontal="center" vertical="center" wrapText="1" readingOrder="1"/>
    </xf>
    <xf numFmtId="166" fontId="8" fillId="6" borderId="14" xfId="1" applyNumberFormat="1" applyFont="1" applyFill="1" applyBorder="1" applyAlignment="1">
      <alignment horizontal="center" vertical="center" wrapText="1"/>
    </xf>
    <xf numFmtId="10" fontId="8" fillId="6" borderId="23" xfId="2" applyNumberFormat="1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 readingOrder="1"/>
    </xf>
    <xf numFmtId="10" fontId="8" fillId="6" borderId="26" xfId="2" applyNumberFormat="1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7" fillId="6" borderId="21" xfId="0" applyFont="1" applyFill="1" applyBorder="1" applyAlignment="1">
      <alignment horizontal="center" vertical="center" wrapText="1" readingOrder="1"/>
    </xf>
    <xf numFmtId="2" fontId="8" fillId="6" borderId="14" xfId="1" applyNumberFormat="1" applyFont="1" applyFill="1" applyBorder="1" applyAlignment="1">
      <alignment horizontal="center" vertical="center" wrapText="1"/>
    </xf>
    <xf numFmtId="2" fontId="8" fillId="6" borderId="25" xfId="1" applyNumberFormat="1" applyFont="1" applyFill="1" applyBorder="1" applyAlignment="1">
      <alignment horizontal="center" vertical="center" wrapText="1"/>
    </xf>
    <xf numFmtId="165" fontId="0" fillId="0" borderId="0" xfId="2" applyNumberFormat="1" applyFont="1"/>
    <xf numFmtId="0" fontId="21" fillId="0" borderId="0" xfId="0" applyFont="1"/>
    <xf numFmtId="0" fontId="22" fillId="0" borderId="9" xfId="0" applyFont="1" applyBorder="1" applyAlignment="1">
      <alignment horizontal="left" vertical="center" wrapText="1" readingOrder="1"/>
    </xf>
    <xf numFmtId="10" fontId="24" fillId="0" borderId="9" xfId="2" applyNumberFormat="1" applyFont="1" applyFill="1" applyBorder="1" applyAlignment="1">
      <alignment horizontal="center" vertical="center" wrapText="1"/>
    </xf>
    <xf numFmtId="171" fontId="23" fillId="0" borderId="9" xfId="1" applyNumberFormat="1" applyFont="1" applyBorder="1" applyAlignment="1">
      <alignment horizontal="center" vertical="center" wrapText="1"/>
    </xf>
    <xf numFmtId="10" fontId="23" fillId="0" borderId="9" xfId="2" applyNumberFormat="1" applyFont="1" applyBorder="1" applyAlignment="1">
      <alignment horizontal="center" vertical="center" wrapText="1"/>
    </xf>
    <xf numFmtId="1" fontId="8" fillId="5" borderId="1" xfId="1" applyNumberFormat="1" applyFont="1" applyFill="1" applyBorder="1" applyAlignment="1">
      <alignment horizontal="center" vertical="center" wrapText="1"/>
    </xf>
    <xf numFmtId="0" fontId="8" fillId="6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left" vertical="center" wrapText="1" readingOrder="1"/>
    </xf>
    <xf numFmtId="0" fontId="13" fillId="4" borderId="32" xfId="0" applyFont="1" applyFill="1" applyBorder="1" applyAlignment="1">
      <alignment horizontal="left" vertical="center" wrapText="1" readingOrder="1"/>
    </xf>
    <xf numFmtId="0" fontId="13" fillId="4" borderId="33" xfId="0" applyFont="1" applyFill="1" applyBorder="1" applyAlignment="1">
      <alignment horizontal="center" vertical="center" wrapText="1" readingOrder="1"/>
    </xf>
    <xf numFmtId="0" fontId="13" fillId="4" borderId="34" xfId="0" applyFont="1" applyFill="1" applyBorder="1" applyAlignment="1">
      <alignment horizontal="center" vertical="center" wrapText="1" readingOrder="1"/>
    </xf>
    <xf numFmtId="0" fontId="13" fillId="4" borderId="35" xfId="0" applyFont="1" applyFill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2" fontId="25" fillId="0" borderId="30" xfId="0" applyNumberFormat="1" applyFont="1" applyBorder="1" applyAlignment="1">
      <alignment horizontal="center" vertical="center" wrapText="1"/>
    </xf>
    <xf numFmtId="10" fontId="26" fillId="0" borderId="30" xfId="2" applyNumberFormat="1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readingOrder="1"/>
    </xf>
    <xf numFmtId="2" fontId="25" fillId="0" borderId="30" xfId="0" applyNumberFormat="1" applyFont="1" applyBorder="1" applyAlignment="1">
      <alignment horizontal="left" vertical="center" wrapText="1"/>
    </xf>
    <xf numFmtId="0" fontId="13" fillId="4" borderId="30" xfId="0" applyFont="1" applyFill="1" applyBorder="1" applyAlignment="1">
      <alignment horizontal="left" vertical="center" wrapText="1" readingOrder="1"/>
    </xf>
    <xf numFmtId="0" fontId="13" fillId="4" borderId="30" xfId="0" applyFont="1" applyFill="1" applyBorder="1" applyAlignment="1">
      <alignment horizontal="center" vertical="center" wrapText="1" readingOrder="1"/>
    </xf>
    <xf numFmtId="2" fontId="11" fillId="0" borderId="30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indent="1" readingOrder="1"/>
    </xf>
    <xf numFmtId="168" fontId="11" fillId="0" borderId="30" xfId="1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right" vertical="center" wrapText="1" readingOrder="1"/>
    </xf>
    <xf numFmtId="0" fontId="14" fillId="0" borderId="30" xfId="0" applyFont="1" applyBorder="1" applyAlignment="1">
      <alignment horizontal="left" vertical="center" wrapText="1" readingOrder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left" vertical="center" wrapText="1"/>
    </xf>
    <xf numFmtId="10" fontId="11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0" fontId="8" fillId="5" borderId="1" xfId="2" applyNumberFormat="1" applyFont="1" applyFill="1" applyBorder="1" applyAlignment="1">
      <alignment horizontal="center" vertical="center" wrapText="1"/>
    </xf>
    <xf numFmtId="171" fontId="11" fillId="0" borderId="30" xfId="1" applyNumberFormat="1" applyFont="1" applyBorder="1" applyAlignment="1">
      <alignment horizontal="center" vertical="center" wrapText="1"/>
    </xf>
    <xf numFmtId="0" fontId="8" fillId="6" borderId="25" xfId="1" applyNumberFormat="1" applyFont="1" applyFill="1" applyBorder="1" applyAlignment="1">
      <alignment horizontal="center" vertical="center" wrapText="1"/>
    </xf>
    <xf numFmtId="167" fontId="8" fillId="6" borderId="25" xfId="1" applyNumberFormat="1" applyFont="1" applyFill="1" applyBorder="1" applyAlignment="1">
      <alignment horizontal="center" vertical="center" wrapText="1"/>
    </xf>
    <xf numFmtId="166" fontId="8" fillId="6" borderId="25" xfId="1" applyNumberFormat="1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 readingOrder="1"/>
    </xf>
    <xf numFmtId="1" fontId="8" fillId="6" borderId="25" xfId="1" applyNumberFormat="1" applyFont="1" applyFill="1" applyBorder="1" applyAlignment="1">
      <alignment horizontal="center" vertical="center" wrapText="1"/>
    </xf>
    <xf numFmtId="0" fontId="8" fillId="6" borderId="25" xfId="2" applyNumberFormat="1" applyFont="1" applyFill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9" fontId="25" fillId="0" borderId="30" xfId="2" applyFont="1" applyBorder="1" applyAlignment="1">
      <alignment vertical="center" wrapText="1"/>
    </xf>
    <xf numFmtId="0" fontId="15" fillId="0" borderId="30" xfId="0" applyFont="1" applyBorder="1" applyAlignment="1">
      <alignment vertical="center" wrapText="1" readingOrder="1"/>
    </xf>
    <xf numFmtId="2" fontId="25" fillId="0" borderId="30" xfId="0" applyNumberFormat="1" applyFont="1" applyBorder="1" applyAlignment="1">
      <alignment vertical="center" wrapText="1"/>
    </xf>
    <xf numFmtId="2" fontId="11" fillId="0" borderId="9" xfId="0" applyNumberFormat="1" applyFont="1" applyBorder="1" applyAlignment="1">
      <alignment horizontal="left" vertical="center" wrapText="1"/>
    </xf>
    <xf numFmtId="43" fontId="23" fillId="0" borderId="9" xfId="1" applyFont="1" applyBorder="1" applyAlignment="1">
      <alignment horizontal="center" vertical="center" wrapText="1"/>
    </xf>
    <xf numFmtId="2" fontId="8" fillId="5" borderId="1" xfId="2" applyNumberFormat="1" applyFont="1" applyFill="1" applyBorder="1" applyAlignment="1">
      <alignment horizontal="center" vertical="center" wrapText="1"/>
    </xf>
    <xf numFmtId="9" fontId="14" fillId="0" borderId="30" xfId="2" applyFont="1" applyBorder="1" applyAlignment="1">
      <alignment horizontal="left" vertical="center" wrapText="1" readingOrder="1"/>
    </xf>
    <xf numFmtId="10" fontId="8" fillId="0" borderId="0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0" fillId="0" borderId="0" xfId="0" applyAlignment="1">
      <alignment horizontal="left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10" fontId="10" fillId="0" borderId="1" xfId="2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 readingOrder="1"/>
    </xf>
    <xf numFmtId="10" fontId="10" fillId="0" borderId="6" xfId="2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left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2" fontId="0" fillId="0" borderId="9" xfId="0" applyNumberFormat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 readingOrder="1"/>
    </xf>
    <xf numFmtId="0" fontId="30" fillId="7" borderId="11" xfId="0" applyFont="1" applyFill="1" applyBorder="1" applyAlignment="1">
      <alignment horizontal="center" vertical="center" wrapText="1"/>
    </xf>
    <xf numFmtId="166" fontId="8" fillId="0" borderId="25" xfId="1" applyNumberFormat="1" applyFont="1" applyFill="1" applyBorder="1" applyAlignment="1">
      <alignment horizontal="center" vertical="center" wrapText="1"/>
    </xf>
    <xf numFmtId="166" fontId="8" fillId="0" borderId="14" xfId="1" applyNumberFormat="1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vertical="center" wrapText="1" readingOrder="1"/>
    </xf>
    <xf numFmtId="2" fontId="0" fillId="8" borderId="9" xfId="0" applyNumberFormat="1" applyFill="1" applyBorder="1" applyAlignment="1">
      <alignment horizontal="center" vertical="center" wrapText="1"/>
    </xf>
    <xf numFmtId="166" fontId="8" fillId="8" borderId="25" xfId="1" applyNumberFormat="1" applyFont="1" applyFill="1" applyBorder="1" applyAlignment="1">
      <alignment horizontal="center" vertical="center" wrapText="1"/>
    </xf>
    <xf numFmtId="166" fontId="8" fillId="8" borderId="14" xfId="1" applyNumberFormat="1" applyFont="1" applyFill="1" applyBorder="1" applyAlignment="1">
      <alignment horizontal="center" vertical="center" wrapText="1"/>
    </xf>
    <xf numFmtId="43" fontId="0" fillId="0" borderId="0" xfId="1" applyFont="1"/>
    <xf numFmtId="0" fontId="34" fillId="0" borderId="0" xfId="0" applyFont="1" applyAlignment="1">
      <alignment vertical="center"/>
    </xf>
    <xf numFmtId="0" fontId="30" fillId="0" borderId="55" xfId="0" applyFont="1" applyBorder="1" applyAlignment="1">
      <alignment horizontal="center" vertical="center" wrapText="1"/>
    </xf>
    <xf numFmtId="10" fontId="8" fillId="0" borderId="56" xfId="2" applyNumberFormat="1" applyFont="1" applyFill="1" applyBorder="1" applyAlignment="1">
      <alignment horizontal="center" vertical="center" wrapText="1"/>
    </xf>
    <xf numFmtId="10" fontId="10" fillId="0" borderId="57" xfId="2" applyNumberFormat="1" applyFont="1" applyFill="1" applyBorder="1" applyAlignment="1">
      <alignment horizontal="center" vertical="center" wrapText="1"/>
    </xf>
    <xf numFmtId="10" fontId="10" fillId="0" borderId="58" xfId="2" applyNumberFormat="1" applyFont="1" applyFill="1" applyBorder="1" applyAlignment="1">
      <alignment horizontal="center" vertical="center" wrapText="1"/>
    </xf>
    <xf numFmtId="10" fontId="8" fillId="0" borderId="59" xfId="2" applyNumberFormat="1" applyFont="1" applyFill="1" applyBorder="1" applyAlignment="1">
      <alignment horizontal="center" vertical="center" wrapText="1"/>
    </xf>
    <xf numFmtId="9" fontId="0" fillId="0" borderId="9" xfId="2" applyFont="1" applyBorder="1" applyAlignment="1">
      <alignment horizontal="left" vertical="center" wrapText="1"/>
    </xf>
    <xf numFmtId="0" fontId="29" fillId="0" borderId="60" xfId="0" applyFont="1" applyBorder="1" applyAlignment="1">
      <alignment horizontal="center" vertical="center" wrapText="1" readingOrder="1"/>
    </xf>
    <xf numFmtId="166" fontId="8" fillId="7" borderId="25" xfId="1" applyNumberFormat="1" applyFont="1" applyFill="1" applyBorder="1" applyAlignment="1">
      <alignment horizontal="center" vertical="center" wrapText="1"/>
    </xf>
    <xf numFmtId="166" fontId="8" fillId="7" borderId="14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 readingOrder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2" fontId="8" fillId="0" borderId="14" xfId="1" applyNumberFormat="1" applyFont="1" applyFill="1" applyBorder="1" applyAlignment="1">
      <alignment horizontal="center" vertical="center" wrapText="1"/>
    </xf>
    <xf numFmtId="165" fontId="10" fillId="0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2" fontId="0" fillId="0" borderId="45" xfId="0" applyNumberFormat="1" applyBorder="1" applyAlignment="1">
      <alignment horizontal="left" vertical="center" wrapText="1"/>
    </xf>
    <xf numFmtId="2" fontId="8" fillId="8" borderId="14" xfId="1" applyNumberFormat="1" applyFont="1" applyFill="1" applyBorder="1" applyAlignment="1">
      <alignment horizontal="center" vertical="center" wrapText="1"/>
    </xf>
    <xf numFmtId="2" fontId="8" fillId="8" borderId="25" xfId="1" applyNumberFormat="1" applyFont="1" applyFill="1" applyBorder="1" applyAlignment="1">
      <alignment horizontal="center" vertical="center" wrapText="1"/>
    </xf>
    <xf numFmtId="10" fontId="0" fillId="0" borderId="9" xfId="2" applyNumberFormat="1" applyFont="1" applyBorder="1" applyAlignment="1">
      <alignment horizontal="left" vertical="center" wrapText="1"/>
    </xf>
    <xf numFmtId="0" fontId="31" fillId="10" borderId="9" xfId="0" applyFont="1" applyFill="1" applyBorder="1" applyAlignment="1">
      <alignment horizontal="center" vertical="center" wrapText="1" readingOrder="1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30" fillId="10" borderId="67" xfId="0" applyFont="1" applyFill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 readingOrder="1"/>
    </xf>
    <xf numFmtId="0" fontId="29" fillId="0" borderId="45" xfId="0" applyFont="1" applyBorder="1" applyAlignment="1">
      <alignment horizontal="center" vertical="center" wrapText="1" readingOrder="1"/>
    </xf>
    <xf numFmtId="0" fontId="29" fillId="0" borderId="49" xfId="0" applyFont="1" applyBorder="1" applyAlignment="1">
      <alignment horizontal="center" vertical="center" wrapText="1" readingOrder="1"/>
    </xf>
    <xf numFmtId="2" fontId="0" fillId="0" borderId="45" xfId="0" applyNumberFormat="1" applyBorder="1" applyAlignment="1">
      <alignment horizontal="left" vertical="center" wrapText="1"/>
    </xf>
    <xf numFmtId="2" fontId="0" fillId="0" borderId="49" xfId="0" applyNumberForma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10" fontId="35" fillId="0" borderId="63" xfId="0" applyNumberFormat="1" applyFont="1" applyBorder="1" applyAlignment="1">
      <alignment horizontal="center" vertical="center"/>
    </xf>
    <xf numFmtId="10" fontId="35" fillId="0" borderId="64" xfId="0" applyNumberFormat="1" applyFont="1" applyBorder="1" applyAlignment="1">
      <alignment horizontal="center" vertical="center"/>
    </xf>
    <xf numFmtId="10" fontId="35" fillId="0" borderId="65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left" vertical="center" wrapText="1" readingOrder="1"/>
    </xf>
    <xf numFmtId="170" fontId="11" fillId="0" borderId="30" xfId="1" applyNumberFormat="1" applyFont="1" applyBorder="1" applyAlignment="1">
      <alignment horizontal="center" vertical="center" wrapText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center" vertical="center" wrapText="1"/>
    </xf>
    <xf numFmtId="2" fontId="11" fillId="0" borderId="39" xfId="0" applyNumberFormat="1" applyFont="1" applyBorder="1" applyAlignment="1">
      <alignment horizontal="center" vertical="center" wrapText="1"/>
    </xf>
    <xf numFmtId="2" fontId="11" fillId="0" borderId="40" xfId="0" applyNumberFormat="1" applyFont="1" applyBorder="1" applyAlignment="1">
      <alignment horizontal="center" vertical="center" wrapText="1"/>
    </xf>
    <xf numFmtId="2" fontId="11" fillId="0" borderId="41" xfId="0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left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0" fontId="15" fillId="0" borderId="39" xfId="0" applyFont="1" applyBorder="1" applyAlignment="1">
      <alignment horizontal="left" vertical="center" wrapText="1" readingOrder="1"/>
    </xf>
    <xf numFmtId="0" fontId="15" fillId="0" borderId="40" xfId="0" applyFont="1" applyBorder="1" applyAlignment="1">
      <alignment horizontal="left" vertical="center" wrapText="1" readingOrder="1"/>
    </xf>
    <xf numFmtId="0" fontId="15" fillId="0" borderId="41" xfId="0" applyFont="1" applyBorder="1" applyAlignment="1">
      <alignment horizontal="left" vertical="center" wrapText="1" readingOrder="1"/>
    </xf>
    <xf numFmtId="2" fontId="25" fillId="0" borderId="39" xfId="0" applyNumberFormat="1" applyFont="1" applyBorder="1" applyAlignment="1">
      <alignment horizontal="left" vertical="center" wrapText="1"/>
    </xf>
    <xf numFmtId="2" fontId="25" fillId="0" borderId="40" xfId="0" applyNumberFormat="1" applyFont="1" applyBorder="1" applyAlignment="1">
      <alignment horizontal="left" vertical="center" wrapText="1"/>
    </xf>
    <xf numFmtId="2" fontId="25" fillId="0" borderId="41" xfId="0" applyNumberFormat="1" applyFont="1" applyBorder="1" applyAlignment="1">
      <alignment horizontal="left" vertical="center" wrapText="1"/>
    </xf>
    <xf numFmtId="10" fontId="26" fillId="0" borderId="39" xfId="2" applyNumberFormat="1" applyFont="1" applyFill="1" applyBorder="1" applyAlignment="1">
      <alignment horizontal="center" vertical="center" wrapText="1"/>
    </xf>
    <xf numFmtId="10" fontId="26" fillId="0" borderId="40" xfId="2" applyNumberFormat="1" applyFont="1" applyFill="1" applyBorder="1" applyAlignment="1">
      <alignment horizontal="center" vertical="center" wrapText="1"/>
    </xf>
    <xf numFmtId="10" fontId="26" fillId="0" borderId="41" xfId="2" applyNumberFormat="1" applyFont="1" applyFill="1" applyBorder="1" applyAlignment="1">
      <alignment horizontal="center" vertical="center" wrapText="1"/>
    </xf>
    <xf numFmtId="9" fontId="25" fillId="0" borderId="39" xfId="2" applyFont="1" applyBorder="1" applyAlignment="1">
      <alignment horizontal="center" vertical="center" wrapText="1"/>
    </xf>
    <xf numFmtId="9" fontId="25" fillId="0" borderId="40" xfId="2" applyFont="1" applyBorder="1" applyAlignment="1">
      <alignment horizontal="center" vertical="center" wrapText="1"/>
    </xf>
    <xf numFmtId="9" fontId="25" fillId="0" borderId="41" xfId="2" applyFont="1" applyBorder="1" applyAlignment="1">
      <alignment horizontal="center" vertical="center" wrapText="1"/>
    </xf>
    <xf numFmtId="2" fontId="25" fillId="0" borderId="39" xfId="0" applyNumberFormat="1" applyFont="1" applyBorder="1" applyAlignment="1">
      <alignment horizontal="center" vertical="center" wrapText="1"/>
    </xf>
    <xf numFmtId="2" fontId="25" fillId="0" borderId="40" xfId="0" applyNumberFormat="1" applyFont="1" applyBorder="1" applyAlignment="1">
      <alignment horizontal="center" vertical="center" wrapText="1"/>
    </xf>
    <xf numFmtId="2" fontId="25" fillId="0" borderId="41" xfId="0" applyNumberFormat="1" applyFont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0" fontId="23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 wrapText="1"/>
    </xf>
    <xf numFmtId="165" fontId="6" fillId="0" borderId="21" xfId="0" applyNumberFormat="1" applyFont="1" applyBorder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center" wrapText="1"/>
    </xf>
    <xf numFmtId="165" fontId="6" fillId="0" borderId="19" xfId="0" applyNumberFormat="1" applyFont="1" applyBorder="1" applyAlignment="1">
      <alignment horizontal="center" vertical="center" wrapText="1"/>
    </xf>
    <xf numFmtId="165" fontId="6" fillId="0" borderId="37" xfId="0" applyNumberFormat="1" applyFont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3" xfId="0" applyBorder="1" applyAlignment="1">
      <alignment horizontal="center"/>
    </xf>
    <xf numFmtId="2" fontId="0" fillId="0" borderId="61" xfId="1" applyNumberFormat="1" applyFont="1" applyFill="1" applyBorder="1" applyAlignment="1">
      <alignment horizontal="center"/>
    </xf>
    <xf numFmtId="2" fontId="0" fillId="0" borderId="62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0" fontId="15" fillId="0" borderId="47" xfId="0" applyFont="1" applyBorder="1" applyAlignment="1">
      <alignment horizontal="left" vertical="center" wrapText="1" readingOrder="1"/>
    </xf>
    <xf numFmtId="0" fontId="15" fillId="0" borderId="44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horizontal="left" vertical="center" wrapText="1" readingOrder="1"/>
    </xf>
    <xf numFmtId="2" fontId="0" fillId="0" borderId="50" xfId="0" applyNumberFormat="1" applyBorder="1" applyAlignment="1">
      <alignment horizontal="left" vertical="center" wrapText="1"/>
    </xf>
    <xf numFmtId="2" fontId="0" fillId="0" borderId="34" xfId="0" applyNumberFormat="1" applyBorder="1" applyAlignment="1">
      <alignment horizontal="left" vertical="center" wrapText="1"/>
    </xf>
    <xf numFmtId="2" fontId="0" fillId="0" borderId="51" xfId="0" applyNumberFormat="1" applyBorder="1" applyAlignment="1">
      <alignment horizontal="left" vertical="center" wrapText="1"/>
    </xf>
    <xf numFmtId="2" fontId="0" fillId="0" borderId="52" xfId="0" applyNumberFormat="1" applyBorder="1" applyAlignment="1">
      <alignment horizontal="left" vertical="center" wrapText="1"/>
    </xf>
    <xf numFmtId="2" fontId="0" fillId="0" borderId="53" xfId="0" applyNumberFormat="1" applyBorder="1" applyAlignment="1">
      <alignment horizontal="left" vertical="center" wrapText="1"/>
    </xf>
    <xf numFmtId="2" fontId="0" fillId="0" borderId="54" xfId="0" applyNumberFormat="1" applyBorder="1" applyAlignment="1">
      <alignment horizontal="left" vertical="center" wrapText="1"/>
    </xf>
    <xf numFmtId="2" fontId="0" fillId="9" borderId="35" xfId="0" applyNumberFormat="1" applyFill="1" applyBorder="1" applyAlignment="1">
      <alignment horizontal="center" vertical="center" wrapText="1"/>
    </xf>
    <xf numFmtId="2" fontId="0" fillId="9" borderId="42" xfId="0" applyNumberFormat="1" applyFill="1" applyBorder="1" applyAlignment="1">
      <alignment horizontal="center" vertical="center" wrapText="1"/>
    </xf>
    <xf numFmtId="2" fontId="0" fillId="9" borderId="43" xfId="0" applyNumberFormat="1" applyFill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2" fontId="0" fillId="0" borderId="42" xfId="0" applyNumberFormat="1" applyBorder="1" applyAlignment="1">
      <alignment horizontal="center" vertical="center" wrapText="1"/>
    </xf>
    <xf numFmtId="2" fontId="0" fillId="0" borderId="43" xfId="0" applyNumberFormat="1" applyBorder="1" applyAlignment="1">
      <alignment horizontal="center" vertical="center" wrapText="1"/>
    </xf>
  </cellXfs>
  <cellStyles count="28">
    <cellStyle name="Гиперссылка 2" xfId="12" xr:uid="{00000000-0005-0000-0000-000003000000}"/>
    <cellStyle name="Обычный" xfId="0" builtinId="0"/>
    <cellStyle name="Обычный 117" xfId="9" xr:uid="{00000000-0005-0000-0000-000005000000}"/>
    <cellStyle name="Обычный 117 2" xfId="14" xr:uid="{00000000-0005-0000-0000-000006000000}"/>
    <cellStyle name="Обычный 2" xfId="11" xr:uid="{00000000-0005-0000-0000-000007000000}"/>
    <cellStyle name="Обычный 2 10" xfId="4" xr:uid="{00000000-0005-0000-0000-000008000000}"/>
    <cellStyle name="Обычный 5" xfId="6" xr:uid="{00000000-0005-0000-0000-000009000000}"/>
    <cellStyle name="Обычный 68" xfId="10" xr:uid="{00000000-0005-0000-0000-00000A000000}"/>
    <cellStyle name="Процентный" xfId="2" builtinId="5"/>
    <cellStyle name="Процентный 2" xfId="5" xr:uid="{00000000-0005-0000-0000-00000C000000}"/>
    <cellStyle name="Процентный 2 2" xfId="26" xr:uid="{B887C5B8-5F30-421B-97BB-ADE94A762CBA}"/>
    <cellStyle name="Финансовый" xfId="1" builtinId="3"/>
    <cellStyle name="Финансовый 10" xfId="22" xr:uid="{8BF8DC47-A74A-4803-9CBB-20F9B140DBD2}"/>
    <cellStyle name="Финансовый 11" xfId="23" xr:uid="{275D4154-15FE-4AD4-A6EB-FC037D03A2D8}"/>
    <cellStyle name="Финансовый 12" xfId="24" xr:uid="{06030348-8CBB-4DBC-A9A6-14A8D0AEFDF3}"/>
    <cellStyle name="Финансовый 13" xfId="25" xr:uid="{B29BD14F-A045-48E5-A200-EB5E5A2C769F}"/>
    <cellStyle name="Финансовый 14" xfId="27" xr:uid="{18C66189-AB7B-409F-AC62-E366CB51F984}"/>
    <cellStyle name="Финансовый 2" xfId="13" xr:uid="{00000000-0005-0000-0000-00000E000000}"/>
    <cellStyle name="Финансовый 2 3" xfId="3" xr:uid="{00000000-0005-0000-0000-00000F000000}"/>
    <cellStyle name="Финансовый 3" xfId="15" xr:uid="{63566A2D-308D-4C9B-BF04-01453C70585E}"/>
    <cellStyle name="Финансовый 4" xfId="16" xr:uid="{95528E1F-6752-451D-AB0F-57AB578C1F32}"/>
    <cellStyle name="Финансовый 5" xfId="17" xr:uid="{2BA515DA-5D1D-4231-9AEF-A63E091F55EB}"/>
    <cellStyle name="Финансовый 6" xfId="18" xr:uid="{96F0FCF0-70E5-41A2-9A47-DD796C277EF2}"/>
    <cellStyle name="Финансовый 7" xfId="19" xr:uid="{DAF5FD29-58EF-4573-B44E-8B4529D6DF91}"/>
    <cellStyle name="Финансовый 8" xfId="20" xr:uid="{5E8F29FB-6C5D-4353-A57D-B2DDA9D04E99}"/>
    <cellStyle name="Финансовый 9" xfId="21" xr:uid="{6ED77234-2F3D-4CE8-A556-D9386628A5E4}"/>
    <cellStyle name="Normal 2 2" xfId="7" xr:uid="{00000000-0005-0000-0000-000000000000}"/>
    <cellStyle name="Percent 2" xfId="8" xr:uid="{00000000-0005-0000-0000-000001000000}"/>
  </cellStyles>
  <dxfs count="8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z val="12"/>
        <color theme="3" tint="-0.499984740745262"/>
        <name val="Arial Narrow"/>
        <scheme val="none"/>
      </font>
      <fill>
        <patternFill>
          <bgColor theme="2" tint="-9.9948118533890809E-2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3"/>
      </font>
      <fill>
        <patternFill patternType="solid">
          <bgColor rgb="FF1C213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fill>
        <patternFill>
          <bgColor theme="3" tint="-0.24994659260841701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rgb="FFEBF1DE"/>
          <bgColor rgb="FFE1F0E6"/>
        </patternFill>
      </fill>
    </dxf>
    <dxf>
      <fill>
        <patternFill patternType="solid">
          <fgColor rgb="FFEBF1DE"/>
          <bgColor rgb="FFEBF5E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379164"/>
        </top>
      </border>
    </dxf>
    <dxf>
      <font>
        <b/>
        <color rgb="FFFFFFFF"/>
      </font>
      <fill>
        <patternFill patternType="solid">
          <fgColor rgb="FF9BBB59"/>
          <bgColor rgb="FF379164"/>
        </patternFill>
      </fill>
    </dxf>
    <dxf>
      <font>
        <b val="0"/>
        <i val="0"/>
        <color rgb="FF000000"/>
      </font>
      <border>
        <left style="thin">
          <color rgb="FFE1F0E6"/>
        </left>
        <right style="thin">
          <color rgb="FFE1F0E6"/>
        </right>
        <top style="thin">
          <color rgb="FFE1F0E6"/>
        </top>
        <bottom style="thin">
          <color rgb="FFE1F0E6"/>
        </bottom>
        <horizontal style="thin">
          <color rgb="FFE1F0E6"/>
        </horizontal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1" tint="0.24994659260841701"/>
      </font>
      <fill>
        <patternFill>
          <bgColor theme="0" tint="-4.9989318521683403E-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/>
        <color theme="0"/>
      </font>
    </dxf>
    <dxf>
      <fill>
        <patternFill patternType="solid">
          <fgColor rgb="FF74B88C"/>
          <bgColor theme="6" tint="0.3999450666829432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0"/>
      </font>
      <fill>
        <patternFill patternType="solid">
          <fgColor theme="1"/>
          <bgColor rgb="FF404040"/>
        </patternFill>
      </fill>
    </dxf>
    <dxf>
      <font>
        <b/>
        <i val="0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ont>
        <b/>
        <i val="0"/>
        <sz val="12"/>
        <color theme="1" tint="0.14993743705557422"/>
        <name val="Calibri"/>
      </font>
      <border>
        <bottom/>
        <vertical/>
        <horizontal/>
      </border>
    </dxf>
    <dxf>
      <font>
        <color theme="1"/>
      </font>
      <fill>
        <patternFill patternType="solid">
          <bgColor rgb="FFE0E0E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>
          <fgColor rgb="FF969696"/>
          <bgColor rgb="FFE0E0E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0"/>
      </font>
      <fill>
        <patternFill>
          <bgColor rgb="FF484C5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CDCE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484C5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484C52"/>
        </patternFill>
      </fill>
      <border>
        <left/>
        <right/>
        <bottom/>
        <vertical/>
        <horizontal/>
      </border>
    </dxf>
    <dxf>
      <font>
        <color theme="1" tint="0.24994659260841701"/>
      </font>
      <fill>
        <patternFill>
          <bgColor theme="0" tint="-4.9989318521683403E-2"/>
        </patternFill>
      </fill>
    </dxf>
    <dxf>
      <fill>
        <patternFill patternType="solid">
          <fgColor rgb="FF969696"/>
          <bgColor rgb="FFC0C0C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777777"/>
      </font>
      <fill>
        <patternFill>
          <bgColor rgb="FF484C52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  <color theme="1"/>
      </font>
      <fill>
        <patternFill patternType="solid">
          <fgColor theme="1"/>
          <bgColor rgb="FFB5B9BF"/>
        </patternFill>
      </fill>
    </dxf>
    <dxf>
      <font>
        <b/>
        <i val="0"/>
        <color theme="0"/>
      </font>
      <fill>
        <patternFill patternType="solid">
          <fgColor rgb="FF4D4D4D"/>
          <bgColor rgb="FF484C52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</dxfs>
  <tableStyles count="22" defaultTableStyle="TableStyleMedium2" defaultPivotStyle="PivotStyleLight16">
    <tableStyle name="Guideline (Стиль Гайдлайна / Сводная таблица)" table="0" count="16" xr9:uid="{00000000-0011-0000-FFFF-FFFF00000000}">
      <tableStyleElement type="wholeTable" dxfId="86"/>
      <tableStyleElement type="headerRow" dxfId="85"/>
      <tableStyleElement type="totalRow" dxfId="84"/>
      <tableStyleElement type="firstColumn" dxfId="83"/>
      <tableStyleElement type="firstRowStripe" dxfId="82"/>
      <tableStyleElement type="firstColumnStripe" dxfId="81"/>
      <tableStyleElement type="firstHeaderCell" dxfId="80"/>
      <tableStyleElement type="firstSubtotalColumn" dxfId="79"/>
      <tableStyleElement type="firstSubtotalRow" dxfId="78"/>
      <tableStyleElement type="firstColumnSubheading" dxfId="77"/>
      <tableStyleElement type="secondColumnSubheading" dxfId="76"/>
      <tableStyleElement type="firstRowSubheading" dxfId="75"/>
      <tableStyleElement type="secondRowSubheading" dxfId="74"/>
      <tableStyleElement type="thirdRowSubheading" dxfId="73"/>
      <tableStyleElement type="pageFieldLabels" dxfId="72"/>
      <tableStyleElement type="pageFieldValues" dxfId="71"/>
    </tableStyle>
    <tableStyle name="Guideline (Стиль Гайдлайна / Срезы)" pivot="0" table="0" count="2" xr9:uid="{00000000-0011-0000-FFFF-FFFF01000000}">
      <tableStyleElement type="wholeTable" dxfId="70"/>
      <tableStyleElement type="headerRow" dxfId="69"/>
    </tableStyle>
    <tableStyle name="VD_Базовый" table="0" count="16" xr9:uid="{00000000-0011-0000-FFFF-FFFF02000000}">
      <tableStyleElement type="wholeTable" dxfId="68"/>
      <tableStyleElement type="headerRow" dxfId="67"/>
      <tableStyleElement type="totalRow" dxfId="66"/>
      <tableStyleElement type="firstColumn" dxfId="65"/>
      <tableStyleElement type="firstRowStripe" dxfId="64"/>
      <tableStyleElement type="firstColumnStripe" dxfId="63"/>
      <tableStyleElement type="firstHeaderCell" dxfId="62"/>
      <tableStyleElement type="firstSubtotalColumn" dxfId="61"/>
      <tableStyleElement type="firstSubtotalRow" dxfId="60"/>
      <tableStyleElement type="firstColumnSubheading" dxfId="59"/>
      <tableStyleElement type="secondColumnSubheading" dxfId="58"/>
      <tableStyleElement type="firstRowSubheading" dxfId="57"/>
      <tableStyleElement type="secondRowSubheading" dxfId="56"/>
      <tableStyleElement type="thirdRowSubheading" dxfId="55"/>
      <tableStyleElement type="pageFieldLabels" dxfId="54"/>
      <tableStyleElement type="pageFieldValues" dxfId="53"/>
    </tableStyle>
    <tableStyle name="VD_Базовый_срезы 15" pivot="0" table="0" count="2" xr9:uid="{00000000-0011-0000-FFFF-FFFF03000000}">
      <tableStyleElement type="wholeTable" dxfId="52"/>
      <tableStyleElement type="headerRow" dxfId="51"/>
    </tableStyle>
    <tableStyle name="VD_Базовый_срезы 16" pivot="0" table="0" count="2" xr9:uid="{00000000-0011-0000-FFFF-FFFF04000000}">
      <tableStyleElement type="wholeTable" dxfId="50"/>
      <tableStyleElement type="headerRow" dxfId="49"/>
    </tableStyle>
    <tableStyle name="VD_Базовый_срезы 17" pivot="0" table="0" count="2" xr9:uid="{00000000-0011-0000-FFFF-FFFF05000000}">
      <tableStyleElement type="wholeTable" dxfId="48"/>
      <tableStyleElement type="headerRow" dxfId="47"/>
    </tableStyle>
    <tableStyle name="VD_Базовый_срезы 18" pivot="0" table="0" count="2" xr9:uid="{00000000-0011-0000-FFFF-FFFF06000000}">
      <tableStyleElement type="wholeTable" dxfId="46"/>
      <tableStyleElement type="headerRow" dxfId="45"/>
    </tableStyle>
    <tableStyle name="VD_Базовый_срезы 19" pivot="0" table="0" count="2" xr9:uid="{00000000-0011-0000-FFFF-FFFF07000000}">
      <tableStyleElement type="wholeTable" dxfId="44"/>
      <tableStyleElement type="headerRow" dxfId="43"/>
    </tableStyle>
    <tableStyle name="VD_Базовый_срезы 20" pivot="0" table="0" count="2" xr9:uid="{00000000-0011-0000-FFFF-FFFF08000000}">
      <tableStyleElement type="wholeTable" dxfId="42"/>
      <tableStyleElement type="headerRow" dxfId="41"/>
    </tableStyle>
    <tableStyle name="VD_Базовый_срезы 21" pivot="0" table="0" count="2" xr9:uid="{00000000-0011-0000-FFFF-FFFF09000000}">
      <tableStyleElement type="wholeTable" dxfId="40"/>
      <tableStyleElement type="headerRow" dxfId="39"/>
    </tableStyle>
    <tableStyle name="VD_Базовый_срезы 22" pivot="0" table="0" count="2" xr9:uid="{00000000-0011-0000-FFFF-FFFF0A000000}">
      <tableStyleElement type="wholeTable" dxfId="38"/>
      <tableStyleElement type="headerRow" dxfId="37"/>
    </tableStyle>
    <tableStyle name="VD_Базовый_срезы 23" pivot="0" table="0" count="2" xr9:uid="{00000000-0011-0000-FFFF-FFFF0B000000}">
      <tableStyleElement type="wholeTable" dxfId="36"/>
      <tableStyleElement type="headerRow" dxfId="35"/>
    </tableStyle>
    <tableStyle name="VD_Базовый_срезы 24" pivot="0" table="0" count="2" xr9:uid="{00000000-0011-0000-FFFF-FFFF0C000000}">
      <tableStyleElement type="wholeTable" dxfId="34"/>
      <tableStyleElement type="headerRow" dxfId="33"/>
    </tableStyle>
    <tableStyle name="VD_Базовый_срезы 25" pivot="0" table="0" count="2" xr9:uid="{00000000-0011-0000-FFFF-FFFF0D000000}">
      <tableStyleElement type="wholeTable" dxfId="32"/>
      <tableStyleElement type="headerRow" dxfId="31"/>
    </tableStyle>
    <tableStyle name="VD_Базовый_срезы 26" pivot="0" table="0" count="2" xr9:uid="{00000000-0011-0000-FFFF-FFFF0E000000}">
      <tableStyleElement type="wholeTable" dxfId="30"/>
      <tableStyleElement type="headerRow" dxfId="29"/>
    </tableStyle>
    <tableStyle name="VD_Базовый_срезы 27" pivot="0" table="0" count="2" xr9:uid="{00000000-0011-0000-FFFF-FFFF0F000000}">
      <tableStyleElement type="wholeTable" dxfId="28"/>
      <tableStyleElement type="headerRow" dxfId="27"/>
    </tableStyle>
    <tableStyle name="VD_Базовый_срезы 28" pivot="0" table="0" count="2" xr9:uid="{00000000-0011-0000-FFFF-FFFF10000000}">
      <tableStyleElement type="wholeTable" dxfId="26"/>
      <tableStyleElement type="headerRow" dxfId="25"/>
    </tableStyle>
    <tableStyle name="Плоская таблица" pivot="0" count="7" xr9:uid="{00000000-0011-0000-FFFF-FFFF1100000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Срез 1" pivot="0" table="0" count="2" xr9:uid="{64A585F7-D124-4D48-A56F-C360214AB9A6}">
      <tableStyleElement type="wholeTable" dxfId="17"/>
      <tableStyleElement type="headerRow" dxfId="16"/>
    </tableStyle>
    <tableStyle name="Срез 1 2" pivot="0" table="0" count="2" xr9:uid="{99925C81-28F6-4DEF-88D1-B2D7BB5963CA}">
      <tableStyleElement type="wholeTable" dxfId="15"/>
      <tableStyleElement type="headerRow" dxfId="14"/>
    </tableStyle>
    <tableStyle name="Срез 1 3" pivot="0" table="0" count="2" xr9:uid="{50BBD7CA-CEEE-46DE-8B93-DAE303E25AF3}">
      <tableStyleElement type="wholeTable" dxfId="13"/>
      <tableStyleElement type="headerRow" dxfId="12"/>
    </tableStyle>
    <tableStyle name="Срез 1 4" pivot="0" table="0" count="2" xr9:uid="{E1556597-44EC-4F8B-861E-70966F6F177E}">
      <tableStyleElement type="wholeTable" dxfId="11"/>
      <tableStyleElement type="headerRow" dxfId="10"/>
    </tableStyle>
  </tableStyles>
  <colors>
    <mruColors>
      <color rgb="FFF8E2D4"/>
      <color rgb="FFFC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60ACBFA5-92F0-41D7-B6A0-D88D6E9FEA96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1F35F0A-B3BA-47F6-8847-CAC2C6447E99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40B0D83D-729B-438C-A451-EA45A9A7C680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CDB5E802-88BC-4D17-9063-0E6093CB40B3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6624D09-9120-4772-A575-35B5BA98D700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92BFDFBD-1380-42CB-86E9-489DB279E9C6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503465</xdr:colOff>
      <xdr:row>8</xdr:row>
      <xdr:rowOff>122466</xdr:rowOff>
    </xdr:from>
    <xdr:to>
      <xdr:col>10</xdr:col>
      <xdr:colOff>870858</xdr:colOff>
      <xdr:row>8</xdr:row>
      <xdr:rowOff>435429</xdr:rowOff>
    </xdr:to>
    <xdr:sp macro="" textlink="">
      <xdr:nvSpPr>
        <xdr:cNvPr id="8" name="Двенадцатиугольник 7">
          <a:extLst>
            <a:ext uri="{FF2B5EF4-FFF2-40B4-BE49-F238E27FC236}">
              <a16:creationId xmlns:a16="http://schemas.microsoft.com/office/drawing/2014/main" id="{76DD524D-8175-4DFE-B0E0-36513B0B7E92}"/>
            </a:ext>
          </a:extLst>
        </xdr:cNvPr>
        <xdr:cNvSpPr/>
      </xdr:nvSpPr>
      <xdr:spPr>
        <a:xfrm>
          <a:off x="14341929" y="2163537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9</xdr:row>
      <xdr:rowOff>163286</xdr:rowOff>
    </xdr:from>
    <xdr:to>
      <xdr:col>10</xdr:col>
      <xdr:colOff>857250</xdr:colOff>
      <xdr:row>9</xdr:row>
      <xdr:rowOff>476249</xdr:rowOff>
    </xdr:to>
    <xdr:sp macro="" textlink="">
      <xdr:nvSpPr>
        <xdr:cNvPr id="9" name="Двенадцатиугольник 8">
          <a:extLst>
            <a:ext uri="{FF2B5EF4-FFF2-40B4-BE49-F238E27FC236}">
              <a16:creationId xmlns:a16="http://schemas.microsoft.com/office/drawing/2014/main" id="{9318C925-99CD-4A2A-BE91-A5136C8F625D}"/>
            </a:ext>
          </a:extLst>
        </xdr:cNvPr>
        <xdr:cNvSpPr/>
      </xdr:nvSpPr>
      <xdr:spPr>
        <a:xfrm>
          <a:off x="14328321" y="280307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489858</xdr:colOff>
      <xdr:row>12</xdr:row>
      <xdr:rowOff>95251</xdr:rowOff>
    </xdr:from>
    <xdr:to>
      <xdr:col>10</xdr:col>
      <xdr:colOff>857251</xdr:colOff>
      <xdr:row>12</xdr:row>
      <xdr:rowOff>408214</xdr:rowOff>
    </xdr:to>
    <xdr:sp macro="" textlink="">
      <xdr:nvSpPr>
        <xdr:cNvPr id="10" name="Двенадцатиугольник 9">
          <a:extLst>
            <a:ext uri="{FF2B5EF4-FFF2-40B4-BE49-F238E27FC236}">
              <a16:creationId xmlns:a16="http://schemas.microsoft.com/office/drawing/2014/main" id="{0C970A36-E806-4D5A-B708-40E13AA4C476}"/>
            </a:ext>
          </a:extLst>
        </xdr:cNvPr>
        <xdr:cNvSpPr/>
      </xdr:nvSpPr>
      <xdr:spPr>
        <a:xfrm>
          <a:off x="14328322" y="3741965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28</xdr:row>
      <xdr:rowOff>244928</xdr:rowOff>
    </xdr:from>
    <xdr:to>
      <xdr:col>10</xdr:col>
      <xdr:colOff>830036</xdr:colOff>
      <xdr:row>29</xdr:row>
      <xdr:rowOff>95248</xdr:rowOff>
    </xdr:to>
    <xdr:sp macro="" textlink="">
      <xdr:nvSpPr>
        <xdr:cNvPr id="17" name="Двенадцатиугольник 16">
          <a:extLst>
            <a:ext uri="{FF2B5EF4-FFF2-40B4-BE49-F238E27FC236}">
              <a16:creationId xmlns:a16="http://schemas.microsoft.com/office/drawing/2014/main" id="{3C633E2C-586C-480D-90EB-AD3AFBD4A17A}"/>
            </a:ext>
          </a:extLst>
        </xdr:cNvPr>
        <xdr:cNvSpPr/>
      </xdr:nvSpPr>
      <xdr:spPr>
        <a:xfrm>
          <a:off x="14301107" y="874939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476249</xdr:colOff>
      <xdr:row>31</xdr:row>
      <xdr:rowOff>231321</xdr:rowOff>
    </xdr:from>
    <xdr:to>
      <xdr:col>10</xdr:col>
      <xdr:colOff>843642</xdr:colOff>
      <xdr:row>32</xdr:row>
      <xdr:rowOff>272141</xdr:rowOff>
    </xdr:to>
    <xdr:sp macro="" textlink="">
      <xdr:nvSpPr>
        <xdr:cNvPr id="18" name="Двенадцатиугольник 17">
          <a:extLst>
            <a:ext uri="{FF2B5EF4-FFF2-40B4-BE49-F238E27FC236}">
              <a16:creationId xmlns:a16="http://schemas.microsoft.com/office/drawing/2014/main" id="{5E7D0164-DA2B-44AC-B137-81E23273DED9}"/>
            </a:ext>
          </a:extLst>
        </xdr:cNvPr>
        <xdr:cNvSpPr/>
      </xdr:nvSpPr>
      <xdr:spPr>
        <a:xfrm>
          <a:off x="14314713" y="9674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2</xdr:row>
      <xdr:rowOff>40821</xdr:rowOff>
    </xdr:from>
    <xdr:to>
      <xdr:col>10</xdr:col>
      <xdr:colOff>789214</xdr:colOff>
      <xdr:row>3</xdr:row>
      <xdr:rowOff>54429</xdr:rowOff>
    </xdr:to>
    <xdr:sp macro="" textlink="">
      <xdr:nvSpPr>
        <xdr:cNvPr id="19" name="Двенадцатиугольник 18">
          <a:extLst>
            <a:ext uri="{FF2B5EF4-FFF2-40B4-BE49-F238E27FC236}">
              <a16:creationId xmlns:a16="http://schemas.microsoft.com/office/drawing/2014/main" id="{E8C78EC9-AB31-4E16-9CA0-314847227292}"/>
            </a:ext>
          </a:extLst>
        </xdr:cNvPr>
        <xdr:cNvSpPr/>
      </xdr:nvSpPr>
      <xdr:spPr>
        <a:xfrm>
          <a:off x="15661821" y="421821"/>
          <a:ext cx="204107" cy="204108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149677</xdr:rowOff>
    </xdr:from>
    <xdr:to>
      <xdr:col>10</xdr:col>
      <xdr:colOff>789214</xdr:colOff>
      <xdr:row>4</xdr:row>
      <xdr:rowOff>13608</xdr:rowOff>
    </xdr:to>
    <xdr:sp macro="" textlink="">
      <xdr:nvSpPr>
        <xdr:cNvPr id="20" name="Двенадцатиугольник 19">
          <a:extLst>
            <a:ext uri="{FF2B5EF4-FFF2-40B4-BE49-F238E27FC236}">
              <a16:creationId xmlns:a16="http://schemas.microsoft.com/office/drawing/2014/main" id="{C77D0BD8-7C10-463C-BD62-4049F53E4CBC}"/>
            </a:ext>
          </a:extLst>
        </xdr:cNvPr>
        <xdr:cNvSpPr/>
      </xdr:nvSpPr>
      <xdr:spPr>
        <a:xfrm>
          <a:off x="15661821" y="721177"/>
          <a:ext cx="204107" cy="190502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4</xdr:row>
      <xdr:rowOff>81643</xdr:rowOff>
    </xdr:from>
    <xdr:to>
      <xdr:col>10</xdr:col>
      <xdr:colOff>789214</xdr:colOff>
      <xdr:row>4</xdr:row>
      <xdr:rowOff>272143</xdr:rowOff>
    </xdr:to>
    <xdr:sp macro="" textlink="">
      <xdr:nvSpPr>
        <xdr:cNvPr id="21" name="Двенадцатиугольник 20">
          <a:extLst>
            <a:ext uri="{FF2B5EF4-FFF2-40B4-BE49-F238E27FC236}">
              <a16:creationId xmlns:a16="http://schemas.microsoft.com/office/drawing/2014/main" id="{3A76B3B2-4760-459D-8EB5-2005D39567AE}"/>
            </a:ext>
          </a:extLst>
        </xdr:cNvPr>
        <xdr:cNvSpPr/>
      </xdr:nvSpPr>
      <xdr:spPr>
        <a:xfrm>
          <a:off x="15661821" y="979714"/>
          <a:ext cx="204107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38</xdr:row>
      <xdr:rowOff>149679</xdr:rowOff>
    </xdr:from>
    <xdr:to>
      <xdr:col>10</xdr:col>
      <xdr:colOff>830036</xdr:colOff>
      <xdr:row>40</xdr:row>
      <xdr:rowOff>54428</xdr:rowOff>
    </xdr:to>
    <xdr:sp macro="" textlink="">
      <xdr:nvSpPr>
        <xdr:cNvPr id="22" name="Двенадцатиугольник 21">
          <a:extLst>
            <a:ext uri="{FF2B5EF4-FFF2-40B4-BE49-F238E27FC236}">
              <a16:creationId xmlns:a16="http://schemas.microsoft.com/office/drawing/2014/main" id="{172D1A2F-ED6E-4BC5-B652-3B8F73B3D7DE}"/>
            </a:ext>
          </a:extLst>
        </xdr:cNvPr>
        <xdr:cNvSpPr/>
      </xdr:nvSpPr>
      <xdr:spPr>
        <a:xfrm>
          <a:off x="14301107" y="1163410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41</xdr:row>
      <xdr:rowOff>176892</xdr:rowOff>
    </xdr:from>
    <xdr:to>
      <xdr:col>10</xdr:col>
      <xdr:colOff>830036</xdr:colOff>
      <xdr:row>43</xdr:row>
      <xdr:rowOff>81641</xdr:rowOff>
    </xdr:to>
    <xdr:sp macro="" textlink="">
      <xdr:nvSpPr>
        <xdr:cNvPr id="23" name="Двенадцатиугольник 22">
          <a:extLst>
            <a:ext uri="{FF2B5EF4-FFF2-40B4-BE49-F238E27FC236}">
              <a16:creationId xmlns:a16="http://schemas.microsoft.com/office/drawing/2014/main" id="{1EBA1499-1282-4537-9FE5-DF3D0010FF2B}"/>
            </a:ext>
          </a:extLst>
        </xdr:cNvPr>
        <xdr:cNvSpPr/>
      </xdr:nvSpPr>
      <xdr:spPr>
        <a:xfrm>
          <a:off x="14301107" y="12341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435428</xdr:colOff>
      <xdr:row>52</xdr:row>
      <xdr:rowOff>163286</xdr:rowOff>
    </xdr:from>
    <xdr:to>
      <xdr:col>10</xdr:col>
      <xdr:colOff>802821</xdr:colOff>
      <xdr:row>54</xdr:row>
      <xdr:rowOff>68034</xdr:rowOff>
    </xdr:to>
    <xdr:sp macro="" textlink="">
      <xdr:nvSpPr>
        <xdr:cNvPr id="24" name="Двенадцатиугольник 23">
          <a:extLst>
            <a:ext uri="{FF2B5EF4-FFF2-40B4-BE49-F238E27FC236}">
              <a16:creationId xmlns:a16="http://schemas.microsoft.com/office/drawing/2014/main" id="{948E9A9B-A3BD-4D15-B2E3-8A60D2C8BF9B}"/>
            </a:ext>
          </a:extLst>
        </xdr:cNvPr>
        <xdr:cNvSpPr/>
      </xdr:nvSpPr>
      <xdr:spPr>
        <a:xfrm>
          <a:off x="14273892" y="1504950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49</xdr:row>
      <xdr:rowOff>149679</xdr:rowOff>
    </xdr:from>
    <xdr:to>
      <xdr:col>10</xdr:col>
      <xdr:colOff>816428</xdr:colOff>
      <xdr:row>51</xdr:row>
      <xdr:rowOff>54428</xdr:rowOff>
    </xdr:to>
    <xdr:sp macro="" textlink="">
      <xdr:nvSpPr>
        <xdr:cNvPr id="25" name="Двенадцатиугольник 24">
          <a:extLst>
            <a:ext uri="{FF2B5EF4-FFF2-40B4-BE49-F238E27FC236}">
              <a16:creationId xmlns:a16="http://schemas.microsoft.com/office/drawing/2014/main" id="{A6D3EBA2-514C-4BFB-B778-5126B910AC30}"/>
            </a:ext>
          </a:extLst>
        </xdr:cNvPr>
        <xdr:cNvSpPr/>
      </xdr:nvSpPr>
      <xdr:spPr>
        <a:xfrm>
          <a:off x="14287499" y="14355536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59</xdr:row>
      <xdr:rowOff>176893</xdr:rowOff>
    </xdr:from>
    <xdr:to>
      <xdr:col>10</xdr:col>
      <xdr:colOff>816429</xdr:colOff>
      <xdr:row>61</xdr:row>
      <xdr:rowOff>81642</xdr:rowOff>
    </xdr:to>
    <xdr:sp macro="" textlink="">
      <xdr:nvSpPr>
        <xdr:cNvPr id="26" name="Двенадцатиугольник 25">
          <a:extLst>
            <a:ext uri="{FF2B5EF4-FFF2-40B4-BE49-F238E27FC236}">
              <a16:creationId xmlns:a16="http://schemas.microsoft.com/office/drawing/2014/main" id="{BE3975F7-C0B6-4058-B5B0-B3E9A4DD5F0D}"/>
            </a:ext>
          </a:extLst>
        </xdr:cNvPr>
        <xdr:cNvSpPr/>
      </xdr:nvSpPr>
      <xdr:spPr>
        <a:xfrm>
          <a:off x="14287500" y="16913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62</xdr:row>
      <xdr:rowOff>149678</xdr:rowOff>
    </xdr:from>
    <xdr:to>
      <xdr:col>10</xdr:col>
      <xdr:colOff>816429</xdr:colOff>
      <xdr:row>64</xdr:row>
      <xdr:rowOff>54427</xdr:rowOff>
    </xdr:to>
    <xdr:sp macro="" textlink="">
      <xdr:nvSpPr>
        <xdr:cNvPr id="27" name="Двенадцатиугольник 26">
          <a:extLst>
            <a:ext uri="{FF2B5EF4-FFF2-40B4-BE49-F238E27FC236}">
              <a16:creationId xmlns:a16="http://schemas.microsoft.com/office/drawing/2014/main" id="{22BE195D-7210-4087-B3CD-BDAF8544D14F}"/>
            </a:ext>
          </a:extLst>
        </xdr:cNvPr>
        <xdr:cNvSpPr/>
      </xdr:nvSpPr>
      <xdr:spPr>
        <a:xfrm>
          <a:off x="14287500" y="17566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435429</xdr:colOff>
      <xdr:row>70</xdr:row>
      <xdr:rowOff>190500</xdr:rowOff>
    </xdr:from>
    <xdr:to>
      <xdr:col>10</xdr:col>
      <xdr:colOff>802822</xdr:colOff>
      <xdr:row>72</xdr:row>
      <xdr:rowOff>95248</xdr:rowOff>
    </xdr:to>
    <xdr:sp macro="" textlink="">
      <xdr:nvSpPr>
        <xdr:cNvPr id="29" name="Двенадцатиугольник 28">
          <a:extLst>
            <a:ext uri="{FF2B5EF4-FFF2-40B4-BE49-F238E27FC236}">
              <a16:creationId xmlns:a16="http://schemas.microsoft.com/office/drawing/2014/main" id="{5B6B37E2-58C3-40C3-886E-75F45FD0D8BE}"/>
            </a:ext>
          </a:extLst>
        </xdr:cNvPr>
        <xdr:cNvSpPr/>
      </xdr:nvSpPr>
      <xdr:spPr>
        <a:xfrm>
          <a:off x="14273893" y="19648714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73</xdr:row>
      <xdr:rowOff>149679</xdr:rowOff>
    </xdr:from>
    <xdr:to>
      <xdr:col>10</xdr:col>
      <xdr:colOff>830036</xdr:colOff>
      <xdr:row>75</xdr:row>
      <xdr:rowOff>54427</xdr:rowOff>
    </xdr:to>
    <xdr:sp macro="" textlink="">
      <xdr:nvSpPr>
        <xdr:cNvPr id="30" name="Двенадцатиугольник 29">
          <a:extLst>
            <a:ext uri="{FF2B5EF4-FFF2-40B4-BE49-F238E27FC236}">
              <a16:creationId xmlns:a16="http://schemas.microsoft.com/office/drawing/2014/main" id="{D4A08F11-F732-410F-AC09-ADE93E64BFE1}"/>
            </a:ext>
          </a:extLst>
        </xdr:cNvPr>
        <xdr:cNvSpPr/>
      </xdr:nvSpPr>
      <xdr:spPr>
        <a:xfrm>
          <a:off x="14301107" y="2028825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81</xdr:row>
      <xdr:rowOff>190500</xdr:rowOff>
    </xdr:from>
    <xdr:to>
      <xdr:col>10</xdr:col>
      <xdr:colOff>830036</xdr:colOff>
      <xdr:row>83</xdr:row>
      <xdr:rowOff>95249</xdr:rowOff>
    </xdr:to>
    <xdr:sp macro="" textlink="">
      <xdr:nvSpPr>
        <xdr:cNvPr id="31" name="Двенадцатиугольник 30">
          <a:extLst>
            <a:ext uri="{FF2B5EF4-FFF2-40B4-BE49-F238E27FC236}">
              <a16:creationId xmlns:a16="http://schemas.microsoft.com/office/drawing/2014/main" id="{B70F444E-35D7-42F4-947A-3EC6F29EC039}"/>
            </a:ext>
          </a:extLst>
        </xdr:cNvPr>
        <xdr:cNvSpPr/>
      </xdr:nvSpPr>
      <xdr:spPr>
        <a:xfrm>
          <a:off x="14301107" y="22370143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84</xdr:row>
      <xdr:rowOff>136071</xdr:rowOff>
    </xdr:from>
    <xdr:to>
      <xdr:col>10</xdr:col>
      <xdr:colOff>830036</xdr:colOff>
      <xdr:row>86</xdr:row>
      <xdr:rowOff>40820</xdr:rowOff>
    </xdr:to>
    <xdr:sp macro="" textlink="">
      <xdr:nvSpPr>
        <xdr:cNvPr id="32" name="Двенадцатиугольник 31">
          <a:extLst>
            <a:ext uri="{FF2B5EF4-FFF2-40B4-BE49-F238E27FC236}">
              <a16:creationId xmlns:a16="http://schemas.microsoft.com/office/drawing/2014/main" id="{7B40BC78-D7A1-426D-B903-4E134E86EFAF}"/>
            </a:ext>
          </a:extLst>
        </xdr:cNvPr>
        <xdr:cNvSpPr/>
      </xdr:nvSpPr>
      <xdr:spPr>
        <a:xfrm>
          <a:off x="14301107" y="2299607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92</xdr:row>
      <xdr:rowOff>190500</xdr:rowOff>
    </xdr:from>
    <xdr:to>
      <xdr:col>10</xdr:col>
      <xdr:colOff>830036</xdr:colOff>
      <xdr:row>94</xdr:row>
      <xdr:rowOff>95248</xdr:rowOff>
    </xdr:to>
    <xdr:sp macro="" textlink="">
      <xdr:nvSpPr>
        <xdr:cNvPr id="33" name="Двенадцатиугольник 32">
          <a:extLst>
            <a:ext uri="{FF2B5EF4-FFF2-40B4-BE49-F238E27FC236}">
              <a16:creationId xmlns:a16="http://schemas.microsoft.com/office/drawing/2014/main" id="{EBBEB1C8-1112-4B5F-A931-04A5BE3DAC5B}"/>
            </a:ext>
          </a:extLst>
        </xdr:cNvPr>
        <xdr:cNvSpPr/>
      </xdr:nvSpPr>
      <xdr:spPr>
        <a:xfrm>
          <a:off x="14301107" y="2509157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95</xdr:row>
      <xdr:rowOff>163286</xdr:rowOff>
    </xdr:from>
    <xdr:to>
      <xdr:col>10</xdr:col>
      <xdr:colOff>843643</xdr:colOff>
      <xdr:row>97</xdr:row>
      <xdr:rowOff>68035</xdr:rowOff>
    </xdr:to>
    <xdr:sp macro="" textlink="">
      <xdr:nvSpPr>
        <xdr:cNvPr id="34" name="Двенадцатиугольник 33">
          <a:extLst>
            <a:ext uri="{FF2B5EF4-FFF2-40B4-BE49-F238E27FC236}">
              <a16:creationId xmlns:a16="http://schemas.microsoft.com/office/drawing/2014/main" id="{DD2BCF3C-8C75-450D-B754-A16AEDD75493}"/>
            </a:ext>
          </a:extLst>
        </xdr:cNvPr>
        <xdr:cNvSpPr/>
      </xdr:nvSpPr>
      <xdr:spPr>
        <a:xfrm>
          <a:off x="14314714" y="25744715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104</xdr:row>
      <xdr:rowOff>190500</xdr:rowOff>
    </xdr:from>
    <xdr:to>
      <xdr:col>10</xdr:col>
      <xdr:colOff>830036</xdr:colOff>
      <xdr:row>106</xdr:row>
      <xdr:rowOff>95249</xdr:rowOff>
    </xdr:to>
    <xdr:sp macro="" textlink="">
      <xdr:nvSpPr>
        <xdr:cNvPr id="35" name="Двенадцатиугольник 34">
          <a:extLst>
            <a:ext uri="{FF2B5EF4-FFF2-40B4-BE49-F238E27FC236}">
              <a16:creationId xmlns:a16="http://schemas.microsoft.com/office/drawing/2014/main" id="{199AB42A-6C54-4A27-B356-4ABDBE2B81AB}"/>
            </a:ext>
          </a:extLst>
        </xdr:cNvPr>
        <xdr:cNvSpPr/>
      </xdr:nvSpPr>
      <xdr:spPr>
        <a:xfrm>
          <a:off x="14301107" y="2800350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107</xdr:row>
      <xdr:rowOff>122464</xdr:rowOff>
    </xdr:from>
    <xdr:to>
      <xdr:col>10</xdr:col>
      <xdr:colOff>816428</xdr:colOff>
      <xdr:row>109</xdr:row>
      <xdr:rowOff>27213</xdr:rowOff>
    </xdr:to>
    <xdr:sp macro="" textlink="">
      <xdr:nvSpPr>
        <xdr:cNvPr id="36" name="Двенадцатиугольник 35">
          <a:extLst>
            <a:ext uri="{FF2B5EF4-FFF2-40B4-BE49-F238E27FC236}">
              <a16:creationId xmlns:a16="http://schemas.microsoft.com/office/drawing/2014/main" id="{DDF39DDF-F850-4FF2-8602-09611CAA2196}"/>
            </a:ext>
          </a:extLst>
        </xdr:cNvPr>
        <xdr:cNvSpPr/>
      </xdr:nvSpPr>
      <xdr:spPr>
        <a:xfrm>
          <a:off x="14287499" y="28615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115</xdr:row>
      <xdr:rowOff>176892</xdr:rowOff>
    </xdr:from>
    <xdr:to>
      <xdr:col>10</xdr:col>
      <xdr:colOff>830036</xdr:colOff>
      <xdr:row>117</xdr:row>
      <xdr:rowOff>81641</xdr:rowOff>
    </xdr:to>
    <xdr:sp macro="" textlink="">
      <xdr:nvSpPr>
        <xdr:cNvPr id="37" name="Двенадцатиугольник 36">
          <a:extLst>
            <a:ext uri="{FF2B5EF4-FFF2-40B4-BE49-F238E27FC236}">
              <a16:creationId xmlns:a16="http://schemas.microsoft.com/office/drawing/2014/main" id="{327CB9B4-3A29-4917-B76C-BE01EF20CB0D}"/>
            </a:ext>
          </a:extLst>
        </xdr:cNvPr>
        <xdr:cNvSpPr/>
      </xdr:nvSpPr>
      <xdr:spPr>
        <a:xfrm>
          <a:off x="14301107" y="3071132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118</xdr:row>
      <xdr:rowOff>176893</xdr:rowOff>
    </xdr:from>
    <xdr:to>
      <xdr:col>10</xdr:col>
      <xdr:colOff>830036</xdr:colOff>
      <xdr:row>120</xdr:row>
      <xdr:rowOff>81642</xdr:rowOff>
    </xdr:to>
    <xdr:sp macro="" textlink="">
      <xdr:nvSpPr>
        <xdr:cNvPr id="38" name="Двенадцатиугольник 37">
          <a:extLst>
            <a:ext uri="{FF2B5EF4-FFF2-40B4-BE49-F238E27FC236}">
              <a16:creationId xmlns:a16="http://schemas.microsoft.com/office/drawing/2014/main" id="{62CE8187-5647-468D-8DA5-32610D5C8BAE}"/>
            </a:ext>
          </a:extLst>
        </xdr:cNvPr>
        <xdr:cNvSpPr/>
      </xdr:nvSpPr>
      <xdr:spPr>
        <a:xfrm>
          <a:off x="14301107" y="31391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126</xdr:row>
      <xdr:rowOff>176893</xdr:rowOff>
    </xdr:from>
    <xdr:to>
      <xdr:col>10</xdr:col>
      <xdr:colOff>857250</xdr:colOff>
      <xdr:row>128</xdr:row>
      <xdr:rowOff>81642</xdr:rowOff>
    </xdr:to>
    <xdr:sp macro="" textlink="">
      <xdr:nvSpPr>
        <xdr:cNvPr id="39" name="Двенадцатиугольник 38">
          <a:extLst>
            <a:ext uri="{FF2B5EF4-FFF2-40B4-BE49-F238E27FC236}">
              <a16:creationId xmlns:a16="http://schemas.microsoft.com/office/drawing/2014/main" id="{701DB278-F80F-4723-B276-A2442056E81B}"/>
            </a:ext>
          </a:extLst>
        </xdr:cNvPr>
        <xdr:cNvSpPr/>
      </xdr:nvSpPr>
      <xdr:spPr>
        <a:xfrm>
          <a:off x="14328321" y="3343275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129</xdr:row>
      <xdr:rowOff>176893</xdr:rowOff>
    </xdr:from>
    <xdr:to>
      <xdr:col>10</xdr:col>
      <xdr:colOff>843643</xdr:colOff>
      <xdr:row>131</xdr:row>
      <xdr:rowOff>81641</xdr:rowOff>
    </xdr:to>
    <xdr:sp macro="" textlink="">
      <xdr:nvSpPr>
        <xdr:cNvPr id="40" name="Двенадцатиугольник 39">
          <a:extLst>
            <a:ext uri="{FF2B5EF4-FFF2-40B4-BE49-F238E27FC236}">
              <a16:creationId xmlns:a16="http://schemas.microsoft.com/office/drawing/2014/main" id="{B402C4CD-63B2-4CE5-861F-A62C9DA892BE}"/>
            </a:ext>
          </a:extLst>
        </xdr:cNvPr>
        <xdr:cNvSpPr/>
      </xdr:nvSpPr>
      <xdr:spPr>
        <a:xfrm>
          <a:off x="14314714" y="34113107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EBCITRIXREP/temp/&#1050;&#1086;&#1087;&#1080;&#1103;%20LOSS%20&#1087;&#1077;&#1088;&#1077;&#1086;&#1073;&#1085;&#1086;&#1074;&#1083;&#1077;&#1085;&#1080;&#1077;-1.xlsm" TargetMode="External"/><Relationship Id="rId1" Type="http://schemas.openxmlformats.org/officeDocument/2006/relationships/externalLinkPath" Target="/WEBCITRIXREP/temp/&#1050;&#1086;&#1087;&#1080;&#1103;%20LOSS%20&#1087;&#1077;&#1088;&#1077;&#1086;&#1073;&#1085;&#1086;&#1074;&#1083;&#1077;&#1085;&#1080;&#1077;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нализ"/>
      <sheetName val="Лист1"/>
      <sheetName val="СВОДНЫЕ"/>
      <sheetName val="1потери -выр(исх)"/>
      <sheetName val="1потери-выр(свод)"/>
      <sheetName val="2П-Вк янв 11"/>
      <sheetName val="2П-Вк янв 11(исх)"/>
      <sheetName val="3ср импорт(исх)"/>
      <sheetName val="5формат(исх)"/>
      <sheetName val="467типы потерь(исх)"/>
      <sheetName val="467типы потерь(свод)"/>
      <sheetName val="8тов группы(исх)"/>
      <sheetName val="8 тов группы (свод)"/>
      <sheetName val="фактор доли"/>
      <sheetName val="Описание"/>
      <sheetName val="Сводный "/>
      <sheetName val="Товарные группы"/>
      <sheetName val="Фреш"/>
      <sheetName val="Мясные продукты"/>
      <sheetName val="ТО"/>
      <sheetName val="РЦ"/>
      <sheetName val="Логистические потери"/>
      <sheetName val="Типы потерь"/>
      <sheetName val="Регклярный производство"/>
      <sheetName val="Лист5"/>
      <sheetName val="Тех.лист"/>
      <sheetName val="справочник"/>
      <sheetName val="Исходник (Квартили)"/>
      <sheetName val="Структура продаж"/>
      <sheetName val="Списки"/>
      <sheetName val="мониторинг"/>
      <sheetName val="Оплаты клиентов (Архив)"/>
      <sheetName val="Справочники"/>
      <sheetName val="1потери_-выр(исх)"/>
      <sheetName val="2П-Вк_янв_11"/>
      <sheetName val="2П-Вк_янв_11(исх)"/>
      <sheetName val="3ср_импорт(исх)"/>
      <sheetName val="467типы_потерь(исх)"/>
      <sheetName val="467типы_потерь(свод)"/>
      <sheetName val="8тов_группы(исх)"/>
      <sheetName val="8_тов_группы_(свод)"/>
      <sheetName val="фактор_доли"/>
      <sheetName val="Сводный_"/>
      <sheetName val="Товарные_группы"/>
      <sheetName val="Мясные_продукты"/>
      <sheetName val="Логистические_потери"/>
      <sheetName val="Типы_потерь"/>
      <sheetName val="Регклярный_производство"/>
      <sheetName val="Тех_лист"/>
      <sheetName val="Исходник_(Квартили)"/>
      <sheetName val="Структура_продаж"/>
      <sheetName val="listsheet"/>
      <sheetName val="boxes "/>
      <sheetName val="Распределени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ДатаТ1</v>
          </cell>
          <cell r="E1" t="str">
            <v>Значения</v>
          </cell>
          <cell r="G1" t="str">
            <v>ДатаТ2</v>
          </cell>
        </row>
        <row r="2">
          <cell r="A2" t="str">
            <v>1.2012</v>
          </cell>
          <cell r="E2" t="str">
            <v>Потери РФ руб</v>
          </cell>
          <cell r="F2">
            <v>345500288.39485216</v>
          </cell>
          <cell r="G2" t="str">
            <v>.</v>
          </cell>
        </row>
        <row r="3">
          <cell r="A3" t="str">
            <v>1.2012</v>
          </cell>
          <cell r="E3" t="str">
            <v>Потери импорт руб</v>
          </cell>
          <cell r="F3">
            <v>190643737.54148507</v>
          </cell>
          <cell r="G3" t="str">
            <v>Месяц.Год</v>
          </cell>
          <cell r="K3" t="str">
            <v>Значения</v>
          </cell>
        </row>
        <row r="4">
          <cell r="A4" t="str">
            <v>1.2012</v>
          </cell>
          <cell r="E4" t="str">
            <v>% Потерь импорта к обороту импорта</v>
          </cell>
          <cell r="F4">
            <v>5.9128453784220589E-2</v>
          </cell>
          <cell r="G4" t="str">
            <v>1.2012</v>
          </cell>
          <cell r="K4" t="str">
            <v>Потери РФ руб</v>
          </cell>
          <cell r="L4">
            <v>468741024.40747941</v>
          </cell>
        </row>
        <row r="5">
          <cell r="A5" t="str">
            <v>1.2012</v>
          </cell>
          <cell r="E5" t="str">
            <v>% Потерь РФ к обороту РФ</v>
          </cell>
          <cell r="F5">
            <v>1.5084037784708173E-2</v>
          </cell>
          <cell r="G5" t="str">
            <v>1.2012</v>
          </cell>
          <cell r="K5" t="str">
            <v>Потери импорт руб</v>
          </cell>
          <cell r="L5">
            <v>254057358.78535107</v>
          </cell>
        </row>
        <row r="6">
          <cell r="A6" t="str">
            <v>2.2012</v>
          </cell>
          <cell r="E6" t="str">
            <v>Потери РФ руб</v>
          </cell>
          <cell r="F6">
            <v>345353245.16295779</v>
          </cell>
          <cell r="G6" t="str">
            <v>1.2012</v>
          </cell>
          <cell r="K6" t="str">
            <v>% Потерь импорта к обороту импорта</v>
          </cell>
          <cell r="L6">
            <v>6.9508567360818049E-2</v>
          </cell>
        </row>
        <row r="7">
          <cell r="A7" t="str">
            <v>2.2012</v>
          </cell>
          <cell r="E7" t="str">
            <v>Потери импорт руб</v>
          </cell>
          <cell r="F7">
            <v>134263409.70611069</v>
          </cell>
          <cell r="G7" t="str">
            <v>1.2012</v>
          </cell>
          <cell r="K7" t="str">
            <v>% Потерь РФ к обороту РФ</v>
          </cell>
          <cell r="L7">
            <v>1.7066328174391365E-2</v>
          </cell>
        </row>
        <row r="8">
          <cell r="A8" t="str">
            <v>2.2012</v>
          </cell>
          <cell r="E8" t="str">
            <v>% Потерь импорта к обороту импорта</v>
          </cell>
          <cell r="F8">
            <v>4.4400429799584515E-2</v>
          </cell>
          <cell r="G8" t="str">
            <v>2.2012</v>
          </cell>
          <cell r="K8" t="str">
            <v>Потери РФ руб</v>
          </cell>
          <cell r="L8">
            <v>472914580.39139766</v>
          </cell>
        </row>
        <row r="9">
          <cell r="A9" t="str">
            <v>2.2012</v>
          </cell>
          <cell r="E9" t="str">
            <v>% Потерь РФ к обороту РФ</v>
          </cell>
          <cell r="F9">
            <v>1.3996253984435922E-2</v>
          </cell>
          <cell r="G9" t="str">
            <v>2.2012</v>
          </cell>
          <cell r="K9" t="str">
            <v>Потери импорт руб</v>
          </cell>
          <cell r="L9">
            <v>176443501.68093902</v>
          </cell>
        </row>
        <row r="10">
          <cell r="A10" t="str">
            <v>3.2012</v>
          </cell>
          <cell r="E10" t="str">
            <v>Потери РФ руб</v>
          </cell>
          <cell r="F10">
            <v>388752599.16424525</v>
          </cell>
          <cell r="G10" t="str">
            <v>2.2012</v>
          </cell>
          <cell r="K10" t="str">
            <v>% Потерь импорта к обороту импорта</v>
          </cell>
          <cell r="L10">
            <v>5.0464161655258251E-2</v>
          </cell>
        </row>
        <row r="11">
          <cell r="A11" t="str">
            <v>3.2012</v>
          </cell>
          <cell r="E11" t="str">
            <v>Потери импорт руб</v>
          </cell>
          <cell r="F11">
            <v>176892715.28264198</v>
          </cell>
          <cell r="G11" t="str">
            <v>2.2012</v>
          </cell>
          <cell r="K11" t="str">
            <v>% Потерь РФ к обороту РФ</v>
          </cell>
          <cell r="L11">
            <v>1.5873006278992258E-2</v>
          </cell>
        </row>
        <row r="12">
          <cell r="A12" t="str">
            <v>3.2012</v>
          </cell>
          <cell r="E12" t="str">
            <v>% Потерь импорта к обороту импорта</v>
          </cell>
          <cell r="F12">
            <v>4.6955866378384295E-2</v>
          </cell>
          <cell r="G12" t="str">
            <v>3.2012</v>
          </cell>
          <cell r="K12" t="str">
            <v>Потери РФ руб</v>
          </cell>
          <cell r="L12">
            <v>537930707.08377445</v>
          </cell>
        </row>
        <row r="13">
          <cell r="A13" t="str">
            <v>3.2012</v>
          </cell>
          <cell r="E13" t="str">
            <v>% Потерь РФ к обороту РФ</v>
          </cell>
          <cell r="F13">
            <v>1.4916160599352366E-2</v>
          </cell>
          <cell r="G13" t="str">
            <v>3.2012</v>
          </cell>
          <cell r="K13" t="str">
            <v>Потери импорт руб</v>
          </cell>
          <cell r="L13">
            <v>240982979.01900014</v>
          </cell>
        </row>
        <row r="14">
          <cell r="A14" t="str">
            <v>4.2012</v>
          </cell>
          <cell r="E14" t="str">
            <v>Потери РФ руб</v>
          </cell>
          <cell r="F14">
            <v>384614476.63189107</v>
          </cell>
          <cell r="G14" t="str">
            <v>3.2012</v>
          </cell>
          <cell r="K14" t="str">
            <v>% Потерь импорта к обороту импорта</v>
          </cell>
          <cell r="L14">
            <v>5.4506466213543936E-2</v>
          </cell>
        </row>
        <row r="15">
          <cell r="A15" t="str">
            <v>4.2012</v>
          </cell>
          <cell r="E15" t="str">
            <v>Потери импорт руб</v>
          </cell>
          <cell r="F15">
            <v>217920761.99631029</v>
          </cell>
          <cell r="G15" t="str">
            <v>3.2012</v>
          </cell>
          <cell r="K15" t="str">
            <v>% Потерь РФ к обороту РФ</v>
          </cell>
          <cell r="L15">
            <v>1.6940646301228799E-2</v>
          </cell>
        </row>
        <row r="16">
          <cell r="A16" t="str">
            <v>4.2012</v>
          </cell>
          <cell r="E16" t="str">
            <v>% Потерь импорта к обороту импорта</v>
          </cell>
          <cell r="F16">
            <v>6.1828693098784714E-2</v>
          </cell>
          <cell r="G16" t="str">
            <v>4.2012</v>
          </cell>
          <cell r="K16" t="str">
            <v>Потери РФ руб</v>
          </cell>
          <cell r="L16">
            <v>512602179.26476818</v>
          </cell>
        </row>
        <row r="17">
          <cell r="A17" t="str">
            <v>4.2012</v>
          </cell>
          <cell r="E17" t="str">
            <v>% Потерь РФ к обороту РФ</v>
          </cell>
          <cell r="F17">
            <v>1.5436606159987263E-2</v>
          </cell>
          <cell r="G17" t="str">
            <v>4.2012</v>
          </cell>
          <cell r="K17" t="str">
            <v>Потери импорт руб</v>
          </cell>
          <cell r="L17">
            <v>300092308.93870777</v>
          </cell>
        </row>
        <row r="18">
          <cell r="A18" t="str">
            <v>5.2012</v>
          </cell>
          <cell r="E18" t="str">
            <v>Потери РФ руб</v>
          </cell>
          <cell r="F18">
            <v>400125152.61451584</v>
          </cell>
          <cell r="G18" t="str">
            <v>4.2012</v>
          </cell>
          <cell r="K18" t="str">
            <v>% Потерь импорта к обороту импорта</v>
          </cell>
          <cell r="L18">
            <v>7.2768131833077926E-2</v>
          </cell>
        </row>
        <row r="19">
          <cell r="A19" t="str">
            <v>5.2012</v>
          </cell>
          <cell r="E19" t="str">
            <v>Потери импорт руб</v>
          </cell>
          <cell r="F19">
            <v>203018046.31884915</v>
          </cell>
          <cell r="G19" t="str">
            <v>4.2012</v>
          </cell>
          <cell r="K19" t="str">
            <v>% Потерь РФ к обороту РФ</v>
          </cell>
          <cell r="L19">
            <v>1.6881109776987542E-2</v>
          </cell>
        </row>
        <row r="20">
          <cell r="A20" t="str">
            <v>5.2012</v>
          </cell>
          <cell r="E20" t="str">
            <v>% Потерь импорта к обороту импорта</v>
          </cell>
          <cell r="F20">
            <v>6.158454361207806E-2</v>
          </cell>
          <cell r="G20" t="str">
            <v>5.2012</v>
          </cell>
          <cell r="K20" t="str">
            <v>Потери РФ руб</v>
          </cell>
          <cell r="L20">
            <v>535599799.29950809</v>
          </cell>
        </row>
        <row r="21">
          <cell r="A21" t="str">
            <v>5.2012</v>
          </cell>
          <cell r="E21" t="str">
            <v>% Потерь РФ к обороту РФ</v>
          </cell>
          <cell r="F21">
            <v>1.5166310205961245E-2</v>
          </cell>
          <cell r="G21" t="str">
            <v>5.2012</v>
          </cell>
          <cell r="K21" t="str">
            <v>Потери импорт руб</v>
          </cell>
          <cell r="L21">
            <v>266254503.7525107</v>
          </cell>
        </row>
        <row r="22">
          <cell r="A22" t="str">
            <v>6.2012</v>
          </cell>
          <cell r="E22" t="str">
            <v>Потери РФ руб</v>
          </cell>
          <cell r="F22">
            <v>393899361.81266892</v>
          </cell>
          <cell r="G22" t="str">
            <v>5.2012</v>
          </cell>
          <cell r="K22" t="str">
            <v>% Потерь импорта к обороту импорта</v>
          </cell>
          <cell r="L22">
            <v>6.9351205079205669E-2</v>
          </cell>
        </row>
        <row r="23">
          <cell r="A23" t="str">
            <v>6.2012</v>
          </cell>
          <cell r="E23" t="str">
            <v>Потери импорт руб</v>
          </cell>
          <cell r="F23">
            <v>184018948.28519928</v>
          </cell>
          <cell r="G23" t="str">
            <v>5.2012</v>
          </cell>
          <cell r="K23" t="str">
            <v>% Потерь РФ к обороту РФ</v>
          </cell>
          <cell r="L23">
            <v>1.6687690950825205E-2</v>
          </cell>
        </row>
        <row r="24">
          <cell r="A24" t="str">
            <v>6.2012</v>
          </cell>
          <cell r="E24" t="str">
            <v>% Потерь импорта к обороту импорта</v>
          </cell>
          <cell r="F24">
            <v>6.0706509554326493E-2</v>
          </cell>
          <cell r="G24" t="str">
            <v>6.2012</v>
          </cell>
          <cell r="K24" t="str">
            <v>Потери РФ руб</v>
          </cell>
          <cell r="L24">
            <v>526923421.59524727</v>
          </cell>
        </row>
        <row r="25">
          <cell r="A25" t="str">
            <v>6.2012</v>
          </cell>
          <cell r="E25" t="str">
            <v>% Потерь РФ к обороту РФ</v>
          </cell>
          <cell r="F25">
            <v>1.4775781875386017E-2</v>
          </cell>
          <cell r="G25" t="str">
            <v>6.2012</v>
          </cell>
          <cell r="K25" t="str">
            <v>Потери импорт руб</v>
          </cell>
          <cell r="L25">
            <v>230869952.43370131</v>
          </cell>
        </row>
        <row r="26">
          <cell r="A26" t="str">
            <v>7.2012</v>
          </cell>
          <cell r="E26" t="str">
            <v>Потери РФ руб</v>
          </cell>
          <cell r="F26">
            <v>416139409.39502126</v>
          </cell>
          <cell r="G26" t="str">
            <v>6.2012</v>
          </cell>
          <cell r="K26" t="str">
            <v>% Потерь импорта к обороту импорта</v>
          </cell>
          <cell r="L26">
            <v>6.4959940304517766E-2</v>
          </cell>
        </row>
        <row r="27">
          <cell r="A27" t="str">
            <v>7.2012</v>
          </cell>
          <cell r="E27" t="str">
            <v>Потери импорт руб</v>
          </cell>
          <cell r="F27">
            <v>192212876.3030774</v>
          </cell>
          <cell r="G27" t="str">
            <v>6.2012</v>
          </cell>
          <cell r="K27" t="str">
            <v>% Потерь РФ к обороту РФ</v>
          </cell>
          <cell r="L27">
            <v>1.6021440170167902E-2</v>
          </cell>
        </row>
        <row r="28">
          <cell r="A28" t="str">
            <v>7.2012</v>
          </cell>
          <cell r="E28" t="str">
            <v>% Потерь импорта к обороту импорта</v>
          </cell>
          <cell r="F28">
            <v>6.9746983489448952E-2</v>
          </cell>
          <cell r="G28" t="str">
            <v>7.2012</v>
          </cell>
          <cell r="K28" t="str">
            <v>Потери РФ руб</v>
          </cell>
          <cell r="L28">
            <v>567578777.06402171</v>
          </cell>
        </row>
        <row r="29">
          <cell r="A29" t="str">
            <v>7.2012</v>
          </cell>
          <cell r="E29" t="str">
            <v>% Потерь РФ к обороту РФ</v>
          </cell>
          <cell r="F29">
            <v>1.489622621123121E-2</v>
          </cell>
          <cell r="G29" t="str">
            <v>7.2012</v>
          </cell>
          <cell r="K29" t="str">
            <v>Потери импорт руб</v>
          </cell>
          <cell r="L29">
            <v>242623616.64958477</v>
          </cell>
        </row>
        <row r="30">
          <cell r="A30" t="str">
            <v>8.2012</v>
          </cell>
          <cell r="E30" t="str">
            <v>Потери РФ руб</v>
          </cell>
          <cell r="F30">
            <v>420229324.47532535</v>
          </cell>
          <cell r="G30" t="str">
            <v>7.2012</v>
          </cell>
          <cell r="K30" t="str">
            <v>% Потерь импорта к обороту импорта</v>
          </cell>
          <cell r="L30">
            <v>7.5320035249917955E-2</v>
          </cell>
        </row>
        <row r="31">
          <cell r="A31" t="str">
            <v>8.2012</v>
          </cell>
          <cell r="E31" t="str">
            <v>Потери импорт руб</v>
          </cell>
          <cell r="F31">
            <v>157247942.48951527</v>
          </cell>
          <cell r="G31" t="str">
            <v>7.2012</v>
          </cell>
          <cell r="K31" t="str">
            <v>% Потерь РФ к обороту РФ</v>
          </cell>
          <cell r="L31">
            <v>1.6363740972626419E-2</v>
          </cell>
        </row>
        <row r="32">
          <cell r="A32" t="str">
            <v>8.2012</v>
          </cell>
          <cell r="E32" t="str">
            <v>% Потерь импорта к обороту импорта</v>
          </cell>
          <cell r="F32">
            <v>6.8432889887337534E-2</v>
          </cell>
          <cell r="G32" t="str">
            <v>8.2012</v>
          </cell>
          <cell r="K32" t="str">
            <v>Потери РФ руб</v>
          </cell>
          <cell r="L32">
            <v>621824415.47178507</v>
          </cell>
        </row>
        <row r="33">
          <cell r="A33" t="str">
            <v>8.2012</v>
          </cell>
          <cell r="E33" t="str">
            <v>% Потерь РФ к обороту РФ</v>
          </cell>
          <cell r="F33">
            <v>1.4958570629356594E-2</v>
          </cell>
          <cell r="G33" t="str">
            <v>8.2012</v>
          </cell>
          <cell r="K33" t="str">
            <v>Потери импорт руб</v>
          </cell>
          <cell r="L33">
            <v>219514761.41297927</v>
          </cell>
        </row>
        <row r="34">
          <cell r="A34" t="str">
            <v>9.2012</v>
          </cell>
          <cell r="E34" t="str">
            <v>Потери РФ руб</v>
          </cell>
          <cell r="F34">
            <v>387407460.58691585</v>
          </cell>
          <cell r="G34" t="str">
            <v>8.2012</v>
          </cell>
          <cell r="K34" t="str">
            <v>% Потерь импорта к обороту импорта</v>
          </cell>
          <cell r="L34">
            <v>8.1940222264684698E-2</v>
          </cell>
        </row>
        <row r="35">
          <cell r="A35" t="str">
            <v>9.2012</v>
          </cell>
          <cell r="E35" t="str">
            <v>Потери импорт руб</v>
          </cell>
          <cell r="F35">
            <v>140668976.51046935</v>
          </cell>
          <cell r="G35" t="str">
            <v>8.2012</v>
          </cell>
          <cell r="K35" t="str">
            <v>% Потерь РФ к обороту РФ</v>
          </cell>
          <cell r="L35">
            <v>1.7692430759130368E-2</v>
          </cell>
        </row>
        <row r="36">
          <cell r="A36" t="str">
            <v>9.2012</v>
          </cell>
          <cell r="E36" t="str">
            <v>% Потерь импорта к обороту импорта</v>
          </cell>
          <cell r="F36">
            <v>6.0011656523811054E-2</v>
          </cell>
          <cell r="G36" t="str">
            <v>9.2012</v>
          </cell>
          <cell r="K36" t="str">
            <v>Потери РФ руб</v>
          </cell>
          <cell r="L36">
            <v>542286926.04378295</v>
          </cell>
        </row>
        <row r="37">
          <cell r="A37" t="str">
            <v>9.2012</v>
          </cell>
          <cell r="E37" t="str">
            <v>% Потерь РФ к обороту РФ</v>
          </cell>
          <cell r="F37">
            <v>1.4421517654898103E-2</v>
          </cell>
          <cell r="G37" t="str">
            <v>9.2012</v>
          </cell>
          <cell r="K37" t="str">
            <v>Потери импорт руб</v>
          </cell>
          <cell r="L37">
            <v>189180472.71503597</v>
          </cell>
        </row>
        <row r="38">
          <cell r="A38" t="str">
            <v>10.2012</v>
          </cell>
          <cell r="E38" t="str">
            <v>Потери РФ руб</v>
          </cell>
          <cell r="F38">
            <v>416557763.87255096</v>
          </cell>
          <cell r="G38" t="str">
            <v>9.2012</v>
          </cell>
          <cell r="K38" t="str">
            <v>% Потерь импорта к обороту импорта</v>
          </cell>
          <cell r="L38">
            <v>6.9173155984880275E-2</v>
          </cell>
        </row>
        <row r="39">
          <cell r="A39" t="str">
            <v>10.2012</v>
          </cell>
          <cell r="E39" t="str">
            <v>Потери импорт руб</v>
          </cell>
          <cell r="F39">
            <v>180006481.26854917</v>
          </cell>
          <cell r="G39" t="str">
            <v>9.2012</v>
          </cell>
          <cell r="K39" t="str">
            <v>% Потерь РФ к обороту РФ</v>
          </cell>
          <cell r="L39">
            <v>1.6240215782808903E-2</v>
          </cell>
        </row>
        <row r="40">
          <cell r="A40" t="str">
            <v>10.2012</v>
          </cell>
          <cell r="E40" t="str">
            <v>% Потерь импорта к обороту импорта</v>
          </cell>
          <cell r="F40">
            <v>6.1548185430835387E-2</v>
          </cell>
          <cell r="G40" t="str">
            <v>10.2012</v>
          </cell>
          <cell r="K40" t="str">
            <v>Потери РФ руб</v>
          </cell>
          <cell r="L40">
            <v>603875743.59007192</v>
          </cell>
        </row>
        <row r="41">
          <cell r="A41" t="str">
            <v>10.2012</v>
          </cell>
          <cell r="E41" t="str">
            <v>% Потерь РФ к обороту РФ</v>
          </cell>
          <cell r="F41">
            <v>1.4756099843464298E-2</v>
          </cell>
          <cell r="G41" t="str">
            <v>10.2012</v>
          </cell>
          <cell r="K41" t="str">
            <v>Потери импорт руб</v>
          </cell>
          <cell r="L41">
            <v>229195704.84498042</v>
          </cell>
        </row>
        <row r="42">
          <cell r="A42" t="str">
            <v>11.2012</v>
          </cell>
          <cell r="E42" t="str">
            <v>Потери РФ руб</v>
          </cell>
          <cell r="F42">
            <v>382065361.12620926</v>
          </cell>
          <cell r="G42" t="str">
            <v>10.2012</v>
          </cell>
          <cell r="K42" t="str">
            <v>% Потерь импорта к обороту импорта</v>
          </cell>
          <cell r="L42">
            <v>6.7168358963729718E-2</v>
          </cell>
        </row>
        <row r="43">
          <cell r="A43" t="str">
            <v>11.2012</v>
          </cell>
          <cell r="E43" t="str">
            <v>Потери импорт руб</v>
          </cell>
          <cell r="F43">
            <v>190408197.19430062</v>
          </cell>
          <cell r="G43" t="str">
            <v>10.2012</v>
          </cell>
          <cell r="K43" t="str">
            <v>% Потерь РФ к обороту РФ</v>
          </cell>
          <cell r="L43">
            <v>1.7269164199825434E-2</v>
          </cell>
        </row>
        <row r="44">
          <cell r="A44" t="str">
            <v>11.2012</v>
          </cell>
          <cell r="E44" t="str">
            <v>% Потерь импорта к обороту импорта</v>
          </cell>
          <cell r="F44">
            <v>5.8419873455167921E-2</v>
          </cell>
          <cell r="G44" t="str">
            <v>11.2012</v>
          </cell>
          <cell r="K44" t="str">
            <v>Потери РФ руб</v>
          </cell>
          <cell r="L44">
            <v>534428716.98508841</v>
          </cell>
        </row>
        <row r="45">
          <cell r="A45" t="str">
            <v>11.2012</v>
          </cell>
          <cell r="E45" t="str">
            <v>% Потерь РФ к обороту РФ</v>
          </cell>
          <cell r="F45">
            <v>1.3558518825003103E-2</v>
          </cell>
          <cell r="G45" t="str">
            <v>11.2012</v>
          </cell>
          <cell r="K45" t="str">
            <v>Потери импорт руб</v>
          </cell>
          <cell r="L45">
            <v>259236454.01475292</v>
          </cell>
        </row>
        <row r="46">
          <cell r="A46" t="str">
            <v>12.2012</v>
          </cell>
          <cell r="E46" t="str">
            <v>Потери РФ руб</v>
          </cell>
          <cell r="F46">
            <v>456705636.65230966</v>
          </cell>
          <cell r="G46" t="str">
            <v>11.2012</v>
          </cell>
          <cell r="K46" t="str">
            <v>% Потерь импорта к обороту импорта</v>
          </cell>
          <cell r="L46">
            <v>6.746659445955934E-2</v>
          </cell>
        </row>
        <row r="47">
          <cell r="A47" t="str">
            <v>12.2012</v>
          </cell>
          <cell r="E47" t="str">
            <v>Потери импорт руб</v>
          </cell>
          <cell r="F47">
            <v>252962181.32708076</v>
          </cell>
          <cell r="G47" t="str">
            <v>11.2012</v>
          </cell>
          <cell r="K47" t="str">
            <v>% Потерь РФ к обороту РФ</v>
          </cell>
          <cell r="L47">
            <v>1.5203616828280614E-2</v>
          </cell>
        </row>
        <row r="48">
          <cell r="A48" t="str">
            <v>12.2012</v>
          </cell>
          <cell r="E48" t="str">
            <v>% Потерь импорта к обороту импорта</v>
          </cell>
          <cell r="F48">
            <v>5.4791692477560112E-2</v>
          </cell>
          <cell r="G48" t="str">
            <v>12.2012</v>
          </cell>
          <cell r="K48" t="str">
            <v>Потери РФ руб</v>
          </cell>
          <cell r="L48">
            <v>746873380.51936376</v>
          </cell>
        </row>
        <row r="49">
          <cell r="A49" t="str">
            <v>12.2012</v>
          </cell>
          <cell r="E49" t="str">
            <v>% Потерь РФ к обороту РФ</v>
          </cell>
          <cell r="F49">
            <v>1.2944648461241671E-2</v>
          </cell>
          <cell r="G49" t="str">
            <v>12.2012</v>
          </cell>
          <cell r="K49" t="str">
            <v>Потери импорт руб</v>
          </cell>
          <cell r="L49">
            <v>345922376.5856899</v>
          </cell>
        </row>
        <row r="50">
          <cell r="A50" t="str">
            <v>1.2013</v>
          </cell>
          <cell r="E50" t="str">
            <v>Потери РФ руб</v>
          </cell>
          <cell r="F50">
            <v>478573225.74886739</v>
          </cell>
          <cell r="G50" t="str">
            <v>12.2012</v>
          </cell>
          <cell r="K50" t="str">
            <v>% Потерь импорта к обороту импорта</v>
          </cell>
          <cell r="L50">
            <v>6.1747998893294707E-2</v>
          </cell>
        </row>
        <row r="51">
          <cell r="A51" t="str">
            <v>1.2013</v>
          </cell>
          <cell r="E51" t="str">
            <v>Потери импорт руб</v>
          </cell>
          <cell r="F51">
            <v>344225617.34724832</v>
          </cell>
          <cell r="G51" t="str">
            <v>12.2012</v>
          </cell>
          <cell r="K51" t="str">
            <v>% Потерь РФ к обороту РФ</v>
          </cell>
          <cell r="L51">
            <v>1.6173013658434824E-2</v>
          </cell>
        </row>
        <row r="52">
          <cell r="A52" t="str">
            <v>1.2013</v>
          </cell>
          <cell r="E52" t="str">
            <v>% Потерь импорта к обороту импорта</v>
          </cell>
          <cell r="F52">
            <v>7.7454745079896054E-2</v>
          </cell>
          <cell r="G52" t="str">
            <v>1.2013</v>
          </cell>
          <cell r="K52" t="str">
            <v>Потери РФ руб</v>
          </cell>
          <cell r="L52">
            <v>735606656.45872402</v>
          </cell>
        </row>
        <row r="53">
          <cell r="A53" t="str">
            <v>1.2013</v>
          </cell>
          <cell r="E53" t="str">
            <v>% Потерь РФ к обороту РФ</v>
          </cell>
          <cell r="F53">
            <v>1.6647630301045019E-2</v>
          </cell>
          <cell r="G53" t="str">
            <v>1.2013</v>
          </cell>
          <cell r="K53" t="str">
            <v>Потери импорт руб</v>
          </cell>
          <cell r="L53">
            <v>501427819.8175655</v>
          </cell>
        </row>
        <row r="54">
          <cell r="A54" t="str">
            <v>2.2013</v>
          </cell>
          <cell r="E54" t="str">
            <v>Потери РФ руб</v>
          </cell>
          <cell r="F54">
            <v>419177248.17056036</v>
          </cell>
          <cell r="G54" t="str">
            <v>1.2013</v>
          </cell>
          <cell r="K54" t="str">
            <v>% Потерь импорта к обороту импорта</v>
          </cell>
          <cell r="L54">
            <v>9.5040188025455205E-2</v>
          </cell>
        </row>
        <row r="55">
          <cell r="A55" t="str">
            <v>2.2013</v>
          </cell>
          <cell r="E55" t="str">
            <v>Потери импорт руб</v>
          </cell>
          <cell r="F55">
            <v>266228247.71065935</v>
          </cell>
          <cell r="G55" t="str">
            <v>1.2013</v>
          </cell>
          <cell r="K55" t="str">
            <v>% Потерь РФ к обороту РФ</v>
          </cell>
          <cell r="L55">
            <v>2.0440640069137206E-2</v>
          </cell>
        </row>
        <row r="56">
          <cell r="A56" t="str">
            <v>2.2013</v>
          </cell>
          <cell r="E56" t="str">
            <v>% Потерь импорта к обороту импорта</v>
          </cell>
          <cell r="F56">
            <v>6.1232123500743162E-2</v>
          </cell>
          <cell r="G56" t="str">
            <v>2.2013</v>
          </cell>
          <cell r="K56" t="str">
            <v>Потери РФ руб</v>
          </cell>
          <cell r="L56">
            <v>595990154.00562096</v>
          </cell>
        </row>
        <row r="57">
          <cell r="A57" t="str">
            <v>2.2013</v>
          </cell>
          <cell r="E57" t="str">
            <v>% Потерь РФ к обороту РФ</v>
          </cell>
          <cell r="F57">
            <v>1.455027145150428E-2</v>
          </cell>
          <cell r="G57" t="str">
            <v>2.2013</v>
          </cell>
          <cell r="K57" t="str">
            <v>Потери импорт руб</v>
          </cell>
          <cell r="L57">
            <v>355117800.85059613</v>
          </cell>
        </row>
        <row r="58">
          <cell r="A58" t="str">
            <v>3.2013</v>
          </cell>
          <cell r="E58" t="str">
            <v>Потери РФ руб</v>
          </cell>
          <cell r="F58">
            <v>454004040.66718322</v>
          </cell>
          <cell r="G58" t="str">
            <v>2.2013</v>
          </cell>
          <cell r="K58" t="str">
            <v>% Потерь импорта к обороту импорта</v>
          </cell>
          <cell r="L58">
            <v>6.7378574229300409E-2</v>
          </cell>
        </row>
        <row r="59">
          <cell r="A59" t="str">
            <v>3.2013</v>
          </cell>
          <cell r="E59" t="str">
            <v>Потери импорт руб</v>
          </cell>
          <cell r="F59">
            <v>298072521.24014944</v>
          </cell>
          <cell r="G59" t="str">
            <v>2.2013</v>
          </cell>
          <cell r="K59" t="str">
            <v>% Потерь РФ к обороту РФ</v>
          </cell>
          <cell r="L59">
            <v>1.6266873969552509E-2</v>
          </cell>
        </row>
        <row r="60">
          <cell r="A60" t="str">
            <v>3.2013</v>
          </cell>
          <cell r="E60" t="str">
            <v>% Потерь импорта к обороту импорта</v>
          </cell>
          <cell r="F60">
            <v>5.8251131959391279E-2</v>
          </cell>
          <cell r="G60" t="str">
            <v>3.2013</v>
          </cell>
          <cell r="K60" t="str">
            <v>Потери РФ руб</v>
          </cell>
          <cell r="L60">
            <v>683226133.51935661</v>
          </cell>
        </row>
        <row r="61">
          <cell r="A61" t="str">
            <v>3.2013</v>
          </cell>
          <cell r="E61" t="str">
            <v>% Потерь РФ к обороту РФ</v>
          </cell>
          <cell r="F61">
            <v>1.3890247804710249E-2</v>
          </cell>
          <cell r="G61" t="str">
            <v>3.2013</v>
          </cell>
          <cell r="K61" t="str">
            <v>Потери импорт руб</v>
          </cell>
          <cell r="L61">
            <v>416768423.15830934</v>
          </cell>
        </row>
        <row r="62">
          <cell r="A62" t="str">
            <v>4.2013</v>
          </cell>
          <cell r="E62" t="str">
            <v>Потери РФ руб</v>
          </cell>
          <cell r="F62">
            <v>409854564.27041811</v>
          </cell>
          <cell r="G62" t="str">
            <v>3.2013</v>
          </cell>
          <cell r="K62" t="str">
            <v>% Потерь импорта к обороту импорта</v>
          </cell>
          <cell r="L62">
            <v>6.6581551124426513E-2</v>
          </cell>
        </row>
        <row r="63">
          <cell r="A63" t="str">
            <v>4.2013</v>
          </cell>
          <cell r="E63" t="str">
            <v>Потери импорт руб</v>
          </cell>
          <cell r="F63">
            <v>239716139.63512236</v>
          </cell>
          <cell r="G63" t="str">
            <v>3.2013</v>
          </cell>
          <cell r="K63" t="str">
            <v>% Потерь РФ к обороту РФ</v>
          </cell>
          <cell r="L63">
            <v>1.6348287978834222E-2</v>
          </cell>
        </row>
        <row r="64">
          <cell r="A64" t="str">
            <v>4.2013</v>
          </cell>
          <cell r="E64" t="str">
            <v>% Потерь импорта к обороту импорта</v>
          </cell>
          <cell r="F64">
            <v>5.5830901480779217E-2</v>
          </cell>
          <cell r="G64" t="str">
            <v>4.2013</v>
          </cell>
          <cell r="K64" t="str">
            <v>Потери РФ руб</v>
          </cell>
          <cell r="L64">
            <v>647154451.28359056</v>
          </cell>
        </row>
        <row r="65">
          <cell r="A65" t="str">
            <v>4.2013</v>
          </cell>
          <cell r="E65" t="str">
            <v>% Потерь РФ к обороту РФ</v>
          </cell>
          <cell r="F65">
            <v>1.2890665747192406E-2</v>
          </cell>
          <cell r="G65" t="str">
            <v>4.2013</v>
          </cell>
          <cell r="K65" t="str">
            <v>Потери импорт руб</v>
          </cell>
          <cell r="L65">
            <v>328040115.47755617</v>
          </cell>
        </row>
        <row r="66">
          <cell r="A66" t="str">
            <v>5.2013</v>
          </cell>
          <cell r="E66" t="str">
            <v>Потери РФ руб</v>
          </cell>
          <cell r="F66">
            <v>417236355.43352681</v>
          </cell>
          <cell r="G66" t="str">
            <v>4.2013</v>
          </cell>
          <cell r="K66" t="str">
            <v>% Потерь импорта к обороту импорта</v>
          </cell>
          <cell r="L66">
            <v>6.2004302532648894E-2</v>
          </cell>
        </row>
        <row r="67">
          <cell r="A67" t="str">
            <v>5.2013</v>
          </cell>
          <cell r="E67" t="str">
            <v>Потери импорт руб</v>
          </cell>
          <cell r="F67">
            <v>215985290.62134773</v>
          </cell>
          <cell r="G67" t="str">
            <v>4.2013</v>
          </cell>
          <cell r="K67" t="str">
            <v>% Потерь РФ к обороту РФ</v>
          </cell>
          <cell r="L67">
            <v>1.5986098463536168E-2</v>
          </cell>
        </row>
        <row r="68">
          <cell r="A68" t="str">
            <v>5.2013</v>
          </cell>
          <cell r="E68" t="str">
            <v>% Потерь импорта к обороту импорта</v>
          </cell>
          <cell r="F68">
            <v>5.2551414857498077E-2</v>
          </cell>
          <cell r="G68" t="str">
            <v>5.2013</v>
          </cell>
          <cell r="K68" t="str">
            <v>Потери РФ руб</v>
          </cell>
          <cell r="L68">
            <v>654500439.93783474</v>
          </cell>
        </row>
        <row r="69">
          <cell r="A69" t="str">
            <v>5.2013</v>
          </cell>
          <cell r="E69" t="str">
            <v>% Потерь РФ к обороту РФ</v>
          </cell>
          <cell r="F69">
            <v>1.2313787092147437E-2</v>
          </cell>
          <cell r="G69" t="str">
            <v>5.2013</v>
          </cell>
          <cell r="K69" t="str">
            <v>Потери импорт руб</v>
          </cell>
          <cell r="L69">
            <v>331784630.81989962</v>
          </cell>
        </row>
        <row r="70">
          <cell r="A70" t="str">
            <v>6.2013</v>
          </cell>
          <cell r="E70" t="str">
            <v>Потери РФ руб</v>
          </cell>
          <cell r="F70">
            <v>392186341.07052493</v>
          </cell>
          <cell r="G70" t="str">
            <v>5.2013</v>
          </cell>
          <cell r="K70" t="str">
            <v>% Потерь импорта к обороту импорта</v>
          </cell>
          <cell r="L70">
            <v>6.5782994952478788E-2</v>
          </cell>
        </row>
        <row r="71">
          <cell r="A71" t="str">
            <v>6.2013</v>
          </cell>
          <cell r="E71" t="str">
            <v>Потери импорт руб</v>
          </cell>
          <cell r="F71">
            <v>173522185.74098074</v>
          </cell>
          <cell r="G71" t="str">
            <v>5.2013</v>
          </cell>
          <cell r="K71" t="str">
            <v>% Потерь РФ к обороту РФ</v>
          </cell>
          <cell r="L71">
            <v>1.5121503844821794E-2</v>
          </cell>
        </row>
        <row r="72">
          <cell r="A72" t="str">
            <v>6.2013</v>
          </cell>
          <cell r="E72" t="str">
            <v>% Потерь импорта к обороту импорта</v>
          </cell>
          <cell r="F72">
            <v>5.0131544173401689E-2</v>
          </cell>
          <cell r="G72" t="str">
            <v>6.2013</v>
          </cell>
          <cell r="K72" t="str">
            <v>Потери РФ руб</v>
          </cell>
          <cell r="L72">
            <v>582365399.45137477</v>
          </cell>
        </row>
        <row r="73">
          <cell r="A73" t="str">
            <v>6.2013</v>
          </cell>
          <cell r="E73" t="str">
            <v>% Потерь РФ к обороту РФ</v>
          </cell>
          <cell r="F73">
            <v>1.1681685087632798E-2</v>
          </cell>
          <cell r="G73" t="str">
            <v>6.2013</v>
          </cell>
          <cell r="K73" t="str">
            <v>Потери импорт руб</v>
          </cell>
          <cell r="L73">
            <v>252900901.35043648</v>
          </cell>
        </row>
        <row r="74">
          <cell r="A74" t="str">
            <v>7.2013</v>
          </cell>
          <cell r="E74" t="str">
            <v>Потери РФ руб</v>
          </cell>
          <cell r="F74">
            <v>422332436.44584465</v>
          </cell>
          <cell r="G74" t="str">
            <v>6.2013</v>
          </cell>
          <cell r="K74" t="str">
            <v>% Потерь импорта к обороту импорта</v>
          </cell>
          <cell r="L74">
            <v>5.9053286833058945E-2</v>
          </cell>
        </row>
        <row r="75">
          <cell r="A75" t="str">
            <v>7.2013</v>
          </cell>
          <cell r="E75" t="str">
            <v>Потери импорт руб</v>
          </cell>
          <cell r="F75">
            <v>202195448.60130262</v>
          </cell>
          <cell r="G75" t="str">
            <v>6.2013</v>
          </cell>
          <cell r="K75" t="str">
            <v>% Потерь РФ к обороту РФ</v>
          </cell>
          <cell r="L75">
            <v>1.3480642595203514E-2</v>
          </cell>
        </row>
        <row r="76">
          <cell r="A76" t="str">
            <v>7.2013</v>
          </cell>
          <cell r="E76" t="str">
            <v>% Потерь импорта к обороту импорта</v>
          </cell>
          <cell r="F76">
            <v>6.4584666326877996E-2</v>
          </cell>
          <cell r="G76" t="str">
            <v>7.2013</v>
          </cell>
          <cell r="K76" t="str">
            <v>Потери РФ руб</v>
          </cell>
          <cell r="L76">
            <v>709283311.54697108</v>
          </cell>
        </row>
        <row r="77">
          <cell r="A77" t="str">
            <v>7.2013</v>
          </cell>
          <cell r="E77" t="str">
            <v>% Потерь РФ к обороту РФ</v>
          </cell>
          <cell r="F77">
            <v>1.2017271391633964E-2</v>
          </cell>
          <cell r="G77" t="str">
            <v>7.2013</v>
          </cell>
          <cell r="K77" t="str">
            <v>Потери импорт руб</v>
          </cell>
          <cell r="L77">
            <v>279073721.23839933</v>
          </cell>
        </row>
        <row r="78">
          <cell r="A78" t="str">
            <v>8.2013</v>
          </cell>
          <cell r="E78" t="str">
            <v>Потери РФ руб</v>
          </cell>
          <cell r="F78">
            <v>404043678.86141479</v>
          </cell>
          <cell r="G78" t="str">
            <v>7.2013</v>
          </cell>
          <cell r="K78" t="str">
            <v>% Потерь импорта к обороту импорта</v>
          </cell>
          <cell r="L78">
            <v>7.3204828279886808E-2</v>
          </cell>
        </row>
        <row r="79">
          <cell r="A79" t="str">
            <v>8.2013</v>
          </cell>
          <cell r="E79" t="str">
            <v>Потери импорт руб</v>
          </cell>
          <cell r="F79">
            <v>190069422.55006203</v>
          </cell>
          <cell r="G79" t="str">
            <v>7.2013</v>
          </cell>
          <cell r="K79" t="str">
            <v>% Потерь РФ к обороту РФ</v>
          </cell>
          <cell r="L79">
            <v>1.564248529317909E-2</v>
          </cell>
        </row>
        <row r="80">
          <cell r="A80" t="str">
            <v>8.2013</v>
          </cell>
          <cell r="E80" t="str">
            <v>% Потерь импорта к обороту импорта</v>
          </cell>
          <cell r="F80">
            <v>7.1117256343830343E-2</v>
          </cell>
          <cell r="G80" t="str">
            <v>8.2013</v>
          </cell>
          <cell r="K80" t="str">
            <v>Потери РФ руб</v>
          </cell>
          <cell r="L80">
            <v>647823561.36313701</v>
          </cell>
        </row>
        <row r="81">
          <cell r="A81" t="str">
            <v>8.2013</v>
          </cell>
          <cell r="E81" t="str">
            <v>% Потерь РФ к обороту РФ</v>
          </cell>
          <cell r="F81">
            <v>1.1524139375143449E-2</v>
          </cell>
          <cell r="G81" t="str">
            <v>8.2013</v>
          </cell>
          <cell r="K81" t="str">
            <v>Потери импорт руб</v>
          </cell>
          <cell r="L81">
            <v>303201894.17384404</v>
          </cell>
        </row>
        <row r="82">
          <cell r="A82" t="str">
            <v>9.2013</v>
          </cell>
          <cell r="E82" t="str">
            <v>Потери РФ руб</v>
          </cell>
          <cell r="F82">
            <v>365951720.5333057</v>
          </cell>
          <cell r="G82" t="str">
            <v>8.2013</v>
          </cell>
          <cell r="K82" t="str">
            <v>% Потерь импорта к обороту импорта</v>
          </cell>
          <cell r="L82">
            <v>9.3434881060418404E-2</v>
          </cell>
        </row>
        <row r="83">
          <cell r="A83" t="str">
            <v>9.2013</v>
          </cell>
          <cell r="E83" t="str">
            <v>Потери импорт руб</v>
          </cell>
          <cell r="F83">
            <v>158881926.7767272</v>
          </cell>
          <cell r="G83" t="str">
            <v>8.2013</v>
          </cell>
          <cell r="K83" t="str">
            <v>% Потерь РФ к обороту РФ</v>
          </cell>
          <cell r="L83">
            <v>1.4193425628420494E-2</v>
          </cell>
        </row>
        <row r="84">
          <cell r="A84" t="str">
            <v>9.2013</v>
          </cell>
          <cell r="E84" t="str">
            <v>% Потерь импорта к обороту импорта</v>
          </cell>
          <cell r="F84">
            <v>6.6437749461473877E-2</v>
          </cell>
          <cell r="G84" t="str">
            <v>9.2013</v>
          </cell>
          <cell r="K84" t="str">
            <v>Потери РФ руб</v>
          </cell>
          <cell r="L84">
            <v>576884335.34437501</v>
          </cell>
        </row>
        <row r="85">
          <cell r="A85" t="str">
            <v>9.2013</v>
          </cell>
          <cell r="E85" t="str">
            <v>% Потерь РФ к обороту РФ</v>
          </cell>
          <cell r="F85">
            <v>1.0972076367410995E-2</v>
          </cell>
          <cell r="G85" t="str">
            <v>9.2013</v>
          </cell>
          <cell r="K85" t="str">
            <v>Потери импорт руб</v>
          </cell>
          <cell r="L85">
            <v>224931859.8284179</v>
          </cell>
        </row>
        <row r="86">
          <cell r="A86" t="str">
            <v>10.2013</v>
          </cell>
          <cell r="E86" t="str">
            <v>Потери РФ руб</v>
          </cell>
          <cell r="F86">
            <v>419223926.01468134</v>
          </cell>
          <cell r="G86" t="str">
            <v>9.2013</v>
          </cell>
          <cell r="K86" t="str">
            <v>% Потерь импорта к обороту импорта</v>
          </cell>
          <cell r="L86">
            <v>7.683300296963802E-2</v>
          </cell>
        </row>
        <row r="87">
          <cell r="A87" t="str">
            <v>10.2013</v>
          </cell>
          <cell r="E87" t="str">
            <v>Потери импорт руб</v>
          </cell>
          <cell r="F87">
            <v>152128042.1353806</v>
          </cell>
          <cell r="G87" t="str">
            <v>9.2013</v>
          </cell>
          <cell r="K87" t="str">
            <v>% Потерь РФ к обороту РФ</v>
          </cell>
          <cell r="L87">
            <v>1.3323311361012417E-2</v>
          </cell>
        </row>
        <row r="88">
          <cell r="A88" t="str">
            <v>10.2013</v>
          </cell>
          <cell r="E88" t="str">
            <v>% Потерь импорта к обороту импорта</v>
          </cell>
          <cell r="F88">
            <v>5.1074178226543553E-2</v>
          </cell>
          <cell r="G88" t="str">
            <v>10.2013</v>
          </cell>
          <cell r="K88" t="str">
            <v>Потери РФ руб</v>
          </cell>
          <cell r="L88">
            <v>641189528.74310648</v>
          </cell>
        </row>
        <row r="89">
          <cell r="A89" t="str">
            <v>10.2013</v>
          </cell>
          <cell r="E89" t="str">
            <v>% Потерь РФ к обороту РФ</v>
          </cell>
          <cell r="F89">
            <v>1.2029585297949969E-2</v>
          </cell>
          <cell r="G89" t="str">
            <v>10.2013</v>
          </cell>
          <cell r="K89" t="str">
            <v>Потери импорт руб</v>
          </cell>
          <cell r="L89">
            <v>201749601.68153515</v>
          </cell>
        </row>
        <row r="90">
          <cell r="A90" t="str">
            <v>1.2012</v>
          </cell>
          <cell r="E90" t="str">
            <v>Потери РФ руб</v>
          </cell>
          <cell r="F90">
            <v>102768722.06386957</v>
          </cell>
          <cell r="G90" t="str">
            <v>10.2013</v>
          </cell>
          <cell r="K90" t="str">
            <v>% Потерь импорта к обороту импорта</v>
          </cell>
          <cell r="L90">
            <v>5.5300027511051758E-2</v>
          </cell>
        </row>
        <row r="91">
          <cell r="A91" t="str">
            <v>1.2012</v>
          </cell>
          <cell r="E91" t="str">
            <v>Потери импорт руб</v>
          </cell>
          <cell r="F91">
            <v>30748769.535571221</v>
          </cell>
          <cell r="G91" t="str">
            <v>10.2013</v>
          </cell>
          <cell r="K91" t="str">
            <v>% Потерь РФ к обороту РФ</v>
          </cell>
          <cell r="L91">
            <v>1.424988946385811E-2</v>
          </cell>
        </row>
        <row r="92">
          <cell r="A92" t="str">
            <v>1.2012</v>
          </cell>
          <cell r="E92" t="str">
            <v>% Потерь импорта к обороту импорта</v>
          </cell>
          <cell r="F92">
            <v>7.1645578074119504E-2</v>
          </cell>
          <cell r="G92" t="str">
            <v>.Итог Потери РФ руб</v>
          </cell>
          <cell r="L92">
            <v>13145603643.37038</v>
          </cell>
        </row>
        <row r="93">
          <cell r="A93" t="str">
            <v>1.2012</v>
          </cell>
          <cell r="E93" t="str">
            <v>% Потерь РФ к обороту РФ</v>
          </cell>
          <cell r="F93">
            <v>2.3793667276768772E-2</v>
          </cell>
          <cell r="G93" t="str">
            <v>.Итог Потери импорт руб</v>
          </cell>
          <cell r="L93">
            <v>6149370759.2297926</v>
          </cell>
        </row>
        <row r="94">
          <cell r="A94" t="str">
            <v>2.2012</v>
          </cell>
          <cell r="E94" t="str">
            <v>Потери РФ руб</v>
          </cell>
          <cell r="F94">
            <v>84912188.67196618</v>
          </cell>
          <cell r="G94" t="str">
            <v>.Итог % Потерь импорта к обороту импорта</v>
          </cell>
          <cell r="L94">
            <v>6.8602523553674161E-2</v>
          </cell>
        </row>
        <row r="95">
          <cell r="A95" t="str">
            <v>2.2012</v>
          </cell>
          <cell r="E95" t="str">
            <v>Потери импорт руб</v>
          </cell>
          <cell r="F95">
            <v>24056366.372782942</v>
          </cell>
          <cell r="G95" t="str">
            <v>.Итог % Потерь РФ к обороту РФ</v>
          </cell>
          <cell r="L95">
            <v>1.5942764706696401E-2</v>
          </cell>
        </row>
        <row r="96">
          <cell r="A96" t="str">
            <v>2.2012</v>
          </cell>
          <cell r="E96" t="str">
            <v>% Потерь импорта к обороту импорта</v>
          </cell>
          <cell r="F96">
            <v>5.1268759603531854E-2</v>
          </cell>
          <cell r="G96" t="str">
            <v>.</v>
          </cell>
        </row>
        <row r="97">
          <cell r="A97" t="str">
            <v>2.2012</v>
          </cell>
          <cell r="E97" t="str">
            <v>% Потерь РФ к обороту РФ</v>
          </cell>
          <cell r="F97">
            <v>1.7700935658859919E-2</v>
          </cell>
          <cell r="G97" t="str">
            <v>.</v>
          </cell>
        </row>
        <row r="98">
          <cell r="A98" t="str">
            <v>3.2012</v>
          </cell>
          <cell r="E98" t="str">
            <v>Потери РФ руб</v>
          </cell>
          <cell r="F98">
            <v>102831604.72728837</v>
          </cell>
          <cell r="G98" t="str">
            <v>.</v>
          </cell>
        </row>
        <row r="99">
          <cell r="A99" t="str">
            <v>3.2012</v>
          </cell>
          <cell r="E99" t="str">
            <v>Потери импорт руб</v>
          </cell>
          <cell r="F99">
            <v>33728203.701109678</v>
          </cell>
          <cell r="G99" t="str">
            <v>.</v>
          </cell>
        </row>
        <row r="100">
          <cell r="A100" t="str">
            <v>3.2012</v>
          </cell>
          <cell r="E100" t="str">
            <v>% Потерь импорта к обороту импорта</v>
          </cell>
          <cell r="F100">
            <v>5.1912712970554893E-2</v>
          </cell>
          <cell r="G100" t="str">
            <v>.</v>
          </cell>
        </row>
        <row r="101">
          <cell r="A101" t="str">
            <v>3.2012</v>
          </cell>
          <cell r="E101" t="str">
            <v>% Потерь РФ к обороту РФ</v>
          </cell>
          <cell r="F101">
            <v>1.9360996377055725E-2</v>
          </cell>
          <cell r="G101" t="str">
            <v>.</v>
          </cell>
        </row>
        <row r="102">
          <cell r="A102" t="str">
            <v>4.2012</v>
          </cell>
          <cell r="E102" t="str">
            <v>Потери РФ руб</v>
          </cell>
          <cell r="F102">
            <v>106166580.68080468</v>
          </cell>
          <cell r="G102" t="str">
            <v>.</v>
          </cell>
        </row>
        <row r="103">
          <cell r="A103" t="str">
            <v>4.2012</v>
          </cell>
          <cell r="E103" t="str">
            <v>Потери импорт руб</v>
          </cell>
          <cell r="F103">
            <v>39001713.475433871</v>
          </cell>
          <cell r="G103" t="str">
            <v>.</v>
          </cell>
        </row>
        <row r="104">
          <cell r="A104" t="str">
            <v>4.2012</v>
          </cell>
          <cell r="E104" t="str">
            <v>% Потерь импорта к обороту импорта</v>
          </cell>
          <cell r="F104">
            <v>6.5457392527993097E-2</v>
          </cell>
          <cell r="G104" t="str">
            <v>.</v>
          </cell>
        </row>
        <row r="105">
          <cell r="A105" t="str">
            <v>4.2012</v>
          </cell>
          <cell r="E105" t="str">
            <v>% Потерь РФ к обороту РФ</v>
          </cell>
          <cell r="F105">
            <v>2.0652626301457023E-2</v>
          </cell>
          <cell r="G105" t="str">
            <v>.</v>
          </cell>
        </row>
        <row r="106">
          <cell r="A106" t="str">
            <v>5.2012</v>
          </cell>
          <cell r="E106" t="str">
            <v>Потери РФ руб</v>
          </cell>
          <cell r="F106">
            <v>106537066.40172927</v>
          </cell>
          <cell r="G106" t="str">
            <v>.</v>
          </cell>
        </row>
        <row r="107">
          <cell r="A107" t="str">
            <v>5.2012</v>
          </cell>
          <cell r="E107" t="str">
            <v>Потери импорт руб</v>
          </cell>
          <cell r="F107">
            <v>40066167.028282627</v>
          </cell>
          <cell r="G107" t="str">
            <v>.</v>
          </cell>
        </row>
        <row r="108">
          <cell r="A108" t="str">
            <v>5.2012</v>
          </cell>
          <cell r="E108" t="str">
            <v>% Потерь импорта к обороту импорта</v>
          </cell>
          <cell r="F108">
            <v>7.4632301478089455E-2</v>
          </cell>
          <cell r="G108" t="str">
            <v>.</v>
          </cell>
        </row>
        <row r="109">
          <cell r="A109" t="str">
            <v>5.2012</v>
          </cell>
          <cell r="E109" t="str">
            <v>% Потерь РФ к обороту РФ</v>
          </cell>
          <cell r="F109">
            <v>1.9818592298802798E-2</v>
          </cell>
          <cell r="G109" t="str">
            <v>.</v>
          </cell>
        </row>
        <row r="110">
          <cell r="A110" t="str">
            <v>6.2012</v>
          </cell>
          <cell r="E110" t="str">
            <v>Потери РФ руб</v>
          </cell>
          <cell r="F110">
            <v>103259092.65990049</v>
          </cell>
          <cell r="G110" t="str">
            <v>.</v>
          </cell>
        </row>
        <row r="111">
          <cell r="A111" t="str">
            <v>6.2012</v>
          </cell>
          <cell r="E111" t="str">
            <v>Потери импорт руб</v>
          </cell>
          <cell r="F111">
            <v>33671954.370318599</v>
          </cell>
          <cell r="G111" t="str">
            <v>.</v>
          </cell>
        </row>
        <row r="112">
          <cell r="A112" t="str">
            <v>6.2012</v>
          </cell>
          <cell r="E112" t="str">
            <v>% Потерь импорта к обороту импорта</v>
          </cell>
          <cell r="F112">
            <v>6.5173581339669828E-2</v>
          </cell>
          <cell r="G112" t="str">
            <v>.</v>
          </cell>
        </row>
        <row r="113">
          <cell r="A113" t="str">
            <v>6.2012</v>
          </cell>
          <cell r="E113" t="str">
            <v>% Потерь РФ к обороту РФ</v>
          </cell>
          <cell r="F113">
            <v>1.7668438526556675E-2</v>
          </cell>
          <cell r="G113" t="str">
            <v>.</v>
          </cell>
        </row>
        <row r="114">
          <cell r="A114" t="str">
            <v>7.2012</v>
          </cell>
          <cell r="E114" t="str">
            <v>Потери РФ руб</v>
          </cell>
          <cell r="F114">
            <v>130440282.72104561</v>
          </cell>
          <cell r="G114" t="str">
            <v>.</v>
          </cell>
        </row>
        <row r="115">
          <cell r="A115" t="str">
            <v>7.2012</v>
          </cell>
          <cell r="E115" t="str">
            <v>Потери импорт руб</v>
          </cell>
          <cell r="F115">
            <v>37525108.620082647</v>
          </cell>
          <cell r="G115" t="str">
            <v>.</v>
          </cell>
        </row>
        <row r="116">
          <cell r="A116" t="str">
            <v>7.2012</v>
          </cell>
          <cell r="E116" t="str">
            <v>% Потерь импорта к обороту импорта</v>
          </cell>
          <cell r="F116">
            <v>8.1650739261518238E-2</v>
          </cell>
          <cell r="G116" t="str">
            <v>.</v>
          </cell>
        </row>
        <row r="117">
          <cell r="A117" t="str">
            <v>7.2012</v>
          </cell>
          <cell r="E117" t="str">
            <v>% Потерь РФ к обороту РФ</v>
          </cell>
          <cell r="F117">
            <v>2.0757670968756557E-2</v>
          </cell>
          <cell r="G117" t="str">
            <v>.</v>
          </cell>
        </row>
        <row r="118">
          <cell r="A118" t="str">
            <v>8.2012</v>
          </cell>
          <cell r="E118" t="str">
            <v>Потери РФ руб</v>
          </cell>
          <cell r="F118">
            <v>134079580.70275734</v>
          </cell>
          <cell r="G118" t="str">
            <v>.</v>
          </cell>
        </row>
        <row r="119">
          <cell r="A119" t="str">
            <v>8.2012</v>
          </cell>
          <cell r="E119" t="str">
            <v>Потери импорт руб</v>
          </cell>
          <cell r="F119">
            <v>31496242.708402168</v>
          </cell>
          <cell r="G119" t="str">
            <v>.</v>
          </cell>
        </row>
        <row r="120">
          <cell r="A120" t="str">
            <v>8.2012</v>
          </cell>
          <cell r="E120" t="str">
            <v>% Потерь импорта к обороту импорта</v>
          </cell>
          <cell r="F120">
            <v>8.4971846108717872E-2</v>
          </cell>
          <cell r="G120" t="str">
            <v>.</v>
          </cell>
        </row>
        <row r="121">
          <cell r="A121" t="str">
            <v>8.2012</v>
          </cell>
          <cell r="E121" t="str">
            <v>% Потерь РФ к обороту РФ</v>
          </cell>
          <cell r="F121">
            <v>2.0513738874392357E-2</v>
          </cell>
          <cell r="G121" t="str">
            <v>.</v>
          </cell>
        </row>
        <row r="122">
          <cell r="A122" t="str">
            <v>9.2012</v>
          </cell>
          <cell r="E122" t="str">
            <v>Потери РФ руб</v>
          </cell>
          <cell r="F122">
            <v>133367796.96017946</v>
          </cell>
          <cell r="G122" t="str">
            <v>.</v>
          </cell>
        </row>
        <row r="123">
          <cell r="A123" t="str">
            <v>9.2012</v>
          </cell>
          <cell r="E123" t="str">
            <v>Потери импорт руб</v>
          </cell>
          <cell r="F123">
            <v>32411203.903895989</v>
          </cell>
          <cell r="G123" t="str">
            <v>.</v>
          </cell>
        </row>
        <row r="124">
          <cell r="A124" t="str">
            <v>9.2012</v>
          </cell>
          <cell r="E124" t="str">
            <v>% Потерь импорта к обороту импорта</v>
          </cell>
          <cell r="F124">
            <v>8.4583345747224786E-2</v>
          </cell>
          <cell r="G124" t="str">
            <v>.</v>
          </cell>
        </row>
        <row r="125">
          <cell r="A125" t="str">
            <v>9.2012</v>
          </cell>
          <cell r="E125" t="str">
            <v>% Потерь РФ к обороту РФ</v>
          </cell>
          <cell r="F125">
            <v>2.2188121380865615E-2</v>
          </cell>
          <cell r="G125" t="str">
            <v>.</v>
          </cell>
        </row>
        <row r="126">
          <cell r="A126" t="str">
            <v>10.2012</v>
          </cell>
          <cell r="E126" t="str">
            <v>Потери РФ руб</v>
          </cell>
          <cell r="F126">
            <v>144282726.97392333</v>
          </cell>
          <cell r="G126" t="str">
            <v>.</v>
          </cell>
        </row>
        <row r="127">
          <cell r="A127" t="str">
            <v>10.2012</v>
          </cell>
          <cell r="E127" t="str">
            <v>Потери импорт руб</v>
          </cell>
          <cell r="F127">
            <v>39430884.481420606</v>
          </cell>
          <cell r="G127" t="str">
            <v>.</v>
          </cell>
        </row>
        <row r="128">
          <cell r="A128" t="str">
            <v>10.2012</v>
          </cell>
          <cell r="E128" t="str">
            <v>% Потерь импорта к обороту импорта</v>
          </cell>
          <cell r="F128">
            <v>8.3101077891506267E-2</v>
          </cell>
          <cell r="G128" t="str">
            <v>.</v>
          </cell>
        </row>
        <row r="129">
          <cell r="A129" t="str">
            <v>10.2012</v>
          </cell>
          <cell r="E129" t="str">
            <v>% Потерь РФ к обороту РФ</v>
          </cell>
          <cell r="F129">
            <v>2.3365552174020119E-2</v>
          </cell>
          <cell r="G129" t="str">
            <v>.</v>
          </cell>
        </row>
        <row r="130">
          <cell r="A130" t="str">
            <v>11.2012</v>
          </cell>
          <cell r="E130" t="str">
            <v>Потери РФ руб</v>
          </cell>
          <cell r="F130">
            <v>112406195.68726888</v>
          </cell>
          <cell r="G130" t="str">
            <v>.</v>
          </cell>
        </row>
        <row r="131">
          <cell r="A131" t="str">
            <v>11.2012</v>
          </cell>
          <cell r="E131" t="str">
            <v>Потери импорт руб</v>
          </cell>
          <cell r="F131">
            <v>43421560.289096929</v>
          </cell>
          <cell r="G131" t="str">
            <v>.</v>
          </cell>
        </row>
        <row r="132">
          <cell r="A132" t="str">
            <v>11.2012</v>
          </cell>
          <cell r="E132" t="str">
            <v>% Потерь импорта к обороту импорта</v>
          </cell>
          <cell r="F132">
            <v>7.5794371899705976E-2</v>
          </cell>
          <cell r="G132" t="str">
            <v>.</v>
          </cell>
        </row>
        <row r="133">
          <cell r="A133" t="str">
            <v>11.2012</v>
          </cell>
          <cell r="E133" t="str">
            <v>% Потерь РФ к обороту РФ</v>
          </cell>
          <cell r="F133">
            <v>1.7632389498289963E-2</v>
          </cell>
          <cell r="G133" t="str">
            <v>.</v>
          </cell>
        </row>
        <row r="134">
          <cell r="A134" t="str">
            <v>12.2012</v>
          </cell>
          <cell r="E134" t="str">
            <v>Потери РФ руб</v>
          </cell>
          <cell r="F134">
            <v>214616715.4846704</v>
          </cell>
          <cell r="G134" t="str">
            <v>.</v>
          </cell>
        </row>
        <row r="135">
          <cell r="A135" t="str">
            <v>12.2012</v>
          </cell>
          <cell r="E135" t="str">
            <v>Потери импорт руб</v>
          </cell>
          <cell r="F135">
            <v>69687210.236105904</v>
          </cell>
          <cell r="G135" t="str">
            <v>.</v>
          </cell>
        </row>
        <row r="136">
          <cell r="A136" t="str">
            <v>12.2012</v>
          </cell>
          <cell r="E136" t="str">
            <v>% Потерь импорта к обороту импорта</v>
          </cell>
          <cell r="F136">
            <v>7.2274075387133513E-2</v>
          </cell>
          <cell r="G136" t="str">
            <v>.</v>
          </cell>
        </row>
        <row r="137">
          <cell r="A137" t="str">
            <v>12.2012</v>
          </cell>
          <cell r="E137" t="str">
            <v>% Потерь РФ к обороту РФ</v>
          </cell>
          <cell r="F137">
            <v>2.1685170745171581E-2</v>
          </cell>
          <cell r="G137" t="str">
            <v>.</v>
          </cell>
        </row>
        <row r="138">
          <cell r="A138" t="str">
            <v>1.2013</v>
          </cell>
          <cell r="E138" t="str">
            <v>Потери РФ руб</v>
          </cell>
          <cell r="F138">
            <v>161740186.64852348</v>
          </cell>
          <cell r="G138" t="str">
            <v>.</v>
          </cell>
        </row>
        <row r="139">
          <cell r="A139" t="str">
            <v>1.2013</v>
          </cell>
          <cell r="E139" t="str">
            <v>Потери импорт руб</v>
          </cell>
          <cell r="F139">
            <v>80040754.334945053</v>
          </cell>
          <cell r="G139" t="str">
            <v>.</v>
          </cell>
        </row>
        <row r="140">
          <cell r="A140" t="str">
            <v>1.2013</v>
          </cell>
          <cell r="E140" t="str">
            <v>% Потерь импорта к обороту импорта</v>
          </cell>
          <cell r="F140">
            <v>9.8477848719834074E-2</v>
          </cell>
          <cell r="G140" t="str">
            <v>.</v>
          </cell>
        </row>
        <row r="141">
          <cell r="A141" t="str">
            <v>1.2013</v>
          </cell>
          <cell r="E141" t="str">
            <v>% Потерь РФ к обороту РФ</v>
          </cell>
          <cell r="F141">
            <v>2.4585786614858024E-2</v>
          </cell>
          <cell r="G141" t="str">
            <v>.</v>
          </cell>
        </row>
        <row r="142">
          <cell r="A142" t="str">
            <v>2.2013</v>
          </cell>
          <cell r="E142" t="str">
            <v>Потери РФ руб</v>
          </cell>
          <cell r="F142">
            <v>153826273.57697973</v>
          </cell>
          <cell r="G142" t="str">
            <v>.</v>
          </cell>
        </row>
        <row r="143">
          <cell r="A143" t="str">
            <v>2.2013</v>
          </cell>
          <cell r="E143" t="str">
            <v>Потери импорт руб</v>
          </cell>
          <cell r="F143">
            <v>58183033.758634537</v>
          </cell>
          <cell r="G143" t="str">
            <v>.</v>
          </cell>
        </row>
        <row r="144">
          <cell r="A144" t="str">
            <v>2.2013</v>
          </cell>
          <cell r="E144" t="str">
            <v>% Потерь импорта к обороту импорта</v>
          </cell>
          <cell r="F144">
            <v>6.4507729934987088E-2</v>
          </cell>
          <cell r="G144" t="str">
            <v>.</v>
          </cell>
        </row>
        <row r="145">
          <cell r="A145" t="str">
            <v>2.2013</v>
          </cell>
          <cell r="E145" t="str">
            <v>% Потерь РФ к обороту РФ</v>
          </cell>
          <cell r="F145">
            <v>2.1941998731183864E-2</v>
          </cell>
          <cell r="G145" t="str">
            <v>.</v>
          </cell>
        </row>
        <row r="146">
          <cell r="A146" t="str">
            <v>3.2013</v>
          </cell>
          <cell r="E146" t="str">
            <v>Потери РФ руб</v>
          </cell>
          <cell r="F146">
            <v>177519306.29608014</v>
          </cell>
          <cell r="G146" t="str">
            <v>.</v>
          </cell>
        </row>
        <row r="147">
          <cell r="A147" t="str">
            <v>3.2013</v>
          </cell>
          <cell r="E147" t="str">
            <v>Потери импорт руб</v>
          </cell>
          <cell r="F147">
            <v>72833114.126539439</v>
          </cell>
          <cell r="G147" t="str">
            <v>.</v>
          </cell>
        </row>
        <row r="148">
          <cell r="A148" t="str">
            <v>3.2013</v>
          </cell>
          <cell r="E148" t="str">
            <v>% Потерь импорта к обороту импорта</v>
          </cell>
          <cell r="F148">
            <v>6.5677103018352292E-2</v>
          </cell>
          <cell r="G148" t="str">
            <v>.</v>
          </cell>
        </row>
        <row r="149">
          <cell r="A149" t="str">
            <v>3.2013</v>
          </cell>
          <cell r="E149" t="str">
            <v>% Потерь РФ к обороту РФ</v>
          </cell>
          <cell r="F149">
            <v>2.1663432721868704E-2</v>
          </cell>
          <cell r="G149" t="str">
            <v>.</v>
          </cell>
        </row>
        <row r="150">
          <cell r="A150" t="str">
            <v>4.2013</v>
          </cell>
          <cell r="E150" t="str">
            <v>Потери РФ руб</v>
          </cell>
          <cell r="F150">
            <v>156284357.94982705</v>
          </cell>
          <cell r="G150" t="str">
            <v>.</v>
          </cell>
        </row>
        <row r="151">
          <cell r="A151" t="str">
            <v>4.2013</v>
          </cell>
          <cell r="E151" t="str">
            <v>Потери импорт руб</v>
          </cell>
          <cell r="F151">
            <v>64072744.976592101</v>
          </cell>
          <cell r="G151" t="str">
            <v>.</v>
          </cell>
        </row>
        <row r="152">
          <cell r="A152" t="str">
            <v>4.2013</v>
          </cell>
          <cell r="E152" t="str">
            <v>% Потерь импорта к обороту импорта</v>
          </cell>
          <cell r="F152">
            <v>6.5430568433385489E-2</v>
          </cell>
          <cell r="G152" t="str">
            <v>.</v>
          </cell>
        </row>
        <row r="153">
          <cell r="A153" t="str">
            <v>4.2013</v>
          </cell>
          <cell r="E153" t="str">
            <v>% Потерь РФ к обороту РФ</v>
          </cell>
          <cell r="F153">
            <v>1.9686666565360941E-2</v>
          </cell>
          <cell r="G153" t="str">
            <v>.</v>
          </cell>
        </row>
        <row r="154">
          <cell r="A154" t="str">
            <v>5.2013</v>
          </cell>
          <cell r="E154" t="str">
            <v>Потери РФ руб</v>
          </cell>
          <cell r="F154">
            <v>160567396.99910718</v>
          </cell>
          <cell r="G154" t="str">
            <v>.</v>
          </cell>
        </row>
        <row r="155">
          <cell r="A155" t="str">
            <v>5.2013</v>
          </cell>
          <cell r="E155" t="str">
            <v>Потери импорт руб</v>
          </cell>
          <cell r="F155">
            <v>64904820.642166629</v>
          </cell>
          <cell r="G155" t="str">
            <v>.</v>
          </cell>
        </row>
        <row r="156">
          <cell r="A156" t="str">
            <v>5.2013</v>
          </cell>
          <cell r="E156" t="str">
            <v>% Потерь импорта к обороту импорта</v>
          </cell>
          <cell r="F156">
            <v>7.138850912494614E-2</v>
          </cell>
          <cell r="G156" t="str">
            <v>.</v>
          </cell>
        </row>
        <row r="157">
          <cell r="A157" t="str">
            <v>5.2013</v>
          </cell>
          <cell r="E157" t="str">
            <v>% Потерь РФ к обороту РФ</v>
          </cell>
          <cell r="F157">
            <v>1.8699712573741679E-2</v>
          </cell>
          <cell r="G157" t="str">
            <v>.</v>
          </cell>
        </row>
        <row r="158">
          <cell r="A158" t="str">
            <v>6.2013</v>
          </cell>
          <cell r="E158" t="str">
            <v>Потери РФ руб</v>
          </cell>
          <cell r="F158">
            <v>133886531.05205435</v>
          </cell>
          <cell r="G158" t="str">
            <v>.</v>
          </cell>
        </row>
        <row r="159">
          <cell r="A159" t="str">
            <v>6.2013</v>
          </cell>
          <cell r="E159" t="str">
            <v>Потери импорт руб</v>
          </cell>
          <cell r="F159">
            <v>45378605.158282012</v>
          </cell>
          <cell r="G159" t="str">
            <v>.</v>
          </cell>
        </row>
        <row r="160">
          <cell r="A160" t="str">
            <v>6.2013</v>
          </cell>
          <cell r="E160" t="str">
            <v>% Потерь импорта к обороту импорта</v>
          </cell>
          <cell r="F160">
            <v>5.6689431020174014E-2</v>
          </cell>
          <cell r="G160" t="str">
            <v>.</v>
          </cell>
        </row>
        <row r="161">
          <cell r="A161" t="str">
            <v>6.2013</v>
          </cell>
          <cell r="E161" t="str">
            <v>% Потерь РФ к обороту РФ</v>
          </cell>
          <cell r="F161">
            <v>1.5318655629872694E-2</v>
          </cell>
          <cell r="G161" t="str">
            <v>.</v>
          </cell>
        </row>
        <row r="162">
          <cell r="A162" t="str">
            <v>7.2013</v>
          </cell>
          <cell r="E162" t="str">
            <v>Потери РФ руб</v>
          </cell>
          <cell r="F162">
            <v>153998743.04295033</v>
          </cell>
          <cell r="G162" t="str">
            <v>.</v>
          </cell>
        </row>
        <row r="163">
          <cell r="A163" t="str">
            <v>7.2013</v>
          </cell>
          <cell r="E163" t="str">
            <v>Потери импорт руб</v>
          </cell>
          <cell r="F163">
            <v>46497821.240261026</v>
          </cell>
          <cell r="G163" t="str">
            <v>.</v>
          </cell>
        </row>
        <row r="164">
          <cell r="A164" t="str">
            <v>7.2013</v>
          </cell>
          <cell r="E164" t="str">
            <v>% Потерь импорта к обороту импорта</v>
          </cell>
          <cell r="F164">
            <v>7.1615466343525058E-2</v>
          </cell>
          <cell r="G164" t="str">
            <v>.</v>
          </cell>
        </row>
        <row r="165">
          <cell r="A165" t="str">
            <v>7.2013</v>
          </cell>
          <cell r="E165" t="str">
            <v>% Потерь РФ к обороту РФ</v>
          </cell>
          <cell r="F165">
            <v>1.6638202814822745E-2</v>
          </cell>
          <cell r="G165" t="str">
            <v>.</v>
          </cell>
        </row>
        <row r="166">
          <cell r="A166" t="str">
            <v>8.2013</v>
          </cell>
          <cell r="E166" t="str">
            <v>Потери РФ руб</v>
          </cell>
          <cell r="F166">
            <v>162868419.51613316</v>
          </cell>
          <cell r="G166" t="str">
            <v>.</v>
          </cell>
        </row>
        <row r="167">
          <cell r="A167" t="str">
            <v>8.2013</v>
          </cell>
          <cell r="E167" t="str">
            <v>Потери импорт руб</v>
          </cell>
          <cell r="F167">
            <v>40733251.188379176</v>
          </cell>
          <cell r="G167" t="str">
            <v>.</v>
          </cell>
        </row>
        <row r="168">
          <cell r="A168" t="str">
            <v>8.2013</v>
          </cell>
          <cell r="E168" t="str">
            <v>% Потерь импорта к обороту импорта</v>
          </cell>
          <cell r="F168">
            <v>7.6853005334348329E-2</v>
          </cell>
          <cell r="G168" t="str">
            <v>.</v>
          </cell>
        </row>
        <row r="169">
          <cell r="A169" t="str">
            <v>8.2013</v>
          </cell>
          <cell r="E169" t="str">
            <v>% Потерь РФ к обороту РФ</v>
          </cell>
          <cell r="F169">
            <v>1.7027428337540985E-2</v>
          </cell>
          <cell r="G169" t="str">
            <v>.</v>
          </cell>
        </row>
        <row r="170">
          <cell r="A170" t="str">
            <v>9.2013</v>
          </cell>
          <cell r="E170" t="str">
            <v>Потери РФ руб</v>
          </cell>
          <cell r="F170">
            <v>153252958.13910866</v>
          </cell>
          <cell r="G170" t="str">
            <v>.</v>
          </cell>
        </row>
        <row r="171">
          <cell r="A171" t="str">
            <v>9.2013</v>
          </cell>
          <cell r="E171" t="str">
            <v>Потери импорт руб</v>
          </cell>
          <cell r="F171">
            <v>39551436.007219724</v>
          </cell>
          <cell r="G171" t="str">
            <v>.</v>
          </cell>
        </row>
        <row r="172">
          <cell r="A172" t="str">
            <v>9.2013</v>
          </cell>
          <cell r="E172" t="str">
            <v>% Потерь импорта к обороту импорта</v>
          </cell>
          <cell r="F172">
            <v>7.9785581758114038E-2</v>
          </cell>
          <cell r="G172" t="str">
            <v>.</v>
          </cell>
        </row>
        <row r="173">
          <cell r="A173" t="str">
            <v>9.2013</v>
          </cell>
          <cell r="E173" t="str">
            <v>% Потерь РФ к обороту РФ</v>
          </cell>
          <cell r="F173">
            <v>1.7180669353444637E-2</v>
          </cell>
          <cell r="G173" t="str">
            <v>.</v>
          </cell>
        </row>
        <row r="174">
          <cell r="A174" t="str">
            <v>10.2013</v>
          </cell>
          <cell r="E174" t="str">
            <v>Потери РФ руб</v>
          </cell>
          <cell r="F174">
            <v>160666777.45256847</v>
          </cell>
          <cell r="G174" t="str">
            <v>.</v>
          </cell>
        </row>
        <row r="175">
          <cell r="A175" t="str">
            <v>10.2013</v>
          </cell>
          <cell r="E175" t="str">
            <v>Потери импорт руб</v>
          </cell>
          <cell r="F175">
            <v>39154958.968290158</v>
          </cell>
          <cell r="G175" t="str">
            <v>.</v>
          </cell>
        </row>
        <row r="176">
          <cell r="A176" t="str">
            <v>10.2013</v>
          </cell>
          <cell r="E176" t="str">
            <v>% Потерь импорта к обороту импорта</v>
          </cell>
          <cell r="F176">
            <v>6.2633025427909286E-2</v>
          </cell>
          <cell r="G176" t="str">
            <v>.</v>
          </cell>
        </row>
        <row r="177">
          <cell r="A177" t="str">
            <v>10.2013</v>
          </cell>
          <cell r="E177" t="str">
            <v>% Потерь РФ к обороту РФ</v>
          </cell>
          <cell r="F177">
            <v>1.7630992495597988E-2</v>
          </cell>
          <cell r="G177" t="str">
            <v>.</v>
          </cell>
        </row>
        <row r="178">
          <cell r="A178" t="str">
            <v>1.2012</v>
          </cell>
          <cell r="E178" t="str">
            <v>Потери РФ руб</v>
          </cell>
          <cell r="F178">
            <v>4788148.0333609385</v>
          </cell>
          <cell r="G178" t="str">
            <v>.</v>
          </cell>
        </row>
        <row r="179">
          <cell r="A179" t="str">
            <v>1.2012</v>
          </cell>
          <cell r="E179" t="str">
            <v>Потери импорт руб</v>
          </cell>
          <cell r="F179">
            <v>14105.470847457629</v>
          </cell>
          <cell r="G179" t="str">
            <v>.</v>
          </cell>
        </row>
        <row r="180">
          <cell r="A180" t="str">
            <v>1.2012</v>
          </cell>
          <cell r="E180" t="str">
            <v>% Потерь импорта к обороту импорта</v>
          </cell>
          <cell r="F180">
            <v>8.5900896250694827E-3</v>
          </cell>
          <cell r="G180" t="str">
            <v>.</v>
          </cell>
        </row>
        <row r="181">
          <cell r="A181" t="str">
            <v>1.2012</v>
          </cell>
          <cell r="E181" t="str">
            <v>% Потерь РФ к обороту РФ</v>
          </cell>
          <cell r="F181">
            <v>1.9814421364732843E-2</v>
          </cell>
          <cell r="G181" t="str">
            <v>.</v>
          </cell>
        </row>
        <row r="182">
          <cell r="A182" t="str">
            <v>2.2012</v>
          </cell>
          <cell r="E182" t="str">
            <v>Потери РФ руб</v>
          </cell>
          <cell r="F182">
            <v>4238618.5824967409</v>
          </cell>
          <cell r="G182" t="str">
            <v>.</v>
          </cell>
        </row>
        <row r="183">
          <cell r="A183" t="str">
            <v>2.2012</v>
          </cell>
          <cell r="E183" t="str">
            <v>Потери импорт руб</v>
          </cell>
          <cell r="F183">
            <v>6929.8689735753605</v>
          </cell>
          <cell r="G183" t="str">
            <v>.</v>
          </cell>
        </row>
        <row r="184">
          <cell r="A184" t="str">
            <v>2.2012</v>
          </cell>
          <cell r="E184" t="str">
            <v>% Потерь импорта к обороту импорта</v>
          </cell>
          <cell r="F184">
            <v>2.1193113820207636E-3</v>
          </cell>
          <cell r="G184" t="str">
            <v>.</v>
          </cell>
        </row>
        <row r="185">
          <cell r="A185" t="str">
            <v>2.2012</v>
          </cell>
          <cell r="E185" t="str">
            <v>% Потерь РФ к обороту РФ</v>
          </cell>
          <cell r="F185">
            <v>1.316749492220619E-2</v>
          </cell>
          <cell r="G185" t="str">
            <v>.</v>
          </cell>
        </row>
        <row r="186">
          <cell r="A186" t="str">
            <v>3.2012</v>
          </cell>
          <cell r="E186" t="str">
            <v>Потери РФ руб</v>
          </cell>
          <cell r="F186">
            <v>6863342.7111797715</v>
          </cell>
          <cell r="G186" t="str">
            <v>.</v>
          </cell>
        </row>
        <row r="187">
          <cell r="A187" t="str">
            <v>3.2012</v>
          </cell>
          <cell r="E187" t="str">
            <v>Потери импорт руб</v>
          </cell>
          <cell r="F187">
            <v>42762.897731725738</v>
          </cell>
          <cell r="G187" t="str">
            <v>.</v>
          </cell>
        </row>
        <row r="188">
          <cell r="A188" t="str">
            <v>3.2012</v>
          </cell>
          <cell r="E188" t="str">
            <v>% Потерь импорта к обороту импорта</v>
          </cell>
          <cell r="F188">
            <v>1.003983495392801E-2</v>
          </cell>
          <cell r="G188" t="str">
            <v>.</v>
          </cell>
        </row>
        <row r="189">
          <cell r="A189" t="str">
            <v>3.2012</v>
          </cell>
          <cell r="E189" t="str">
            <v>% Потерь РФ к обороту РФ</v>
          </cell>
          <cell r="F189">
            <v>1.8058552170088057E-2</v>
          </cell>
          <cell r="G189" t="str">
            <v>.</v>
          </cell>
        </row>
        <row r="190">
          <cell r="A190" t="str">
            <v>4.2012</v>
          </cell>
          <cell r="E190" t="str">
            <v>Потери РФ руб</v>
          </cell>
          <cell r="F190">
            <v>3556883.3555586701</v>
          </cell>
          <cell r="G190" t="str">
            <v>.</v>
          </cell>
        </row>
        <row r="191">
          <cell r="A191" t="str">
            <v>4.2012</v>
          </cell>
          <cell r="E191" t="str">
            <v>Потери импорт руб</v>
          </cell>
          <cell r="F191">
            <v>30754.292815562403</v>
          </cell>
          <cell r="G191" t="str">
            <v>.</v>
          </cell>
        </row>
        <row r="192">
          <cell r="A192" t="str">
            <v>4.2012</v>
          </cell>
          <cell r="E192" t="str">
            <v>% Потерь импорта к обороту импорта</v>
          </cell>
          <cell r="F192">
            <v>8.7140597555964584E-3</v>
          </cell>
          <cell r="G192" t="str">
            <v>.</v>
          </cell>
        </row>
        <row r="193">
          <cell r="A193" t="str">
            <v>4.2012</v>
          </cell>
          <cell r="E193" t="str">
            <v>% Потерь РФ к обороту РФ</v>
          </cell>
          <cell r="F193">
            <v>1.1507016833813215E-2</v>
          </cell>
          <cell r="G193" t="str">
            <v>.</v>
          </cell>
        </row>
        <row r="194">
          <cell r="A194" t="str">
            <v>5.2012</v>
          </cell>
          <cell r="E194" t="str">
            <v>Потери РФ руб</v>
          </cell>
          <cell r="F194">
            <v>5292631.93615417</v>
          </cell>
          <cell r="G194" t="str">
            <v>.</v>
          </cell>
        </row>
        <row r="195">
          <cell r="A195" t="str">
            <v>5.2012</v>
          </cell>
          <cell r="E195" t="str">
            <v>Потери импорт руб</v>
          </cell>
          <cell r="F195">
            <v>54264.927800801248</v>
          </cell>
          <cell r="G195" t="str">
            <v>.</v>
          </cell>
        </row>
        <row r="196">
          <cell r="A196" t="str">
            <v>5.2012</v>
          </cell>
          <cell r="E196" t="str">
            <v>% Потерь импорта к обороту импорта</v>
          </cell>
          <cell r="F196">
            <v>9.3602675011107642E-3</v>
          </cell>
          <cell r="G196" t="str">
            <v>.</v>
          </cell>
        </row>
        <row r="197">
          <cell r="A197" t="str">
            <v>5.2012</v>
          </cell>
          <cell r="E197" t="str">
            <v>% Потерь РФ к обороту РФ</v>
          </cell>
          <cell r="F197">
            <v>1.5686966141853956E-2</v>
          </cell>
          <cell r="G197" t="str">
            <v>.</v>
          </cell>
        </row>
        <row r="198">
          <cell r="A198" t="str">
            <v>6.2012</v>
          </cell>
          <cell r="E198" t="str">
            <v>Потери РФ руб</v>
          </cell>
          <cell r="F198">
            <v>4541915.1154491259</v>
          </cell>
          <cell r="G198" t="str">
            <v>.</v>
          </cell>
        </row>
        <row r="199">
          <cell r="A199" t="str">
            <v>6.2012</v>
          </cell>
          <cell r="E199" t="str">
            <v>Потери импорт руб</v>
          </cell>
          <cell r="F199">
            <v>28356.537600308166</v>
          </cell>
          <cell r="G199" t="str">
            <v>.</v>
          </cell>
        </row>
        <row r="200">
          <cell r="A200" t="str">
            <v>6.2012</v>
          </cell>
          <cell r="E200" t="str">
            <v>% Потерь импорта к обороту импорта</v>
          </cell>
          <cell r="F200">
            <v>4.6510087733934585E-3</v>
          </cell>
          <cell r="G200" t="str">
            <v>.</v>
          </cell>
        </row>
        <row r="201">
          <cell r="A201" t="str">
            <v>6.2012</v>
          </cell>
          <cell r="E201" t="str">
            <v>% Потерь РФ к обороту РФ</v>
          </cell>
          <cell r="F201">
            <v>1.1768753345729526E-2</v>
          </cell>
          <cell r="G201" t="str">
            <v>.</v>
          </cell>
        </row>
        <row r="202">
          <cell r="A202" t="str">
            <v>7.2012</v>
          </cell>
          <cell r="E202" t="str">
            <v>Потери РФ руб</v>
          </cell>
          <cell r="F202">
            <v>9885638.7663437445</v>
          </cell>
          <cell r="G202" t="str">
            <v>.</v>
          </cell>
        </row>
        <row r="203">
          <cell r="A203" t="str">
            <v>7.2012</v>
          </cell>
          <cell r="E203" t="str">
            <v>Потери импорт руб</v>
          </cell>
          <cell r="F203">
            <v>58949.696035516179</v>
          </cell>
          <cell r="G203" t="str">
            <v>.</v>
          </cell>
        </row>
        <row r="204">
          <cell r="A204" t="str">
            <v>7.2012</v>
          </cell>
          <cell r="E204" t="str">
            <v>% Потерь импорта к обороту импорта</v>
          </cell>
          <cell r="F204">
            <v>1.0170760388710329E-2</v>
          </cell>
          <cell r="G204" t="str">
            <v>.</v>
          </cell>
        </row>
        <row r="205">
          <cell r="A205" t="str">
            <v>7.2012</v>
          </cell>
          <cell r="E205" t="str">
            <v>% Потерь РФ к обороту РФ</v>
          </cell>
          <cell r="F205">
            <v>2.1245845177525254E-2</v>
          </cell>
          <cell r="G205" t="str">
            <v>.</v>
          </cell>
        </row>
        <row r="206">
          <cell r="A206" t="str">
            <v>8.2012</v>
          </cell>
          <cell r="E206" t="str">
            <v>Потери РФ руб</v>
          </cell>
          <cell r="F206">
            <v>5376518.7412273213</v>
          </cell>
          <cell r="G206" t="str">
            <v>.</v>
          </cell>
        </row>
        <row r="207">
          <cell r="A207" t="str">
            <v>8.2012</v>
          </cell>
          <cell r="E207" t="str">
            <v>Потери импорт руб</v>
          </cell>
          <cell r="F207">
            <v>58417.192567365186</v>
          </cell>
          <cell r="G207" t="str">
            <v>.</v>
          </cell>
        </row>
        <row r="208">
          <cell r="A208" t="str">
            <v>8.2012</v>
          </cell>
          <cell r="E208" t="str">
            <v>% Потерь импорта к обороту импорта</v>
          </cell>
          <cell r="F208">
            <v>5.5881211418368493E-3</v>
          </cell>
          <cell r="G208" t="str">
            <v>.</v>
          </cell>
        </row>
        <row r="209">
          <cell r="A209" t="str">
            <v>8.2012</v>
          </cell>
          <cell r="E209" t="str">
            <v>% Потерь РФ к обороту РФ</v>
          </cell>
          <cell r="F209">
            <v>1.0391690776230866E-2</v>
          </cell>
          <cell r="G209" t="str">
            <v>.</v>
          </cell>
        </row>
        <row r="210">
          <cell r="A210" t="str">
            <v>9.2012</v>
          </cell>
          <cell r="E210" t="str">
            <v>Потери РФ руб</v>
          </cell>
          <cell r="F210">
            <v>4434975.0893684337</v>
          </cell>
          <cell r="G210" t="str">
            <v>.</v>
          </cell>
        </row>
        <row r="211">
          <cell r="A211" t="str">
            <v>9.2012</v>
          </cell>
          <cell r="E211" t="str">
            <v>Потери импорт руб</v>
          </cell>
          <cell r="F211">
            <v>42342.721401848998</v>
          </cell>
          <cell r="G211" t="str">
            <v>.</v>
          </cell>
        </row>
        <row r="212">
          <cell r="A212" t="str">
            <v>9.2012</v>
          </cell>
          <cell r="E212" t="str">
            <v>% Потерь импорта к обороту импорта</v>
          </cell>
          <cell r="F212">
            <v>5.5215511195621791E-3</v>
          </cell>
          <cell r="G212" t="str">
            <v>.</v>
          </cell>
        </row>
        <row r="213">
          <cell r="A213" t="str">
            <v>9.2012</v>
          </cell>
          <cell r="E213" t="str">
            <v>% Потерь РФ к обороту РФ</v>
          </cell>
          <cell r="F213">
            <v>8.5670362745379133E-3</v>
          </cell>
          <cell r="G213" t="str">
            <v>.</v>
          </cell>
        </row>
        <row r="214">
          <cell r="A214" t="str">
            <v>10.2012</v>
          </cell>
          <cell r="E214" t="str">
            <v>Потери РФ руб</v>
          </cell>
          <cell r="F214">
            <v>8179459.450325137</v>
          </cell>
          <cell r="G214" t="str">
            <v>.</v>
          </cell>
        </row>
        <row r="215">
          <cell r="A215" t="str">
            <v>10.2012</v>
          </cell>
          <cell r="E215" t="str">
            <v>Потери импорт руб</v>
          </cell>
          <cell r="F215">
            <v>104138.52955918337</v>
          </cell>
          <cell r="G215" t="str">
            <v>.</v>
          </cell>
        </row>
        <row r="216">
          <cell r="A216" t="str">
            <v>10.2012</v>
          </cell>
          <cell r="E216" t="str">
            <v>% Потерь импорта к обороту импорта</v>
          </cell>
          <cell r="F216">
            <v>7.9369151334802244E-3</v>
          </cell>
          <cell r="G216" t="str">
            <v>.</v>
          </cell>
        </row>
        <row r="217">
          <cell r="A217" t="str">
            <v>10.2012</v>
          </cell>
          <cell r="E217" t="str">
            <v>% Потерь РФ к обороту РФ</v>
          </cell>
          <cell r="F217">
            <v>1.4505373351893296E-2</v>
          </cell>
          <cell r="G217" t="str">
            <v>.</v>
          </cell>
        </row>
        <row r="218">
          <cell r="A218" t="str">
            <v>11.2012</v>
          </cell>
          <cell r="E218" t="str">
            <v>Потери РФ руб</v>
          </cell>
          <cell r="F218">
            <v>6690329.7057076618</v>
          </cell>
          <cell r="G218" t="str">
            <v>.</v>
          </cell>
        </row>
        <row r="219">
          <cell r="A219" t="str">
            <v>11.2012</v>
          </cell>
          <cell r="E219" t="str">
            <v>Потери импорт руб</v>
          </cell>
          <cell r="F219">
            <v>81765.363508813549</v>
          </cell>
          <cell r="G219" t="str">
            <v>.</v>
          </cell>
        </row>
        <row r="220">
          <cell r="A220" t="str">
            <v>11.2012</v>
          </cell>
          <cell r="E220" t="str">
            <v>% Потерь импорта к обороту импорта</v>
          </cell>
          <cell r="F220">
            <v>7.9770038581111549E-3</v>
          </cell>
          <cell r="G220" t="str">
            <v>.</v>
          </cell>
        </row>
        <row r="221">
          <cell r="A221" t="str">
            <v>11.2012</v>
          </cell>
          <cell r="E221" t="str">
            <v>% Потерь РФ к обороту РФ</v>
          </cell>
          <cell r="F221">
            <v>1.1198208257035002E-2</v>
          </cell>
          <cell r="G221" t="str">
            <v>.</v>
          </cell>
        </row>
        <row r="222">
          <cell r="A222" t="str">
            <v>12.2012</v>
          </cell>
          <cell r="E222" t="str">
            <v>Потери РФ руб</v>
          </cell>
          <cell r="F222">
            <v>13476392.188890787</v>
          </cell>
          <cell r="G222" t="str">
            <v>.</v>
          </cell>
        </row>
        <row r="223">
          <cell r="A223" t="str">
            <v>12.2012</v>
          </cell>
          <cell r="E223" t="str">
            <v>Потери импорт руб</v>
          </cell>
          <cell r="F223">
            <v>135923.0009326502</v>
          </cell>
          <cell r="G223" t="str">
            <v>.</v>
          </cell>
        </row>
        <row r="224">
          <cell r="A224" t="str">
            <v>12.2012</v>
          </cell>
          <cell r="E224" t="str">
            <v>% Потерь импорта к обороту импорта</v>
          </cell>
          <cell r="F224">
            <v>6.4242816570978436E-3</v>
          </cell>
          <cell r="G224" t="str">
            <v>.</v>
          </cell>
        </row>
        <row r="225">
          <cell r="A225" t="str">
            <v>12.2012</v>
          </cell>
          <cell r="E225" t="str">
            <v>% Потерь РФ к обороту РФ</v>
          </cell>
          <cell r="F225">
            <v>1.3451316161139653E-2</v>
          </cell>
          <cell r="G225" t="str">
            <v>.</v>
          </cell>
        </row>
        <row r="226">
          <cell r="A226" t="str">
            <v>1.2013</v>
          </cell>
          <cell r="E226" t="str">
            <v>Потери РФ руб</v>
          </cell>
          <cell r="F226">
            <v>14439846.095928617</v>
          </cell>
          <cell r="G226" t="str">
            <v>.</v>
          </cell>
        </row>
        <row r="227">
          <cell r="A227" t="str">
            <v>1.2013</v>
          </cell>
          <cell r="E227" t="str">
            <v>Потери импорт руб</v>
          </cell>
          <cell r="F227">
            <v>518266.38604348223</v>
          </cell>
          <cell r="G227" t="str">
            <v>.</v>
          </cell>
        </row>
        <row r="228">
          <cell r="A228" t="str">
            <v>1.2013</v>
          </cell>
          <cell r="E228" t="str">
            <v>% Потерь импорта к обороту импорта</v>
          </cell>
          <cell r="F228">
            <v>2.7334139032742882E-2</v>
          </cell>
          <cell r="G228" t="str">
            <v>.</v>
          </cell>
        </row>
        <row r="229">
          <cell r="A229" t="str">
            <v>1.2013</v>
          </cell>
          <cell r="E229" t="str">
            <v>% Потерь РФ к обороту РФ</v>
          </cell>
          <cell r="F229">
            <v>2.1824865054237259E-2</v>
          </cell>
          <cell r="G229" t="str">
            <v>.</v>
          </cell>
        </row>
        <row r="230">
          <cell r="A230" t="str">
            <v>2.2013</v>
          </cell>
          <cell r="E230" t="str">
            <v>Потери РФ руб</v>
          </cell>
          <cell r="F230">
            <v>11515872.265653169</v>
          </cell>
          <cell r="G230" t="str">
            <v>.</v>
          </cell>
        </row>
        <row r="231">
          <cell r="A231" t="str">
            <v>2.2013</v>
          </cell>
          <cell r="E231" t="str">
            <v>Потери импорт руб</v>
          </cell>
          <cell r="F231">
            <v>188370.99181063171</v>
          </cell>
          <cell r="G231" t="str">
            <v>.</v>
          </cell>
        </row>
        <row r="232">
          <cell r="A232" t="str">
            <v>2.2013</v>
          </cell>
          <cell r="E232" t="str">
            <v>% Потерь импорта к обороту импорта</v>
          </cell>
          <cell r="F232">
            <v>9.1095163717183191E-3</v>
          </cell>
          <cell r="G232" t="str">
            <v>.</v>
          </cell>
        </row>
        <row r="233">
          <cell r="A233" t="str">
            <v>2.2013</v>
          </cell>
          <cell r="E233" t="str">
            <v>% Потерь РФ к обороту РФ</v>
          </cell>
          <cell r="F233">
            <v>1.4064492455165853E-2</v>
          </cell>
          <cell r="G233" t="str">
            <v>.</v>
          </cell>
        </row>
        <row r="234">
          <cell r="A234" t="str">
            <v>3.2013</v>
          </cell>
          <cell r="E234" t="str">
            <v>Потери РФ руб</v>
          </cell>
          <cell r="F234">
            <v>9866281.0743586197</v>
          </cell>
          <cell r="G234" t="str">
            <v>.</v>
          </cell>
        </row>
        <row r="235">
          <cell r="A235" t="str">
            <v>3.2013</v>
          </cell>
          <cell r="E235" t="str">
            <v>Потери импорт руб</v>
          </cell>
          <cell r="F235">
            <v>417303.55337505549</v>
          </cell>
          <cell r="G235" t="str">
            <v>.</v>
          </cell>
        </row>
        <row r="236">
          <cell r="A236" t="str">
            <v>3.2013</v>
          </cell>
          <cell r="E236" t="str">
            <v>% Потерь импорта к обороту импорта</v>
          </cell>
          <cell r="F236">
            <v>1.2443740049395607E-2</v>
          </cell>
          <cell r="G236" t="str">
            <v>.</v>
          </cell>
        </row>
        <row r="237">
          <cell r="A237" t="str">
            <v>3.2013</v>
          </cell>
          <cell r="E237" t="str">
            <v>% Потерь РФ к обороту РФ</v>
          </cell>
          <cell r="F237">
            <v>1.0813638336921278E-2</v>
          </cell>
          <cell r="G237" t="str">
            <v>.</v>
          </cell>
        </row>
        <row r="238">
          <cell r="A238" t="str">
            <v>4.2013</v>
          </cell>
          <cell r="E238" t="str">
            <v>Потери РФ руб</v>
          </cell>
          <cell r="F238">
            <v>11456969.471923292</v>
          </cell>
          <cell r="G238" t="str">
            <v>.</v>
          </cell>
        </row>
        <row r="239">
          <cell r="A239" t="str">
            <v>4.2013</v>
          </cell>
          <cell r="E239" t="str">
            <v>Потери импорт руб</v>
          </cell>
          <cell r="F239">
            <v>209959.01467861884</v>
          </cell>
          <cell r="G239" t="str">
            <v>.</v>
          </cell>
        </row>
        <row r="240">
          <cell r="A240" t="str">
            <v>4.2013</v>
          </cell>
          <cell r="E240" t="str">
            <v>% Потерь импорта к обороту импорта</v>
          </cell>
          <cell r="F240">
            <v>1.1832557127895139E-2</v>
          </cell>
          <cell r="G240" t="str">
            <v>.</v>
          </cell>
        </row>
        <row r="241">
          <cell r="A241" t="str">
            <v>4.2013</v>
          </cell>
          <cell r="E241" t="str">
            <v>% Потерь РФ к обороту РФ</v>
          </cell>
          <cell r="F241">
            <v>1.5295146973195469E-2</v>
          </cell>
          <cell r="G241" t="str">
            <v>.</v>
          </cell>
        </row>
        <row r="242">
          <cell r="A242" t="str">
            <v>5.2013</v>
          </cell>
          <cell r="E242" t="str">
            <v>Потери РФ руб</v>
          </cell>
          <cell r="F242">
            <v>15987986.133042824</v>
          </cell>
          <cell r="G242" t="str">
            <v>.</v>
          </cell>
        </row>
        <row r="243">
          <cell r="A243" t="str">
            <v>5.2013</v>
          </cell>
          <cell r="E243" t="str">
            <v>Потери импорт руб</v>
          </cell>
          <cell r="F243">
            <v>162685.07516724279</v>
          </cell>
          <cell r="G243" t="str">
            <v>.</v>
          </cell>
        </row>
        <row r="244">
          <cell r="A244" t="str">
            <v>5.2013</v>
          </cell>
          <cell r="E244" t="str">
            <v>% Потерь импорта к обороту импорта</v>
          </cell>
          <cell r="F244">
            <v>6.6496684983059851E-3</v>
          </cell>
          <cell r="G244" t="str">
            <v>.</v>
          </cell>
        </row>
        <row r="245">
          <cell r="A245" t="str">
            <v>5.2013</v>
          </cell>
          <cell r="E245" t="str">
            <v>% Потерь РФ к обороту РФ</v>
          </cell>
          <cell r="F245">
            <v>1.9678423254132604E-2</v>
          </cell>
          <cell r="G245" t="str">
            <v>.</v>
          </cell>
        </row>
        <row r="246">
          <cell r="A246" t="str">
            <v>6.2013</v>
          </cell>
          <cell r="E246" t="str">
            <v>Потери РФ руб</v>
          </cell>
          <cell r="F246">
            <v>8469096.0078442022</v>
          </cell>
          <cell r="G246" t="str">
            <v>.</v>
          </cell>
        </row>
        <row r="247">
          <cell r="A247" t="str">
            <v>6.2013</v>
          </cell>
          <cell r="E247" t="str">
            <v>Потери импорт руб</v>
          </cell>
          <cell r="F247">
            <v>252276.09033825889</v>
          </cell>
          <cell r="G247" t="str">
            <v>.</v>
          </cell>
        </row>
        <row r="248">
          <cell r="A248" t="str">
            <v>6.2013</v>
          </cell>
          <cell r="E248" t="str">
            <v>% Потерь импорта к обороту импорта</v>
          </cell>
          <cell r="F248">
            <v>1.2144199845512503E-2</v>
          </cell>
        </row>
        <row r="249">
          <cell r="A249" t="str">
            <v>6.2013</v>
          </cell>
          <cell r="E249" t="str">
            <v>% Потерь РФ к обороту РФ</v>
          </cell>
          <cell r="F249">
            <v>9.5451081831773206E-3</v>
          </cell>
        </row>
        <row r="250">
          <cell r="A250" t="str">
            <v>7.2013</v>
          </cell>
          <cell r="E250" t="str">
            <v>Потери РФ руб</v>
          </cell>
          <cell r="F250">
            <v>12790026.153011436</v>
          </cell>
        </row>
        <row r="251">
          <cell r="A251" t="str">
            <v>7.2013</v>
          </cell>
          <cell r="E251" t="str">
            <v>Потери импорт руб</v>
          </cell>
          <cell r="F251">
            <v>127978.86870796951</v>
          </cell>
        </row>
        <row r="252">
          <cell r="A252" t="str">
            <v>7.2013</v>
          </cell>
          <cell r="E252" t="str">
            <v>% Потерь импорта к обороту импорта</v>
          </cell>
          <cell r="F252">
            <v>3.9675011401112655E-3</v>
          </cell>
        </row>
        <row r="253">
          <cell r="A253" t="str">
            <v>7.2013</v>
          </cell>
          <cell r="E253" t="str">
            <v>% Потерь РФ к обороту РФ</v>
          </cell>
          <cell r="F253">
            <v>1.3550617552641029E-2</v>
          </cell>
        </row>
        <row r="254">
          <cell r="A254" t="str">
            <v>8.2013</v>
          </cell>
          <cell r="E254" t="str">
            <v>Потери РФ руб</v>
          </cell>
          <cell r="F254">
            <v>15143467.604090903</v>
          </cell>
        </row>
        <row r="255">
          <cell r="A255" t="str">
            <v>8.2013</v>
          </cell>
          <cell r="E255" t="str">
            <v>Потери импорт руб</v>
          </cell>
          <cell r="F255">
            <v>207925.55366412841</v>
          </cell>
        </row>
        <row r="256">
          <cell r="A256" t="str">
            <v>8.2013</v>
          </cell>
          <cell r="E256" t="str">
            <v>% Потерь импорта к обороту импорта</v>
          </cell>
          <cell r="F256">
            <v>4.9009346847166957E-3</v>
          </cell>
        </row>
        <row r="257">
          <cell r="A257" t="str">
            <v>8.2013</v>
          </cell>
          <cell r="E257" t="str">
            <v>% Потерь РФ к обороту РФ</v>
          </cell>
          <cell r="F257">
            <v>1.4893134562981608E-2</v>
          </cell>
        </row>
        <row r="258">
          <cell r="A258" t="str">
            <v>9.2013</v>
          </cell>
          <cell r="E258" t="str">
            <v>Потери РФ руб</v>
          </cell>
          <cell r="F258">
            <v>11992673.604727084</v>
          </cell>
        </row>
        <row r="259">
          <cell r="A259" t="str">
            <v>9.2013</v>
          </cell>
          <cell r="E259" t="str">
            <v>Потери импорт руб</v>
          </cell>
          <cell r="F259">
            <v>1280523.7718552542</v>
          </cell>
        </row>
        <row r="260">
          <cell r="E260" t="str">
            <v>% Потерь импорта к обороту импорта</v>
          </cell>
          <cell r="F260">
            <v>3.1711761376818921E-2</v>
          </cell>
        </row>
        <row r="261">
          <cell r="E261" t="str">
            <v>% Потерь РФ к обороту РФ</v>
          </cell>
          <cell r="F261">
            <v>1.1691219471429813E-2</v>
          </cell>
        </row>
        <row r="262">
          <cell r="E262" t="str">
            <v>Потери РФ руб</v>
          </cell>
          <cell r="F262">
            <v>13743991.534435017</v>
          </cell>
        </row>
        <row r="263">
          <cell r="E263" t="str">
            <v>Потери импорт руб</v>
          </cell>
          <cell r="F263">
            <v>-31371.997425978425</v>
          </cell>
        </row>
        <row r="264">
          <cell r="E264" t="str">
            <v>% Потерь импорта к обороту импорта</v>
          </cell>
          <cell r="F264">
            <v>-7.0413777953935133E-4</v>
          </cell>
        </row>
        <row r="265">
          <cell r="E265" t="str">
            <v>% Потерь РФ к обороту РФ</v>
          </cell>
          <cell r="F265">
            <v>1.3292701069243068E-2</v>
          </cell>
        </row>
        <row r="266">
          <cell r="E266" t="str">
            <v>Потери РФ руб</v>
          </cell>
          <cell r="F266">
            <v>15683865.915396389</v>
          </cell>
        </row>
        <row r="267">
          <cell r="E267" t="str">
            <v>Потери импорт руб</v>
          </cell>
          <cell r="F267">
            <v>32650746.237447482</v>
          </cell>
        </row>
        <row r="268">
          <cell r="E268" t="str">
            <v>% Потерь импорта к обороту импорта</v>
          </cell>
          <cell r="F268" t="e">
            <v>#NUM!</v>
          </cell>
        </row>
        <row r="269">
          <cell r="E269" t="str">
            <v>% Потерь РФ к обороту РФ</v>
          </cell>
          <cell r="F269" t="e">
            <v>#NUM!</v>
          </cell>
        </row>
        <row r="270">
          <cell r="E270" t="str">
            <v>Потери РФ руб</v>
          </cell>
          <cell r="F270">
            <v>38410527.973976828</v>
          </cell>
        </row>
        <row r="271">
          <cell r="E271" t="str">
            <v>Потери импорт руб</v>
          </cell>
          <cell r="F271">
            <v>18116795.733071834</v>
          </cell>
        </row>
        <row r="272">
          <cell r="E272" t="str">
            <v>% Потерь импорта к обороту импорта</v>
          </cell>
          <cell r="F272" t="e">
            <v>#NUM!</v>
          </cell>
        </row>
        <row r="273">
          <cell r="E273" t="str">
            <v>% Потерь РФ к обороту РФ</v>
          </cell>
          <cell r="F273" t="e">
            <v>#NUM!</v>
          </cell>
        </row>
        <row r="274">
          <cell r="E274" t="str">
            <v>Потери РФ руб</v>
          </cell>
          <cell r="F274">
            <v>39483160.481060967</v>
          </cell>
        </row>
        <row r="275">
          <cell r="E275" t="str">
            <v>Потери импорт руб</v>
          </cell>
          <cell r="F275">
            <v>30319297.137516737</v>
          </cell>
        </row>
        <row r="276">
          <cell r="E276" t="str">
            <v>% Потерь импорта к обороту импорта</v>
          </cell>
          <cell r="F276" t="e">
            <v>#NUM!</v>
          </cell>
        </row>
        <row r="277">
          <cell r="E277" t="str">
            <v>% Потерь РФ к обороту РФ</v>
          </cell>
          <cell r="F277" t="e">
            <v>#NUM!</v>
          </cell>
        </row>
        <row r="278">
          <cell r="E278" t="str">
            <v>Потери РФ руб</v>
          </cell>
          <cell r="F278">
            <v>18264238.596513689</v>
          </cell>
        </row>
        <row r="279">
          <cell r="E279" t="str">
            <v>Потери импорт руб</v>
          </cell>
          <cell r="F279">
            <v>43139079.174147949</v>
          </cell>
        </row>
        <row r="280">
          <cell r="E280" t="str">
            <v>% Потерь импорта к обороту импорта</v>
          </cell>
          <cell r="F280" t="e">
            <v>#NUM!</v>
          </cell>
        </row>
        <row r="281">
          <cell r="E281" t="str">
            <v>% Потерь РФ к обороту РФ</v>
          </cell>
          <cell r="F281" t="e">
            <v>#NUM!</v>
          </cell>
        </row>
        <row r="282">
          <cell r="E282" t="str">
            <v>Потери РФ руб</v>
          </cell>
          <cell r="F282">
            <v>23644948.347108543</v>
          </cell>
        </row>
        <row r="283">
          <cell r="E283" t="str">
            <v>Потери импорт руб</v>
          </cell>
          <cell r="F283">
            <v>23116025.477578133</v>
          </cell>
        </row>
        <row r="284">
          <cell r="E284" t="str">
            <v>% Потерь импорта к обороту импорта</v>
          </cell>
          <cell r="F284" t="e">
            <v>#NUM!</v>
          </cell>
        </row>
        <row r="285">
          <cell r="E285" t="str">
            <v>% Потерь РФ к обороту РФ</v>
          </cell>
          <cell r="F285" t="e">
            <v>#NUM!</v>
          </cell>
        </row>
        <row r="286">
          <cell r="E286" t="str">
            <v>Потери РФ руб</v>
          </cell>
          <cell r="F286">
            <v>25223052.007228464</v>
          </cell>
        </row>
        <row r="287">
          <cell r="E287" t="str">
            <v>Потери импорт руб</v>
          </cell>
          <cell r="F287">
            <v>13150693.240583105</v>
          </cell>
        </row>
        <row r="288">
          <cell r="E288" t="str">
            <v>% Потерь импорта к обороту импорта</v>
          </cell>
          <cell r="F288" t="e">
            <v>#NUM!</v>
          </cell>
        </row>
        <row r="289">
          <cell r="E289" t="str">
            <v>% Потерь РФ к обороту РФ</v>
          </cell>
          <cell r="F289" t="e">
            <v>#NUM!</v>
          </cell>
        </row>
        <row r="290">
          <cell r="E290" t="str">
            <v>Потери РФ руб</v>
          </cell>
          <cell r="F290">
            <v>11113446.1816114</v>
          </cell>
        </row>
        <row r="291">
          <cell r="E291" t="str">
            <v>Потери импорт руб</v>
          </cell>
          <cell r="F291">
            <v>12826682.030389134</v>
          </cell>
        </row>
        <row r="292">
          <cell r="E292" t="str">
            <v>% Потерь импорта к обороту импорта</v>
          </cell>
          <cell r="F292" t="e">
            <v>#NUM!</v>
          </cell>
        </row>
        <row r="293">
          <cell r="E293" t="str">
            <v>% Потерь РФ к обороту РФ</v>
          </cell>
          <cell r="F293" t="e">
            <v>#NUM!</v>
          </cell>
        </row>
        <row r="294">
          <cell r="E294" t="str">
            <v>Потери РФ руб</v>
          </cell>
          <cell r="F294">
            <v>62138991.552474603</v>
          </cell>
        </row>
        <row r="295">
          <cell r="E295" t="str">
            <v>Потери импорт руб</v>
          </cell>
          <cell r="F295">
            <v>30712159.022494543</v>
          </cell>
        </row>
        <row r="296">
          <cell r="E296" t="str">
            <v>% Потерь импорта к обороту импорта</v>
          </cell>
          <cell r="F296" t="e">
            <v>#NUM!</v>
          </cell>
        </row>
        <row r="297">
          <cell r="E297" t="str">
            <v>% Потерь РФ к обороту РФ</v>
          </cell>
          <cell r="F297" t="e">
            <v>#NUM!</v>
          </cell>
        </row>
        <row r="298">
          <cell r="E298" t="str">
            <v>Потери РФ руб</v>
          </cell>
          <cell r="F298">
            <v>17076693.407318641</v>
          </cell>
        </row>
        <row r="299">
          <cell r="E299" t="str">
            <v>Потери импорт руб</v>
          </cell>
          <cell r="F299">
            <v>16057949.579268795</v>
          </cell>
        </row>
        <row r="300">
          <cell r="E300" t="str">
            <v>% Потерь импорта к обороту импорта</v>
          </cell>
          <cell r="F300" t="e">
            <v>#NUM!</v>
          </cell>
        </row>
        <row r="301">
          <cell r="E301" t="str">
            <v>% Потерь РФ к обороту РФ</v>
          </cell>
          <cell r="F301" t="e">
            <v>#NUM!</v>
          </cell>
        </row>
        <row r="302">
          <cell r="E302" t="str">
            <v>Потери РФ руб</v>
          </cell>
          <cell r="F302">
            <v>34855793.293272473</v>
          </cell>
        </row>
        <row r="303">
          <cell r="E303" t="str">
            <v>Потери импорт руб</v>
          </cell>
          <cell r="F303">
            <v>9654200.5654514078</v>
          </cell>
        </row>
        <row r="304">
          <cell r="E304" t="str">
            <v>% Потерь импорта к обороту импорта</v>
          </cell>
          <cell r="F304" t="e">
            <v>#NUM!</v>
          </cell>
        </row>
        <row r="305">
          <cell r="E305" t="str">
            <v>% Потерь РФ к обороту РФ</v>
          </cell>
          <cell r="F305" t="e">
            <v>#NUM!</v>
          </cell>
        </row>
        <row r="306">
          <cell r="E306" t="str">
            <v>Потери РФ руб</v>
          </cell>
          <cell r="F306">
            <v>33266830.465902865</v>
          </cell>
        </row>
        <row r="307">
          <cell r="E307" t="str">
            <v>Потери импорт руб</v>
          </cell>
          <cell r="F307">
            <v>25324931.167846493</v>
          </cell>
        </row>
        <row r="308">
          <cell r="E308" t="str">
            <v>% Потерь импорта к обороту импорта</v>
          </cell>
          <cell r="F308" t="e">
            <v>#NUM!</v>
          </cell>
        </row>
        <row r="309">
          <cell r="E309" t="str">
            <v>% Потерь РФ к обороту РФ</v>
          </cell>
          <cell r="F309" t="e">
            <v>#NUM!</v>
          </cell>
        </row>
        <row r="310">
          <cell r="E310" t="str">
            <v>Потери РФ руб</v>
          </cell>
          <cell r="F310">
            <v>62074636.193492867</v>
          </cell>
        </row>
        <row r="311">
          <cell r="E311" t="str">
            <v>Потери импорт руб</v>
          </cell>
          <cell r="F311">
            <v>23137062.021570496</v>
          </cell>
        </row>
        <row r="312">
          <cell r="E312" t="str">
            <v>% Потерь импорта к обороту импорта</v>
          </cell>
          <cell r="F312" t="e">
            <v>#NUM!</v>
          </cell>
        </row>
        <row r="313">
          <cell r="E313" t="str">
            <v>% Потерь РФ к обороту РФ</v>
          </cell>
          <cell r="F313" t="e">
            <v>#NUM!</v>
          </cell>
        </row>
        <row r="314">
          <cell r="E314" t="str">
            <v>Потери РФ руб</v>
          </cell>
          <cell r="F314">
            <v>80853397.965404406</v>
          </cell>
        </row>
        <row r="315">
          <cell r="E315" t="str">
            <v>Потери импорт руб</v>
          </cell>
          <cell r="F315">
            <v>76643181.749328658</v>
          </cell>
        </row>
        <row r="316">
          <cell r="E316" t="str">
            <v>% Потерь импорта к обороту импорта</v>
          </cell>
          <cell r="F316" t="e">
            <v>#NUM!</v>
          </cell>
        </row>
        <row r="317">
          <cell r="E317" t="str">
            <v>% Потерь РФ к обороту РФ</v>
          </cell>
          <cell r="F317" t="e">
            <v>#NUM!</v>
          </cell>
        </row>
        <row r="318">
          <cell r="E318" t="str">
            <v>Потери РФ руб</v>
          </cell>
          <cell r="F318">
            <v>11470759.992427617</v>
          </cell>
        </row>
        <row r="319">
          <cell r="E319" t="str">
            <v>Потери импорт руб</v>
          </cell>
          <cell r="F319">
            <v>30518148.389491603</v>
          </cell>
        </row>
        <row r="320">
          <cell r="E320" t="str">
            <v>% Потерь импорта к обороту импорта</v>
          </cell>
          <cell r="F320" t="e">
            <v>#NUM!</v>
          </cell>
        </row>
        <row r="321">
          <cell r="E321" t="str">
            <v>% Потерь РФ к обороту РФ</v>
          </cell>
          <cell r="F321" t="e">
            <v>#NUM!</v>
          </cell>
        </row>
        <row r="322">
          <cell r="E322" t="str">
            <v>Потери РФ руб</v>
          </cell>
          <cell r="F322">
            <v>41836505.481734663</v>
          </cell>
        </row>
        <row r="323">
          <cell r="E323" t="str">
            <v>Потери импорт руб</v>
          </cell>
          <cell r="F323">
            <v>45445484.238245413</v>
          </cell>
        </row>
        <row r="324">
          <cell r="E324" t="str">
            <v>% Потерь импорта к обороту импорта</v>
          </cell>
          <cell r="F324" t="e">
            <v>#NUM!</v>
          </cell>
        </row>
        <row r="325">
          <cell r="E325" t="str">
            <v>% Потерь РФ к обороту РФ</v>
          </cell>
          <cell r="F325" t="e">
            <v>#NUM!</v>
          </cell>
        </row>
        <row r="326">
          <cell r="E326" t="str">
            <v>Потери РФ руб</v>
          </cell>
          <cell r="F326">
            <v>69558559.591422021</v>
          </cell>
        </row>
        <row r="327">
          <cell r="E327" t="str">
            <v>Потери импорт руб</v>
          </cell>
          <cell r="F327">
            <v>24041271.8511631</v>
          </cell>
        </row>
        <row r="328">
          <cell r="E328" t="str">
            <v>% Потерь импорта к обороту импорта</v>
          </cell>
          <cell r="F328" t="e">
            <v>#NUM!</v>
          </cell>
        </row>
        <row r="329">
          <cell r="E329" t="str">
            <v>% Потерь РФ к обороту РФ</v>
          </cell>
          <cell r="F329" t="e">
            <v>#NUM!</v>
          </cell>
        </row>
        <row r="330">
          <cell r="E330" t="str">
            <v>Потери РФ руб</v>
          </cell>
          <cell r="F330">
            <v>60708701.372158006</v>
          </cell>
        </row>
        <row r="331">
          <cell r="E331" t="str">
            <v>Потери импорт руб</v>
          </cell>
          <cell r="F331">
            <v>50731834.48121801</v>
          </cell>
        </row>
        <row r="332">
          <cell r="E332" t="str">
            <v>% Потерь импорта к обороту импорта</v>
          </cell>
          <cell r="F332" t="e">
            <v>#NUM!</v>
          </cell>
        </row>
        <row r="333">
          <cell r="E333" t="str">
            <v>% Потерь РФ к обороту РФ</v>
          </cell>
          <cell r="F333" t="e">
            <v>#NUM!</v>
          </cell>
        </row>
        <row r="334">
          <cell r="E334" t="str">
            <v>Потери РФ руб</v>
          </cell>
          <cell r="F334">
            <v>47823431.320951208</v>
          </cell>
        </row>
        <row r="335">
          <cell r="E335" t="str">
            <v>Потери импорт руб</v>
          </cell>
          <cell r="F335">
            <v>33747834.360835463</v>
          </cell>
        </row>
        <row r="336">
          <cell r="E336" t="str">
            <v>% Потерь импорта к обороту импорта</v>
          </cell>
          <cell r="F336" t="e">
            <v>#NUM!</v>
          </cell>
        </row>
        <row r="337">
          <cell r="E337" t="str">
            <v>% Потерь РФ к обороту РФ</v>
          </cell>
          <cell r="F337" t="e">
            <v>#NUM!</v>
          </cell>
        </row>
        <row r="338">
          <cell r="E338" t="str">
            <v>Потери РФ руб</v>
          </cell>
          <cell r="F338">
            <v>120162105.90516445</v>
          </cell>
        </row>
        <row r="339">
          <cell r="E339" t="str">
            <v>Потери импорт руб</v>
          </cell>
          <cell r="F339">
            <v>30252472.52812776</v>
          </cell>
        </row>
        <row r="340">
          <cell r="E340" t="str">
            <v>% Потерь импорта к обороту импорта</v>
          </cell>
          <cell r="F340" t="e">
            <v>#NUM!</v>
          </cell>
        </row>
        <row r="341">
          <cell r="E341" t="str">
            <v>% Потерь РФ к обороту РФ</v>
          </cell>
          <cell r="F341" t="e">
            <v>#NUM!</v>
          </cell>
        </row>
        <row r="342">
          <cell r="E342" t="str">
            <v>Потери РФ руб</v>
          </cell>
          <cell r="F342">
            <v>65767995.381498188</v>
          </cell>
        </row>
        <row r="343">
          <cell r="E343" t="str">
            <v>Потери импорт руб</v>
          </cell>
          <cell r="F343">
            <v>72191294.881738722</v>
          </cell>
        </row>
        <row r="344">
          <cell r="E344" t="str">
            <v>% Потерь импорта к обороту импорта</v>
          </cell>
          <cell r="F344" t="e">
            <v>#NUM!</v>
          </cell>
        </row>
        <row r="345">
          <cell r="E345" t="str">
            <v>% Потерь РФ к обороту РФ</v>
          </cell>
          <cell r="F345" t="e">
            <v>#NUM!</v>
          </cell>
        </row>
        <row r="346">
          <cell r="E346" t="str">
            <v>Потери РФ руб</v>
          </cell>
          <cell r="F346">
            <v>45686983.06723357</v>
          </cell>
        </row>
        <row r="347">
          <cell r="E347" t="str">
            <v>Потери импорт руб</v>
          </cell>
          <cell r="F347">
            <v>25217973.272615708</v>
          </cell>
        </row>
        <row r="348">
          <cell r="E348" t="str">
            <v>% Потерь импорта к обороту импорта</v>
          </cell>
          <cell r="F348" t="e">
            <v>#NUM!</v>
          </cell>
        </row>
        <row r="349">
          <cell r="E349" t="str">
            <v>% Потерь РФ к обороту РФ</v>
          </cell>
          <cell r="F349" t="e">
            <v>#NUM!</v>
          </cell>
        </row>
        <row r="350">
          <cell r="E350" t="str">
            <v>Потери РФ руб</v>
          </cell>
          <cell r="F350">
            <v>47554833.74142167</v>
          </cell>
        </row>
        <row r="351">
          <cell r="E351" t="str">
            <v>Потери импорт руб</v>
          </cell>
          <cell r="F351">
            <v>10497972.575290369</v>
          </cell>
        </row>
        <row r="352">
          <cell r="E352" t="str">
            <v>% Потерь импорта к обороту импорта</v>
          </cell>
          <cell r="F352" t="e">
            <v>#NUM!</v>
          </cell>
        </row>
        <row r="353">
          <cell r="E353" t="str">
            <v>% Потерь РФ к обороту РФ</v>
          </cell>
          <cell r="F353" t="e">
            <v>#NUM!</v>
          </cell>
        </row>
        <row r="354">
          <cell r="E354" t="str">
            <v>Потери РФ руб</v>
          </cell>
          <cell r="F354">
            <v>62869.962383473736</v>
          </cell>
        </row>
        <row r="355">
          <cell r="E355" t="str">
            <v>Потери импорт руб</v>
          </cell>
          <cell r="F355">
            <v>-1748.709509152322</v>
          </cell>
        </row>
        <row r="356">
          <cell r="E356" t="str">
            <v>% Потерь импорта к обороту импорта</v>
          </cell>
          <cell r="F356" t="e">
            <v>#NUM!</v>
          </cell>
        </row>
        <row r="357">
          <cell r="E357" t="str">
            <v>% Потерь РФ к обороту РФ</v>
          </cell>
          <cell r="F357">
            <v>3.7448737112479896E-2</v>
          </cell>
        </row>
        <row r="358">
          <cell r="E358" t="str">
            <v>Потери РФ руб</v>
          </cell>
          <cell r="F358">
            <v>115781.65948357353</v>
          </cell>
        </row>
        <row r="359">
          <cell r="E359" t="str">
            <v>Потери импорт руб</v>
          </cell>
          <cell r="F359">
            <v>0</v>
          </cell>
        </row>
        <row r="360">
          <cell r="E360" t="str">
            <v>% Потерь импорта к обороту импорта</v>
          </cell>
          <cell r="F360" t="e">
            <v>#NUM!</v>
          </cell>
        </row>
        <row r="361">
          <cell r="E361" t="str">
            <v>% Потерь РФ к обороту РФ</v>
          </cell>
          <cell r="F361">
            <v>5.5095211080586515E-2</v>
          </cell>
        </row>
        <row r="362">
          <cell r="E362" t="str">
            <v>Потери РФ руб</v>
          </cell>
          <cell r="F362">
            <v>119784.47935102684</v>
          </cell>
        </row>
        <row r="363">
          <cell r="E363" t="str">
            <v>Потери импорт руб</v>
          </cell>
          <cell r="F363">
            <v>-3658.0986026239357</v>
          </cell>
        </row>
        <row r="364">
          <cell r="E364" t="str">
            <v>% Потерь импорта к обороту импорта</v>
          </cell>
          <cell r="F364" t="e">
            <v>#NUM!</v>
          </cell>
        </row>
        <row r="365">
          <cell r="E365" t="str">
            <v>% Потерь РФ к обороту РФ</v>
          </cell>
          <cell r="F365">
            <v>5.5063009472061115E-2</v>
          </cell>
        </row>
        <row r="366">
          <cell r="E366" t="str">
            <v>Потери РФ руб</v>
          </cell>
          <cell r="F366">
            <v>103986.19635051128</v>
          </cell>
        </row>
        <row r="367">
          <cell r="E367" t="str">
            <v>Потери импорт руб</v>
          </cell>
          <cell r="F367">
            <v>-1334.1992549627273</v>
          </cell>
        </row>
        <row r="368">
          <cell r="E368" t="str">
            <v>% Потерь импорта к обороту импорта</v>
          </cell>
          <cell r="F368" t="e">
            <v>#NUM!</v>
          </cell>
        </row>
        <row r="369">
          <cell r="E369" t="str">
            <v>% Потерь РФ к обороту РФ</v>
          </cell>
          <cell r="F369">
            <v>4.8779639111506498E-2</v>
          </cell>
        </row>
        <row r="370">
          <cell r="E370" t="str">
            <v>Потери РФ руб</v>
          </cell>
          <cell r="F370">
            <v>120675.23135030692</v>
          </cell>
        </row>
        <row r="371">
          <cell r="E371" t="str">
            <v>Потери импорт руб</v>
          </cell>
          <cell r="F371">
            <v>235.13044571002382</v>
          </cell>
        </row>
        <row r="372">
          <cell r="E372" t="str">
            <v>% Потерь импорта к обороту импорта</v>
          </cell>
          <cell r="F372" t="e">
            <v>#NUM!</v>
          </cell>
        </row>
        <row r="373">
          <cell r="E373" t="str">
            <v>% Потерь РФ к обороту РФ</v>
          </cell>
          <cell r="F373">
            <v>5.6293281665103924E-2</v>
          </cell>
        </row>
        <row r="374">
          <cell r="E374" t="str">
            <v>Потери РФ руб</v>
          </cell>
          <cell r="F374">
            <v>66902.667208278115</v>
          </cell>
        </row>
        <row r="375">
          <cell r="E375" t="str">
            <v>Потери импорт руб</v>
          </cell>
          <cell r="F375">
            <v>-5819.5573187292275</v>
          </cell>
        </row>
        <row r="376">
          <cell r="E376" t="str">
            <v>% Потерь импорта к обороту импорта</v>
          </cell>
          <cell r="F376" t="e">
            <v>#NUM!</v>
          </cell>
        </row>
        <row r="377">
          <cell r="E377" t="str">
            <v>% Потерь РФ к обороту РФ</v>
          </cell>
          <cell r="F377">
            <v>3.2419774588306464E-2</v>
          </cell>
        </row>
        <row r="378">
          <cell r="E378" t="str">
            <v>Потери РФ руб</v>
          </cell>
          <cell r="F378">
            <v>112659.0175526525</v>
          </cell>
        </row>
        <row r="379">
          <cell r="E379" t="str">
            <v>Потери импорт руб</v>
          </cell>
          <cell r="F379">
            <v>-6040.6231520583351</v>
          </cell>
        </row>
        <row r="380">
          <cell r="E380" t="str">
            <v>% Потерь импорта к обороту импорта</v>
          </cell>
          <cell r="F380" t="e">
            <v>#NUM!</v>
          </cell>
        </row>
        <row r="381">
          <cell r="E381" t="str">
            <v>% Потерь РФ к обороту РФ</v>
          </cell>
          <cell r="F381">
            <v>4.777943266565552E-2</v>
          </cell>
        </row>
        <row r="382">
          <cell r="E382" t="str">
            <v>Потери РФ руб</v>
          </cell>
          <cell r="F382">
            <v>109297.59682528381</v>
          </cell>
        </row>
        <row r="383">
          <cell r="E383" t="str">
            <v>Потери импорт руб</v>
          </cell>
          <cell r="F383">
            <v>778.23127508695404</v>
          </cell>
        </row>
        <row r="384">
          <cell r="E384" t="str">
            <v>% Потерь импорта к обороту импорта</v>
          </cell>
          <cell r="F384" t="e">
            <v>#NUM!</v>
          </cell>
        </row>
        <row r="385">
          <cell r="E385" t="str">
            <v>% Потерь РФ к обороту РФ</v>
          </cell>
          <cell r="F385">
            <v>4.3118467566495212E-2</v>
          </cell>
        </row>
        <row r="386">
          <cell r="E386" t="str">
            <v>Потери РФ руб</v>
          </cell>
          <cell r="F386">
            <v>47104.417921887594</v>
          </cell>
        </row>
        <row r="387">
          <cell r="E387" t="str">
            <v>Потери импорт руб</v>
          </cell>
          <cell r="F387">
            <v>240.1946505067699</v>
          </cell>
        </row>
        <row r="388">
          <cell r="E388" t="str">
            <v>% Потерь импорта к обороту импорта</v>
          </cell>
          <cell r="F388" t="e">
            <v>#NUM!</v>
          </cell>
        </row>
        <row r="389">
          <cell r="E389" t="str">
            <v>% Потерь РФ к обороту РФ</v>
          </cell>
          <cell r="F389">
            <v>2.1751460660823684E-2</v>
          </cell>
        </row>
        <row r="390">
          <cell r="E390" t="str">
            <v>Потери РФ руб</v>
          </cell>
          <cell r="F390">
            <v>143298.42663014986</v>
          </cell>
        </row>
        <row r="391">
          <cell r="E391" t="str">
            <v>Потери импорт руб</v>
          </cell>
          <cell r="F391">
            <v>25.813337309129267</v>
          </cell>
        </row>
        <row r="392">
          <cell r="E392" t="str">
            <v>% Потерь импорта к обороту импорта</v>
          </cell>
          <cell r="F392" t="e">
            <v>#NUM!</v>
          </cell>
        </row>
        <row r="393">
          <cell r="E393" t="str">
            <v>% Потерь РФ к обороту РФ</v>
          </cell>
          <cell r="F393">
            <v>5.4539842776262094E-2</v>
          </cell>
        </row>
        <row r="394">
          <cell r="E394" t="str">
            <v>Потери РФ руб</v>
          </cell>
          <cell r="F394">
            <v>134617.08409143056</v>
          </cell>
        </row>
        <row r="395">
          <cell r="E395" t="str">
            <v>Потери импорт руб</v>
          </cell>
          <cell r="F395">
            <v>9305.285807908338</v>
          </cell>
        </row>
        <row r="396">
          <cell r="E396" t="str">
            <v>% Потерь импорта к обороту импорта</v>
          </cell>
          <cell r="F396" t="e">
            <v>#NUM!</v>
          </cell>
        </row>
        <row r="397">
          <cell r="E397" t="str">
            <v>% Потерь РФ к обороту РФ</v>
          </cell>
          <cell r="F397">
            <v>5.1518558360999875E-2</v>
          </cell>
        </row>
        <row r="398">
          <cell r="E398" t="str">
            <v>Потери РФ руб</v>
          </cell>
          <cell r="F398">
            <v>102134.30482697536</v>
          </cell>
        </row>
        <row r="399">
          <cell r="E399" t="str">
            <v>Потери импорт руб</v>
          </cell>
          <cell r="F399">
            <v>10507.046656611648</v>
          </cell>
        </row>
        <row r="400">
          <cell r="E400" t="str">
            <v>% Потерь импорта к обороту импорта</v>
          </cell>
          <cell r="F400" t="e">
            <v>#NUM!</v>
          </cell>
        </row>
        <row r="401">
          <cell r="E401" t="str">
            <v>% Потерь РФ к обороту РФ</v>
          </cell>
          <cell r="F401">
            <v>3.8523285403189722E-2</v>
          </cell>
        </row>
        <row r="402">
          <cell r="E402" t="str">
            <v>Потери РФ руб</v>
          </cell>
          <cell r="F402">
            <v>141205.08597135646</v>
          </cell>
        </row>
        <row r="403">
          <cell r="E403" t="str">
            <v>Потери импорт руб</v>
          </cell>
          <cell r="F403">
            <v>510.15435714885507</v>
          </cell>
        </row>
        <row r="404">
          <cell r="E404" t="str">
            <v>% Потерь импорта к обороту импорта</v>
          </cell>
          <cell r="F404" t="e">
            <v>#NUM!</v>
          </cell>
        </row>
        <row r="405">
          <cell r="E405" t="str">
            <v>% Потерь РФ к обороту РФ</v>
          </cell>
          <cell r="F405">
            <v>6.364467073665199E-2</v>
          </cell>
        </row>
        <row r="406">
          <cell r="E406" t="str">
            <v>Потери РФ руб</v>
          </cell>
          <cell r="F406">
            <v>177863.87261480177</v>
          </cell>
        </row>
        <row r="407">
          <cell r="E407" t="str">
            <v>Потери импорт руб</v>
          </cell>
          <cell r="F407">
            <v>165.13770470828223</v>
          </cell>
        </row>
        <row r="408">
          <cell r="E408" t="str">
            <v>% Потерь импорта к обороту импорта</v>
          </cell>
          <cell r="F408" t="e">
            <v>#NUM!</v>
          </cell>
        </row>
        <row r="409">
          <cell r="E409" t="str">
            <v>% Потерь РФ к обороту РФ</v>
          </cell>
          <cell r="F409">
            <v>7.0669265219441904E-2</v>
          </cell>
        </row>
        <row r="410">
          <cell r="E410" t="str">
            <v>Потери РФ руб</v>
          </cell>
          <cell r="F410">
            <v>153476.56310212039</v>
          </cell>
        </row>
        <row r="411">
          <cell r="E411" t="str">
            <v>Потери импорт руб</v>
          </cell>
          <cell r="F411">
            <v>6606.4110709242286</v>
          </cell>
        </row>
        <row r="412">
          <cell r="E412" t="str">
            <v>% Потерь импорта к обороту импорта</v>
          </cell>
          <cell r="F412" t="e">
            <v>#NUM!</v>
          </cell>
        </row>
        <row r="413">
          <cell r="E413" t="str">
            <v>% Потерь РФ к обороту РФ</v>
          </cell>
          <cell r="F413">
            <v>5.7167581637688807E-2</v>
          </cell>
        </row>
        <row r="414">
          <cell r="E414" t="str">
            <v>Потери РФ руб</v>
          </cell>
          <cell r="F414">
            <v>111053.60743110707</v>
          </cell>
        </row>
        <row r="415">
          <cell r="E415" t="str">
            <v>Потери импорт руб</v>
          </cell>
          <cell r="F415">
            <v>12669.510870646376</v>
          </cell>
        </row>
        <row r="416">
          <cell r="E416" t="str">
            <v>% Потерь импорта к обороту импорта</v>
          </cell>
          <cell r="F416" t="e">
            <v>#NUM!</v>
          </cell>
        </row>
        <row r="417">
          <cell r="E417" t="str">
            <v>% Потерь РФ к обороту РФ</v>
          </cell>
          <cell r="F417">
            <v>3.6130764244196541E-2</v>
          </cell>
        </row>
        <row r="418">
          <cell r="E418" t="str">
            <v>Потери РФ руб</v>
          </cell>
          <cell r="F418">
            <v>127398.38773669838</v>
          </cell>
        </row>
        <row r="419">
          <cell r="E419" t="str">
            <v>Потери импорт руб</v>
          </cell>
          <cell r="F419">
            <v>-1678.3468536618568</v>
          </cell>
        </row>
        <row r="420">
          <cell r="E420" t="str">
            <v>% Потерь импорта к обороту импорта</v>
          </cell>
          <cell r="F420" t="e">
            <v>#NUM!</v>
          </cell>
        </row>
        <row r="421">
          <cell r="E421" t="str">
            <v>% Потерь РФ к обороту РФ</v>
          </cell>
          <cell r="F421">
            <v>4.8571448849088039E-2</v>
          </cell>
        </row>
        <row r="422">
          <cell r="E422" t="str">
            <v>Потери РФ руб</v>
          </cell>
          <cell r="F422">
            <v>170501.18768297072</v>
          </cell>
        </row>
        <row r="423">
          <cell r="E423" t="str">
            <v>Потери импорт руб</v>
          </cell>
          <cell r="F423">
            <v>-2126.6492543650065</v>
          </cell>
        </row>
        <row r="424">
          <cell r="E424" t="str">
            <v>% Потерь импорта к обороту импорта</v>
          </cell>
          <cell r="F424" t="e">
            <v>#NUM!</v>
          </cell>
        </row>
        <row r="425">
          <cell r="E425" t="str">
            <v>% Потерь РФ к обороту РФ</v>
          </cell>
          <cell r="F425">
            <v>6.2340369145796784E-2</v>
          </cell>
        </row>
        <row r="426">
          <cell r="E426" t="str">
            <v>Потери РФ руб</v>
          </cell>
          <cell r="F426">
            <v>115478.79825047769</v>
          </cell>
        </row>
        <row r="427">
          <cell r="E427" t="str">
            <v>Потери импорт руб</v>
          </cell>
          <cell r="F427">
            <v>174.20721683203561</v>
          </cell>
        </row>
        <row r="428">
          <cell r="E428" t="str">
            <v>% Потерь импорта к обороту импорта</v>
          </cell>
          <cell r="F428" t="e">
            <v>#NUM!</v>
          </cell>
        </row>
        <row r="429">
          <cell r="E429" t="str">
            <v>% Потерь РФ к обороту РФ</v>
          </cell>
          <cell r="F429">
            <v>3.4467715647159052E-2</v>
          </cell>
        </row>
        <row r="430">
          <cell r="E430" t="str">
            <v>Потери РФ руб</v>
          </cell>
          <cell r="F430">
            <v>126280.2621720844</v>
          </cell>
        </row>
        <row r="431">
          <cell r="E431" t="str">
            <v>Потери импорт руб</v>
          </cell>
          <cell r="F431">
            <v>4589.5340276034785</v>
          </cell>
        </row>
        <row r="432">
          <cell r="E432" t="str">
            <v>% Потерь импорта к обороту импорта</v>
          </cell>
          <cell r="F432" t="e">
            <v>#NUM!</v>
          </cell>
        </row>
        <row r="433">
          <cell r="E433" t="str">
            <v>% Потерь РФ к обороту РФ</v>
          </cell>
          <cell r="F433">
            <v>3.764046739735892E-2</v>
          </cell>
        </row>
        <row r="434">
          <cell r="E434" t="str">
            <v>Потери РФ руб</v>
          </cell>
          <cell r="F434">
            <v>96939.501096697219</v>
          </cell>
        </row>
        <row r="435">
          <cell r="E435" t="str">
            <v>Потери импорт руб</v>
          </cell>
          <cell r="F435">
            <v>3247.3234868453615</v>
          </cell>
        </row>
        <row r="436">
          <cell r="E436" t="str">
            <v>% Потерь импорта к обороту импорта</v>
          </cell>
          <cell r="F436" t="e">
            <v>#NUM!</v>
          </cell>
        </row>
        <row r="437">
          <cell r="E437" t="str">
            <v>% Потерь РФ к обороту РФ</v>
          </cell>
          <cell r="F437">
            <v>2.9254342305590954E-2</v>
          </cell>
        </row>
        <row r="438">
          <cell r="E438" t="str">
            <v>Потери РФ руб</v>
          </cell>
          <cell r="F438">
            <v>94876.467372102285</v>
          </cell>
        </row>
        <row r="439">
          <cell r="E439" t="str">
            <v>Потери импорт руб</v>
          </cell>
          <cell r="F439">
            <v>648.27265696893869</v>
          </cell>
        </row>
        <row r="440">
          <cell r="E440" t="str">
            <v>% Потерь импорта к обороту импорта</v>
          </cell>
          <cell r="F440" t="e">
            <v>#NUM!</v>
          </cell>
        </row>
        <row r="441">
          <cell r="E441" t="str">
            <v>% Потерь РФ к обороту РФ</v>
          </cell>
          <cell r="F441">
            <v>2.5443230612939061E-2</v>
          </cell>
        </row>
        <row r="442">
          <cell r="F442">
            <v>13148157828.147778</v>
          </cell>
        </row>
        <row r="443">
          <cell r="F443">
            <v>6149398055.2994165</v>
          </cell>
        </row>
        <row r="444">
          <cell r="F444">
            <v>6.8602828069263225E-2</v>
          </cell>
        </row>
        <row r="445">
          <cell r="F445">
            <v>1.5944763148991029E-2</v>
          </cell>
        </row>
      </sheetData>
      <sheetData sheetId="8">
        <row r="1">
          <cell r="E1" t="str">
            <v>Typ</v>
          </cell>
          <cell r="F1" t="str">
            <v>% Потерь к обор</v>
          </cell>
          <cell r="G1" t="str">
            <v>Итого потери руб</v>
          </cell>
        </row>
        <row r="2">
          <cell r="E2" t="str">
            <v>Списания материалов</v>
          </cell>
          <cell r="F2">
            <v>3.0069988389105512E-5</v>
          </cell>
          <cell r="G2">
            <v>785706.44749233907</v>
          </cell>
        </row>
        <row r="3">
          <cell r="E3" t="str">
            <v>Прочие списания</v>
          </cell>
          <cell r="F3">
            <v>2.6339684454474647E-4</v>
          </cell>
          <cell r="G3">
            <v>6882363.7817873079</v>
          </cell>
        </row>
        <row r="4">
          <cell r="E4" t="str">
            <v>Списания для маркетинга/рекламы</v>
          </cell>
          <cell r="F4">
            <v>1.8353582967234635E-7</v>
          </cell>
          <cell r="G4">
            <v>4795.6548187981507</v>
          </cell>
        </row>
        <row r="5">
          <cell r="E5" t="str">
            <v>Потери (корректировки)</v>
          </cell>
          <cell r="F5">
            <v>-1.9857802184623391E-5</v>
          </cell>
          <cell r="G5">
            <v>-518869.6120394537</v>
          </cell>
        </row>
        <row r="6">
          <cell r="E6" t="str">
            <v>Списания для получения документации</v>
          </cell>
          <cell r="F6">
            <v>0</v>
          </cell>
          <cell r="G6">
            <v>0</v>
          </cell>
        </row>
        <row r="7">
          <cell r="E7" t="str">
            <v>Потери по приходу (логистические)</v>
          </cell>
          <cell r="F7">
            <v>1.2798386421354429E-2</v>
          </cell>
          <cell r="G7">
            <v>334412324.96118391</v>
          </cell>
        </row>
        <row r="8">
          <cell r="E8" t="str">
            <v>Итого потери</v>
          </cell>
          <cell r="F8">
            <v>0</v>
          </cell>
          <cell r="G8">
            <v>0</v>
          </cell>
        </row>
        <row r="9">
          <cell r="E9" t="str">
            <v>Потери утиль</v>
          </cell>
          <cell r="F9">
            <v>1.0942314795095982E-3</v>
          </cell>
          <cell r="G9">
            <v>28591455.286735728</v>
          </cell>
        </row>
        <row r="10">
          <cell r="E10" t="str">
            <v>Потери магазинов по приходу (местные поставщики)</v>
          </cell>
          <cell r="F10">
            <v>1.032915439695356E-3</v>
          </cell>
          <cell r="G10">
            <v>26989312.738712609</v>
          </cell>
        </row>
        <row r="11">
          <cell r="E11" t="str">
            <v>Потери прямые</v>
          </cell>
          <cell r="F11">
            <v>5.3195901412770325E-3</v>
          </cell>
          <cell r="G11">
            <v>138996936.67764595</v>
          </cell>
        </row>
        <row r="12">
          <cell r="E12" t="str">
            <v>Списания материалов</v>
          </cell>
          <cell r="F12">
            <v>0</v>
          </cell>
          <cell r="G12">
            <v>0</v>
          </cell>
        </row>
        <row r="13">
          <cell r="E13" t="str">
            <v>Прочие списания</v>
          </cell>
          <cell r="F13">
            <v>1.2136677125788636E-4</v>
          </cell>
          <cell r="G13">
            <v>576290.89689526078</v>
          </cell>
        </row>
        <row r="14">
          <cell r="E14" t="str">
            <v>Списания для маркетинга/рекламы</v>
          </cell>
          <cell r="F14">
            <v>1.6469198717880436E-5</v>
          </cell>
          <cell r="G14">
            <v>78201.382486368733</v>
          </cell>
        </row>
        <row r="15">
          <cell r="E15" t="str">
            <v>Потери (корректировки)</v>
          </cell>
          <cell r="F15">
            <v>0</v>
          </cell>
          <cell r="G15">
            <v>0</v>
          </cell>
        </row>
        <row r="16">
          <cell r="E16" t="str">
            <v>Списания для получения документации</v>
          </cell>
          <cell r="F16">
            <v>2.8995662721646685E-6</v>
          </cell>
          <cell r="G16">
            <v>13768.131344966007</v>
          </cell>
        </row>
        <row r="17">
          <cell r="E17" t="str">
            <v>Потери по приходу (логистические)</v>
          </cell>
          <cell r="F17">
            <v>4.2858742544487393E-3</v>
          </cell>
          <cell r="G17">
            <v>20350795.299879722</v>
          </cell>
        </row>
        <row r="18">
          <cell r="E18" t="str">
            <v>Итого потери</v>
          </cell>
          <cell r="F18">
            <v>0</v>
          </cell>
          <cell r="G18">
            <v>0</v>
          </cell>
        </row>
        <row r="19">
          <cell r="E19" t="str">
            <v>Потери утиль</v>
          </cell>
          <cell r="F19">
            <v>1.5392403435218836E-2</v>
          </cell>
          <cell r="G19">
            <v>73088390.5793906</v>
          </cell>
        </row>
        <row r="20">
          <cell r="E20" t="str">
            <v>Потери магазинов по приходу (местные поставщики)</v>
          </cell>
          <cell r="F20">
            <v>2.9873255610609613E-4</v>
          </cell>
          <cell r="G20">
            <v>1418484.2433056755</v>
          </cell>
        </row>
        <row r="21">
          <cell r="E21" t="str">
            <v>Потери прямые</v>
          </cell>
          <cell r="F21">
            <v>8.0010167200021496E-3</v>
          </cell>
          <cell r="G21">
            <v>37991561.0661382</v>
          </cell>
        </row>
        <row r="22">
          <cell r="E22" t="str">
            <v>Списания материалов</v>
          </cell>
          <cell r="F22">
            <v>2.0463488089447136E-4</v>
          </cell>
          <cell r="G22">
            <v>49785.971243251188</v>
          </cell>
        </row>
        <row r="23">
          <cell r="E23" t="str">
            <v>Прочие списания</v>
          </cell>
          <cell r="F23">
            <v>2.5118695647906547E-4</v>
          </cell>
          <cell r="G23">
            <v>61111.705576702618</v>
          </cell>
        </row>
        <row r="24">
          <cell r="E24" t="str">
            <v>Списания для маркетинга/рекламы</v>
          </cell>
          <cell r="F24">
            <v>3.0157259370712644E-4</v>
          </cell>
          <cell r="G24">
            <v>73370.113699229594</v>
          </cell>
        </row>
        <row r="25">
          <cell r="E25" t="str">
            <v>Потери (корректировки)</v>
          </cell>
          <cell r="F25">
            <v>-1.5987843107267307E-4</v>
          </cell>
          <cell r="G25">
            <v>-38897.097782195677</v>
          </cell>
        </row>
        <row r="26">
          <cell r="E26" t="str">
            <v>Списания для получения документации</v>
          </cell>
          <cell r="F26">
            <v>0</v>
          </cell>
          <cell r="G26">
            <v>0</v>
          </cell>
        </row>
        <row r="27">
          <cell r="E27" t="str">
            <v>Потери по приходу (логистические)</v>
          </cell>
          <cell r="F27">
            <v>1.1456931770788999E-3</v>
          </cell>
          <cell r="G27">
            <v>278737.65859620972</v>
          </cell>
        </row>
        <row r="28">
          <cell r="E28" t="str">
            <v>Итого потери</v>
          </cell>
          <cell r="F28">
            <v>0</v>
          </cell>
          <cell r="G28">
            <v>0</v>
          </cell>
        </row>
        <row r="29">
          <cell r="E29" t="str">
            <v>Потери утиль</v>
          </cell>
          <cell r="F29">
            <v>9.6964546068194029E-4</v>
          </cell>
          <cell r="G29">
            <v>235906.70764753464</v>
          </cell>
        </row>
        <row r="30">
          <cell r="E30" t="str">
            <v>Потери магазинов по приходу (местные поставщики)</v>
          </cell>
          <cell r="F30">
            <v>1.93007818926863E-7</v>
          </cell>
          <cell r="G30">
            <v>46.957203389830511</v>
          </cell>
        </row>
        <row r="31">
          <cell r="E31" t="str">
            <v>Потери прямые</v>
          </cell>
          <cell r="F31">
            <v>1.7025616667242248E-2</v>
          </cell>
          <cell r="G31">
            <v>4142191.4880242757</v>
          </cell>
        </row>
        <row r="32">
          <cell r="E32" t="str">
            <v>Списания материалов</v>
          </cell>
          <cell r="F32">
            <v>3.7075437939756604E-6</v>
          </cell>
          <cell r="G32">
            <v>79647.638672052999</v>
          </cell>
        </row>
        <row r="33">
          <cell r="E33" t="str">
            <v>Прочие списания</v>
          </cell>
          <cell r="F33">
            <v>0</v>
          </cell>
          <cell r="G33">
            <v>0</v>
          </cell>
        </row>
        <row r="34">
          <cell r="E34" t="str">
            <v>Списания для маркетинга/рекламы</v>
          </cell>
          <cell r="F34">
            <v>0</v>
          </cell>
          <cell r="G34">
            <v>0</v>
          </cell>
        </row>
        <row r="35">
          <cell r="E35" t="str">
            <v>Потери (корректировки)</v>
          </cell>
          <cell r="F35">
            <v>0</v>
          </cell>
          <cell r="G35">
            <v>0</v>
          </cell>
        </row>
        <row r="36">
          <cell r="E36" t="str">
            <v>Списания для получения документации</v>
          </cell>
          <cell r="F36">
            <v>7.6661322101591879E-6</v>
          </cell>
          <cell r="G36">
            <v>164688.36572587077</v>
          </cell>
        </row>
        <row r="37">
          <cell r="E37" t="str">
            <v>Потери по приходу (логистические)</v>
          </cell>
          <cell r="F37">
            <v>1.054007885864814E-3</v>
          </cell>
          <cell r="G37">
            <v>22642817.97217425</v>
          </cell>
        </row>
        <row r="38">
          <cell r="E38" t="str">
            <v>Итого потери</v>
          </cell>
          <cell r="F38">
            <v>0</v>
          </cell>
          <cell r="G38">
            <v>0</v>
          </cell>
        </row>
        <row r="39">
          <cell r="E39" t="str">
            <v>Потери утиль</v>
          </cell>
          <cell r="F39">
            <v>6.7046066975872678E-4</v>
          </cell>
          <cell r="G39">
            <v>14403230.854760416</v>
          </cell>
        </row>
        <row r="40">
          <cell r="E40" t="str">
            <v>Потери магазинов по приходу (местные поставщики)</v>
          </cell>
          <cell r="F40">
            <v>0</v>
          </cell>
          <cell r="G40">
            <v>0</v>
          </cell>
        </row>
        <row r="41">
          <cell r="E41" t="str">
            <v>Потери прямые</v>
          </cell>
          <cell r="F41">
            <v>5.1410132362772996E-4</v>
          </cell>
          <cell r="G41">
            <v>11044227.321511291</v>
          </cell>
        </row>
        <row r="42">
          <cell r="E42" t="str">
            <v>Списания материалов</v>
          </cell>
          <cell r="F42">
            <v>0</v>
          </cell>
          <cell r="G42">
            <v>0</v>
          </cell>
        </row>
        <row r="43">
          <cell r="E43" t="str">
            <v>Прочие списания</v>
          </cell>
          <cell r="F43">
            <v>0</v>
          </cell>
          <cell r="G43">
            <v>0</v>
          </cell>
        </row>
        <row r="44">
          <cell r="E44" t="str">
            <v>Списания для маркетинга/рекламы</v>
          </cell>
          <cell r="F44">
            <v>2.2621750518790852E-3</v>
          </cell>
          <cell r="G44">
            <v>3797.8012446533121</v>
          </cell>
        </row>
        <row r="45">
          <cell r="E45" t="str">
            <v>Потери (корректировки)</v>
          </cell>
          <cell r="F45">
            <v>0</v>
          </cell>
          <cell r="G45">
            <v>0</v>
          </cell>
        </row>
        <row r="46">
          <cell r="E46" t="str">
            <v>Списания для получения документации</v>
          </cell>
          <cell r="F46">
            <v>0</v>
          </cell>
          <cell r="G46">
            <v>0</v>
          </cell>
        </row>
        <row r="47">
          <cell r="E47" t="str">
            <v>Потери по приходу (логистические)</v>
          </cell>
          <cell r="F47">
            <v>0</v>
          </cell>
          <cell r="G47">
            <v>0</v>
          </cell>
        </row>
        <row r="48">
          <cell r="E48" t="str">
            <v>Итого потери</v>
          </cell>
          <cell r="F48">
            <v>0</v>
          </cell>
          <cell r="G48">
            <v>0</v>
          </cell>
        </row>
        <row r="49">
          <cell r="E49" t="str">
            <v>Потери утиль</v>
          </cell>
          <cell r="F49">
            <v>4.7580945140998941E-2</v>
          </cell>
          <cell r="G49">
            <v>79880.18987662562</v>
          </cell>
        </row>
        <row r="50">
          <cell r="E50" t="str">
            <v>Потери магазинов по приходу (местные поставщики)</v>
          </cell>
          <cell r="F50">
            <v>0</v>
          </cell>
          <cell r="G50">
            <v>0</v>
          </cell>
        </row>
        <row r="51">
          <cell r="E51" t="str">
            <v>Потери прямые</v>
          </cell>
          <cell r="F51">
            <v>-1.3436008686834823E-2</v>
          </cell>
          <cell r="G51">
            <v>-22556.738246957488</v>
          </cell>
        </row>
        <row r="52">
          <cell r="E52" t="str">
            <v>Списания материалов</v>
          </cell>
          <cell r="F52">
            <v>2.7755385694241554E-5</v>
          </cell>
          <cell r="G52">
            <v>768785.67610266944</v>
          </cell>
        </row>
        <row r="53">
          <cell r="E53" t="str">
            <v>Прочие списания</v>
          </cell>
          <cell r="F53">
            <v>2.3387142079211724E-4</v>
          </cell>
          <cell r="G53">
            <v>6477913.8843695642</v>
          </cell>
        </row>
        <row r="54">
          <cell r="E54" t="str">
            <v>Списания для маркетинга/рекламы</v>
          </cell>
          <cell r="F54">
            <v>1.7270680831990712E-5</v>
          </cell>
          <cell r="G54">
            <v>478373.89782445296</v>
          </cell>
        </row>
        <row r="55">
          <cell r="E55" t="str">
            <v>Потери (корректировки)</v>
          </cell>
          <cell r="F55">
            <v>5.4645093396947717E-5</v>
          </cell>
          <cell r="G55">
            <v>1513593.2728753942</v>
          </cell>
        </row>
        <row r="56">
          <cell r="E56" t="str">
            <v>Списания для получения документации</v>
          </cell>
          <cell r="F56">
            <v>0</v>
          </cell>
          <cell r="G56">
            <v>0</v>
          </cell>
        </row>
        <row r="57">
          <cell r="E57" t="str">
            <v>Потери по приходу (логистические)</v>
          </cell>
          <cell r="F57">
            <v>1.0491303676233918E-2</v>
          </cell>
          <cell r="G57">
            <v>290594556.27039933</v>
          </cell>
        </row>
        <row r="58">
          <cell r="E58" t="str">
            <v>Итого потери</v>
          </cell>
          <cell r="F58">
            <v>0</v>
          </cell>
          <cell r="G58">
            <v>0</v>
          </cell>
        </row>
        <row r="59">
          <cell r="E59" t="str">
            <v>Потери утиль</v>
          </cell>
          <cell r="F59">
            <v>6.7090626037378338E-4</v>
          </cell>
          <cell r="G59">
            <v>18583172.601704571</v>
          </cell>
        </row>
        <row r="60">
          <cell r="E60" t="str">
            <v>Потери магазинов по приходу (местные поставщики)</v>
          </cell>
          <cell r="F60">
            <v>7.5804748920782689E-4</v>
          </cell>
          <cell r="G60">
            <v>20996863.741276689</v>
          </cell>
        </row>
        <row r="61">
          <cell r="E61" t="str">
            <v>Потери прямые</v>
          </cell>
          <cell r="F61">
            <v>5.0617479479489521E-3</v>
          </cell>
          <cell r="G61">
            <v>140203395.52451575</v>
          </cell>
        </row>
        <row r="62">
          <cell r="E62" t="str">
            <v>Списания материалов</v>
          </cell>
          <cell r="F62">
            <v>0</v>
          </cell>
          <cell r="G62">
            <v>0</v>
          </cell>
        </row>
        <row r="63">
          <cell r="E63" t="str">
            <v>Прочие списания</v>
          </cell>
          <cell r="F63">
            <v>5.8929817245585276E-5</v>
          </cell>
          <cell r="G63">
            <v>310340.09140033275</v>
          </cell>
        </row>
        <row r="64">
          <cell r="E64" t="str">
            <v>Списания для маркетинга/рекламы</v>
          </cell>
          <cell r="F64">
            <v>1.3328793981952478E-5</v>
          </cell>
          <cell r="G64">
            <v>70192.974218416057</v>
          </cell>
        </row>
        <row r="65">
          <cell r="E65" t="str">
            <v>Потери (корректировки)</v>
          </cell>
          <cell r="F65">
            <v>0</v>
          </cell>
          <cell r="G65">
            <v>0</v>
          </cell>
        </row>
        <row r="66">
          <cell r="E66" t="str">
            <v>Списания для получения документации</v>
          </cell>
          <cell r="F66">
            <v>6.4363916678625187E-6</v>
          </cell>
          <cell r="G66">
            <v>33895.750434258043</v>
          </cell>
        </row>
        <row r="67">
          <cell r="E67" t="str">
            <v>Потери по приходу (логистические)</v>
          </cell>
          <cell r="F67">
            <v>3.9356736325715444E-3</v>
          </cell>
          <cell r="G67">
            <v>20726304.135036726</v>
          </cell>
        </row>
        <row r="68">
          <cell r="E68" t="str">
            <v>Итого потери</v>
          </cell>
          <cell r="F68">
            <v>0</v>
          </cell>
          <cell r="G68">
            <v>0</v>
          </cell>
        </row>
        <row r="69">
          <cell r="E69" t="str">
            <v>Потери утиль</v>
          </cell>
          <cell r="F69">
            <v>1.001475124227986E-2</v>
          </cell>
          <cell r="G69">
            <v>52740343.702891111</v>
          </cell>
        </row>
        <row r="70">
          <cell r="E70" t="str">
            <v>Потери магазинов по приходу (местные поставщики)</v>
          </cell>
          <cell r="F70">
            <v>4.7305390547675025E-4</v>
          </cell>
          <cell r="G70">
            <v>2491227.6861665836</v>
          </cell>
        </row>
        <row r="71">
          <cell r="E71" t="str">
            <v>Потери прямые</v>
          </cell>
          <cell r="F71">
            <v>6.1896324391924745E-3</v>
          </cell>
          <cell r="G71">
            <v>32596250.704601675</v>
          </cell>
        </row>
        <row r="72">
          <cell r="E72" t="str">
            <v>Списания материалов</v>
          </cell>
          <cell r="F72">
            <v>1.674359027018201E-4</v>
          </cell>
          <cell r="G72">
            <v>54445.135432357471</v>
          </cell>
        </row>
        <row r="73">
          <cell r="E73" t="str">
            <v>Прочие списания</v>
          </cell>
          <cell r="F73">
            <v>5.4476789218215111E-4</v>
          </cell>
          <cell r="G73">
            <v>177142.18510158703</v>
          </cell>
        </row>
        <row r="74">
          <cell r="E74" t="str">
            <v>Списания для маркетинга/рекламы</v>
          </cell>
          <cell r="F74">
            <v>3.6335314279885463E-4</v>
          </cell>
          <cell r="G74">
            <v>118151.54784745767</v>
          </cell>
        </row>
        <row r="75">
          <cell r="E75" t="str">
            <v>Потери (корректировки)</v>
          </cell>
          <cell r="F75">
            <v>-3.5050252399375873E-3</v>
          </cell>
          <cell r="G75">
            <v>-1139729.1190413176</v>
          </cell>
        </row>
        <row r="76">
          <cell r="E76" t="str">
            <v>Списания для получения документации</v>
          </cell>
          <cell r="F76">
            <v>0</v>
          </cell>
          <cell r="G76">
            <v>0</v>
          </cell>
        </row>
        <row r="77">
          <cell r="E77" t="str">
            <v>Потери по приходу (логистические)</v>
          </cell>
          <cell r="F77">
            <v>8.8160104298633084E-4</v>
          </cell>
          <cell r="G77">
            <v>286670.22668476118</v>
          </cell>
        </row>
        <row r="78">
          <cell r="E78" t="str">
            <v>Итого потери</v>
          </cell>
          <cell r="F78">
            <v>0</v>
          </cell>
          <cell r="G78">
            <v>0</v>
          </cell>
        </row>
        <row r="79">
          <cell r="E79" t="str">
            <v>Потери утиль</v>
          </cell>
          <cell r="F79">
            <v>5.1295876685565568E-4</v>
          </cell>
          <cell r="G79">
            <v>166798.81125858237</v>
          </cell>
        </row>
        <row r="80">
          <cell r="E80" t="str">
            <v>Потери магазинов по приходу (местные поставщики)</v>
          </cell>
          <cell r="F80">
            <v>5.0205922061780655E-6</v>
          </cell>
          <cell r="G80">
            <v>1632.5460561633283</v>
          </cell>
        </row>
        <row r="81">
          <cell r="E81" t="str">
            <v>Потери прямые</v>
          </cell>
          <cell r="F81">
            <v>1.4086283697392454E-2</v>
          </cell>
          <cell r="G81">
            <v>4580437.1181307249</v>
          </cell>
        </row>
        <row r="82">
          <cell r="E82" t="str">
            <v>Списания материалов</v>
          </cell>
          <cell r="F82">
            <v>9.0903757984915103E-6</v>
          </cell>
          <cell r="G82">
            <v>205484.53016247254</v>
          </cell>
        </row>
        <row r="83">
          <cell r="E83" t="str">
            <v>Прочие списания</v>
          </cell>
          <cell r="F83">
            <v>0</v>
          </cell>
          <cell r="G83">
            <v>0</v>
          </cell>
        </row>
        <row r="84">
          <cell r="E84" t="str">
            <v>Списания для маркетинга/рекламы</v>
          </cell>
          <cell r="F84">
            <v>0</v>
          </cell>
          <cell r="G84">
            <v>0</v>
          </cell>
        </row>
        <row r="85">
          <cell r="E85" t="str">
            <v>Потери (корректировки)</v>
          </cell>
          <cell r="F85">
            <v>0</v>
          </cell>
          <cell r="G85">
            <v>0</v>
          </cell>
        </row>
        <row r="86">
          <cell r="E86" t="str">
            <v>Списания для получения документации</v>
          </cell>
          <cell r="F86">
            <v>1.0902277370966751E-5</v>
          </cell>
          <cell r="G86">
            <v>246441.8845748725</v>
          </cell>
        </row>
        <row r="87">
          <cell r="E87" t="str">
            <v>Потери по приходу (логистические)</v>
          </cell>
          <cell r="F87">
            <v>1.1713731607953155E-3</v>
          </cell>
          <cell r="G87">
            <v>26478450.278249037</v>
          </cell>
        </row>
        <row r="88">
          <cell r="E88" t="str">
            <v>Итого потери</v>
          </cell>
          <cell r="F88">
            <v>0</v>
          </cell>
          <cell r="G88">
            <v>0</v>
          </cell>
        </row>
        <row r="89">
          <cell r="E89" t="str">
            <v>Потери утиль</v>
          </cell>
          <cell r="F89">
            <v>3.0993633177738364E-4</v>
          </cell>
          <cell r="G89">
            <v>7005994.353514445</v>
          </cell>
        </row>
        <row r="90">
          <cell r="E90" t="str">
            <v>Потери магазинов по приходу (местные поставщики)</v>
          </cell>
          <cell r="F90">
            <v>0</v>
          </cell>
          <cell r="G90">
            <v>0</v>
          </cell>
        </row>
        <row r="91">
          <cell r="E91" t="str">
            <v>Потери прямые</v>
          </cell>
          <cell r="F91">
            <v>9.9939518156397038E-4</v>
          </cell>
          <cell r="G91">
            <v>22590952.660547834</v>
          </cell>
        </row>
        <row r="92">
          <cell r="E92" t="str">
            <v>Списания материалов</v>
          </cell>
          <cell r="F92">
            <v>0</v>
          </cell>
          <cell r="G92">
            <v>0</v>
          </cell>
        </row>
        <row r="93">
          <cell r="E93" t="str">
            <v>Прочие списания</v>
          </cell>
          <cell r="F93">
            <v>0</v>
          </cell>
          <cell r="G93">
            <v>0</v>
          </cell>
        </row>
        <row r="94">
          <cell r="E94" t="str">
            <v>Списания для маркетинга/рекламы</v>
          </cell>
          <cell r="F94">
            <v>2.2481613908460793E-3</v>
          </cell>
          <cell r="G94">
            <v>4724.4733528351308</v>
          </cell>
        </row>
        <row r="95">
          <cell r="E95" t="str">
            <v>Потери (корректировки)</v>
          </cell>
          <cell r="F95">
            <v>0</v>
          </cell>
          <cell r="G95">
            <v>0</v>
          </cell>
        </row>
        <row r="96">
          <cell r="E96" t="str">
            <v>Списания для получения документации</v>
          </cell>
          <cell r="F96">
            <v>0</v>
          </cell>
          <cell r="G96">
            <v>0</v>
          </cell>
        </row>
        <row r="97">
          <cell r="E97" t="str">
            <v>Потери по приходу (логистические)</v>
          </cell>
          <cell r="F97">
            <v>0</v>
          </cell>
          <cell r="G97">
            <v>0</v>
          </cell>
        </row>
        <row r="98">
          <cell r="E98" t="str">
            <v>Итого потери</v>
          </cell>
          <cell r="F98">
            <v>0</v>
          </cell>
          <cell r="G98">
            <v>0</v>
          </cell>
        </row>
        <row r="99">
          <cell r="E99" t="str">
            <v>Потери утиль</v>
          </cell>
          <cell r="F99">
            <v>5.3914779386286506E-2</v>
          </cell>
          <cell r="G99">
            <v>113301.00213073839</v>
          </cell>
        </row>
        <row r="100">
          <cell r="E100" t="str">
            <v>Потери магазинов по приходу (местные поставщики)</v>
          </cell>
          <cell r="F100">
            <v>0</v>
          </cell>
          <cell r="G100">
            <v>0</v>
          </cell>
        </row>
        <row r="101">
          <cell r="E101" t="str">
            <v>Потери прямые</v>
          </cell>
          <cell r="F101">
            <v>-1.0677296965460779E-3</v>
          </cell>
          <cell r="G101">
            <v>-2243.8159999999998</v>
          </cell>
        </row>
        <row r="102">
          <cell r="E102" t="str">
            <v>Списания материалов</v>
          </cell>
          <cell r="F102">
            <v>2.6086358047634433E-5</v>
          </cell>
          <cell r="G102">
            <v>778148.84036755085</v>
          </cell>
        </row>
        <row r="103">
          <cell r="E103" t="str">
            <v>Прочие списания</v>
          </cell>
          <cell r="F103">
            <v>2.284422215958906E-4</v>
          </cell>
          <cell r="G103">
            <v>6814368.2418692093</v>
          </cell>
        </row>
        <row r="104">
          <cell r="E104" t="str">
            <v>Списания для маркетинга/рекламы</v>
          </cell>
          <cell r="F104">
            <v>1.1250274505233318E-5</v>
          </cell>
          <cell r="G104">
            <v>335592.57463530044</v>
          </cell>
        </row>
        <row r="105">
          <cell r="E105" t="str">
            <v>Потери (корректировки)</v>
          </cell>
          <cell r="F105">
            <v>-1.0629651991688356E-6</v>
          </cell>
          <cell r="G105">
            <v>-31707.957683242006</v>
          </cell>
        </row>
        <row r="106">
          <cell r="E106" t="str">
            <v>Списания для получения документации</v>
          </cell>
          <cell r="F106">
            <v>0</v>
          </cell>
          <cell r="G106">
            <v>0</v>
          </cell>
        </row>
        <row r="107">
          <cell r="E107" t="str">
            <v>Потери по приходу (логистические)</v>
          </cell>
          <cell r="F107">
            <v>1.2140957331364744E-2</v>
          </cell>
          <cell r="G107">
            <v>362161396.81522572</v>
          </cell>
        </row>
        <row r="108">
          <cell r="E108" t="str">
            <v>Итого потери</v>
          </cell>
          <cell r="F108">
            <v>0</v>
          </cell>
          <cell r="G108">
            <v>0</v>
          </cell>
        </row>
        <row r="109">
          <cell r="E109" t="str">
            <v>Потери утиль</v>
          </cell>
          <cell r="F109">
            <v>6.1145793074478228E-4</v>
          </cell>
          <cell r="G109">
            <v>18239620.834528171</v>
          </cell>
        </row>
        <row r="110">
          <cell r="E110" t="str">
            <v>Потери магазинов по приходу (местные поставщики)</v>
          </cell>
          <cell r="F110">
            <v>7.508233921551667E-4</v>
          </cell>
          <cell r="G110">
            <v>22396853.97476767</v>
          </cell>
        </row>
        <row r="111">
          <cell r="E111" t="str">
            <v>Потери прямые</v>
          </cell>
          <cell r="F111">
            <v>5.1945182321208282E-3</v>
          </cell>
          <cell r="G111">
            <v>154951041.12317702</v>
          </cell>
        </row>
        <row r="112">
          <cell r="E112" t="str">
            <v>Списания материалов</v>
          </cell>
          <cell r="F112">
            <v>0</v>
          </cell>
          <cell r="G112">
            <v>0</v>
          </cell>
        </row>
        <row r="113">
          <cell r="E113" t="str">
            <v>Прочие списания</v>
          </cell>
          <cell r="F113">
            <v>8.8552498976701864E-5</v>
          </cell>
          <cell r="G113">
            <v>527860.24075310875</v>
          </cell>
        </row>
        <row r="114">
          <cell r="E114" t="str">
            <v>Списания для маркетинга/рекламы</v>
          </cell>
          <cell r="F114">
            <v>1.2728684715903467E-5</v>
          </cell>
          <cell r="G114">
            <v>75875.516289777181</v>
          </cell>
        </row>
        <row r="115">
          <cell r="E115" t="str">
            <v>Потери (корректировки)</v>
          </cell>
          <cell r="F115">
            <v>0</v>
          </cell>
          <cell r="G115">
            <v>0</v>
          </cell>
        </row>
        <row r="116">
          <cell r="E116" t="str">
            <v>Списания для получения документации</v>
          </cell>
          <cell r="F116">
            <v>1.0671613042268635E-5</v>
          </cell>
          <cell r="G116">
            <v>63613.340050380844</v>
          </cell>
        </row>
        <row r="117">
          <cell r="E117" t="str">
            <v>Потери по приходу (логистические)</v>
          </cell>
          <cell r="F117">
            <v>5.0051179325368367E-3</v>
          </cell>
          <cell r="G117">
            <v>29835439.85090366</v>
          </cell>
        </row>
        <row r="118">
          <cell r="E118" t="str">
            <v>Итого потери</v>
          </cell>
          <cell r="F118">
            <v>0</v>
          </cell>
          <cell r="G118">
            <v>0</v>
          </cell>
        </row>
        <row r="119">
          <cell r="E119" t="str">
            <v>Потери утиль</v>
          </cell>
          <cell r="F119">
            <v>9.3493809909505413E-3</v>
          </cell>
          <cell r="G119">
            <v>55731532.7947338</v>
          </cell>
        </row>
        <row r="120">
          <cell r="E120" t="str">
            <v>Потери магазинов по приходу (местные поставщики)</v>
          </cell>
          <cell r="F120">
            <v>2.2079062157354402E-4</v>
          </cell>
          <cell r="G120">
            <v>1316129.8891237711</v>
          </cell>
        </row>
        <row r="121">
          <cell r="E121" t="str">
            <v>Потери прямые</v>
          </cell>
          <cell r="F121">
            <v>8.2216857465584343E-3</v>
          </cell>
          <cell r="G121">
            <v>49009356.796543539</v>
          </cell>
        </row>
        <row r="122">
          <cell r="E122" t="str">
            <v>Списания материалов</v>
          </cell>
          <cell r="F122">
            <v>1.5653095536272076E-4</v>
          </cell>
          <cell r="G122">
            <v>60157.952007657936</v>
          </cell>
        </row>
        <row r="123">
          <cell r="E123" t="str">
            <v>Прочие списания</v>
          </cell>
          <cell r="F123">
            <v>5.3643607998100766E-4</v>
          </cell>
          <cell r="G123">
            <v>206163.02941417563</v>
          </cell>
        </row>
        <row r="124">
          <cell r="E124" t="str">
            <v>Списания для маркетинга/рекламы</v>
          </cell>
          <cell r="F124">
            <v>2.2412159997502279E-3</v>
          </cell>
          <cell r="G124">
            <v>861343.77854745754</v>
          </cell>
        </row>
        <row r="125">
          <cell r="E125" t="str">
            <v>Потери (корректировки)</v>
          </cell>
          <cell r="F125">
            <v>-9.9850157763195567E-4</v>
          </cell>
          <cell r="G125">
            <v>-383743.96838990739</v>
          </cell>
        </row>
        <row r="126">
          <cell r="E126" t="str">
            <v>Списания для получения документации</v>
          </cell>
          <cell r="F126">
            <v>0</v>
          </cell>
          <cell r="G126">
            <v>0</v>
          </cell>
        </row>
        <row r="127">
          <cell r="E127" t="str">
            <v>Потери по приходу (логистические)</v>
          </cell>
          <cell r="F127">
            <v>9.6088614323646738E-4</v>
          </cell>
          <cell r="G127">
            <v>369287.61059238826</v>
          </cell>
        </row>
        <row r="128">
          <cell r="E128" t="str">
            <v>Итого потери</v>
          </cell>
          <cell r="F128">
            <v>0</v>
          </cell>
          <cell r="G128">
            <v>0</v>
          </cell>
        </row>
        <row r="129">
          <cell r="E129" t="str">
            <v>Потери утиль</v>
          </cell>
          <cell r="F129">
            <v>5.7615002512907167E-4</v>
          </cell>
          <cell r="G129">
            <v>221425.88653221878</v>
          </cell>
        </row>
        <row r="130">
          <cell r="E130" t="str">
            <v>Потери магазинов по приходу (местные поставщики)</v>
          </cell>
          <cell r="F130">
            <v>2.3466601498256391E-6</v>
          </cell>
          <cell r="G130">
            <v>901.86805762711856</v>
          </cell>
        </row>
        <row r="131">
          <cell r="E131" t="str">
            <v>Потери прямые</v>
          </cell>
          <cell r="F131">
            <v>1.4494618403040211E-2</v>
          </cell>
          <cell r="G131">
            <v>5570569.4521498792</v>
          </cell>
        </row>
        <row r="132">
          <cell r="E132" t="str">
            <v>Списания материалов</v>
          </cell>
          <cell r="F132">
            <v>3.7565193204834446E-6</v>
          </cell>
          <cell r="G132">
            <v>91969.299418813564</v>
          </cell>
        </row>
        <row r="133">
          <cell r="E133" t="str">
            <v>Прочие списания</v>
          </cell>
          <cell r="F133">
            <v>0</v>
          </cell>
          <cell r="G133">
            <v>0</v>
          </cell>
        </row>
        <row r="134">
          <cell r="E134" t="str">
            <v>Списания для маркетинга/рекламы</v>
          </cell>
          <cell r="F134">
            <v>0</v>
          </cell>
          <cell r="G134">
            <v>0</v>
          </cell>
        </row>
        <row r="135">
          <cell r="E135" t="str">
            <v>Потери (корректировки)</v>
          </cell>
          <cell r="F135">
            <v>0</v>
          </cell>
          <cell r="G135">
            <v>0</v>
          </cell>
        </row>
        <row r="136">
          <cell r="E136" t="str">
            <v>Списания для получения документации</v>
          </cell>
          <cell r="F136">
            <v>9.2197803008096292E-6</v>
          </cell>
          <cell r="G136">
            <v>225724.04471267693</v>
          </cell>
        </row>
        <row r="137">
          <cell r="E137" t="str">
            <v>Потери по приходу (логистические)</v>
          </cell>
          <cell r="F137">
            <v>1.3689113040746017E-3</v>
          </cell>
          <cell r="G137">
            <v>33514485.847508743</v>
          </cell>
        </row>
        <row r="138">
          <cell r="E138" t="str">
            <v>Итого потери</v>
          </cell>
          <cell r="F138">
            <v>0</v>
          </cell>
          <cell r="G138">
            <v>0</v>
          </cell>
        </row>
        <row r="139">
          <cell r="E139" t="str">
            <v>Потери утиль</v>
          </cell>
          <cell r="F139">
            <v>4.4487177320268797E-4</v>
          </cell>
          <cell r="G139">
            <v>10891610.510175956</v>
          </cell>
        </row>
        <row r="140">
          <cell r="E140" t="str">
            <v>Потери магазинов по приходу (местные поставщики)</v>
          </cell>
          <cell r="F140">
            <v>0</v>
          </cell>
          <cell r="G140">
            <v>0</v>
          </cell>
        </row>
        <row r="141">
          <cell r="E141" t="str">
            <v>Потери прямые</v>
          </cell>
          <cell r="F141">
            <v>1.0243472675842877E-3</v>
          </cell>
          <cell r="G141">
            <v>25078667.916761503</v>
          </cell>
        </row>
        <row r="142">
          <cell r="E142" t="str">
            <v>Списания материалов</v>
          </cell>
          <cell r="F142">
            <v>0</v>
          </cell>
          <cell r="G142">
            <v>0</v>
          </cell>
        </row>
        <row r="143">
          <cell r="E143" t="str">
            <v>Прочие списания</v>
          </cell>
          <cell r="F143">
            <v>4.5809406047303666E-4</v>
          </cell>
          <cell r="G143">
            <v>996.54121802773489</v>
          </cell>
        </row>
        <row r="144">
          <cell r="E144" t="str">
            <v>Списания для маркетинга/рекламы</v>
          </cell>
          <cell r="F144">
            <v>2.5534923023181506E-3</v>
          </cell>
          <cell r="G144">
            <v>5554.8861003543907</v>
          </cell>
        </row>
        <row r="145">
          <cell r="E145" t="str">
            <v>Потери (корректировки)</v>
          </cell>
          <cell r="F145">
            <v>0</v>
          </cell>
          <cell r="G145">
            <v>0</v>
          </cell>
        </row>
        <row r="146">
          <cell r="E146" t="str">
            <v>Списания для получения документации</v>
          </cell>
          <cell r="F146">
            <v>0</v>
          </cell>
          <cell r="G146">
            <v>0</v>
          </cell>
        </row>
        <row r="147">
          <cell r="E147" t="str">
            <v>Потери по приходу (логистические)</v>
          </cell>
          <cell r="F147">
            <v>0</v>
          </cell>
          <cell r="G147">
            <v>0</v>
          </cell>
        </row>
        <row r="148">
          <cell r="E148" t="str">
            <v>Итого потери</v>
          </cell>
          <cell r="F148">
            <v>0</v>
          </cell>
          <cell r="G148">
            <v>0</v>
          </cell>
        </row>
        <row r="149">
          <cell r="E149" t="str">
            <v>Потери утиль</v>
          </cell>
          <cell r="F149">
            <v>6.594426737432045E-2</v>
          </cell>
          <cell r="G149">
            <v>143455.64852618289</v>
          </cell>
        </row>
        <row r="150">
          <cell r="E150" t="str">
            <v>Потери магазинов по приходу (местные поставщики)</v>
          </cell>
          <cell r="F150">
            <v>0</v>
          </cell>
          <cell r="G150">
            <v>0</v>
          </cell>
        </row>
        <row r="151">
          <cell r="E151" t="str">
            <v>Потери прямые</v>
          </cell>
          <cell r="F151">
            <v>-1.5574413689547789E-2</v>
          </cell>
          <cell r="G151">
            <v>-33880.695096162068</v>
          </cell>
        </row>
        <row r="152">
          <cell r="E152" t="str">
            <v>Списания материалов</v>
          </cell>
          <cell r="F152">
            <v>2.7877473644405344E-5</v>
          </cell>
          <cell r="G152">
            <v>792844.55583644914</v>
          </cell>
        </row>
        <row r="153">
          <cell r="E153" t="str">
            <v>Прочие списания</v>
          </cell>
          <cell r="F153">
            <v>3.4379055071027563E-4</v>
          </cell>
          <cell r="G153">
            <v>9777516.7848955542</v>
          </cell>
        </row>
        <row r="154">
          <cell r="E154" t="str">
            <v>Списания для маркетинга/рекламы</v>
          </cell>
          <cell r="F154">
            <v>8.5133714536994385E-6</v>
          </cell>
          <cell r="G154">
            <v>242123.09533412947</v>
          </cell>
        </row>
        <row r="155">
          <cell r="E155" t="str">
            <v>Потери (корректировки)</v>
          </cell>
          <cell r="F155">
            <v>1.3107978102138711E-4</v>
          </cell>
          <cell r="G155">
            <v>3727952.2559569273</v>
          </cell>
        </row>
        <row r="156">
          <cell r="E156" t="str">
            <v>Списания для получения документации</v>
          </cell>
          <cell r="F156">
            <v>0</v>
          </cell>
          <cell r="G156">
            <v>0</v>
          </cell>
        </row>
        <row r="157">
          <cell r="E157" t="str">
            <v>Потери по приходу (логистические)</v>
          </cell>
          <cell r="F157">
            <v>1.4482377706065979E-2</v>
          </cell>
          <cell r="G157">
            <v>411883604.17034853</v>
          </cell>
        </row>
        <row r="158">
          <cell r="E158" t="str">
            <v>Итого потери</v>
          </cell>
          <cell r="F158">
            <v>0</v>
          </cell>
          <cell r="G158">
            <v>0</v>
          </cell>
        </row>
        <row r="159">
          <cell r="E159" t="str">
            <v>Потери утиль</v>
          </cell>
          <cell r="F159">
            <v>6.0584996062295997E-4</v>
          </cell>
          <cell r="G159">
            <v>17230572.937158529</v>
          </cell>
        </row>
        <row r="160">
          <cell r="E160" t="str">
            <v>Потери магазинов по приходу (местные поставщики)</v>
          </cell>
          <cell r="F160">
            <v>7.406532031082342E-4</v>
          </cell>
          <cell r="G160">
            <v>21064421.666668475</v>
          </cell>
        </row>
        <row r="161">
          <cell r="E161" t="str">
            <v>Потери прямые</v>
          </cell>
          <cell r="F161">
            <v>4.8458017944860293E-3</v>
          </cell>
          <cell r="G161">
            <v>137816203.16200274</v>
          </cell>
        </row>
        <row r="162">
          <cell r="E162" t="str">
            <v>Списания материалов</v>
          </cell>
          <cell r="F162">
            <v>0</v>
          </cell>
          <cell r="G162">
            <v>0</v>
          </cell>
        </row>
        <row r="163">
          <cell r="E163" t="str">
            <v>Прочие списания</v>
          </cell>
          <cell r="F163">
            <v>3.6271396554604657E-5</v>
          </cell>
          <cell r="G163">
            <v>208067.9131254768</v>
          </cell>
        </row>
        <row r="164">
          <cell r="E164" t="str">
            <v>Списания для маркетинга/рекламы</v>
          </cell>
          <cell r="F164">
            <v>1.5264050664717266E-5</v>
          </cell>
          <cell r="G164">
            <v>87560.983842131114</v>
          </cell>
        </row>
        <row r="165">
          <cell r="E165" t="str">
            <v>Потери (корректировки)</v>
          </cell>
          <cell r="F165">
            <v>0</v>
          </cell>
          <cell r="G165">
            <v>0</v>
          </cell>
        </row>
        <row r="166">
          <cell r="E166" t="str">
            <v>Списания для получения документации</v>
          </cell>
          <cell r="F166">
            <v>6.6274848181594576E-6</v>
          </cell>
          <cell r="G166">
            <v>38018.027050854165</v>
          </cell>
        </row>
        <row r="167">
          <cell r="E167" t="str">
            <v>Потери по приходу (логистические)</v>
          </cell>
          <cell r="F167">
            <v>6.36832071516994E-3</v>
          </cell>
          <cell r="G167">
            <v>36531353.275145374</v>
          </cell>
        </row>
        <row r="168">
          <cell r="E168" t="str">
            <v>Итого потери</v>
          </cell>
          <cell r="F168">
            <v>0</v>
          </cell>
          <cell r="G168">
            <v>0</v>
          </cell>
        </row>
        <row r="169">
          <cell r="E169" t="str">
            <v>Потери утиль</v>
          </cell>
          <cell r="F169">
            <v>1.0130838788386387E-2</v>
          </cell>
          <cell r="G169">
            <v>58114731.858665951</v>
          </cell>
        </row>
        <row r="170">
          <cell r="E170" t="str">
            <v>Потери магазинов по приходу (местные поставщики)</v>
          </cell>
          <cell r="F170">
            <v>2.5838454055642976E-4</v>
          </cell>
          <cell r="G170">
            <v>1482201.8792832072</v>
          </cell>
        </row>
        <row r="171">
          <cell r="E171" t="str">
            <v>Потери прямые</v>
          </cell>
          <cell r="F171">
            <v>8.4907263196028447E-3</v>
          </cell>
          <cell r="G171">
            <v>48706360.219125554</v>
          </cell>
        </row>
        <row r="172">
          <cell r="E172" t="str">
            <v>Списания материалов</v>
          </cell>
          <cell r="F172">
            <v>2.0835165043780478E-4</v>
          </cell>
          <cell r="G172">
            <v>65137.991936394457</v>
          </cell>
        </row>
        <row r="173">
          <cell r="E173" t="str">
            <v>Прочие списания</v>
          </cell>
          <cell r="F173">
            <v>1.218681587392338E-3</v>
          </cell>
          <cell r="G173">
            <v>381002.36425192625</v>
          </cell>
        </row>
        <row r="174">
          <cell r="E174" t="str">
            <v>Списания для маркетинга/рекламы</v>
          </cell>
          <cell r="F174">
            <v>5.0953430873137806E-5</v>
          </cell>
          <cell r="G174">
            <v>15929.819429661016</v>
          </cell>
        </row>
        <row r="175">
          <cell r="E175" t="str">
            <v>Потери (корректировки)</v>
          </cell>
          <cell r="F175">
            <v>-5.1660862991210999E-4</v>
          </cell>
          <cell r="G175">
            <v>-161509.87380602464</v>
          </cell>
        </row>
        <row r="176">
          <cell r="E176" t="str">
            <v>Списания для получения документации</v>
          </cell>
          <cell r="F176">
            <v>0</v>
          </cell>
          <cell r="G176">
            <v>0</v>
          </cell>
        </row>
        <row r="177">
          <cell r="E177" t="str">
            <v>Потери по приходу (логистические)</v>
          </cell>
          <cell r="F177">
            <v>1.2200473798151834E-3</v>
          </cell>
          <cell r="G177">
            <v>381429.35859365168</v>
          </cell>
        </row>
        <row r="178">
          <cell r="E178" t="str">
            <v>Итого потери</v>
          </cell>
          <cell r="F178">
            <v>0</v>
          </cell>
          <cell r="G178">
            <v>0</v>
          </cell>
        </row>
        <row r="179">
          <cell r="E179" t="str">
            <v>Потери утиль</v>
          </cell>
          <cell r="F179">
            <v>5.1166136651294852E-4</v>
          </cell>
          <cell r="G179">
            <v>159963.18673767336</v>
          </cell>
        </row>
        <row r="180">
          <cell r="E180" t="str">
            <v>Потери магазинов по приходу (местные поставщики)</v>
          </cell>
          <cell r="F180">
            <v>3.3044721078278951E-6</v>
          </cell>
          <cell r="G180">
            <v>1033.093220338983</v>
          </cell>
        </row>
        <row r="181">
          <cell r="E181" t="str">
            <v>Потери прямые</v>
          </cell>
          <cell r="F181">
            <v>8.7790964418944621E-3</v>
          </cell>
          <cell r="G181">
            <v>2744651.7080106111</v>
          </cell>
        </row>
        <row r="182">
          <cell r="E182" t="str">
            <v>Списания материалов</v>
          </cell>
          <cell r="F182">
            <v>4.9439213376219738E-6</v>
          </cell>
          <cell r="G182">
            <v>119395.22227505392</v>
          </cell>
        </row>
        <row r="183">
          <cell r="E183" t="str">
            <v>Прочие списания</v>
          </cell>
          <cell r="F183">
            <v>0</v>
          </cell>
          <cell r="G183">
            <v>0</v>
          </cell>
        </row>
        <row r="184">
          <cell r="E184" t="str">
            <v>Списания для маркетинга/рекламы</v>
          </cell>
          <cell r="F184">
            <v>0</v>
          </cell>
          <cell r="G184">
            <v>0</v>
          </cell>
        </row>
        <row r="185">
          <cell r="E185" t="str">
            <v>Потери (корректировки)</v>
          </cell>
          <cell r="F185">
            <v>0</v>
          </cell>
          <cell r="G185">
            <v>0</v>
          </cell>
        </row>
        <row r="186">
          <cell r="E186" t="str">
            <v>Списания для получения документации</v>
          </cell>
          <cell r="F186">
            <v>9.005782024039151E-6</v>
          </cell>
          <cell r="G186">
            <v>217488.76511009244</v>
          </cell>
        </row>
        <row r="187">
          <cell r="E187" t="str">
            <v>Потери по приходу (логистические)</v>
          </cell>
          <cell r="F187">
            <v>1.6584866693332874E-3</v>
          </cell>
          <cell r="G187">
            <v>40052292.705067009</v>
          </cell>
        </row>
        <row r="188">
          <cell r="E188" t="str">
            <v>Итого потери</v>
          </cell>
          <cell r="F188">
            <v>0</v>
          </cell>
          <cell r="G188">
            <v>0</v>
          </cell>
        </row>
        <row r="189">
          <cell r="E189" t="str">
            <v>Потери утиль</v>
          </cell>
          <cell r="F189">
            <v>4.5021017245253228E-4</v>
          </cell>
          <cell r="G189">
            <v>10872532.133837635</v>
          </cell>
        </row>
        <row r="190">
          <cell r="E190" t="str">
            <v>Потери магазинов по приходу (местные поставщики)</v>
          </cell>
          <cell r="F190">
            <v>0</v>
          </cell>
          <cell r="G190">
            <v>0</v>
          </cell>
        </row>
        <row r="191">
          <cell r="E191" t="str">
            <v>Потери прямые</v>
          </cell>
          <cell r="F191">
            <v>4.1994408069688575E-4</v>
          </cell>
          <cell r="G191">
            <v>10141608.944371851</v>
          </cell>
        </row>
        <row r="192">
          <cell r="E192" t="str">
            <v>Списания материалов</v>
          </cell>
          <cell r="F192">
            <v>0</v>
          </cell>
          <cell r="G192">
            <v>0</v>
          </cell>
        </row>
        <row r="193">
          <cell r="E193" t="str">
            <v>Прочие списания</v>
          </cell>
          <cell r="F193">
            <v>0</v>
          </cell>
          <cell r="G193">
            <v>0</v>
          </cell>
        </row>
        <row r="194">
          <cell r="E194" t="str">
            <v>Списания для маркетинга/рекламы</v>
          </cell>
          <cell r="F194">
            <v>2.7756529789164557E-3</v>
          </cell>
          <cell r="G194">
            <v>5917.0096565639433</v>
          </cell>
        </row>
        <row r="195">
          <cell r="E195" t="str">
            <v>Потери (корректировки)</v>
          </cell>
          <cell r="F195">
            <v>0</v>
          </cell>
          <cell r="G195">
            <v>0</v>
          </cell>
        </row>
        <row r="196">
          <cell r="E196" t="str">
            <v>Списания для получения документации</v>
          </cell>
          <cell r="F196">
            <v>0</v>
          </cell>
          <cell r="G196">
            <v>0</v>
          </cell>
        </row>
        <row r="197">
          <cell r="E197" t="str">
            <v>Потери по приходу (логистические)</v>
          </cell>
          <cell r="F197">
            <v>0</v>
          </cell>
          <cell r="G197">
            <v>0</v>
          </cell>
        </row>
        <row r="198">
          <cell r="E198" t="str">
            <v>Итого потери</v>
          </cell>
          <cell r="F198">
            <v>0</v>
          </cell>
          <cell r="G198">
            <v>0</v>
          </cell>
        </row>
        <row r="199">
          <cell r="E199" t="str">
            <v>Потери утиль</v>
          </cell>
          <cell r="F199">
            <v>5.2769679666853461E-2</v>
          </cell>
          <cell r="G199">
            <v>112491.98171900003</v>
          </cell>
        </row>
        <row r="200">
          <cell r="E200" t="str">
            <v>Потери магазинов по приходу (местные поставщики)</v>
          </cell>
          <cell r="F200">
            <v>0</v>
          </cell>
          <cell r="G200">
            <v>0</v>
          </cell>
        </row>
        <row r="201">
          <cell r="E201" t="str">
            <v>Потери прямые</v>
          </cell>
          <cell r="F201">
            <v>-7.3915627404083474E-3</v>
          </cell>
          <cell r="G201">
            <v>-15756.994280015451</v>
          </cell>
        </row>
        <row r="202">
          <cell r="E202" t="str">
            <v>Списания материалов</v>
          </cell>
          <cell r="F202">
            <v>2.6618380697019747E-5</v>
          </cell>
          <cell r="G202">
            <v>790008.86188333051</v>
          </cell>
        </row>
        <row r="203">
          <cell r="E203" t="str">
            <v>Прочие списания</v>
          </cell>
          <cell r="F203">
            <v>1.9464109549618516E-4</v>
          </cell>
          <cell r="G203">
            <v>5776767.2676603543</v>
          </cell>
        </row>
        <row r="204">
          <cell r="E204" t="str">
            <v>Списания для маркетинга/рекламы</v>
          </cell>
          <cell r="F204">
            <v>5.2362511250591091E-6</v>
          </cell>
          <cell r="G204">
            <v>155407.07900035437</v>
          </cell>
        </row>
        <row r="205">
          <cell r="E205" t="str">
            <v>Потери (корректировки)</v>
          </cell>
          <cell r="F205">
            <v>-2.1220114280521695E-5</v>
          </cell>
          <cell r="G205">
            <v>-629793.31923320552</v>
          </cell>
        </row>
        <row r="206">
          <cell r="E206" t="str">
            <v>Списания для получения документации</v>
          </cell>
          <cell r="F206">
            <v>0</v>
          </cell>
          <cell r="G206">
            <v>0</v>
          </cell>
        </row>
        <row r="207">
          <cell r="E207" t="str">
            <v>Потери по приходу (логистические)</v>
          </cell>
          <cell r="F207">
            <v>1.41707613331201E-2</v>
          </cell>
          <cell r="G207">
            <v>420575059.02498186</v>
          </cell>
        </row>
        <row r="208">
          <cell r="E208" t="str">
            <v>Итого потери</v>
          </cell>
          <cell r="F208">
            <v>0</v>
          </cell>
          <cell r="G208">
            <v>0</v>
          </cell>
        </row>
        <row r="209">
          <cell r="E209" t="str">
            <v>Потери утиль</v>
          </cell>
          <cell r="F209">
            <v>5.8675780012555731E-4</v>
          </cell>
          <cell r="G209">
            <v>17414427.539923858</v>
          </cell>
        </row>
        <row r="210">
          <cell r="E210" t="str">
            <v>Потери магазинов по приходу (местные поставщики)</v>
          </cell>
          <cell r="F210">
            <v>7.2062226604779434E-4</v>
          </cell>
          <cell r="G210">
            <v>21387400.786252353</v>
          </cell>
        </row>
        <row r="211">
          <cell r="E211" t="str">
            <v>Потери прямые</v>
          </cell>
          <cell r="F211">
            <v>4.6387541159182517E-3</v>
          </cell>
          <cell r="G211">
            <v>137673921.69289607</v>
          </cell>
        </row>
        <row r="212">
          <cell r="E212" t="str">
            <v>Списания материалов</v>
          </cell>
          <cell r="F212">
            <v>0</v>
          </cell>
          <cell r="G212">
            <v>0</v>
          </cell>
        </row>
        <row r="213">
          <cell r="E213" t="str">
            <v>Прочие списания</v>
          </cell>
          <cell r="F213">
            <v>6.0762806914806584E-5</v>
          </cell>
          <cell r="G213">
            <v>359257.64877806976</v>
          </cell>
        </row>
        <row r="214">
          <cell r="E214" t="str">
            <v>Списания для маркетинга/рекламы</v>
          </cell>
          <cell r="F214">
            <v>1.7550116792929094E-5</v>
          </cell>
          <cell r="G214">
            <v>103764.35874083739</v>
          </cell>
        </row>
        <row r="215">
          <cell r="E215" t="str">
            <v>Потери (корректировки)</v>
          </cell>
          <cell r="F215">
            <v>0</v>
          </cell>
          <cell r="G215">
            <v>0</v>
          </cell>
        </row>
        <row r="216">
          <cell r="E216" t="str">
            <v>Списания для получения документации</v>
          </cell>
          <cell r="F216">
            <v>6.9713587152959365E-6</v>
          </cell>
          <cell r="G216">
            <v>41217.877646060937</v>
          </cell>
        </row>
        <row r="217">
          <cell r="E217" t="str">
            <v>Потери по приходу (логистические)</v>
          </cell>
          <cell r="F217">
            <v>6.8588128253618506E-3</v>
          </cell>
          <cell r="G217">
            <v>40552454.604395911</v>
          </cell>
        </row>
        <row r="218">
          <cell r="E218" t="str">
            <v>Итого потери</v>
          </cell>
          <cell r="F218">
            <v>0</v>
          </cell>
          <cell r="G218">
            <v>0</v>
          </cell>
        </row>
        <row r="219">
          <cell r="E219" t="str">
            <v>Потери утиль</v>
          </cell>
          <cell r="F219">
            <v>1.0749575763192664E-2</v>
          </cell>
          <cell r="G219">
            <v>63556433.781291753</v>
          </cell>
        </row>
        <row r="220">
          <cell r="E220" t="str">
            <v>Потери магазинов по приходу (местные поставщики)</v>
          </cell>
          <cell r="F220">
            <v>3.0012780280683156E-4</v>
          </cell>
          <cell r="G220">
            <v>1774493.5470226982</v>
          </cell>
        </row>
        <row r="221">
          <cell r="E221" t="str">
            <v>Потери прямые</v>
          </cell>
          <cell r="F221">
            <v>6.8018411066834211E-3</v>
          </cell>
          <cell r="G221">
            <v>40215611.612136602</v>
          </cell>
        </row>
        <row r="222">
          <cell r="E222" t="str">
            <v>Списания материалов</v>
          </cell>
          <cell r="F222">
            <v>2.0190361813678519E-4</v>
          </cell>
          <cell r="G222">
            <v>69290.854321494611</v>
          </cell>
        </row>
        <row r="223">
          <cell r="E223" t="str">
            <v>Прочие списания</v>
          </cell>
          <cell r="F223">
            <v>1.1119832422127488E-3</v>
          </cell>
          <cell r="G223">
            <v>381619.0594063896</v>
          </cell>
        </row>
        <row r="224">
          <cell r="E224" t="str">
            <v>Списания для маркетинга/рекламы</v>
          </cell>
          <cell r="F224">
            <v>1.7281266558253936E-4</v>
          </cell>
          <cell r="G224">
            <v>59307.194919491514</v>
          </cell>
        </row>
        <row r="225">
          <cell r="E225" t="str">
            <v>Потери (корректировки)</v>
          </cell>
          <cell r="F225">
            <v>-3.5466746033560619E-4</v>
          </cell>
          <cell r="G225">
            <v>-121717.53806828662</v>
          </cell>
        </row>
        <row r="226">
          <cell r="E226" t="str">
            <v>Списания для получения документации</v>
          </cell>
          <cell r="F226">
            <v>0</v>
          </cell>
          <cell r="G226">
            <v>0</v>
          </cell>
        </row>
        <row r="227">
          <cell r="E227" t="str">
            <v>Потери по приходу (логистические)</v>
          </cell>
          <cell r="F227">
            <v>1.3060947873695333E-3</v>
          </cell>
          <cell r="G227">
            <v>448235.76950648701</v>
          </cell>
        </row>
        <row r="228">
          <cell r="E228" t="str">
            <v>Итого потери</v>
          </cell>
          <cell r="F228">
            <v>0</v>
          </cell>
          <cell r="G228">
            <v>0</v>
          </cell>
        </row>
        <row r="229">
          <cell r="E229" t="str">
            <v>Потери утиль</v>
          </cell>
          <cell r="F229">
            <v>5.8831272803924208E-4</v>
          </cell>
          <cell r="G229">
            <v>201901.73861288131</v>
          </cell>
        </row>
        <row r="230">
          <cell r="E230" t="str">
            <v>Потери магазинов по приходу (местные поставщики)</v>
          </cell>
          <cell r="F230">
            <v>1.0083013993999086E-5</v>
          </cell>
          <cell r="G230">
            <v>3460.3671802773501</v>
          </cell>
        </row>
        <row r="231">
          <cell r="E231" t="str">
            <v>Потери прямые</v>
          </cell>
          <cell r="F231">
            <v>1.2543568503716667E-2</v>
          </cell>
          <cell r="G231">
            <v>4304799.4180762377</v>
          </cell>
        </row>
        <row r="232">
          <cell r="E232" t="str">
            <v>Списания материалов</v>
          </cell>
          <cell r="F232">
            <v>8.4480690282703021E-6</v>
          </cell>
          <cell r="G232">
            <v>206141.45415477655</v>
          </cell>
        </row>
        <row r="233">
          <cell r="E233" t="str">
            <v>Прочие списания</v>
          </cell>
          <cell r="F233">
            <v>0</v>
          </cell>
          <cell r="G233">
            <v>0</v>
          </cell>
        </row>
        <row r="234">
          <cell r="E234" t="str">
            <v>Списания для маркетинга/рекламы</v>
          </cell>
          <cell r="F234">
            <v>0</v>
          </cell>
          <cell r="G234">
            <v>0</v>
          </cell>
        </row>
        <row r="235">
          <cell r="E235" t="str">
            <v>Потери (корректировки)</v>
          </cell>
          <cell r="F235">
            <v>0</v>
          </cell>
          <cell r="G235">
            <v>0</v>
          </cell>
        </row>
        <row r="236">
          <cell r="E236" t="str">
            <v>Списания для получения документации</v>
          </cell>
          <cell r="F236">
            <v>1.1085171124405238E-5</v>
          </cell>
          <cell r="G236">
            <v>270489.4204217103</v>
          </cell>
        </row>
        <row r="237">
          <cell r="E237" t="str">
            <v>Потери по приходу (логистические)</v>
          </cell>
          <cell r="F237">
            <v>8.3379944174899424E-4</v>
          </cell>
          <cell r="G237">
            <v>20345552.199017748</v>
          </cell>
        </row>
        <row r="238">
          <cell r="E238" t="str">
            <v>Итого потери</v>
          </cell>
          <cell r="F238">
            <v>0</v>
          </cell>
          <cell r="G238">
            <v>0</v>
          </cell>
        </row>
        <row r="239">
          <cell r="E239" t="str">
            <v>Потери утиль</v>
          </cell>
          <cell r="F239">
            <v>4.1175630769548416E-4</v>
          </cell>
          <cell r="G239">
            <v>10047271.600375105</v>
          </cell>
        </row>
        <row r="240">
          <cell r="E240" t="str">
            <v>Потери магазинов по приходу (местные поставщики)</v>
          </cell>
          <cell r="F240">
            <v>0</v>
          </cell>
          <cell r="G240">
            <v>0</v>
          </cell>
        </row>
        <row r="241">
          <cell r="E241" t="str">
            <v>Потери прямые</v>
          </cell>
          <cell r="F241">
            <v>6.5126469248896941E-4</v>
          </cell>
          <cell r="G241">
            <v>15891519.15071734</v>
          </cell>
        </row>
        <row r="242">
          <cell r="E242" t="str">
            <v>Списания материалов</v>
          </cell>
          <cell r="F242">
            <v>0</v>
          </cell>
          <cell r="G242">
            <v>0</v>
          </cell>
        </row>
        <row r="243">
          <cell r="E243" t="str">
            <v>Прочие списания</v>
          </cell>
          <cell r="F243">
            <v>4.4008920404101678E-4</v>
          </cell>
          <cell r="G243">
            <v>943.41393753463785</v>
          </cell>
        </row>
        <row r="244">
          <cell r="E244" t="str">
            <v>Списания для маркетинга/рекламы</v>
          </cell>
          <cell r="F244">
            <v>2.5927312556472161E-3</v>
          </cell>
          <cell r="G244">
            <v>5558.0068322496145</v>
          </cell>
        </row>
        <row r="245">
          <cell r="E245" t="str">
            <v>Потери (корректировки)</v>
          </cell>
          <cell r="F245">
            <v>0</v>
          </cell>
          <cell r="G245">
            <v>0</v>
          </cell>
        </row>
        <row r="246">
          <cell r="E246" t="str">
            <v>Списания для получения документации</v>
          </cell>
          <cell r="F246">
            <v>0</v>
          </cell>
          <cell r="G246">
            <v>0</v>
          </cell>
        </row>
        <row r="247">
          <cell r="E247" t="str">
            <v>Потери по приходу (логистические)</v>
          </cell>
          <cell r="F247">
            <v>0</v>
          </cell>
          <cell r="G247">
            <v>0</v>
          </cell>
        </row>
        <row r="248">
          <cell r="E248" t="str">
            <v>Итого потери</v>
          </cell>
          <cell r="F248">
            <v>0</v>
          </cell>
          <cell r="G248">
            <v>0</v>
          </cell>
        </row>
        <row r="249">
          <cell r="E249" t="str">
            <v>Потери утиль</v>
          </cell>
          <cell r="F249">
            <v>5.3673520868911001E-2</v>
          </cell>
          <cell r="G249">
            <v>115059.28161684131</v>
          </cell>
        </row>
        <row r="250">
          <cell r="E250" t="str">
            <v>Потери магазинов по приходу (местные поставщики)</v>
          </cell>
          <cell r="F250">
            <v>0</v>
          </cell>
          <cell r="G250">
            <v>0</v>
          </cell>
        </row>
        <row r="251">
          <cell r="E251" t="str">
            <v>Потери прямые</v>
          </cell>
          <cell r="F251">
            <v>-3.0337464975813746E-4</v>
          </cell>
          <cell r="G251">
            <v>-650.34059060862864</v>
          </cell>
        </row>
        <row r="252">
          <cell r="E252" t="str">
            <v>Списания материалов</v>
          </cell>
          <cell r="F252">
            <v>2.7064096396603496E-5</v>
          </cell>
          <cell r="G252">
            <v>803525.799045805</v>
          </cell>
        </row>
        <row r="253">
          <cell r="E253" t="str">
            <v>Прочие списания</v>
          </cell>
          <cell r="F253">
            <v>2.6418720952278262E-4</v>
          </cell>
          <cell r="G253">
            <v>7843647.7434405088</v>
          </cell>
        </row>
        <row r="254">
          <cell r="E254" t="str">
            <v>Списания для маркетинга/рекламы</v>
          </cell>
          <cell r="F254">
            <v>1.0481729361141566E-6</v>
          </cell>
          <cell r="G254">
            <v>31119.974732835133</v>
          </cell>
        </row>
        <row r="255">
          <cell r="E255" t="str">
            <v>Потери (корректировки)</v>
          </cell>
          <cell r="F255">
            <v>-2.3791767111739517E-5</v>
          </cell>
          <cell r="G255">
            <v>-706371.21590992378</v>
          </cell>
        </row>
        <row r="256">
          <cell r="E256" t="str">
            <v>Списания для получения документации</v>
          </cell>
          <cell r="F256">
            <v>0</v>
          </cell>
          <cell r="G256">
            <v>0</v>
          </cell>
        </row>
        <row r="257">
          <cell r="E257" t="str">
            <v>Потери по приходу (логистические)</v>
          </cell>
          <cell r="F257">
            <v>1.3732095409775404E-2</v>
          </cell>
          <cell r="G257">
            <v>407702247.84219193</v>
          </cell>
        </row>
        <row r="258">
          <cell r="E258" t="str">
            <v>Итого потери</v>
          </cell>
          <cell r="F258">
            <v>0</v>
          </cell>
          <cell r="G258">
            <v>0</v>
          </cell>
        </row>
        <row r="259">
          <cell r="E259" t="str">
            <v>Потери утиль</v>
          </cell>
          <cell r="F259">
            <v>5.45060522376845E-4</v>
          </cell>
          <cell r="G259">
            <v>16182701.441535763</v>
          </cell>
        </row>
        <row r="260">
          <cell r="E260" t="str">
            <v>Потери магазинов по приходу (местные поставщики)</v>
          </cell>
          <cell r="F260">
            <v>7.0311840664025573E-4</v>
          </cell>
          <cell r="G260">
            <v>20875397.842224952</v>
          </cell>
        </row>
        <row r="261">
          <cell r="E261" t="str">
            <v>Потери прямые</v>
          </cell>
          <cell r="F261">
            <v>4.2164757824101695E-3</v>
          </cell>
          <cell r="G261">
            <v>125186040.67060639</v>
          </cell>
        </row>
        <row r="262">
          <cell r="E262" t="str">
            <v>Списания материалов</v>
          </cell>
          <cell r="F262">
            <v>0</v>
          </cell>
          <cell r="G262">
            <v>0</v>
          </cell>
        </row>
        <row r="263">
          <cell r="E263" t="str">
            <v>Прочие списания</v>
          </cell>
          <cell r="F263">
            <v>3.7843487560257064E-5</v>
          </cell>
          <cell r="G263">
            <v>240719.34082279968</v>
          </cell>
        </row>
        <row r="264">
          <cell r="E264" t="str">
            <v>Списания для маркетинга/рекламы</v>
          </cell>
          <cell r="F264">
            <v>1.5627897709308367E-5</v>
          </cell>
          <cell r="G264">
            <v>99407.783942767695</v>
          </cell>
        </row>
        <row r="265">
          <cell r="E265" t="str">
            <v>Потери (корректировки)</v>
          </cell>
          <cell r="F265">
            <v>0</v>
          </cell>
          <cell r="G265">
            <v>0</v>
          </cell>
        </row>
        <row r="266">
          <cell r="E266" t="str">
            <v>Списания для получения документации</v>
          </cell>
          <cell r="F266">
            <v>3.3375881922760666E-6</v>
          </cell>
          <cell r="G266">
            <v>21230.126539034998</v>
          </cell>
        </row>
        <row r="267">
          <cell r="E267" t="str">
            <v>Потери по приходу (логистические)</v>
          </cell>
          <cell r="F267">
            <v>5.439808682377088E-3</v>
          </cell>
          <cell r="G267">
            <v>34602179.784274094</v>
          </cell>
        </row>
        <row r="268">
          <cell r="E268" t="str">
            <v>Итого потери</v>
          </cell>
          <cell r="F268">
            <v>0</v>
          </cell>
          <cell r="G268">
            <v>0</v>
          </cell>
        </row>
        <row r="269">
          <cell r="E269" t="str">
            <v>Потери утиль</v>
          </cell>
          <cell r="F269">
            <v>1.0211979955248083E-2</v>
          </cell>
          <cell r="G269">
            <v>64957572.406845681</v>
          </cell>
        </row>
        <row r="270">
          <cell r="E270" t="str">
            <v>Потери магазинов по приходу (местные поставщики)</v>
          </cell>
          <cell r="F270">
            <v>1.8308561457288839E-4</v>
          </cell>
          <cell r="G270">
            <v>1164592.676188946</v>
          </cell>
        </row>
        <row r="271">
          <cell r="E271" t="str">
            <v>Потери прямые</v>
          </cell>
          <cell r="F271">
            <v>5.6352466719907018E-3</v>
          </cell>
          <cell r="G271">
            <v>35845344.911605783</v>
          </cell>
        </row>
        <row r="272">
          <cell r="E272" t="str">
            <v>Списания материалов</v>
          </cell>
          <cell r="F272">
            <v>1.8698429203993505E-4</v>
          </cell>
          <cell r="G272">
            <v>73302.866577781198</v>
          </cell>
        </row>
        <row r="273">
          <cell r="E273" t="str">
            <v>Прочие списания</v>
          </cell>
          <cell r="F273">
            <v>1.003310618005706E-3</v>
          </cell>
          <cell r="G273">
            <v>393324.72030343604</v>
          </cell>
        </row>
        <row r="274">
          <cell r="E274" t="str">
            <v>Списания для маркетинга/рекламы</v>
          </cell>
          <cell r="F274">
            <v>1.2836319345962545E-3</v>
          </cell>
          <cell r="G274">
            <v>503218.20838614804</v>
          </cell>
        </row>
        <row r="275">
          <cell r="E275" t="str">
            <v>Потери (корректировки)</v>
          </cell>
          <cell r="F275">
            <v>-6.4414729712561152E-4</v>
          </cell>
          <cell r="G275">
            <v>-252523.04812616325</v>
          </cell>
        </row>
        <row r="276">
          <cell r="E276" t="str">
            <v>Списания для получения документации</v>
          </cell>
          <cell r="F276">
            <v>0</v>
          </cell>
          <cell r="G276">
            <v>0</v>
          </cell>
        </row>
        <row r="277">
          <cell r="E277" t="str">
            <v>Потери по приходу (логистические)</v>
          </cell>
          <cell r="F277">
            <v>1.0443492454482656E-3</v>
          </cell>
          <cell r="G277">
            <v>409412.96493157168</v>
          </cell>
        </row>
        <row r="278">
          <cell r="E278" t="str">
            <v>Итого потери</v>
          </cell>
          <cell r="F278">
            <v>0</v>
          </cell>
          <cell r="G278">
            <v>0</v>
          </cell>
        </row>
        <row r="279">
          <cell r="E279" t="str">
            <v>Потери утиль</v>
          </cell>
          <cell r="F279">
            <v>4.3751603259922474E-4</v>
          </cell>
          <cell r="G279">
            <v>171518.04043738366</v>
          </cell>
        </row>
        <row r="280">
          <cell r="E280" t="str">
            <v>Потери магазинов по приходу (местные поставщики)</v>
          </cell>
          <cell r="F280">
            <v>3.7036332029404742E-6</v>
          </cell>
          <cell r="G280">
            <v>1451.9237288135591</v>
          </cell>
        </row>
        <row r="281">
          <cell r="E281" t="str">
            <v>Потери прямые</v>
          </cell>
          <cell r="F281">
            <v>8.342708713784024E-3</v>
          </cell>
          <cell r="G281">
            <v>3270565.9768104618</v>
          </cell>
        </row>
        <row r="282">
          <cell r="E282" t="str">
            <v>Списания материалов</v>
          </cell>
          <cell r="F282">
            <v>8.1359312956906224E-6</v>
          </cell>
          <cell r="G282">
            <v>203056.02450815873</v>
          </cell>
        </row>
        <row r="283">
          <cell r="E283" t="str">
            <v>Прочие списания</v>
          </cell>
          <cell r="F283">
            <v>0</v>
          </cell>
          <cell r="G283">
            <v>0</v>
          </cell>
        </row>
        <row r="284">
          <cell r="E284" t="str">
            <v>Списания для маркетинга/рекламы</v>
          </cell>
          <cell r="F284">
            <v>0</v>
          </cell>
          <cell r="G284">
            <v>0</v>
          </cell>
        </row>
        <row r="285">
          <cell r="E285" t="str">
            <v>Потери (корректировки)</v>
          </cell>
          <cell r="F285">
            <v>0</v>
          </cell>
          <cell r="G285">
            <v>0</v>
          </cell>
        </row>
        <row r="286">
          <cell r="E286" t="str">
            <v>Списания для получения документации</v>
          </cell>
          <cell r="F286">
            <v>8.9007226816305734E-6</v>
          </cell>
          <cell r="G286">
            <v>222143.63633316359</v>
          </cell>
        </row>
        <row r="287">
          <cell r="E287" t="str">
            <v>Потери по приходу (логистические)</v>
          </cell>
          <cell r="F287">
            <v>1.4833956946270092E-4</v>
          </cell>
          <cell r="G287">
            <v>3702248.9691256736</v>
          </cell>
        </row>
        <row r="288">
          <cell r="E288" t="str">
            <v>Итого потери</v>
          </cell>
          <cell r="F288">
            <v>0</v>
          </cell>
          <cell r="G288">
            <v>0</v>
          </cell>
        </row>
        <row r="289">
          <cell r="E289" t="str">
            <v>Потери утиль</v>
          </cell>
          <cell r="F289">
            <v>3.5800158575058924E-4</v>
          </cell>
          <cell r="G289">
            <v>8934979.4299068805</v>
          </cell>
        </row>
        <row r="290">
          <cell r="E290" t="str">
            <v>Потери магазинов по приходу (местные поставщики)</v>
          </cell>
          <cell r="F290">
            <v>0</v>
          </cell>
          <cell r="G290">
            <v>0</v>
          </cell>
        </row>
        <row r="291">
          <cell r="E291" t="str">
            <v>Потери прямые</v>
          </cell>
          <cell r="F291">
            <v>1.0141592111994684E-3</v>
          </cell>
          <cell r="G291">
            <v>25311317.187937688</v>
          </cell>
        </row>
        <row r="292">
          <cell r="E292" t="str">
            <v>Списания материалов</v>
          </cell>
          <cell r="F292">
            <v>0</v>
          </cell>
          <cell r="G292">
            <v>0</v>
          </cell>
        </row>
        <row r="293">
          <cell r="E293" t="str">
            <v>Прочие списания</v>
          </cell>
          <cell r="F293">
            <v>0</v>
          </cell>
          <cell r="G293">
            <v>0</v>
          </cell>
        </row>
        <row r="294">
          <cell r="E294" t="str">
            <v>Списания для маркетинга/рекламы</v>
          </cell>
          <cell r="F294">
            <v>2.5168069314549461E-3</v>
          </cell>
          <cell r="G294">
            <v>5193.7775231587066</v>
          </cell>
        </row>
        <row r="295">
          <cell r="E295" t="str">
            <v>Потери (корректировки)</v>
          </cell>
          <cell r="F295">
            <v>0</v>
          </cell>
          <cell r="G295">
            <v>0</v>
          </cell>
        </row>
        <row r="296">
          <cell r="E296" t="str">
            <v>Списания для получения документации</v>
          </cell>
          <cell r="F296">
            <v>0</v>
          </cell>
          <cell r="G296">
            <v>0</v>
          </cell>
        </row>
        <row r="297">
          <cell r="E297" t="str">
            <v>Потери по приходу (логистические)</v>
          </cell>
          <cell r="F297">
            <v>0</v>
          </cell>
          <cell r="G297">
            <v>0</v>
          </cell>
        </row>
        <row r="298">
          <cell r="E298" t="str">
            <v>Итого потери</v>
          </cell>
          <cell r="F298">
            <v>0</v>
          </cell>
          <cell r="G298">
            <v>0</v>
          </cell>
        </row>
        <row r="299">
          <cell r="E299" t="str">
            <v>Потери утиль</v>
          </cell>
          <cell r="F299">
            <v>5.3638115585003719E-2</v>
          </cell>
          <cell r="G299">
            <v>110689.63440470723</v>
          </cell>
        </row>
        <row r="300">
          <cell r="E300" t="str">
            <v>Потери магазинов по приходу (местные поставщики)</v>
          </cell>
          <cell r="F300">
            <v>0</v>
          </cell>
          <cell r="G300">
            <v>0</v>
          </cell>
        </row>
        <row r="301">
          <cell r="E301" t="str">
            <v>Потери прямые</v>
          </cell>
          <cell r="F301">
            <v>-2.6555195982283973E-2</v>
          </cell>
          <cell r="G301">
            <v>-54800.302038317022</v>
          </cell>
        </row>
        <row r="302">
          <cell r="E302" t="str">
            <v>Списания материалов</v>
          </cell>
          <cell r="F302">
            <v>2.654169969084874E-5</v>
          </cell>
          <cell r="G302">
            <v>814611.32338281372</v>
          </cell>
        </row>
        <row r="303">
          <cell r="E303" t="str">
            <v>Прочие списания</v>
          </cell>
          <cell r="F303">
            <v>3.0596457349637678E-4</v>
          </cell>
          <cell r="G303">
            <v>9390589.4885125756</v>
          </cell>
        </row>
        <row r="304">
          <cell r="E304" t="str">
            <v>Списания для маркетинга/рекламы</v>
          </cell>
          <cell r="F304">
            <v>0</v>
          </cell>
          <cell r="G304">
            <v>0</v>
          </cell>
        </row>
        <row r="305">
          <cell r="E305" t="str">
            <v>Потери (корректировки)</v>
          </cell>
          <cell r="F305">
            <v>-2.7396715117582836E-5</v>
          </cell>
          <cell r="G305">
            <v>-840853.24671090906</v>
          </cell>
        </row>
        <row r="306">
          <cell r="E306" t="str">
            <v>Списания для получения документации</v>
          </cell>
          <cell r="F306">
            <v>0</v>
          </cell>
          <cell r="G306">
            <v>0</v>
          </cell>
        </row>
        <row r="307">
          <cell r="E307" t="str">
            <v>Потери по приходу (логистические)</v>
          </cell>
          <cell r="F307">
            <v>1.391932754931206E-2</v>
          </cell>
          <cell r="G307">
            <v>427208579.99359596</v>
          </cell>
        </row>
        <row r="308">
          <cell r="E308" t="str">
            <v>Итого потери</v>
          </cell>
          <cell r="F308">
            <v>0</v>
          </cell>
          <cell r="G308">
            <v>0</v>
          </cell>
        </row>
        <row r="309">
          <cell r="E309" t="str">
            <v>Потери утиль</v>
          </cell>
          <cell r="F309">
            <v>6.080950710114515E-4</v>
          </cell>
          <cell r="G309">
            <v>18663504.459362078</v>
          </cell>
        </row>
        <row r="310">
          <cell r="E310" t="str">
            <v>Потери магазинов по приходу (местные поставщики)</v>
          </cell>
          <cell r="F310">
            <v>7.324736053104324E-4</v>
          </cell>
          <cell r="G310">
            <v>22480899.863795862</v>
          </cell>
        </row>
        <row r="311">
          <cell r="E311" t="str">
            <v>Потери прямые</v>
          </cell>
          <cell r="F311">
            <v>4.2563534458592723E-3</v>
          </cell>
          <cell r="G311">
            <v>130634953.81616029</v>
          </cell>
        </row>
        <row r="312">
          <cell r="E312" t="str">
            <v>Списания материалов</v>
          </cell>
          <cell r="F312">
            <v>0</v>
          </cell>
          <cell r="G312">
            <v>0</v>
          </cell>
        </row>
        <row r="313">
          <cell r="E313" t="str">
            <v>Прочие списания</v>
          </cell>
          <cell r="F313">
            <v>4.2764265008536185E-5</v>
          </cell>
          <cell r="G313">
            <v>288382.37588479754</v>
          </cell>
        </row>
        <row r="314">
          <cell r="E314" t="str">
            <v>Списания для маркетинга/рекламы</v>
          </cell>
          <cell r="F314">
            <v>1.4147851588210732E-5</v>
          </cell>
          <cell r="G314">
            <v>95406.551564941168</v>
          </cell>
        </row>
        <row r="315">
          <cell r="E315" t="str">
            <v>Потери (корректировки)</v>
          </cell>
          <cell r="F315">
            <v>0</v>
          </cell>
          <cell r="G315">
            <v>0</v>
          </cell>
        </row>
        <row r="316">
          <cell r="E316" t="str">
            <v>Списания для получения документации</v>
          </cell>
          <cell r="F316">
            <v>5.2838283992551487E-6</v>
          </cell>
          <cell r="G316">
            <v>35631.688916917141</v>
          </cell>
        </row>
        <row r="317">
          <cell r="E317" t="str">
            <v>Потери по приходу (логистические)</v>
          </cell>
          <cell r="F317">
            <v>5.3073395223273544E-3</v>
          </cell>
          <cell r="G317">
            <v>35790237.030159101</v>
          </cell>
        </row>
        <row r="318">
          <cell r="E318" t="str">
            <v>Итого потери</v>
          </cell>
          <cell r="F318">
            <v>0</v>
          </cell>
          <cell r="G318">
            <v>0</v>
          </cell>
        </row>
        <row r="319">
          <cell r="E319" t="str">
            <v>Потери утиль</v>
          </cell>
          <cell r="F319">
            <v>1.2810627485495395E-2</v>
          </cell>
          <cell r="G319">
            <v>86388932.210218504</v>
          </cell>
        </row>
        <row r="320">
          <cell r="E320" t="str">
            <v>Потери магазинов по приходу (местные поставщики)</v>
          </cell>
          <cell r="F320">
            <v>2.4741993307692087E-4</v>
          </cell>
          <cell r="G320">
            <v>1668485.3142626805</v>
          </cell>
        </row>
        <row r="321">
          <cell r="E321" t="str">
            <v>Потери прямые</v>
          </cell>
          <cell r="F321">
            <v>6.4800297431226676E-3</v>
          </cell>
          <cell r="G321">
            <v>43698316.170121297</v>
          </cell>
        </row>
        <row r="322">
          <cell r="E322" t="str">
            <v>Списания материалов</v>
          </cell>
          <cell r="F322">
            <v>1.8141487074240973E-4</v>
          </cell>
          <cell r="G322">
            <v>85463.36687739598</v>
          </cell>
        </row>
        <row r="323">
          <cell r="E323" t="str">
            <v>Прочие списания</v>
          </cell>
          <cell r="F323">
            <v>1.1854867938226449E-3</v>
          </cell>
          <cell r="G323">
            <v>558475.12595938367</v>
          </cell>
        </row>
        <row r="324">
          <cell r="E324" t="str">
            <v>Списания для маркетинга/рекламы</v>
          </cell>
          <cell r="F324">
            <v>6.6371823611461093E-4</v>
          </cell>
          <cell r="G324">
            <v>312673.34857473033</v>
          </cell>
        </row>
        <row r="325">
          <cell r="E325" t="str">
            <v>Потери (корректировки)</v>
          </cell>
          <cell r="F325">
            <v>-5.5241809576775532E-4</v>
          </cell>
          <cell r="G325">
            <v>-260240.57562154083</v>
          </cell>
        </row>
        <row r="326">
          <cell r="E326" t="str">
            <v>Списания для получения документации</v>
          </cell>
          <cell r="F326">
            <v>0</v>
          </cell>
          <cell r="G326">
            <v>0</v>
          </cell>
        </row>
        <row r="327">
          <cell r="E327" t="str">
            <v>Потери по приходу (логистические)</v>
          </cell>
          <cell r="F327">
            <v>8.9833273296608047E-4</v>
          </cell>
          <cell r="G327">
            <v>423198.7136515716</v>
          </cell>
        </row>
        <row r="328">
          <cell r="E328" t="str">
            <v>Итого потери</v>
          </cell>
          <cell r="F328">
            <v>0</v>
          </cell>
          <cell r="G328">
            <v>0</v>
          </cell>
        </row>
        <row r="329">
          <cell r="E329" t="str">
            <v>Потери утиль</v>
          </cell>
          <cell r="F329">
            <v>4.9497833969325777E-4</v>
          </cell>
          <cell r="G329">
            <v>233181.07974530046</v>
          </cell>
        </row>
        <row r="330">
          <cell r="E330" t="str">
            <v>Потери магазинов по приходу (местные поставщики)</v>
          </cell>
          <cell r="F330">
            <v>1.5675513949583008E-6</v>
          </cell>
          <cell r="G330">
            <v>738.46327711864399</v>
          </cell>
        </row>
        <row r="331">
          <cell r="E331" t="str">
            <v>Потери прямые</v>
          </cell>
          <cell r="F331">
            <v>1.8236504840206641E-2</v>
          </cell>
          <cell r="G331">
            <v>8591098.9399153013</v>
          </cell>
        </row>
        <row r="332">
          <cell r="E332" t="str">
            <v>Списания материалов</v>
          </cell>
          <cell r="F332">
            <v>6.8249272193925433E-6</v>
          </cell>
          <cell r="G332">
            <v>179180.1663800579</v>
          </cell>
        </row>
        <row r="333">
          <cell r="E333" t="str">
            <v>Прочие списания</v>
          </cell>
          <cell r="F333">
            <v>4.0942490242740318E-6</v>
          </cell>
          <cell r="G333">
            <v>107489.53033320494</v>
          </cell>
        </row>
        <row r="334">
          <cell r="E334" t="str">
            <v>Списания для маркетинга/рекламы</v>
          </cell>
          <cell r="F334">
            <v>0</v>
          </cell>
          <cell r="G334">
            <v>0</v>
          </cell>
        </row>
        <row r="335">
          <cell r="E335" t="str">
            <v>Потери (корректировки)</v>
          </cell>
          <cell r="F335">
            <v>0</v>
          </cell>
          <cell r="G335">
            <v>0</v>
          </cell>
        </row>
        <row r="336">
          <cell r="E336" t="str">
            <v>Списания для получения документации</v>
          </cell>
          <cell r="F336">
            <v>7.2747212684558651E-6</v>
          </cell>
          <cell r="G336">
            <v>190988.96227738608</v>
          </cell>
        </row>
        <row r="337">
          <cell r="E337" t="str">
            <v>Потери по приходу (логистические)</v>
          </cell>
          <cell r="F337">
            <v>-6.6005517970069085E-4</v>
          </cell>
          <cell r="G337">
            <v>-17328946.246157244</v>
          </cell>
        </row>
        <row r="338">
          <cell r="E338" t="str">
            <v>Итого потери</v>
          </cell>
          <cell r="F338">
            <v>0</v>
          </cell>
          <cell r="G338">
            <v>0</v>
          </cell>
        </row>
        <row r="339">
          <cell r="E339" t="str">
            <v>Потери утиль</v>
          </cell>
          <cell r="F339">
            <v>4.1418499416434628E-4</v>
          </cell>
          <cell r="G339">
            <v>10873923.454541441</v>
          </cell>
        </row>
        <row r="340">
          <cell r="E340" t="str">
            <v>Потери магазинов по приходу (местные поставщики)</v>
          </cell>
          <cell r="F340">
            <v>0</v>
          </cell>
          <cell r="G340">
            <v>0</v>
          </cell>
        </row>
        <row r="341">
          <cell r="E341" t="str">
            <v>Потери прямые</v>
          </cell>
          <cell r="F341">
            <v>1.139549716711998E-3</v>
          </cell>
          <cell r="G341">
            <v>29917492.344625652</v>
          </cell>
        </row>
        <row r="342">
          <cell r="E342" t="str">
            <v>Списания материалов</v>
          </cell>
          <cell r="F342">
            <v>0</v>
          </cell>
          <cell r="G342">
            <v>0</v>
          </cell>
        </row>
        <row r="343">
          <cell r="E343" t="str">
            <v>Прочие списания</v>
          </cell>
          <cell r="F343">
            <v>0</v>
          </cell>
          <cell r="G343">
            <v>0</v>
          </cell>
        </row>
        <row r="344">
          <cell r="E344" t="str">
            <v>Списания для маркетинга/рекламы</v>
          </cell>
          <cell r="F344">
            <v>5.0041387364752913E-3</v>
          </cell>
          <cell r="G344">
            <v>11799.247548489984</v>
          </cell>
        </row>
        <row r="345">
          <cell r="E345" t="str">
            <v>Потери (корректировки)</v>
          </cell>
          <cell r="F345">
            <v>0</v>
          </cell>
          <cell r="G345">
            <v>0</v>
          </cell>
        </row>
        <row r="346">
          <cell r="E346" t="str">
            <v>Списания для получения документации</v>
          </cell>
          <cell r="F346">
            <v>0</v>
          </cell>
          <cell r="G346">
            <v>0</v>
          </cell>
        </row>
        <row r="347">
          <cell r="E347" t="str">
            <v>Потери по приходу (логистические)</v>
          </cell>
          <cell r="F347">
            <v>0</v>
          </cell>
          <cell r="G347">
            <v>0</v>
          </cell>
        </row>
        <row r="348">
          <cell r="E348" t="str">
            <v>Итого потери</v>
          </cell>
          <cell r="F348">
            <v>0</v>
          </cell>
          <cell r="G348">
            <v>0</v>
          </cell>
        </row>
        <row r="349">
          <cell r="E349" t="str">
            <v>Потери утиль</v>
          </cell>
          <cell r="F349">
            <v>5.3402321919582205E-2</v>
          </cell>
          <cell r="G349">
            <v>125917.21556407622</v>
          </cell>
        </row>
        <row r="350">
          <cell r="E350" t="str">
            <v>Потери магазинов по приходу (местные поставщики)</v>
          </cell>
          <cell r="F350">
            <v>0</v>
          </cell>
          <cell r="G350">
            <v>0</v>
          </cell>
        </row>
        <row r="351">
          <cell r="E351" t="str">
            <v>Потери прямые</v>
          </cell>
          <cell r="F351">
            <v>-1.3188896125080871E-2</v>
          </cell>
          <cell r="G351">
            <v>-31098.068711972035</v>
          </cell>
        </row>
        <row r="352">
          <cell r="E352" t="str">
            <v>Списания материалов</v>
          </cell>
          <cell r="F352">
            <v>2.7168205984496114E-5</v>
          </cell>
          <cell r="G352">
            <v>825661.37554139004</v>
          </cell>
        </row>
        <row r="353">
          <cell r="E353" t="str">
            <v>Прочие списания</v>
          </cell>
          <cell r="F353">
            <v>2.4162568820547024E-4</v>
          </cell>
          <cell r="G353">
            <v>7343178.9424635321</v>
          </cell>
        </row>
        <row r="354">
          <cell r="E354" t="str">
            <v>Списания для маркетинга/рекламы</v>
          </cell>
          <cell r="F354">
            <v>0</v>
          </cell>
          <cell r="G354">
            <v>0</v>
          </cell>
        </row>
        <row r="355">
          <cell r="E355" t="str">
            <v>Потери (корректировки)</v>
          </cell>
          <cell r="F355">
            <v>1.1906668841533435E-5</v>
          </cell>
          <cell r="G355">
            <v>361852.25404380477</v>
          </cell>
        </row>
        <row r="356">
          <cell r="E356" t="str">
            <v>Списания для получения документации</v>
          </cell>
          <cell r="F356">
            <v>0</v>
          </cell>
          <cell r="G356">
            <v>0</v>
          </cell>
        </row>
        <row r="357">
          <cell r="E357" t="str">
            <v>Потери по приходу (логистические)</v>
          </cell>
          <cell r="F357">
            <v>1.3067650391700759E-2</v>
          </cell>
          <cell r="G357">
            <v>397135320.73714304</v>
          </cell>
        </row>
        <row r="358">
          <cell r="E358" t="str">
            <v>Итого потери</v>
          </cell>
          <cell r="F358">
            <v>0</v>
          </cell>
          <cell r="G358">
            <v>0</v>
          </cell>
        </row>
        <row r="359">
          <cell r="E359" t="str">
            <v>Потери утиль</v>
          </cell>
          <cell r="F359">
            <v>5.5191818961532408E-4</v>
          </cell>
          <cell r="G359">
            <v>16773191.865673864</v>
          </cell>
        </row>
        <row r="360">
          <cell r="E360" t="str">
            <v>Потери магазинов по приходу (местные поставщики)</v>
          </cell>
          <cell r="F360">
            <v>7.6905736697891489E-4</v>
          </cell>
          <cell r="G360">
            <v>23372208.082212366</v>
          </cell>
        </row>
        <row r="361">
          <cell r="E361" t="str">
            <v>Потери прямые</v>
          </cell>
          <cell r="F361">
            <v>4.3324359605794709E-3</v>
          </cell>
          <cell r="G361">
            <v>131665853.70776275</v>
          </cell>
        </row>
        <row r="362">
          <cell r="E362" t="str">
            <v>Списания материалов</v>
          </cell>
          <cell r="F362">
            <v>0</v>
          </cell>
          <cell r="G362">
            <v>0</v>
          </cell>
        </row>
        <row r="363">
          <cell r="E363" t="str">
            <v>Прочие списания</v>
          </cell>
          <cell r="F363">
            <v>3.5922968860904197E-5</v>
          </cell>
          <cell r="G363">
            <v>248111.09963169013</v>
          </cell>
        </row>
        <row r="364">
          <cell r="E364" t="str">
            <v>Списания для маркетинга/рекламы</v>
          </cell>
          <cell r="F364">
            <v>1.4662998585799224E-5</v>
          </cell>
          <cell r="G364">
            <v>101273.72036279384</v>
          </cell>
        </row>
        <row r="365">
          <cell r="E365" t="str">
            <v>Потери (корректировки)</v>
          </cell>
          <cell r="F365">
            <v>0</v>
          </cell>
          <cell r="G365">
            <v>0</v>
          </cell>
        </row>
        <row r="366">
          <cell r="E366" t="str">
            <v>Списания для получения документации</v>
          </cell>
          <cell r="F366">
            <v>3.9982788360739919E-6</v>
          </cell>
          <cell r="G366">
            <v>27615.127315717709</v>
          </cell>
        </row>
        <row r="367">
          <cell r="E367" t="str">
            <v>Потери по приходу (логистические)</v>
          </cell>
          <cell r="F367">
            <v>4.8033163237782969E-3</v>
          </cell>
          <cell r="G367">
            <v>33175322.99699473</v>
          </cell>
        </row>
        <row r="368">
          <cell r="E368" t="str">
            <v>Итого потери</v>
          </cell>
          <cell r="F368">
            <v>0</v>
          </cell>
          <cell r="G368">
            <v>0</v>
          </cell>
        </row>
        <row r="369">
          <cell r="E369" t="str">
            <v>Потери утиль</v>
          </cell>
          <cell r="F369">
            <v>1.1496580975526419E-2</v>
          </cell>
          <cell r="G369">
            <v>79404053.681849048</v>
          </cell>
        </row>
        <row r="370">
          <cell r="E370" t="str">
            <v>Потери магазинов по приходу (местные поставщики)</v>
          </cell>
          <cell r="F370">
            <v>3.623242535316247E-4</v>
          </cell>
          <cell r="G370">
            <v>2502484.394178214</v>
          </cell>
        </row>
        <row r="371">
          <cell r="E371" t="str">
            <v>Потери прямые</v>
          </cell>
          <cell r="F371">
            <v>7.2562254652908994E-3</v>
          </cell>
          <cell r="G371">
            <v>50116962.390827343</v>
          </cell>
        </row>
        <row r="372">
          <cell r="E372" t="str">
            <v>Списания материалов</v>
          </cell>
          <cell r="F372">
            <v>1.8228734841029351E-4</v>
          </cell>
          <cell r="G372">
            <v>96218.580465808918</v>
          </cell>
        </row>
        <row r="373">
          <cell r="E373" t="str">
            <v>Прочие списания</v>
          </cell>
          <cell r="F373">
            <v>1.0102087182019151E-3</v>
          </cell>
          <cell r="G373">
            <v>533228.71656892158</v>
          </cell>
        </row>
        <row r="374">
          <cell r="E374" t="str">
            <v>Списания для маркетинга/рекламы</v>
          </cell>
          <cell r="F374">
            <v>1.4125176736297539E-4</v>
          </cell>
          <cell r="G374">
            <v>74558.353404545458</v>
          </cell>
        </row>
        <row r="375">
          <cell r="E375" t="str">
            <v>Потери (корректировки)</v>
          </cell>
          <cell r="F375">
            <v>-5.6508753536132442E-4</v>
          </cell>
          <cell r="G375">
            <v>-298275.88675550086</v>
          </cell>
        </row>
        <row r="376">
          <cell r="E376" t="str">
            <v>Списания для получения документации</v>
          </cell>
          <cell r="F376">
            <v>0</v>
          </cell>
          <cell r="G376">
            <v>0</v>
          </cell>
        </row>
        <row r="377">
          <cell r="E377" t="str">
            <v>Потери по приходу (логистические)</v>
          </cell>
          <cell r="F377">
            <v>1.0672443856728695E-3</v>
          </cell>
          <cell r="G377">
            <v>563334.43157237303</v>
          </cell>
        </row>
        <row r="378">
          <cell r="E378" t="str">
            <v>Итого потери</v>
          </cell>
          <cell r="F378">
            <v>0</v>
          </cell>
          <cell r="G378">
            <v>0</v>
          </cell>
        </row>
        <row r="379">
          <cell r="E379" t="str">
            <v>Потери утиль</v>
          </cell>
          <cell r="F379">
            <v>5.0658500890734572E-4</v>
          </cell>
          <cell r="G379">
            <v>267395.90469335904</v>
          </cell>
        </row>
        <row r="380">
          <cell r="E380" t="str">
            <v>Потери магазинов по приходу (местные поставщики)</v>
          </cell>
          <cell r="F380">
            <v>1.2831378683158994E-6</v>
          </cell>
          <cell r="G380">
            <v>677.29167881355932</v>
          </cell>
        </row>
        <row r="381">
          <cell r="E381" t="str">
            <v>Потери прямые</v>
          </cell>
          <cell r="F381">
            <v>7.9527837732340755E-3</v>
          </cell>
          <cell r="G381">
            <v>4197798.5421663653</v>
          </cell>
        </row>
        <row r="382">
          <cell r="E382" t="str">
            <v>Списания материалов</v>
          </cell>
          <cell r="F382">
            <v>4.9319771221918515E-6</v>
          </cell>
          <cell r="G382">
            <v>126892.09515832049</v>
          </cell>
        </row>
        <row r="383">
          <cell r="E383" t="str">
            <v>Прочие списания</v>
          </cell>
          <cell r="F383">
            <v>8.4953733733376484E-6</v>
          </cell>
          <cell r="G383">
            <v>218572.73458234209</v>
          </cell>
        </row>
        <row r="384">
          <cell r="E384" t="str">
            <v>Списания для маркетинга/рекламы</v>
          </cell>
          <cell r="F384">
            <v>0</v>
          </cell>
          <cell r="G384">
            <v>0</v>
          </cell>
        </row>
        <row r="385">
          <cell r="E385" t="str">
            <v>Потери (корректировки)</v>
          </cell>
          <cell r="F385">
            <v>0</v>
          </cell>
          <cell r="G385">
            <v>0</v>
          </cell>
        </row>
        <row r="386">
          <cell r="E386" t="str">
            <v>Списания для получения документации</v>
          </cell>
          <cell r="F386">
            <v>8.6748876572150559E-6</v>
          </cell>
          <cell r="G386">
            <v>223191.35770805652</v>
          </cell>
        </row>
        <row r="387">
          <cell r="E387" t="str">
            <v>Потери по приходу (логистические)</v>
          </cell>
          <cell r="F387">
            <v>2.505245671951289E-3</v>
          </cell>
          <cell r="G387">
            <v>64456071.941172212</v>
          </cell>
        </row>
        <row r="388">
          <cell r="E388" t="str">
            <v>Итого потери</v>
          </cell>
          <cell r="F388">
            <v>0</v>
          </cell>
          <cell r="G388">
            <v>0</v>
          </cell>
        </row>
        <row r="389">
          <cell r="E389" t="str">
            <v>Потери утиль</v>
          </cell>
          <cell r="F389">
            <v>4.6436462801845873E-4</v>
          </cell>
          <cell r="G389">
            <v>11947379.135548277</v>
          </cell>
        </row>
        <row r="390">
          <cell r="E390" t="str">
            <v>Потери магазинов по приходу (местные поставщики)</v>
          </cell>
          <cell r="F390">
            <v>0</v>
          </cell>
          <cell r="G390">
            <v>0</v>
          </cell>
        </row>
        <row r="391">
          <cell r="E391" t="str">
            <v>Потери прямые</v>
          </cell>
          <cell r="F391">
            <v>6.1717854239420422E-4</v>
          </cell>
          <cell r="G391">
            <v>15879043.310799947</v>
          </cell>
        </row>
        <row r="392">
          <cell r="E392" t="str">
            <v>Списания материалов</v>
          </cell>
          <cell r="F392">
            <v>0</v>
          </cell>
          <cell r="G392">
            <v>0</v>
          </cell>
        </row>
        <row r="393">
          <cell r="E393" t="str">
            <v>Прочие списания</v>
          </cell>
          <cell r="F393">
            <v>5.9896644710591422E-5</v>
          </cell>
          <cell r="G393">
            <v>151.82727249454547</v>
          </cell>
        </row>
        <row r="394">
          <cell r="E394" t="str">
            <v>Списания для маркетинга/рекламы</v>
          </cell>
          <cell r="F394">
            <v>2.3076763524743577E-3</v>
          </cell>
          <cell r="G394">
            <v>5849.5464660708794</v>
          </cell>
        </row>
        <row r="395">
          <cell r="E395" t="str">
            <v>Потери (корректировки)</v>
          </cell>
          <cell r="F395">
            <v>0</v>
          </cell>
          <cell r="G395">
            <v>0</v>
          </cell>
        </row>
        <row r="396">
          <cell r="E396" t="str">
            <v>Списания для получения документации</v>
          </cell>
          <cell r="F396">
            <v>0</v>
          </cell>
          <cell r="G396">
            <v>0</v>
          </cell>
        </row>
        <row r="397">
          <cell r="E397" t="str">
            <v>Потери по приходу (логистические)</v>
          </cell>
          <cell r="F397">
            <v>0</v>
          </cell>
          <cell r="G397">
            <v>0</v>
          </cell>
        </row>
        <row r="398">
          <cell r="E398" t="str">
            <v>Итого потери</v>
          </cell>
          <cell r="F398">
            <v>0</v>
          </cell>
          <cell r="G398">
            <v>0</v>
          </cell>
        </row>
        <row r="399">
          <cell r="E399" t="str">
            <v>Потери утиль</v>
          </cell>
          <cell r="F399">
            <v>4.6916689099650757E-2</v>
          </cell>
          <cell r="G399">
            <v>118925.40850814899</v>
          </cell>
        </row>
        <row r="400">
          <cell r="E400" t="str">
            <v>Потери магазинов по приходу (местные поставщики)</v>
          </cell>
          <cell r="F400">
            <v>0</v>
          </cell>
          <cell r="G400">
            <v>0</v>
          </cell>
        </row>
        <row r="401">
          <cell r="E401" t="str">
            <v>Потери прямые</v>
          </cell>
          <cell r="F401">
            <v>-5.8587782649443965E-3</v>
          </cell>
          <cell r="G401">
            <v>-14850.954146343702</v>
          </cell>
        </row>
        <row r="402">
          <cell r="E402" t="str">
            <v>Списания материалов</v>
          </cell>
          <cell r="F402">
            <v>2.8606092618761731E-5</v>
          </cell>
          <cell r="G402">
            <v>835503.36233420344</v>
          </cell>
        </row>
        <row r="403">
          <cell r="E403" t="str">
            <v>Прочие списания</v>
          </cell>
          <cell r="F403">
            <v>2.7039999893205177E-4</v>
          </cell>
          <cell r="G403">
            <v>7897622.065822483</v>
          </cell>
        </row>
        <row r="404">
          <cell r="E404" t="str">
            <v>Списания для маркетинга/рекламы</v>
          </cell>
          <cell r="F404">
            <v>0</v>
          </cell>
          <cell r="G404">
            <v>0</v>
          </cell>
        </row>
        <row r="405">
          <cell r="E405" t="str">
            <v>Потери (корректировки)</v>
          </cell>
          <cell r="F405">
            <v>1.4133064628010392E-5</v>
          </cell>
          <cell r="G405">
            <v>412786.99520970869</v>
          </cell>
        </row>
        <row r="406">
          <cell r="E406" t="str">
            <v>Списания для получения документации</v>
          </cell>
          <cell r="F406">
            <v>0</v>
          </cell>
          <cell r="G406">
            <v>0</v>
          </cell>
        </row>
        <row r="407">
          <cell r="E407" t="str">
            <v>Потери по приходу (логистические)</v>
          </cell>
          <cell r="F407">
            <v>1.2242326377239019E-2</v>
          </cell>
          <cell r="G407">
            <v>357563858.41621</v>
          </cell>
        </row>
        <row r="408">
          <cell r="E408" t="str">
            <v>Итого потери</v>
          </cell>
          <cell r="F408">
            <v>0</v>
          </cell>
          <cell r="G408">
            <v>0</v>
          </cell>
        </row>
        <row r="409">
          <cell r="E409" t="str">
            <v>Потери утиль</v>
          </cell>
          <cell r="F409">
            <v>6.1343129661024602E-4</v>
          </cell>
          <cell r="G409">
            <v>17916599.715640444</v>
          </cell>
        </row>
        <row r="410">
          <cell r="E410" t="str">
            <v>Потери магазинов по приходу (местные поставщики)</v>
          </cell>
          <cell r="F410">
            <v>6.6424882341708255E-4</v>
          </cell>
          <cell r="G410">
            <v>19400836.48570437</v>
          </cell>
        </row>
        <row r="411">
          <cell r="E411" t="str">
            <v>Потери прямые</v>
          </cell>
          <cell r="F411">
            <v>4.2472166172586381E-3</v>
          </cell>
          <cell r="G411">
            <v>124049230.05646411</v>
          </cell>
        </row>
        <row r="412">
          <cell r="E412" t="str">
            <v>Списания материалов</v>
          </cell>
          <cell r="F412">
            <v>0</v>
          </cell>
          <cell r="G412">
            <v>0</v>
          </cell>
        </row>
        <row r="413">
          <cell r="E413" t="str">
            <v>Прочие списания</v>
          </cell>
          <cell r="F413">
            <v>2.0683275851986227E-5</v>
          </cell>
          <cell r="G413">
            <v>132248.06360387555</v>
          </cell>
        </row>
        <row r="414">
          <cell r="E414" t="str">
            <v>Списания для маркетинга/рекламы</v>
          </cell>
          <cell r="F414">
            <v>1.5892350381771384E-5</v>
          </cell>
          <cell r="G414">
            <v>101615.07196171477</v>
          </cell>
        </row>
        <row r="415">
          <cell r="E415" t="str">
            <v>Потери (корректировки)</v>
          </cell>
          <cell r="F415">
            <v>0</v>
          </cell>
          <cell r="G415">
            <v>0</v>
          </cell>
        </row>
        <row r="416">
          <cell r="E416" t="str">
            <v>Списания для получения документации</v>
          </cell>
          <cell r="F416">
            <v>4.3937652151045009E-6</v>
          </cell>
          <cell r="G416">
            <v>28093.56437470884</v>
          </cell>
        </row>
        <row r="417">
          <cell r="E417" t="str">
            <v>Потери по приходу (логистические)</v>
          </cell>
          <cell r="F417">
            <v>5.1632276586083504E-3</v>
          </cell>
          <cell r="G417">
            <v>33013477.395136818</v>
          </cell>
        </row>
        <row r="418">
          <cell r="E418" t="str">
            <v>Итого потери</v>
          </cell>
          <cell r="F418">
            <v>0</v>
          </cell>
          <cell r="G418">
            <v>0</v>
          </cell>
        </row>
        <row r="419">
          <cell r="E419" t="str">
            <v>Потери утиль</v>
          </cell>
          <cell r="F419">
            <v>1.1932499986798142E-2</v>
          </cell>
          <cell r="G419">
            <v>76295942.117688462</v>
          </cell>
        </row>
        <row r="420">
          <cell r="E420" t="str">
            <v>Потери магазинов по приходу (местные поставщики)</v>
          </cell>
          <cell r="F420">
            <v>2.7902958021373814E-4</v>
          </cell>
          <cell r="G420">
            <v>1784104.3138205546</v>
          </cell>
        </row>
        <row r="421">
          <cell r="E421" t="str">
            <v>Потери прямые</v>
          </cell>
          <cell r="F421">
            <v>8.5117063592565698E-3</v>
          </cell>
          <cell r="G421">
            <v>54423520.337489352</v>
          </cell>
        </row>
        <row r="422">
          <cell r="E422" t="str">
            <v>Списания материалов</v>
          </cell>
          <cell r="F422">
            <v>2.0448236046205587E-4</v>
          </cell>
          <cell r="G422">
            <v>107424.33061770421</v>
          </cell>
        </row>
        <row r="423">
          <cell r="E423" t="str">
            <v>Прочие списания</v>
          </cell>
          <cell r="F423">
            <v>6.2404922799163057E-4</v>
          </cell>
          <cell r="G423">
            <v>327842.80481707223</v>
          </cell>
        </row>
        <row r="424">
          <cell r="E424" t="str">
            <v>Списания для маркетинга/рекламы</v>
          </cell>
          <cell r="F424">
            <v>3.2835123255716255E-4</v>
          </cell>
          <cell r="G424">
            <v>172498.55334830517</v>
          </cell>
        </row>
        <row r="425">
          <cell r="E425" t="str">
            <v>Потери (корректировки)</v>
          </cell>
          <cell r="F425">
            <v>-2.4250135948508078E-4</v>
          </cell>
          <cell r="G425">
            <v>-127397.52298292764</v>
          </cell>
        </row>
        <row r="426">
          <cell r="E426" t="str">
            <v>Списания для получения документации</v>
          </cell>
          <cell r="F426">
            <v>0</v>
          </cell>
          <cell r="G426">
            <v>0</v>
          </cell>
        </row>
        <row r="427">
          <cell r="E427" t="str">
            <v>Потери по приходу (логистические)</v>
          </cell>
          <cell r="F427">
            <v>1.0199875402564819E-3</v>
          </cell>
          <cell r="G427">
            <v>535848.07267902931</v>
          </cell>
        </row>
        <row r="428">
          <cell r="E428" t="str">
            <v>Итого потери</v>
          </cell>
          <cell r="F428">
            <v>0</v>
          </cell>
          <cell r="G428">
            <v>0</v>
          </cell>
        </row>
        <row r="429">
          <cell r="E429" t="str">
            <v>Потери утиль</v>
          </cell>
          <cell r="F429">
            <v>9.0750399771192137E-4</v>
          </cell>
          <cell r="G429">
            <v>476755.10624391376</v>
          </cell>
        </row>
        <row r="430">
          <cell r="E430" t="str">
            <v>Потери магазинов по приходу (местные поставщики)</v>
          </cell>
          <cell r="F430">
            <v>2.6855823306629674E-6</v>
          </cell>
          <cell r="G430">
            <v>1410.8644067796608</v>
          </cell>
        </row>
        <row r="431">
          <cell r="E431" t="str">
            <v>Потери прямые</v>
          </cell>
          <cell r="F431">
            <v>5.6780220032314425E-3</v>
          </cell>
          <cell r="G431">
            <v>2982935.6016404089</v>
          </cell>
        </row>
        <row r="432">
          <cell r="E432" t="str">
            <v>Списания материалов</v>
          </cell>
          <cell r="F432">
            <v>6.4602132785139267E-6</v>
          </cell>
          <cell r="G432">
            <v>161188.55578363792</v>
          </cell>
        </row>
        <row r="433">
          <cell r="E433" t="str">
            <v>Прочие списания</v>
          </cell>
          <cell r="F433">
            <v>1.5665312796272193E-7</v>
          </cell>
          <cell r="G433">
            <v>3908.6467221263483</v>
          </cell>
        </row>
        <row r="434">
          <cell r="E434" t="str">
            <v>Списания для маркетинга/рекламы</v>
          </cell>
          <cell r="F434">
            <v>0</v>
          </cell>
          <cell r="G434">
            <v>0</v>
          </cell>
        </row>
        <row r="435">
          <cell r="E435" t="str">
            <v>Потери (корректировки)</v>
          </cell>
          <cell r="F435">
            <v>0</v>
          </cell>
          <cell r="G435">
            <v>0</v>
          </cell>
        </row>
        <row r="436">
          <cell r="E436" t="str">
            <v>Списания для получения документации</v>
          </cell>
          <cell r="F436">
            <v>7.847412072480411E-6</v>
          </cell>
          <cell r="G436">
            <v>195800.50442129927</v>
          </cell>
        </row>
        <row r="437">
          <cell r="E437" t="str">
            <v>Потери по приходу (логистические)</v>
          </cell>
          <cell r="F437">
            <v>2.5806678797604546E-4</v>
          </cell>
          <cell r="G437">
            <v>6439015.4095887542</v>
          </cell>
        </row>
        <row r="438">
          <cell r="E438" t="str">
            <v>Итого потери</v>
          </cell>
          <cell r="F438">
            <v>0</v>
          </cell>
          <cell r="G438">
            <v>0</v>
          </cell>
        </row>
        <row r="439">
          <cell r="E439" t="str">
            <v>Потери утиль</v>
          </cell>
          <cell r="F439">
            <v>2.9121573366709051E-4</v>
          </cell>
          <cell r="G439">
            <v>7266113.5952571575</v>
          </cell>
        </row>
        <row r="440">
          <cell r="E440" t="str">
            <v>Потери магазинов по приходу (местные поставщики)</v>
          </cell>
          <cell r="F440">
            <v>0</v>
          </cell>
          <cell r="G440">
            <v>0</v>
          </cell>
        </row>
        <row r="441">
          <cell r="E441" t="str">
            <v>Потери прямые</v>
          </cell>
          <cell r="F441">
            <v>7.6424363666857654E-4</v>
          </cell>
          <cell r="G441">
            <v>19068616.27481446</v>
          </cell>
        </row>
        <row r="442">
          <cell r="E442" t="str">
            <v>Списания материалов</v>
          </cell>
          <cell r="F442">
            <v>0</v>
          </cell>
          <cell r="G442">
            <v>0</v>
          </cell>
        </row>
        <row r="443">
          <cell r="E443" t="str">
            <v>Прочие списания</v>
          </cell>
          <cell r="F443">
            <v>4.327803062173996E-4</v>
          </cell>
          <cell r="G443">
            <v>937.21818181818173</v>
          </cell>
        </row>
        <row r="444">
          <cell r="E444" t="str">
            <v>Списания для маркетинга/рекламы</v>
          </cell>
          <cell r="F444">
            <v>2.4061782189675664E-3</v>
          </cell>
          <cell r="G444">
            <v>5210.7592307550067</v>
          </cell>
        </row>
        <row r="445">
          <cell r="E445" t="str">
            <v>Потери (корректировки)</v>
          </cell>
          <cell r="F445">
            <v>0</v>
          </cell>
          <cell r="G445">
            <v>0</v>
          </cell>
        </row>
        <row r="446">
          <cell r="E446" t="str">
            <v>Списания для получения документации</v>
          </cell>
          <cell r="F446">
            <v>0</v>
          </cell>
          <cell r="G446">
            <v>0</v>
          </cell>
        </row>
        <row r="447">
          <cell r="E447" t="str">
            <v>Потери по приходу (логистические)</v>
          </cell>
          <cell r="F447">
            <v>0</v>
          </cell>
          <cell r="G447">
            <v>0</v>
          </cell>
        </row>
        <row r="448">
          <cell r="E448" t="str">
            <v>Итого потери</v>
          </cell>
          <cell r="F448">
            <v>0</v>
          </cell>
          <cell r="G448">
            <v>0</v>
          </cell>
        </row>
        <row r="449">
          <cell r="E449" t="str">
            <v>Потери утиль</v>
          </cell>
          <cell r="F449">
            <v>4.2696671719157885E-2</v>
          </cell>
          <cell r="G449">
            <v>92462.841916414618</v>
          </cell>
        </row>
        <row r="450">
          <cell r="E450" t="str">
            <v>Потери магазинов по приходу (местные поставщики)</v>
          </cell>
          <cell r="F450">
            <v>0</v>
          </cell>
          <cell r="G450">
            <v>0</v>
          </cell>
        </row>
        <row r="451">
          <cell r="E451" t="str">
            <v>Потери прямые</v>
          </cell>
          <cell r="F451">
            <v>-2.3673254626452901E-2</v>
          </cell>
          <cell r="G451">
            <v>-51266.206756593478</v>
          </cell>
        </row>
        <row r="452">
          <cell r="E452" t="str">
            <v>Списания материалов</v>
          </cell>
          <cell r="F452">
            <v>2.7058497940986255E-5</v>
          </cell>
          <cell r="G452">
            <v>842985.13227446587</v>
          </cell>
        </row>
        <row r="453">
          <cell r="E453" t="str">
            <v>Прочие списания</v>
          </cell>
          <cell r="F453">
            <v>3.4756303922608576E-4</v>
          </cell>
          <cell r="G453">
            <v>10828039.13338872</v>
          </cell>
        </row>
        <row r="454">
          <cell r="E454" t="str">
            <v>Списания для маркетинга/рекламы</v>
          </cell>
          <cell r="F454">
            <v>0</v>
          </cell>
          <cell r="G454">
            <v>0</v>
          </cell>
        </row>
        <row r="455">
          <cell r="E455" t="str">
            <v>Потери (корректировки)</v>
          </cell>
          <cell r="F455">
            <v>-9.7366857024010667E-5</v>
          </cell>
          <cell r="G455">
            <v>-3033383.9308651197</v>
          </cell>
        </row>
        <row r="456">
          <cell r="E456" t="str">
            <v>Списания для получения документации</v>
          </cell>
          <cell r="F456">
            <v>0</v>
          </cell>
          <cell r="G456">
            <v>0</v>
          </cell>
        </row>
        <row r="457">
          <cell r="E457" t="str">
            <v>Потери по приходу (логистические)</v>
          </cell>
          <cell r="F457">
            <v>1.3138518836590561E-2</v>
          </cell>
          <cell r="G457">
            <v>409319691.85833389</v>
          </cell>
        </row>
        <row r="458">
          <cell r="E458" t="str">
            <v>Итого потери</v>
          </cell>
          <cell r="F458">
            <v>0</v>
          </cell>
          <cell r="G458">
            <v>0</v>
          </cell>
        </row>
        <row r="459">
          <cell r="E459" t="str">
            <v>Потери утиль</v>
          </cell>
          <cell r="F459">
            <v>6.5493679187468795E-4</v>
          </cell>
          <cell r="G459">
            <v>20404014.270637471</v>
          </cell>
        </row>
        <row r="460">
          <cell r="E460" t="str">
            <v>Потери магазинов по приходу (местные поставщики)</v>
          </cell>
          <cell r="F460">
            <v>5.8587328209504447E-4</v>
          </cell>
          <cell r="G460">
            <v>18252397.722893149</v>
          </cell>
        </row>
        <row r="461">
          <cell r="E461" t="str">
            <v>Потери прямые</v>
          </cell>
          <cell r="F461">
            <v>4.4921911394787094E-3</v>
          </cell>
          <cell r="G461">
            <v>139950500.95443755</v>
          </cell>
        </row>
        <row r="462">
          <cell r="E462" t="str">
            <v>Списания материалов</v>
          </cell>
          <cell r="F462">
            <v>0</v>
          </cell>
          <cell r="G462">
            <v>0</v>
          </cell>
        </row>
        <row r="463">
          <cell r="E463" t="str">
            <v>Прочие списания</v>
          </cell>
          <cell r="F463">
            <v>6.3182265225724798E-5</v>
          </cell>
          <cell r="G463">
            <v>420131.22995017096</v>
          </cell>
        </row>
        <row r="464">
          <cell r="E464" t="str">
            <v>Списания для маркетинга/рекламы</v>
          </cell>
          <cell r="F464">
            <v>1.9724106512402257E-5</v>
          </cell>
          <cell r="G464">
            <v>131155.6826764385</v>
          </cell>
        </row>
        <row r="465">
          <cell r="E465" t="str">
            <v>Потери (корректировки)</v>
          </cell>
          <cell r="F465">
            <v>0</v>
          </cell>
          <cell r="G465">
            <v>0</v>
          </cell>
        </row>
        <row r="466">
          <cell r="E466" t="str">
            <v>Списания для получения документации</v>
          </cell>
          <cell r="F466">
            <v>9.7582967239648047E-6</v>
          </cell>
          <cell r="G466">
            <v>64887.911033440258</v>
          </cell>
        </row>
        <row r="467">
          <cell r="E467" t="str">
            <v>Потери по приходу (логистические)</v>
          </cell>
          <cell r="F467">
            <v>6.340080314721417E-3</v>
          </cell>
          <cell r="G467">
            <v>42158440.047861062</v>
          </cell>
        </row>
        <row r="468">
          <cell r="E468" t="str">
            <v>Итого потери</v>
          </cell>
          <cell r="F468">
            <v>0</v>
          </cell>
          <cell r="G468">
            <v>0</v>
          </cell>
        </row>
        <row r="469">
          <cell r="E469" t="str">
            <v>Потери утиль</v>
          </cell>
          <cell r="F469">
            <v>1.1836259178964536E-2</v>
          </cell>
          <cell r="G469">
            <v>78705347.285375446</v>
          </cell>
        </row>
        <row r="470">
          <cell r="E470" t="str">
            <v>Потери магазинов по приходу (местные поставщики)</v>
          </cell>
          <cell r="F470">
            <v>1.9453530329183728E-4</v>
          </cell>
          <cell r="G470">
            <v>1293564.831028762</v>
          </cell>
        </row>
        <row r="471">
          <cell r="E471" t="str">
            <v>Потери прямые</v>
          </cell>
          <cell r="F471">
            <v>9.1645950246430873E-3</v>
          </cell>
          <cell r="G471">
            <v>60940084.467418656</v>
          </cell>
        </row>
        <row r="472">
          <cell r="E472" t="str">
            <v>Списания материалов</v>
          </cell>
          <cell r="F472">
            <v>2.0434009015529641E-4</v>
          </cell>
          <cell r="G472">
            <v>117906.77984705703</v>
          </cell>
        </row>
        <row r="473">
          <cell r="E473" t="str">
            <v>Прочие списания</v>
          </cell>
          <cell r="F473">
            <v>1.6758461495796594E-3</v>
          </cell>
          <cell r="G473">
            <v>966984.12370209838</v>
          </cell>
        </row>
        <row r="474">
          <cell r="E474" t="str">
            <v>Списания для маркетинга/рекламы</v>
          </cell>
          <cell r="F474">
            <v>7.159102974056376E-4</v>
          </cell>
          <cell r="G474">
            <v>413089.16797627113</v>
          </cell>
        </row>
        <row r="475">
          <cell r="E475" t="str">
            <v>Потери (корректировки)</v>
          </cell>
          <cell r="F475">
            <v>3.9653352072306224E-4</v>
          </cell>
          <cell r="G475">
            <v>228804.78566070888</v>
          </cell>
        </row>
        <row r="476">
          <cell r="E476" t="str">
            <v>Списания для получения документации</v>
          </cell>
          <cell r="F476">
            <v>0</v>
          </cell>
          <cell r="G476">
            <v>0</v>
          </cell>
        </row>
        <row r="477">
          <cell r="E477" t="str">
            <v>Потери по приходу (логистические)</v>
          </cell>
          <cell r="F477">
            <v>1.1466967016631408E-3</v>
          </cell>
          <cell r="G477">
            <v>661658.29452061618</v>
          </cell>
        </row>
        <row r="478">
          <cell r="E478" t="str">
            <v>Итого потери</v>
          </cell>
          <cell r="F478">
            <v>0</v>
          </cell>
          <cell r="G478">
            <v>0</v>
          </cell>
        </row>
        <row r="479">
          <cell r="E479" t="str">
            <v>Потери утиль</v>
          </cell>
          <cell r="F479">
            <v>5.7210368614935968E-4</v>
          </cell>
          <cell r="G479">
            <v>330110.96021949151</v>
          </cell>
        </row>
        <row r="480">
          <cell r="E480" t="str">
            <v>Потери магазинов по приходу (местные поставщики)</v>
          </cell>
          <cell r="F480">
            <v>7.8706109926356931E-7</v>
          </cell>
          <cell r="G480">
            <v>454.14406779661016</v>
          </cell>
        </row>
        <row r="481">
          <cell r="E481" t="str">
            <v>Потери прямые</v>
          </cell>
          <cell r="F481">
            <v>9.6437945920660947E-3</v>
          </cell>
          <cell r="G481">
            <v>5564589.7238902813</v>
          </cell>
        </row>
        <row r="482">
          <cell r="E482" t="str">
            <v>Списания материалов</v>
          </cell>
          <cell r="F482">
            <v>5.0277456529330823E-6</v>
          </cell>
          <cell r="G482">
            <v>143272.79072063172</v>
          </cell>
        </row>
        <row r="483">
          <cell r="E483" t="str">
            <v>Прочие списания</v>
          </cell>
          <cell r="F483">
            <v>5.4831078545786607E-6</v>
          </cell>
          <cell r="G483">
            <v>156248.98679777273</v>
          </cell>
        </row>
        <row r="484">
          <cell r="E484" t="str">
            <v>Списания для маркетинга/рекламы</v>
          </cell>
          <cell r="F484">
            <v>0</v>
          </cell>
          <cell r="G484">
            <v>0</v>
          </cell>
        </row>
        <row r="485">
          <cell r="E485" t="str">
            <v>Потери (корректировки)</v>
          </cell>
          <cell r="F485">
            <v>0</v>
          </cell>
          <cell r="G485">
            <v>0</v>
          </cell>
        </row>
        <row r="486">
          <cell r="E486" t="str">
            <v>Списания для получения документации</v>
          </cell>
          <cell r="F486">
            <v>7.4711204783335246E-6</v>
          </cell>
          <cell r="G486">
            <v>212900.2448873783</v>
          </cell>
        </row>
        <row r="487">
          <cell r="E487" t="str">
            <v>Потери по приходу (логистические)</v>
          </cell>
          <cell r="F487">
            <v>6.5724793061313887E-4</v>
          </cell>
          <cell r="G487">
            <v>18729218.16547545</v>
          </cell>
        </row>
        <row r="488">
          <cell r="E488" t="str">
            <v>Итого потери</v>
          </cell>
          <cell r="F488">
            <v>0</v>
          </cell>
          <cell r="G488">
            <v>0</v>
          </cell>
        </row>
        <row r="489">
          <cell r="E489" t="str">
            <v>Потери утиль</v>
          </cell>
          <cell r="F489">
            <v>2.1056626163791614E-4</v>
          </cell>
          <cell r="G489">
            <v>6000386.2603660775</v>
          </cell>
        </row>
        <row r="490">
          <cell r="E490" t="str">
            <v>Потери магазинов по приходу (местные поставщики)</v>
          </cell>
          <cell r="F490">
            <v>0</v>
          </cell>
          <cell r="G490">
            <v>0</v>
          </cell>
        </row>
        <row r="491">
          <cell r="E491" t="str">
            <v>Потери прямые</v>
          </cell>
          <cell r="F491">
            <v>6.7615378259627715E-4</v>
          </cell>
          <cell r="G491">
            <v>19267967.41047658</v>
          </cell>
        </row>
        <row r="492">
          <cell r="E492" t="str">
            <v>Списания материалов</v>
          </cell>
          <cell r="F492">
            <v>0</v>
          </cell>
          <cell r="G492">
            <v>0</v>
          </cell>
        </row>
        <row r="493">
          <cell r="E493" t="str">
            <v>Прочие списания</v>
          </cell>
          <cell r="F493">
            <v>1.1190772712309266E-4</v>
          </cell>
          <cell r="G493">
            <v>294.02727269090911</v>
          </cell>
        </row>
        <row r="494">
          <cell r="E494" t="str">
            <v>Списания для маркетинга/рекламы</v>
          </cell>
          <cell r="F494">
            <v>2.1319922814970129E-3</v>
          </cell>
          <cell r="G494">
            <v>5601.6138656548537</v>
          </cell>
        </row>
        <row r="495">
          <cell r="E495" t="str">
            <v>Потери (корректировки)</v>
          </cell>
          <cell r="F495">
            <v>0</v>
          </cell>
          <cell r="G495">
            <v>0</v>
          </cell>
        </row>
        <row r="496">
          <cell r="E496" t="str">
            <v>Списания для получения документации</v>
          </cell>
          <cell r="F496">
            <v>0</v>
          </cell>
          <cell r="G496">
            <v>0</v>
          </cell>
        </row>
        <row r="497">
          <cell r="E497" t="str">
            <v>Потери по приходу (логистические)</v>
          </cell>
          <cell r="F497">
            <v>0</v>
          </cell>
          <cell r="G497">
            <v>0</v>
          </cell>
        </row>
        <row r="498">
          <cell r="E498" t="str">
            <v>Итого потери</v>
          </cell>
          <cell r="F498">
            <v>0</v>
          </cell>
          <cell r="G498">
            <v>0</v>
          </cell>
        </row>
        <row r="499">
          <cell r="E499" t="str">
            <v>Потери утиль</v>
          </cell>
          <cell r="F499">
            <v>5.2328382158374341E-2</v>
          </cell>
          <cell r="G499">
            <v>137488.01701093142</v>
          </cell>
        </row>
        <row r="500">
          <cell r="E500" t="str">
            <v>Потери магазинов по приходу (местные поставщики)</v>
          </cell>
          <cell r="F500">
            <v>0</v>
          </cell>
          <cell r="G500">
            <v>0</v>
          </cell>
        </row>
        <row r="501">
          <cell r="E501" t="str">
            <v>Потери прямые</v>
          </cell>
          <cell r="F501">
            <v>-2.2614751401137573E-5</v>
          </cell>
          <cell r="G501">
            <v>-59.418181818181814</v>
          </cell>
        </row>
        <row r="502">
          <cell r="E502" t="str">
            <v>Списания материалов</v>
          </cell>
          <cell r="F502">
            <v>2.754682132423403E-5</v>
          </cell>
          <cell r="G502">
            <v>866025.08986280521</v>
          </cell>
        </row>
        <row r="503">
          <cell r="E503" t="str">
            <v>Прочие списания</v>
          </cell>
          <cell r="F503">
            <v>2.9515346451254744E-4</v>
          </cell>
          <cell r="G503">
            <v>9279121.6314648502</v>
          </cell>
        </row>
        <row r="504">
          <cell r="E504" t="str">
            <v>Списания для маркетинга/рекламы</v>
          </cell>
          <cell r="F504">
            <v>0</v>
          </cell>
          <cell r="G504">
            <v>0</v>
          </cell>
        </row>
        <row r="505">
          <cell r="E505" t="str">
            <v>Потери (корректировки)</v>
          </cell>
          <cell r="F505">
            <v>2.690562703586539E-5</v>
          </cell>
          <cell r="G505">
            <v>845867.03479474341</v>
          </cell>
        </row>
        <row r="506">
          <cell r="E506" t="str">
            <v>Списания для получения документации</v>
          </cell>
          <cell r="F506">
            <v>0</v>
          </cell>
          <cell r="G506">
            <v>0</v>
          </cell>
        </row>
        <row r="507">
          <cell r="E507" t="str">
            <v>Потери по приходу (логистические)</v>
          </cell>
          <cell r="F507">
            <v>1.2644451893189248E-2</v>
          </cell>
          <cell r="G507">
            <v>397520006.32579786</v>
          </cell>
        </row>
        <row r="508">
          <cell r="E508" t="str">
            <v>Итого потери</v>
          </cell>
          <cell r="F508">
            <v>0</v>
          </cell>
          <cell r="G508">
            <v>0</v>
          </cell>
        </row>
        <row r="509">
          <cell r="E509" t="str">
            <v>Потери утиль</v>
          </cell>
          <cell r="F509">
            <v>5.2550481762796456E-4</v>
          </cell>
          <cell r="G509">
            <v>16520975.38053239</v>
          </cell>
        </row>
        <row r="510">
          <cell r="E510" t="str">
            <v>Потери магазинов по приходу (местные поставщики)</v>
          </cell>
          <cell r="F510">
            <v>5.7083520928203713E-4</v>
          </cell>
          <cell r="G510">
            <v>17946085.597194601</v>
          </cell>
        </row>
        <row r="511">
          <cell r="E511" t="str">
            <v>Потери прямые</v>
          </cell>
          <cell r="F511">
            <v>4.1190362913925667E-3</v>
          </cell>
          <cell r="G511">
            <v>129495477.26086298</v>
          </cell>
        </row>
        <row r="512">
          <cell r="E512" t="str">
            <v>Списания материалов</v>
          </cell>
          <cell r="F512">
            <v>0</v>
          </cell>
          <cell r="G512">
            <v>0</v>
          </cell>
        </row>
        <row r="513">
          <cell r="E513" t="str">
            <v>Прочие списания</v>
          </cell>
          <cell r="F513">
            <v>5.5449391806455326E-5</v>
          </cell>
          <cell r="G513">
            <v>385255.16819000954</v>
          </cell>
        </row>
        <row r="514">
          <cell r="E514" t="str">
            <v>Списания для маркетинга/рекламы</v>
          </cell>
          <cell r="F514">
            <v>2.0350657119619471E-5</v>
          </cell>
          <cell r="G514">
            <v>141393.72094038859</v>
          </cell>
        </row>
        <row r="515">
          <cell r="E515" t="str">
            <v>Потери (корректировки)</v>
          </cell>
          <cell r="F515">
            <v>0</v>
          </cell>
          <cell r="G515">
            <v>0</v>
          </cell>
        </row>
        <row r="516">
          <cell r="E516" t="str">
            <v>Списания для получения документации</v>
          </cell>
          <cell r="F516">
            <v>4.4398211589975661E-6</v>
          </cell>
          <cell r="G516">
            <v>30847.300423303132</v>
          </cell>
        </row>
        <row r="517">
          <cell r="E517" t="str">
            <v>Потери по приходу (логистические)</v>
          </cell>
          <cell r="F517">
            <v>6.1716553111049559E-3</v>
          </cell>
          <cell r="G517">
            <v>42879859.046780422</v>
          </cell>
        </row>
        <row r="518">
          <cell r="E518" t="str">
            <v>Итого потери</v>
          </cell>
          <cell r="F518">
            <v>0</v>
          </cell>
          <cell r="G518">
            <v>0</v>
          </cell>
        </row>
        <row r="519">
          <cell r="E519" t="str">
            <v>Потери утиль</v>
          </cell>
          <cell r="F519">
            <v>1.0852772599279767E-2</v>
          </cell>
          <cell r="G519">
            <v>75403653.617291763</v>
          </cell>
        </row>
        <row r="520">
          <cell r="E520" t="str">
            <v>Потери магазинов по приходу (местные поставщики)</v>
          </cell>
          <cell r="F520">
            <v>1.8250657927356212E-4</v>
          </cell>
          <cell r="G520">
            <v>1268031.9946382879</v>
          </cell>
        </row>
        <row r="521">
          <cell r="E521" t="str">
            <v>Потери прямые</v>
          </cell>
          <cell r="F521">
            <v>5.1409590149467822E-3</v>
          </cell>
          <cell r="G521">
            <v>35718715.128101595</v>
          </cell>
        </row>
        <row r="522">
          <cell r="E522" t="str">
            <v>Списания материалов</v>
          </cell>
          <cell r="F522">
            <v>2.1199529404448983E-4</v>
          </cell>
          <cell r="G522">
            <v>128828.81494081666</v>
          </cell>
        </row>
        <row r="523">
          <cell r="E523" t="str">
            <v>Прочие списания</v>
          </cell>
          <cell r="F523">
            <v>1.1768548693727805E-3</v>
          </cell>
          <cell r="G523">
            <v>715170.67801895214</v>
          </cell>
        </row>
        <row r="524">
          <cell r="E524" t="str">
            <v>Списания для маркетинга/рекламы</v>
          </cell>
          <cell r="F524">
            <v>1.7152322687418388E-3</v>
          </cell>
          <cell r="G524">
            <v>1042340.7817905897</v>
          </cell>
        </row>
        <row r="525">
          <cell r="E525" t="str">
            <v>Потери (корректировки)</v>
          </cell>
          <cell r="F525">
            <v>-3.166340468196947E-7</v>
          </cell>
          <cell r="G525">
            <v>-192.41742702616648</v>
          </cell>
        </row>
        <row r="526">
          <cell r="E526" t="str">
            <v>Списания для получения документации</v>
          </cell>
          <cell r="F526">
            <v>0</v>
          </cell>
          <cell r="G526">
            <v>0</v>
          </cell>
        </row>
        <row r="527">
          <cell r="E527" t="str">
            <v>Потери по приходу (логистические)</v>
          </cell>
          <cell r="F527">
            <v>1.2985200313954412E-3</v>
          </cell>
          <cell r="G527">
            <v>789106.1807555008</v>
          </cell>
        </row>
        <row r="528">
          <cell r="E528" t="str">
            <v>Итого потери</v>
          </cell>
          <cell r="F528">
            <v>0</v>
          </cell>
          <cell r="G528">
            <v>0</v>
          </cell>
        </row>
        <row r="529">
          <cell r="E529" t="str">
            <v>Потери утиль</v>
          </cell>
          <cell r="F529">
            <v>6.1765422318805292E-4</v>
          </cell>
          <cell r="G529">
            <v>375346.3583951465</v>
          </cell>
        </row>
        <row r="530">
          <cell r="E530" t="str">
            <v>Потери магазинов по приходу (местные поставщики)</v>
          </cell>
          <cell r="F530">
            <v>9.6657416951835218E-7</v>
          </cell>
          <cell r="G530">
            <v>587.38381610169495</v>
          </cell>
        </row>
        <row r="531">
          <cell r="E531" t="str">
            <v>Потери прямые</v>
          </cell>
          <cell r="F531">
            <v>6.1229689583857045E-3</v>
          </cell>
          <cell r="G531">
            <v>3720907.2889263965</v>
          </cell>
        </row>
        <row r="532">
          <cell r="E532" t="str">
            <v>Списания материалов</v>
          </cell>
          <cell r="F532">
            <v>4.403066177932545E-6</v>
          </cell>
          <cell r="G532">
            <v>127707.47182411402</v>
          </cell>
        </row>
        <row r="533">
          <cell r="E533" t="str">
            <v>Прочие списания</v>
          </cell>
          <cell r="F533">
            <v>2.9582560328053811E-7</v>
          </cell>
          <cell r="G533">
            <v>8580.1889794761173</v>
          </cell>
        </row>
        <row r="534">
          <cell r="E534" t="str">
            <v>Списания для маркетинга/рекламы</v>
          </cell>
          <cell r="F534">
            <v>0</v>
          </cell>
          <cell r="G534">
            <v>0</v>
          </cell>
        </row>
        <row r="535">
          <cell r="E535" t="str">
            <v>Потери (корректировки)</v>
          </cell>
          <cell r="F535">
            <v>0</v>
          </cell>
          <cell r="G535">
            <v>0</v>
          </cell>
        </row>
        <row r="536">
          <cell r="E536" t="str">
            <v>Списания для получения документации</v>
          </cell>
          <cell r="F536">
            <v>8.2065908476268678E-6</v>
          </cell>
          <cell r="G536">
            <v>238025.71369423467</v>
          </cell>
        </row>
        <row r="537">
          <cell r="E537" t="str">
            <v>Потери по приходу (логистические)</v>
          </cell>
          <cell r="F537">
            <v>4.9822239073368238E-4</v>
          </cell>
          <cell r="G537">
            <v>14450548.630327497</v>
          </cell>
        </row>
        <row r="538">
          <cell r="E538" t="str">
            <v>Итого потери</v>
          </cell>
          <cell r="F538">
            <v>0</v>
          </cell>
          <cell r="G538">
            <v>0</v>
          </cell>
        </row>
        <row r="539">
          <cell r="E539" t="str">
            <v>Потери утиль</v>
          </cell>
          <cell r="F539">
            <v>3.073773128068811E-4</v>
          </cell>
          <cell r="G539">
            <v>8915237.2297725715</v>
          </cell>
        </row>
        <row r="540">
          <cell r="E540" t="str">
            <v>Потери магазинов по приходу (местные поставщики)</v>
          </cell>
          <cell r="F540">
            <v>0</v>
          </cell>
          <cell r="G540">
            <v>0</v>
          </cell>
        </row>
        <row r="541">
          <cell r="E541" t="str">
            <v>Потери прямые</v>
          </cell>
          <cell r="F541">
            <v>1.2016068736038646E-3</v>
          </cell>
          <cell r="G541">
            <v>34851662.399151474</v>
          </cell>
        </row>
        <row r="542">
          <cell r="E542" t="str">
            <v>Списания материалов</v>
          </cell>
          <cell r="F542">
            <v>0</v>
          </cell>
          <cell r="G542">
            <v>0</v>
          </cell>
        </row>
        <row r="543">
          <cell r="E543" t="str">
            <v>Прочие списания</v>
          </cell>
          <cell r="F543">
            <v>1.2111769812440865E-5</v>
          </cell>
          <cell r="G543">
            <v>31.647840840431432</v>
          </cell>
        </row>
        <row r="544">
          <cell r="E544" t="str">
            <v>Списания для маркетинга/рекламы</v>
          </cell>
          <cell r="F544">
            <v>2.1293472411394827E-3</v>
          </cell>
          <cell r="G544">
            <v>5563.9467745146376</v>
          </cell>
        </row>
        <row r="545">
          <cell r="E545" t="str">
            <v>Потери (корректировки)</v>
          </cell>
          <cell r="F545">
            <v>0</v>
          </cell>
          <cell r="G545">
            <v>0</v>
          </cell>
        </row>
        <row r="546">
          <cell r="E546" t="str">
            <v>Списания для получения документации</v>
          </cell>
          <cell r="F546">
            <v>0</v>
          </cell>
          <cell r="G546">
            <v>0</v>
          </cell>
        </row>
        <row r="547">
          <cell r="E547" t="str">
            <v>Потери по приходу (логистические)</v>
          </cell>
          <cell r="F547">
            <v>0</v>
          </cell>
          <cell r="G547">
            <v>0</v>
          </cell>
        </row>
        <row r="548">
          <cell r="E548" t="str">
            <v>Итого потери</v>
          </cell>
          <cell r="F548">
            <v>0</v>
          </cell>
          <cell r="G548">
            <v>0</v>
          </cell>
        </row>
        <row r="549">
          <cell r="E549" t="str">
            <v>Потери утиль</v>
          </cell>
          <cell r="F549">
            <v>4.7997545064699623E-2</v>
          </cell>
          <cell r="G549">
            <v>125416.73846697087</v>
          </cell>
        </row>
        <row r="550">
          <cell r="E550" t="str">
            <v>Потери магазинов по приходу (местные поставщики)</v>
          </cell>
          <cell r="F550">
            <v>0</v>
          </cell>
          <cell r="G550">
            <v>0</v>
          </cell>
        </row>
        <row r="551">
          <cell r="E551" t="str">
            <v>Потери прямые</v>
          </cell>
          <cell r="F551">
            <v>4.9407286577994912E-3</v>
          </cell>
          <cell r="G551">
            <v>12910.036817012875</v>
          </cell>
        </row>
        <row r="552">
          <cell r="E552" t="str">
            <v>Списания материалов</v>
          </cell>
          <cell r="F552">
            <v>2.2216512765959534E-5</v>
          </cell>
          <cell r="G552">
            <v>886399.37034813524</v>
          </cell>
        </row>
        <row r="553">
          <cell r="E553" t="str">
            <v>Прочие списания</v>
          </cell>
          <cell r="F553">
            <v>4.6714518990679919E-4</v>
          </cell>
          <cell r="G553">
            <v>18638262.744322412</v>
          </cell>
        </row>
        <row r="554">
          <cell r="E554" t="str">
            <v>Списания для маркетинга/рекламы</v>
          </cell>
          <cell r="F554">
            <v>0</v>
          </cell>
          <cell r="G554">
            <v>0</v>
          </cell>
        </row>
        <row r="555">
          <cell r="E555" t="str">
            <v>Потери (корректировки)</v>
          </cell>
          <cell r="F555">
            <v>-2.1517471734527303E-5</v>
          </cell>
          <cell r="G555">
            <v>-858508.87571306154</v>
          </cell>
        </row>
        <row r="556">
          <cell r="E556" t="str">
            <v>Списания для получения документации</v>
          </cell>
          <cell r="F556">
            <v>0</v>
          </cell>
          <cell r="G556">
            <v>0</v>
          </cell>
        </row>
        <row r="557">
          <cell r="E557" t="str">
            <v>Потери по приходу (логистические)</v>
          </cell>
          <cell r="F557">
            <v>1.2629584798182887E-2</v>
          </cell>
          <cell r="G557">
            <v>503897984.83678383</v>
          </cell>
        </row>
        <row r="558">
          <cell r="E558" t="str">
            <v>Итого потери</v>
          </cell>
          <cell r="F558">
            <v>0</v>
          </cell>
          <cell r="G558">
            <v>0</v>
          </cell>
        </row>
        <row r="559">
          <cell r="E559" t="str">
            <v>Потери утиль</v>
          </cell>
          <cell r="F559">
            <v>7.000453120645045E-4</v>
          </cell>
          <cell r="G559">
            <v>27930563.64723045</v>
          </cell>
        </row>
        <row r="560">
          <cell r="E560" t="str">
            <v>Потери магазинов по приходу (местные поставщики)</v>
          </cell>
          <cell r="F560">
            <v>5.2549276438136117E-4</v>
          </cell>
          <cell r="G560">
            <v>20966227.25524411</v>
          </cell>
        </row>
        <row r="561">
          <cell r="E561" t="str">
            <v>Потери прямые</v>
          </cell>
          <cell r="F561">
            <v>3.4639861179416366E-3</v>
          </cell>
          <cell r="G561">
            <v>138206889.0011746</v>
          </cell>
        </row>
        <row r="562">
          <cell r="E562" t="str">
            <v>Списания материалов</v>
          </cell>
          <cell r="F562">
            <v>0</v>
          </cell>
          <cell r="G562">
            <v>0</v>
          </cell>
        </row>
        <row r="563">
          <cell r="E563" t="str">
            <v>Прочие списания</v>
          </cell>
          <cell r="F563">
            <v>1.3700700509535307E-4</v>
          </cell>
          <cell r="G563">
            <v>1488052.5525381295</v>
          </cell>
        </row>
        <row r="564">
          <cell r="E564" t="str">
            <v>Списания для маркетинга/рекламы</v>
          </cell>
          <cell r="F564">
            <v>1.5486091621773797E-5</v>
          </cell>
          <cell r="G564">
            <v>168196.6418474864</v>
          </cell>
        </row>
        <row r="565">
          <cell r="E565" t="str">
            <v>Потери (корректировки)</v>
          </cell>
          <cell r="F565">
            <v>0</v>
          </cell>
          <cell r="G565">
            <v>0</v>
          </cell>
        </row>
        <row r="566">
          <cell r="E566" t="str">
            <v>Списания для получения документации</v>
          </cell>
          <cell r="F566">
            <v>1.1876099780690908E-5</v>
          </cell>
          <cell r="G566">
            <v>128988.00744206637</v>
          </cell>
        </row>
        <row r="567">
          <cell r="E567" t="str">
            <v>Потери по приходу (логистические)</v>
          </cell>
          <cell r="F567">
            <v>6.5189417928035003E-3</v>
          </cell>
          <cell r="G567">
            <v>70803153.224737972</v>
          </cell>
        </row>
        <row r="568">
          <cell r="E568" t="str">
            <v>Итого потери</v>
          </cell>
          <cell r="F568">
            <v>0</v>
          </cell>
          <cell r="G568">
            <v>0</v>
          </cell>
        </row>
        <row r="569">
          <cell r="E569" t="str">
            <v>Потери утиль</v>
          </cell>
          <cell r="F569">
            <v>9.4939992342576631E-3</v>
          </cell>
          <cell r="G569">
            <v>103115674.88465111</v>
          </cell>
        </row>
        <row r="570">
          <cell r="E570" t="str">
            <v>Потери магазинов по приходу (местные поставщики)</v>
          </cell>
          <cell r="F570">
            <v>3.2447040283519862E-4</v>
          </cell>
          <cell r="G570">
            <v>3524119.1559946653</v>
          </cell>
        </row>
        <row r="571">
          <cell r="E571" t="str">
            <v>Потери прямые</v>
          </cell>
          <cell r="F571">
            <v>9.6744651879196834E-3</v>
          </cell>
          <cell r="G571">
            <v>105075741.25356485</v>
          </cell>
        </row>
        <row r="572">
          <cell r="E572" t="str">
            <v>Списания материалов</v>
          </cell>
          <cell r="F572">
            <v>1.4228635919526071E-4</v>
          </cell>
          <cell r="G572">
            <v>145562.06190702619</v>
          </cell>
        </row>
        <row r="573">
          <cell r="E573" t="str">
            <v>Прочие списания</v>
          </cell>
          <cell r="F573">
            <v>3.1393731571469114E-3</v>
          </cell>
          <cell r="G573">
            <v>3211647.5003957786</v>
          </cell>
        </row>
        <row r="574">
          <cell r="E574" t="str">
            <v>Списания для маркетинга/рекламы</v>
          </cell>
          <cell r="F574">
            <v>2.3509548576429655E-3</v>
          </cell>
          <cell r="G574">
            <v>2405078.3115423732</v>
          </cell>
        </row>
        <row r="575">
          <cell r="E575" t="str">
            <v>Потери (корректировки)</v>
          </cell>
          <cell r="F575">
            <v>9.4018141301685043E-4</v>
          </cell>
          <cell r="G575">
            <v>961826.1779935438</v>
          </cell>
        </row>
        <row r="576">
          <cell r="E576" t="str">
            <v>Списания для получения документации</v>
          </cell>
          <cell r="F576">
            <v>0</v>
          </cell>
          <cell r="G576">
            <v>0</v>
          </cell>
        </row>
        <row r="577">
          <cell r="E577" t="str">
            <v>Потери по приходу (логистические)</v>
          </cell>
          <cell r="F577">
            <v>1.0695637510414527E-3</v>
          </cell>
          <cell r="G577">
            <v>1094187.1436105503</v>
          </cell>
        </row>
        <row r="578">
          <cell r="E578" t="str">
            <v>Итого потери</v>
          </cell>
          <cell r="F578">
            <v>0</v>
          </cell>
          <cell r="G578">
            <v>0</v>
          </cell>
        </row>
        <row r="579">
          <cell r="E579" t="str">
            <v>Потери утиль</v>
          </cell>
          <cell r="F579">
            <v>4.5534311633131804E-4</v>
          </cell>
          <cell r="G579">
            <v>465825.98123408324</v>
          </cell>
        </row>
        <row r="580">
          <cell r="E580" t="str">
            <v>Потери магазинов по приходу (местные поставщики)</v>
          </cell>
          <cell r="F580">
            <v>1.9665085532905795E-6</v>
          </cell>
          <cell r="G580">
            <v>2011.7813217917676</v>
          </cell>
        </row>
        <row r="581">
          <cell r="E581" t="str">
            <v>Потери прямые</v>
          </cell>
          <cell r="F581">
            <v>5.206316910664594E-3</v>
          </cell>
          <cell r="G581">
            <v>5326176.2318182867</v>
          </cell>
        </row>
        <row r="582">
          <cell r="E582" t="str">
            <v>Списания материалов</v>
          </cell>
          <cell r="F582">
            <v>4.3630705492595364E-6</v>
          </cell>
          <cell r="G582">
            <v>154046.39948767336</v>
          </cell>
        </row>
        <row r="583">
          <cell r="E583" t="str">
            <v>Прочие списания</v>
          </cell>
          <cell r="F583">
            <v>3.5014958219747598E-6</v>
          </cell>
          <cell r="G583">
            <v>123626.88572337759</v>
          </cell>
        </row>
        <row r="584">
          <cell r="E584" t="str">
            <v>Списания для маркетинга/рекламы</v>
          </cell>
          <cell r="F584">
            <v>0</v>
          </cell>
          <cell r="G584">
            <v>0</v>
          </cell>
        </row>
        <row r="585">
          <cell r="E585" t="str">
            <v>Потери (корректировки)</v>
          </cell>
          <cell r="F585">
            <v>0</v>
          </cell>
          <cell r="G585">
            <v>0</v>
          </cell>
        </row>
        <row r="586">
          <cell r="E586" t="str">
            <v>Списания для получения документации</v>
          </cell>
          <cell r="F586">
            <v>5.8897209311642875E-6</v>
          </cell>
          <cell r="G586">
            <v>207947.65823509844</v>
          </cell>
        </row>
        <row r="587">
          <cell r="E587" t="str">
            <v>Потери по приходу (логистические)</v>
          </cell>
          <cell r="F587">
            <v>6.3509477274016537E-5</v>
          </cell>
          <cell r="G587">
            <v>2242321.3644956579</v>
          </cell>
        </row>
        <row r="588">
          <cell r="E588" t="str">
            <v>Итого потери</v>
          </cell>
          <cell r="F588">
            <v>0</v>
          </cell>
          <cell r="G588">
            <v>0</v>
          </cell>
        </row>
        <row r="589">
          <cell r="E589" t="str">
            <v>Потери утиль</v>
          </cell>
          <cell r="F589">
            <v>3.5073288061784809E-4</v>
          </cell>
          <cell r="G589">
            <v>12383283.018490005</v>
          </cell>
        </row>
        <row r="590">
          <cell r="E590" t="str">
            <v>Потери магазинов по приходу (местные поставщики)</v>
          </cell>
          <cell r="F590">
            <v>0</v>
          </cell>
          <cell r="G590">
            <v>0</v>
          </cell>
        </row>
        <row r="591">
          <cell r="E591" t="str">
            <v>Потери прямые</v>
          </cell>
          <cell r="F591">
            <v>1.9854622358377737E-3</v>
          </cell>
          <cell r="G591">
            <v>70100472.888631538</v>
          </cell>
        </row>
        <row r="592">
          <cell r="E592" t="str">
            <v>Списания материалов</v>
          </cell>
          <cell r="F592">
            <v>0</v>
          </cell>
          <cell r="G592">
            <v>0</v>
          </cell>
        </row>
        <row r="593">
          <cell r="E593" t="str">
            <v>Прочие списания</v>
          </cell>
          <cell r="F593">
            <v>0</v>
          </cell>
          <cell r="G593">
            <v>0</v>
          </cell>
        </row>
        <row r="594">
          <cell r="E594" t="str">
            <v>Списания для маркетинга/рекламы</v>
          </cell>
          <cell r="F594">
            <v>2.0913308678943581E-3</v>
          </cell>
          <cell r="G594">
            <v>5544.6108014946085</v>
          </cell>
        </row>
        <row r="595">
          <cell r="E595" t="str">
            <v>Потери (корректировки)</v>
          </cell>
          <cell r="F595">
            <v>0</v>
          </cell>
          <cell r="G595">
            <v>0</v>
          </cell>
        </row>
        <row r="596">
          <cell r="E596" t="str">
            <v>Списания для получения документации</v>
          </cell>
          <cell r="F596">
            <v>0</v>
          </cell>
          <cell r="G596">
            <v>0</v>
          </cell>
        </row>
        <row r="597">
          <cell r="E597" t="str">
            <v>Потери по приходу (логистические)</v>
          </cell>
          <cell r="F597">
            <v>0</v>
          </cell>
          <cell r="G597">
            <v>0</v>
          </cell>
        </row>
        <row r="598">
          <cell r="E598" t="str">
            <v>Итого потери</v>
          </cell>
          <cell r="F598">
            <v>0</v>
          </cell>
          <cell r="G598">
            <v>0</v>
          </cell>
        </row>
        <row r="599">
          <cell r="E599" t="str">
            <v>Потери утиль</v>
          </cell>
          <cell r="F599">
            <v>5.7041696757145759E-2</v>
          </cell>
          <cell r="G599">
            <v>151230.97584921541</v>
          </cell>
        </row>
        <row r="600">
          <cell r="E600" t="str">
            <v>Потери магазинов по приходу (местные поставщики)</v>
          </cell>
          <cell r="F600">
            <v>0</v>
          </cell>
          <cell r="G600">
            <v>0</v>
          </cell>
        </row>
        <row r="601">
          <cell r="E601" t="str">
            <v>Потери прямые</v>
          </cell>
          <cell r="F601">
            <v>-1.6646666761719841E-2</v>
          </cell>
          <cell r="G601">
            <v>-44134.235167123035</v>
          </cell>
        </row>
        <row r="602">
          <cell r="E602" t="str">
            <v>Списания материалов</v>
          </cell>
          <cell r="F602">
            <v>2.8503059879526401E-5</v>
          </cell>
          <cell r="G602">
            <v>946057.71893994056</v>
          </cell>
        </row>
        <row r="603">
          <cell r="E603" t="str">
            <v>Прочие списания</v>
          </cell>
          <cell r="F603">
            <v>4.426048473994473E-4</v>
          </cell>
          <cell r="G603">
            <v>14690694.055035578</v>
          </cell>
        </row>
        <row r="604">
          <cell r="E604" t="str">
            <v>Списания для маркетинга/рекламы</v>
          </cell>
          <cell r="F604">
            <v>1.7766779981039116E-7</v>
          </cell>
          <cell r="G604">
            <v>5897.0508474576272</v>
          </cell>
        </row>
        <row r="605">
          <cell r="E605" t="str">
            <v>Потери (корректировки)</v>
          </cell>
          <cell r="F605">
            <v>-1.6035392415870029E-4</v>
          </cell>
          <cell r="G605">
            <v>-5322378.3114463603</v>
          </cell>
        </row>
        <row r="606">
          <cell r="E606" t="str">
            <v>Списания для получения документации</v>
          </cell>
          <cell r="F606">
            <v>0</v>
          </cell>
          <cell r="G606">
            <v>0</v>
          </cell>
        </row>
        <row r="607">
          <cell r="E607" t="str">
            <v>Потери по приходу (логистические)</v>
          </cell>
          <cell r="F607">
            <v>1.8337427753581728E-2</v>
          </cell>
          <cell r="G607">
            <v>608645708.39429963</v>
          </cell>
        </row>
        <row r="608">
          <cell r="E608" t="str">
            <v>Итого потери</v>
          </cell>
          <cell r="F608">
            <v>0</v>
          </cell>
          <cell r="G608">
            <v>0</v>
          </cell>
        </row>
        <row r="609">
          <cell r="E609" t="str">
            <v>Потери утиль</v>
          </cell>
          <cell r="F609">
            <v>6.0780770519812313E-4</v>
          </cell>
          <cell r="G609">
            <v>20174015.476383675</v>
          </cell>
        </row>
        <row r="610">
          <cell r="E610" t="str">
            <v>Потери магазинов по приходу (местные поставщики)</v>
          </cell>
          <cell r="F610">
            <v>7.8345732817499574E-4</v>
          </cell>
          <cell r="G610">
            <v>26004080.120268561</v>
          </cell>
        </row>
        <row r="611">
          <cell r="E611" t="str">
            <v>Потери прямые</v>
          </cell>
          <cell r="F611">
            <v>4.7498616833862228E-3</v>
          </cell>
          <cell r="G611">
            <v>157654768.59178746</v>
          </cell>
        </row>
        <row r="612">
          <cell r="E612" t="str">
            <v>Списания материалов</v>
          </cell>
          <cell r="F612">
            <v>0</v>
          </cell>
          <cell r="G612">
            <v>0</v>
          </cell>
        </row>
        <row r="613">
          <cell r="E613" t="str">
            <v>Прочие списания</v>
          </cell>
          <cell r="F613">
            <v>1.5435871638039519E-4</v>
          </cell>
          <cell r="G613">
            <v>1140924.6382946472</v>
          </cell>
        </row>
        <row r="614">
          <cell r="E614" t="str">
            <v>Списания для маркетинга/рекламы</v>
          </cell>
          <cell r="F614">
            <v>2.1991479917289099E-5</v>
          </cell>
          <cell r="G614">
            <v>162547.48587287278</v>
          </cell>
        </row>
        <row r="615">
          <cell r="E615" t="str">
            <v>Потери (корректировки)</v>
          </cell>
          <cell r="F615">
            <v>0</v>
          </cell>
          <cell r="G615">
            <v>0</v>
          </cell>
        </row>
        <row r="616">
          <cell r="E616" t="str">
            <v>Списания для получения документации</v>
          </cell>
          <cell r="F616">
            <v>7.9117572914707949E-6</v>
          </cell>
          <cell r="G616">
            <v>58478.840960307578</v>
          </cell>
        </row>
        <row r="617">
          <cell r="E617" t="str">
            <v>Потери по приходу (логистические)</v>
          </cell>
          <cell r="F617">
            <v>1.0263622559033599E-2</v>
          </cell>
          <cell r="G617">
            <v>75862381.667521164</v>
          </cell>
        </row>
        <row r="618">
          <cell r="E618" t="str">
            <v>Итого потери</v>
          </cell>
          <cell r="F618">
            <v>0</v>
          </cell>
          <cell r="G618">
            <v>0</v>
          </cell>
        </row>
        <row r="619">
          <cell r="E619" t="str">
            <v>Потери утиль</v>
          </cell>
          <cell r="F619">
            <v>1.7587507250184955E-2</v>
          </cell>
          <cell r="G619">
            <v>129996030.14624642</v>
          </cell>
        </row>
        <row r="620">
          <cell r="E620" t="str">
            <v>Потери магазинов по приходу (местные поставщики)</v>
          </cell>
          <cell r="F620">
            <v>2.343945367596624E-4</v>
          </cell>
          <cell r="G620">
            <v>1732500.1680612871</v>
          </cell>
        </row>
        <row r="621">
          <cell r="E621" t="str">
            <v>Потери прямые</v>
          </cell>
          <cell r="F621">
            <v>4.4413976321219335E-3</v>
          </cell>
          <cell r="G621">
            <v>32828078.036511891</v>
          </cell>
        </row>
        <row r="622">
          <cell r="E622" t="str">
            <v>Списания материалов</v>
          </cell>
          <cell r="F622">
            <v>2.4930474641795451E-4</v>
          </cell>
          <cell r="G622">
            <v>169672.82667665638</v>
          </cell>
        </row>
        <row r="623">
          <cell r="E623" t="str">
            <v>Прочие списания</v>
          </cell>
          <cell r="F623">
            <v>1.5700830866579544E-3</v>
          </cell>
          <cell r="G623">
            <v>1068573.4598243455</v>
          </cell>
        </row>
        <row r="624">
          <cell r="E624" t="str">
            <v>Списания для маркетинга/рекламы</v>
          </cell>
          <cell r="F624">
            <v>8.5253857786029435E-4</v>
          </cell>
          <cell r="G624">
            <v>580224.13305338984</v>
          </cell>
        </row>
        <row r="625">
          <cell r="E625" t="str">
            <v>Потери (корректировки)</v>
          </cell>
          <cell r="F625">
            <v>1.730636581402312E-3</v>
          </cell>
          <cell r="G625">
            <v>1177843.6028019721</v>
          </cell>
        </row>
        <row r="626">
          <cell r="E626" t="str">
            <v>Списания для получения документации</v>
          </cell>
          <cell r="F626">
            <v>0</v>
          </cell>
          <cell r="G626">
            <v>0</v>
          </cell>
        </row>
        <row r="627">
          <cell r="E627" t="str">
            <v>Потери по приходу (логистические)</v>
          </cell>
          <cell r="F627">
            <v>1.3626839959592462E-3</v>
          </cell>
          <cell r="G627">
            <v>927420.95280379034</v>
          </cell>
        </row>
        <row r="628">
          <cell r="E628" t="str">
            <v>Итого потери</v>
          </cell>
          <cell r="F628">
            <v>0</v>
          </cell>
          <cell r="G628">
            <v>0</v>
          </cell>
        </row>
        <row r="629">
          <cell r="E629" t="str">
            <v>Потери утиль</v>
          </cell>
          <cell r="F629">
            <v>5.0790074938838895E-4</v>
          </cell>
          <cell r="G629">
            <v>345669.13409440679</v>
          </cell>
        </row>
        <row r="630">
          <cell r="E630" t="str">
            <v>Потери магазинов по приходу (местные поставщики)</v>
          </cell>
          <cell r="F630">
            <v>2.8419726702958379E-7</v>
          </cell>
          <cell r="G630">
            <v>193.4201186440678</v>
          </cell>
        </row>
        <row r="631">
          <cell r="E631" t="str">
            <v>Потери прямые</v>
          </cell>
          <cell r="F631">
            <v>1.570491611435381E-2</v>
          </cell>
          <cell r="G631">
            <v>10688514.952598892</v>
          </cell>
        </row>
        <row r="632">
          <cell r="E632" t="str">
            <v>Списания материалов</v>
          </cell>
          <cell r="F632">
            <v>5.5425697551898436E-6</v>
          </cell>
          <cell r="G632">
            <v>157590.46464345144</v>
          </cell>
        </row>
        <row r="633">
          <cell r="E633" t="str">
            <v>Прочие списания</v>
          </cell>
          <cell r="F633">
            <v>2.0197726773600649E-7</v>
          </cell>
          <cell r="G633">
            <v>5742.7678632511552</v>
          </cell>
        </row>
        <row r="634">
          <cell r="E634" t="str">
            <v>Списания для маркетинга/рекламы</v>
          </cell>
          <cell r="F634">
            <v>0</v>
          </cell>
          <cell r="G634">
            <v>0</v>
          </cell>
        </row>
        <row r="635">
          <cell r="E635" t="str">
            <v>Потери (корректировки)</v>
          </cell>
          <cell r="F635">
            <v>0</v>
          </cell>
          <cell r="G635">
            <v>0</v>
          </cell>
        </row>
        <row r="636">
          <cell r="E636" t="str">
            <v>Списания для получения документации</v>
          </cell>
          <cell r="F636">
            <v>9.0739180665713319E-6</v>
          </cell>
          <cell r="G636">
            <v>257996.38568529047</v>
          </cell>
        </row>
        <row r="637">
          <cell r="E637" t="str">
            <v>Потери по приходу (логистические)</v>
          </cell>
          <cell r="F637">
            <v>2.2892544975309458E-3</v>
          </cell>
          <cell r="G637">
            <v>65089786.125868224</v>
          </cell>
        </row>
        <row r="638">
          <cell r="E638" t="str">
            <v>Итого потери</v>
          </cell>
          <cell r="F638">
            <v>0</v>
          </cell>
          <cell r="G638">
            <v>0</v>
          </cell>
        </row>
        <row r="639">
          <cell r="E639" t="str">
            <v>Потери утиль</v>
          </cell>
          <cell r="F639">
            <v>8.9452368111110582E-4</v>
          </cell>
          <cell r="G639">
            <v>25433762.454477455</v>
          </cell>
        </row>
        <row r="640">
          <cell r="E640" t="str">
            <v>Потери магазинов по приходу (местные поставщики)</v>
          </cell>
          <cell r="F640">
            <v>0</v>
          </cell>
          <cell r="G640">
            <v>0</v>
          </cell>
        </row>
        <row r="641">
          <cell r="E641" t="str">
            <v>Потери прямые</v>
          </cell>
          <cell r="F641">
            <v>2.3406711111275012E-3</v>
          </cell>
          <cell r="G641">
            <v>66551701.516195394</v>
          </cell>
        </row>
        <row r="642">
          <cell r="E642" t="str">
            <v>Списания материалов</v>
          </cell>
          <cell r="F642">
            <v>0</v>
          </cell>
          <cell r="G642">
            <v>0</v>
          </cell>
        </row>
        <row r="643">
          <cell r="E643" t="str">
            <v>Прочие списания</v>
          </cell>
          <cell r="F643">
            <v>0</v>
          </cell>
          <cell r="G643">
            <v>0</v>
          </cell>
        </row>
        <row r="644">
          <cell r="E644" t="str">
            <v>Списания для маркетинга/рекламы</v>
          </cell>
          <cell r="F644">
            <v>1.8138536397555812E-3</v>
          </cell>
          <cell r="G644">
            <v>4024.3017392758074</v>
          </cell>
        </row>
        <row r="645">
          <cell r="E645" t="str">
            <v>Потери (корректировки)</v>
          </cell>
          <cell r="F645">
            <v>0</v>
          </cell>
          <cell r="G645">
            <v>0</v>
          </cell>
        </row>
        <row r="646">
          <cell r="E646" t="str">
            <v>Списания для получения документации</v>
          </cell>
          <cell r="F646">
            <v>0</v>
          </cell>
          <cell r="G646">
            <v>0</v>
          </cell>
        </row>
        <row r="647">
          <cell r="E647" t="str">
            <v>Потери по приходу (логистические)</v>
          </cell>
          <cell r="F647">
            <v>0</v>
          </cell>
          <cell r="G647">
            <v>0</v>
          </cell>
        </row>
        <row r="648">
          <cell r="E648" t="str">
            <v>Итого потери</v>
          </cell>
          <cell r="F648">
            <v>0</v>
          </cell>
          <cell r="G648">
            <v>0</v>
          </cell>
        </row>
        <row r="649">
          <cell r="E649" t="str">
            <v>Потери утиль</v>
          </cell>
          <cell r="F649">
            <v>6.2697730756857487E-2</v>
          </cell>
          <cell r="G649">
            <v>139104.16000679499</v>
          </cell>
        </row>
        <row r="650">
          <cell r="E650" t="str">
            <v>Потери магазинов по приходу (местные поставщики)</v>
          </cell>
          <cell r="F650">
            <v>0</v>
          </cell>
          <cell r="G650">
            <v>0</v>
          </cell>
        </row>
        <row r="651">
          <cell r="E651" t="str">
            <v>Потери прямые</v>
          </cell>
          <cell r="F651">
            <v>-6.369743071236477E-4</v>
          </cell>
          <cell r="G651">
            <v>-1413.2214175654854</v>
          </cell>
        </row>
        <row r="652">
          <cell r="E652" t="str">
            <v>Списания материалов</v>
          </cell>
          <cell r="F652">
            <v>2.8122173120442145E-5</v>
          </cell>
          <cell r="G652">
            <v>932439.80729809275</v>
          </cell>
        </row>
        <row r="653">
          <cell r="E653" t="str">
            <v>Прочие списания</v>
          </cell>
          <cell r="F653">
            <v>3.5706059000862721E-4</v>
          </cell>
          <cell r="G653">
            <v>11838968.002774073</v>
          </cell>
        </row>
        <row r="654">
          <cell r="E654" t="str">
            <v>Списания для маркетинга/рекламы</v>
          </cell>
          <cell r="F654">
            <v>0</v>
          </cell>
          <cell r="G654">
            <v>0</v>
          </cell>
        </row>
        <row r="655">
          <cell r="E655" t="str">
            <v>Потери (корректировки)</v>
          </cell>
          <cell r="F655">
            <v>-3.6506450916572228E-5</v>
          </cell>
          <cell r="G655">
            <v>-1210435.1933258669</v>
          </cell>
        </row>
        <row r="656">
          <cell r="E656" t="str">
            <v>Списания для получения документации</v>
          </cell>
          <cell r="F656">
            <v>0</v>
          </cell>
          <cell r="G656">
            <v>0</v>
          </cell>
        </row>
        <row r="657">
          <cell r="E657" t="str">
            <v>Потери по приходу (логистические)</v>
          </cell>
          <cell r="F657">
            <v>1.4657213134205899E-2</v>
          </cell>
          <cell r="G657">
            <v>485985522.23730659</v>
          </cell>
        </row>
        <row r="658">
          <cell r="E658" t="str">
            <v>Итого потери</v>
          </cell>
          <cell r="F658">
            <v>0</v>
          </cell>
          <cell r="G658">
            <v>0</v>
          </cell>
        </row>
        <row r="659">
          <cell r="E659" t="str">
            <v>Потери утиль</v>
          </cell>
          <cell r="F659">
            <v>5.1211854866328992E-4</v>
          </cell>
          <cell r="G659">
            <v>16980185.662901904</v>
          </cell>
        </row>
        <row r="660">
          <cell r="E660" t="str">
            <v>Потери магазинов по приходу (местные поставщики)</v>
          </cell>
          <cell r="F660">
            <v>5.5568118479063324E-4</v>
          </cell>
          <cell r="G660">
            <v>18424581.011085376</v>
          </cell>
        </row>
        <row r="661">
          <cell r="E661" t="str">
            <v>Потери прямые</v>
          </cell>
          <cell r="F661">
            <v>4.5979851330542254E-3</v>
          </cell>
          <cell r="G661">
            <v>152454234.35317969</v>
          </cell>
        </row>
        <row r="662">
          <cell r="E662" t="str">
            <v>Списания материалов</v>
          </cell>
          <cell r="F662">
            <v>0</v>
          </cell>
          <cell r="G662">
            <v>0</v>
          </cell>
        </row>
        <row r="663">
          <cell r="E663" t="str">
            <v>Прочие списания</v>
          </cell>
          <cell r="F663">
            <v>3.6739901507298671E-5</v>
          </cell>
          <cell r="G663">
            <v>290705.96409383137</v>
          </cell>
        </row>
        <row r="664">
          <cell r="E664" t="str">
            <v>Списания для маркетинга/рекламы</v>
          </cell>
          <cell r="F664">
            <v>2.1975438542925792E-5</v>
          </cell>
          <cell r="G664">
            <v>173881.55073678898</v>
          </cell>
        </row>
        <row r="665">
          <cell r="E665" t="str">
            <v>Потери (корректировки)</v>
          </cell>
          <cell r="F665">
            <v>0</v>
          </cell>
          <cell r="G665">
            <v>0</v>
          </cell>
        </row>
        <row r="666">
          <cell r="E666" t="str">
            <v>Списания для получения документации</v>
          </cell>
          <cell r="F666">
            <v>3.0966668639027149E-6</v>
          </cell>
          <cell r="G666">
            <v>24502.502435109262</v>
          </cell>
        </row>
        <row r="667">
          <cell r="E667" t="str">
            <v>Потери по приходу (логистические)</v>
          </cell>
          <cell r="F667">
            <v>7.4929501893510045E-3</v>
          </cell>
          <cell r="G667">
            <v>59288272.949496463</v>
          </cell>
        </row>
        <row r="668">
          <cell r="E668" t="str">
            <v>Итого потери</v>
          </cell>
          <cell r="F668">
            <v>0</v>
          </cell>
          <cell r="G668">
            <v>0</v>
          </cell>
        </row>
        <row r="669">
          <cell r="E669" t="str">
            <v>Потери утиль</v>
          </cell>
          <cell r="F669">
            <v>1.1332919403677052E-2</v>
          </cell>
          <cell r="G669">
            <v>89672185.446363762</v>
          </cell>
        </row>
        <row r="670">
          <cell r="E670" t="str">
            <v>Потери магазинов по приходу (местные поставщики)</v>
          </cell>
          <cell r="F670">
            <v>1.8801133680243661E-4</v>
          </cell>
          <cell r="G670">
            <v>1487647.3448047901</v>
          </cell>
        </row>
        <row r="671">
          <cell r="E671" t="str">
            <v>Потери прямые</v>
          </cell>
          <cell r="F671">
            <v>7.7183946714028074E-3</v>
          </cell>
          <cell r="G671">
            <v>61072111.577683426</v>
          </cell>
        </row>
        <row r="672">
          <cell r="E672" t="str">
            <v>Списания материалов</v>
          </cell>
          <cell r="F672">
            <v>2.0524328187975906E-4</v>
          </cell>
          <cell r="G672">
            <v>172295.36144812015</v>
          </cell>
        </row>
        <row r="673">
          <cell r="E673" t="str">
            <v>Прочие списания</v>
          </cell>
          <cell r="F673">
            <v>4.1441660227576121E-3</v>
          </cell>
          <cell r="G673">
            <v>3478898.6818596451</v>
          </cell>
        </row>
        <row r="674">
          <cell r="E674" t="str">
            <v>Списания для маркетинга/рекламы</v>
          </cell>
          <cell r="F674">
            <v>6.3304125931845046E-5</v>
          </cell>
          <cell r="G674">
            <v>53141.847853389838</v>
          </cell>
        </row>
        <row r="675">
          <cell r="E675" t="str">
            <v>Потери (корректировки)</v>
          </cell>
          <cell r="F675">
            <v>3.1736656511098293E-4</v>
          </cell>
          <cell r="G675">
            <v>266419.37580875208</v>
          </cell>
        </row>
        <row r="676">
          <cell r="E676" t="str">
            <v>Списания для получения документации</v>
          </cell>
          <cell r="F676">
            <v>0</v>
          </cell>
          <cell r="G676">
            <v>0</v>
          </cell>
        </row>
        <row r="677">
          <cell r="E677" t="str">
            <v>Потери по приходу (логистические)</v>
          </cell>
          <cell r="F677">
            <v>1.3753964528110821E-3</v>
          </cell>
          <cell r="G677">
            <v>1154602.6101374575</v>
          </cell>
        </row>
        <row r="678">
          <cell r="E678" t="str">
            <v>Итого потери</v>
          </cell>
          <cell r="F678">
            <v>0</v>
          </cell>
          <cell r="G678">
            <v>0</v>
          </cell>
        </row>
        <row r="679">
          <cell r="E679" t="str">
            <v>Потери утиль</v>
          </cell>
          <cell r="F679">
            <v>4.3548162082748132E-4</v>
          </cell>
          <cell r="G679">
            <v>365573.29710036982</v>
          </cell>
        </row>
        <row r="680">
          <cell r="E680" t="str">
            <v>Потери магазинов по приходу (местные поставщики)</v>
          </cell>
          <cell r="F680">
            <v>4.3611106378377134E-7</v>
          </cell>
          <cell r="G680">
            <v>366.1016949152542</v>
          </cell>
        </row>
        <row r="681">
          <cell r="E681" t="str">
            <v>Потери прямые</v>
          </cell>
          <cell r="F681">
            <v>7.4010432589691989E-3</v>
          </cell>
          <cell r="G681">
            <v>6212945.9815611495</v>
          </cell>
        </row>
        <row r="682">
          <cell r="E682" t="str">
            <v>Списания материалов</v>
          </cell>
          <cell r="F682">
            <v>5.3994532678879909E-6</v>
          </cell>
          <cell r="G682">
            <v>160060.66575976269</v>
          </cell>
        </row>
        <row r="683">
          <cell r="E683" t="str">
            <v>Прочие списания</v>
          </cell>
          <cell r="F683">
            <v>5.0953082458191212E-7</v>
          </cell>
          <cell r="G683">
            <v>15104.4631671759</v>
          </cell>
        </row>
        <row r="684">
          <cell r="E684" t="str">
            <v>Списания для маркетинга/рекламы</v>
          </cell>
          <cell r="F684">
            <v>0</v>
          </cell>
          <cell r="G684">
            <v>0</v>
          </cell>
        </row>
        <row r="685">
          <cell r="E685" t="str">
            <v>Потери (корректировки)</v>
          </cell>
          <cell r="F685">
            <v>0</v>
          </cell>
          <cell r="G685">
            <v>0</v>
          </cell>
        </row>
        <row r="686">
          <cell r="E686" t="str">
            <v>Списания для получения документации</v>
          </cell>
          <cell r="F686">
            <v>6.7155681741848883E-6</v>
          </cell>
          <cell r="G686">
            <v>199075.39885710619</v>
          </cell>
        </row>
        <row r="687">
          <cell r="E687" t="str">
            <v>Потери по приходу (логистические)</v>
          </cell>
          <cell r="F687">
            <v>7.7696516878388651E-4</v>
          </cell>
          <cell r="G687">
            <v>23032250.862750698</v>
          </cell>
        </row>
        <row r="688">
          <cell r="E688" t="str">
            <v>Итого потери</v>
          </cell>
          <cell r="F688">
            <v>0</v>
          </cell>
          <cell r="G688">
            <v>0</v>
          </cell>
        </row>
        <row r="689">
          <cell r="E689" t="str">
            <v>Потери утиль</v>
          </cell>
          <cell r="F689">
            <v>6.1314995777190812E-4</v>
          </cell>
          <cell r="G689">
            <v>18176134.801501885</v>
          </cell>
        </row>
        <row r="690">
          <cell r="E690" t="str">
            <v>Потери магазинов по приходу (местные поставщики)</v>
          </cell>
          <cell r="F690">
            <v>0</v>
          </cell>
          <cell r="G690">
            <v>0</v>
          </cell>
        </row>
        <row r="691">
          <cell r="E691" t="str">
            <v>Потери прямые</v>
          </cell>
          <cell r="F691">
            <v>1.3705439043586356E-5</v>
          </cell>
          <cell r="G691">
            <v>406282.18988259695</v>
          </cell>
        </row>
        <row r="692">
          <cell r="E692" t="str">
            <v>Списания материалов</v>
          </cell>
          <cell r="F692">
            <v>0</v>
          </cell>
          <cell r="G692">
            <v>0</v>
          </cell>
        </row>
        <row r="693">
          <cell r="E693" t="str">
            <v>Прочие списания</v>
          </cell>
          <cell r="F693">
            <v>0</v>
          </cell>
          <cell r="G693">
            <v>0</v>
          </cell>
        </row>
        <row r="694">
          <cell r="E694" t="str">
            <v>Списания для маркетинга/рекламы</v>
          </cell>
          <cell r="F694">
            <v>1.7921669224636439E-3</v>
          </cell>
          <cell r="G694">
            <v>4510.6136056702617</v>
          </cell>
        </row>
        <row r="695">
          <cell r="E695" t="str">
            <v>Потери (корректировки)</v>
          </cell>
          <cell r="F695">
            <v>0</v>
          </cell>
          <cell r="G695">
            <v>0</v>
          </cell>
        </row>
        <row r="696">
          <cell r="E696" t="str">
            <v>Списания для получения документации</v>
          </cell>
          <cell r="F696">
            <v>0</v>
          </cell>
          <cell r="G696">
            <v>0</v>
          </cell>
        </row>
        <row r="697">
          <cell r="E697" t="str">
            <v>Потери по приходу (логистические)</v>
          </cell>
          <cell r="F697">
            <v>0</v>
          </cell>
          <cell r="G697">
            <v>0</v>
          </cell>
        </row>
        <row r="698">
          <cell r="E698" t="str">
            <v>Итого потери</v>
          </cell>
          <cell r="F698">
            <v>0</v>
          </cell>
          <cell r="G698">
            <v>0</v>
          </cell>
        </row>
        <row r="699">
          <cell r="E699" t="str">
            <v>Потери утиль</v>
          </cell>
          <cell r="F699">
            <v>7.1260288259241106E-2</v>
          </cell>
          <cell r="G699">
            <v>179351.38838756146</v>
          </cell>
        </row>
        <row r="700">
          <cell r="E700" t="str">
            <v>Потери магазинов по приходу (местные поставщики)</v>
          </cell>
          <cell r="F700">
            <v>0</v>
          </cell>
          <cell r="G700">
            <v>0</v>
          </cell>
        </row>
        <row r="701">
          <cell r="E701" t="str">
            <v>Потери прямые</v>
          </cell>
          <cell r="F701">
            <v>-2.3175770860772611E-3</v>
          </cell>
          <cell r="G701">
            <v>-5832.991673721619</v>
          </cell>
        </row>
        <row r="702">
          <cell r="E702" t="str">
            <v>Списания материалов</v>
          </cell>
          <cell r="F702">
            <v>2.4810680623999802E-5</v>
          </cell>
          <cell r="G702">
            <v>937896.2851757285</v>
          </cell>
        </row>
        <row r="703">
          <cell r="E703" t="str">
            <v>Прочие списания</v>
          </cell>
          <cell r="F703">
            <v>3.3411960895658358E-4</v>
          </cell>
          <cell r="G703">
            <v>12630428.99926006</v>
          </cell>
        </row>
        <row r="704">
          <cell r="E704" t="str">
            <v>Списания для маркетинга/рекламы</v>
          </cell>
          <cell r="F704">
            <v>4.683720204177074E-10</v>
          </cell>
          <cell r="G704">
            <v>17.705454545454543</v>
          </cell>
        </row>
        <row r="705">
          <cell r="E705" t="str">
            <v>Потери (корректировки)</v>
          </cell>
          <cell r="F705">
            <v>8.5155730289141423E-5</v>
          </cell>
          <cell r="G705">
            <v>3219066.9941700445</v>
          </cell>
        </row>
        <row r="706">
          <cell r="E706" t="str">
            <v>Списания для получения документации</v>
          </cell>
          <cell r="F706">
            <v>0</v>
          </cell>
          <cell r="G706">
            <v>0</v>
          </cell>
        </row>
        <row r="707">
          <cell r="E707" t="str">
            <v>Потери по приходу (логистические)</v>
          </cell>
          <cell r="F707">
            <v>1.3861859524130816E-2</v>
          </cell>
          <cell r="G707">
            <v>524007654.21703124</v>
          </cell>
        </row>
        <row r="708">
          <cell r="E708" t="str">
            <v>Итого потери</v>
          </cell>
          <cell r="F708">
            <v>0</v>
          </cell>
          <cell r="G708">
            <v>0</v>
          </cell>
        </row>
        <row r="709">
          <cell r="E709" t="str">
            <v>Потери утиль</v>
          </cell>
          <cell r="F709">
            <v>7.3785953519498522E-4</v>
          </cell>
          <cell r="G709">
            <v>27892653.471644312</v>
          </cell>
        </row>
        <row r="710">
          <cell r="E710" t="str">
            <v>Потери магазинов по приходу (местные поставщики)</v>
          </cell>
          <cell r="F710">
            <v>5.3171920673289572E-4</v>
          </cell>
          <cell r="G710">
            <v>20100112.37938267</v>
          </cell>
        </row>
        <row r="711">
          <cell r="E711" t="str">
            <v>Потери прямые</v>
          </cell>
          <cell r="F711">
            <v>4.3195656487738238E-3</v>
          </cell>
          <cell r="G711">
            <v>163288731.85521391</v>
          </cell>
        </row>
        <row r="712">
          <cell r="E712" t="str">
            <v>Списания материалов</v>
          </cell>
          <cell r="F712">
            <v>0</v>
          </cell>
          <cell r="G712">
            <v>0</v>
          </cell>
        </row>
        <row r="713">
          <cell r="E713" t="str">
            <v>Прочие списания</v>
          </cell>
          <cell r="F713">
            <v>3.3132242051767289E-5</v>
          </cell>
          <cell r="G713">
            <v>308241.81537009793</v>
          </cell>
        </row>
        <row r="714">
          <cell r="E714" t="str">
            <v>Списания для маркетинга/рекламы</v>
          </cell>
          <cell r="F714">
            <v>1.8704584620757254E-5</v>
          </cell>
          <cell r="G714">
            <v>174015.84565987118</v>
          </cell>
        </row>
        <row r="715">
          <cell r="E715" t="str">
            <v>Потери (корректировки)</v>
          </cell>
          <cell r="F715">
            <v>0</v>
          </cell>
          <cell r="G715">
            <v>0</v>
          </cell>
        </row>
        <row r="716">
          <cell r="E716" t="str">
            <v>Списания для получения документации</v>
          </cell>
          <cell r="F716">
            <v>8.0807712613551072E-6</v>
          </cell>
          <cell r="G716">
            <v>75178.480203628482</v>
          </cell>
        </row>
        <row r="717">
          <cell r="E717" t="str">
            <v>Потери по приходу (логистические)</v>
          </cell>
          <cell r="F717">
            <v>7.4016113512948515E-3</v>
          </cell>
          <cell r="G717">
            <v>68859997.944671333</v>
          </cell>
        </row>
        <row r="718">
          <cell r="E718" t="str">
            <v>Итого потери</v>
          </cell>
          <cell r="F718">
            <v>0</v>
          </cell>
          <cell r="G718">
            <v>0</v>
          </cell>
        </row>
        <row r="719">
          <cell r="E719" t="str">
            <v>Потери утиль</v>
          </cell>
          <cell r="F719">
            <v>1.1017968158199359E-2</v>
          </cell>
          <cell r="G719">
            <v>102504337.05835339</v>
          </cell>
        </row>
        <row r="720">
          <cell r="E720" t="str">
            <v>Потери магазинов по приходу (местные поставщики)</v>
          </cell>
          <cell r="F720">
            <v>1.4107030334256925E-4</v>
          </cell>
          <cell r="G720">
            <v>1312430.5421040617</v>
          </cell>
        </row>
        <row r="721">
          <cell r="E721" t="str">
            <v>Потери прямые</v>
          </cell>
          <cell r="F721">
            <v>8.2892695356824534E-3</v>
          </cell>
          <cell r="G721">
            <v>77118218.736257181</v>
          </cell>
        </row>
        <row r="722">
          <cell r="E722" t="str">
            <v>Списания материалов</v>
          </cell>
          <cell r="F722">
            <v>1.8499430793983188E-4</v>
          </cell>
          <cell r="G722">
            <v>174991.21915300464</v>
          </cell>
        </row>
        <row r="723">
          <cell r="E723" t="str">
            <v>Прочие списания</v>
          </cell>
          <cell r="F723">
            <v>1.2207661935129508E-3</v>
          </cell>
          <cell r="G723">
            <v>1154756.4186303697</v>
          </cell>
        </row>
        <row r="724">
          <cell r="E724" t="str">
            <v>Списания для маркетинга/рекламы</v>
          </cell>
          <cell r="F724">
            <v>4.3236473676176168E-5</v>
          </cell>
          <cell r="G724">
            <v>40898.573176271188</v>
          </cell>
        </row>
        <row r="725">
          <cell r="E725" t="str">
            <v>Потери (корректировки)</v>
          </cell>
          <cell r="F725">
            <v>1.7346574361646366E-4</v>
          </cell>
          <cell r="G725">
            <v>164086.03213132513</v>
          </cell>
        </row>
        <row r="726">
          <cell r="E726" t="str">
            <v>Списания для получения документации</v>
          </cell>
          <cell r="F726">
            <v>0</v>
          </cell>
          <cell r="G726">
            <v>0</v>
          </cell>
        </row>
        <row r="727">
          <cell r="E727" t="str">
            <v>Потери по приходу (логистические)</v>
          </cell>
          <cell r="F727">
            <v>1.4124766870830614E-3</v>
          </cell>
          <cell r="G727">
            <v>1336100.6630444685</v>
          </cell>
        </row>
        <row r="728">
          <cell r="E728" t="str">
            <v>Итого потери</v>
          </cell>
          <cell r="F728">
            <v>0</v>
          </cell>
          <cell r="G728">
            <v>0</v>
          </cell>
        </row>
        <row r="729">
          <cell r="E729" t="str">
            <v>Потери утиль</v>
          </cell>
          <cell r="F729">
            <v>4.1041279016269832E-4</v>
          </cell>
          <cell r="G729">
            <v>388220.77990591672</v>
          </cell>
        </row>
        <row r="730">
          <cell r="E730" t="str">
            <v>Потери магазинов по приходу (местные поставщики)</v>
          </cell>
          <cell r="F730">
            <v>6.4724192477072262E-8</v>
          </cell>
          <cell r="G730">
            <v>61.224399152542375</v>
          </cell>
        </row>
        <row r="731">
          <cell r="E731" t="str">
            <v>Потери прямые</v>
          </cell>
          <cell r="F731">
            <v>7.426012118120863E-3</v>
          </cell>
          <cell r="G731">
            <v>7024469.7172931684</v>
          </cell>
        </row>
        <row r="732">
          <cell r="E732" t="str">
            <v>Списания материалов</v>
          </cell>
          <cell r="F732">
            <v>4.6652645002172305E-6</v>
          </cell>
          <cell r="G732">
            <v>153343.25932331284</v>
          </cell>
        </row>
        <row r="733">
          <cell r="E733" t="str">
            <v>Прочие списания</v>
          </cell>
          <cell r="F733">
            <v>8.0562023171974812E-7</v>
          </cell>
          <cell r="G733">
            <v>26480.048902469825</v>
          </cell>
        </row>
        <row r="734">
          <cell r="E734" t="str">
            <v>Списания для маркетинга/рекламы</v>
          </cell>
          <cell r="F734">
            <v>0</v>
          </cell>
          <cell r="G734">
            <v>0</v>
          </cell>
        </row>
        <row r="735">
          <cell r="E735" t="str">
            <v>Потери (корректировки)</v>
          </cell>
          <cell r="F735">
            <v>0</v>
          </cell>
          <cell r="G735">
            <v>0</v>
          </cell>
        </row>
        <row r="736">
          <cell r="E736" t="str">
            <v>Списания для получения документации</v>
          </cell>
          <cell r="F736">
            <v>8.4221935284730203E-6</v>
          </cell>
          <cell r="G736">
            <v>276830.30753082264</v>
          </cell>
        </row>
        <row r="737">
          <cell r="E737" t="str">
            <v>Потери по приходу (логистические)</v>
          </cell>
          <cell r="F737">
            <v>9.7598458589805875E-4</v>
          </cell>
          <cell r="G737">
            <v>32079779.708943278</v>
          </cell>
        </row>
        <row r="738">
          <cell r="E738" t="str">
            <v>Итого потери</v>
          </cell>
          <cell r="F738">
            <v>0</v>
          </cell>
          <cell r="G738">
            <v>0</v>
          </cell>
        </row>
        <row r="739">
          <cell r="E739" t="str">
            <v>Потери утиль</v>
          </cell>
          <cell r="F739">
            <v>4.7410358041385931E-4</v>
          </cell>
          <cell r="G739">
            <v>15583379.736374721</v>
          </cell>
        </row>
        <row r="740">
          <cell r="E740" t="str">
            <v>Потери магазинов по приходу (местные поставщики)</v>
          </cell>
          <cell r="F740">
            <v>0</v>
          </cell>
          <cell r="G740">
            <v>0</v>
          </cell>
        </row>
        <row r="741">
          <cell r="E741" t="str">
            <v>Потери прямые</v>
          </cell>
          <cell r="F741">
            <v>1.1914570834366727E-3</v>
          </cell>
          <cell r="G741">
            <v>39162176.658905506</v>
          </cell>
        </row>
        <row r="742">
          <cell r="E742" t="str">
            <v>Списания материалов</v>
          </cell>
          <cell r="F742">
            <v>0</v>
          </cell>
          <cell r="G742">
            <v>0</v>
          </cell>
        </row>
        <row r="743">
          <cell r="E743" t="str">
            <v>Прочие списания</v>
          </cell>
          <cell r="F743">
            <v>0</v>
          </cell>
          <cell r="G743">
            <v>0</v>
          </cell>
        </row>
        <row r="744">
          <cell r="E744" t="str">
            <v>Списания для маркетинга/рекламы</v>
          </cell>
          <cell r="F744">
            <v>1.7300753768081532E-3</v>
          </cell>
          <cell r="G744">
            <v>4644.6957372265015</v>
          </cell>
        </row>
        <row r="745">
          <cell r="E745" t="str">
            <v>Потери (корректировки)</v>
          </cell>
          <cell r="F745">
            <v>0</v>
          </cell>
          <cell r="G745">
            <v>0</v>
          </cell>
        </row>
        <row r="746">
          <cell r="E746" t="str">
            <v>Списания для получения документации</v>
          </cell>
          <cell r="F746">
            <v>0</v>
          </cell>
          <cell r="G746">
            <v>0</v>
          </cell>
        </row>
        <row r="747">
          <cell r="E747" t="str">
            <v>Потери по приходу (логистические)</v>
          </cell>
          <cell r="F747">
            <v>0</v>
          </cell>
          <cell r="G747">
            <v>0</v>
          </cell>
        </row>
        <row r="748">
          <cell r="E748" t="str">
            <v>Итого потери</v>
          </cell>
          <cell r="F748">
            <v>0</v>
          </cell>
          <cell r="G748">
            <v>0</v>
          </cell>
        </row>
        <row r="749">
          <cell r="E749" t="str">
            <v>Потери утиль</v>
          </cell>
          <cell r="F749">
            <v>4.855440189155092E-2</v>
          </cell>
          <cell r="G749">
            <v>130352.94676312634</v>
          </cell>
        </row>
        <row r="750">
          <cell r="E750" t="str">
            <v>Потери магазинов по приходу (местные поставщики)</v>
          </cell>
          <cell r="F750">
            <v>0</v>
          </cell>
          <cell r="G750">
            <v>0</v>
          </cell>
        </row>
        <row r="751">
          <cell r="E751" t="str">
            <v>Потери прямые</v>
          </cell>
          <cell r="F751">
            <v>9.3438875442689324E-3</v>
          </cell>
          <cell r="G751">
            <v>25085.331672691769</v>
          </cell>
        </row>
        <row r="752">
          <cell r="E752" t="str">
            <v>Списания материалов</v>
          </cell>
          <cell r="F752">
            <v>2.6731744665885259E-5</v>
          </cell>
          <cell r="G752">
            <v>964702.90621825424</v>
          </cell>
        </row>
        <row r="753">
          <cell r="E753" t="str">
            <v>Прочие списания</v>
          </cell>
          <cell r="F753">
            <v>3.2661756392769742E-4</v>
          </cell>
          <cell r="G753">
            <v>11787068.785865255</v>
          </cell>
        </row>
        <row r="754">
          <cell r="E754" t="str">
            <v>Списания для маркетинга/рекламы</v>
          </cell>
          <cell r="F754">
            <v>0</v>
          </cell>
          <cell r="G754">
            <v>0</v>
          </cell>
        </row>
        <row r="755">
          <cell r="E755" t="str">
            <v>Потери (корректировки)</v>
          </cell>
          <cell r="F755">
            <v>-3.4844010878493094E-5</v>
          </cell>
          <cell r="G755">
            <v>-1257460.7074442359</v>
          </cell>
        </row>
        <row r="756">
          <cell r="E756" t="str">
            <v>Списания для получения документации</v>
          </cell>
          <cell r="F756">
            <v>6.7866383334679E-9</v>
          </cell>
          <cell r="G756">
            <v>244.91816024653312</v>
          </cell>
        </row>
        <row r="757">
          <cell r="E757" t="str">
            <v>Потери по приходу (логистические)</v>
          </cell>
          <cell r="F757">
            <v>1.2731145334973359E-2</v>
          </cell>
          <cell r="G757">
            <v>459445242.26320422</v>
          </cell>
        </row>
        <row r="758">
          <cell r="E758" t="str">
            <v>Итого потери</v>
          </cell>
          <cell r="F758">
            <v>0</v>
          </cell>
          <cell r="G758">
            <v>0</v>
          </cell>
        </row>
        <row r="759">
          <cell r="E759" t="str">
            <v>Потери утиль</v>
          </cell>
          <cell r="F759">
            <v>5.3748132323044905E-4</v>
          </cell>
          <cell r="G759">
            <v>19396780.90746405</v>
          </cell>
        </row>
        <row r="760">
          <cell r="E760" t="str">
            <v>Потери магазинов по приходу (местные поставщики)</v>
          </cell>
          <cell r="F760">
            <v>4.5738352676883125E-4</v>
          </cell>
          <cell r="G760">
            <v>16506188.542693608</v>
          </cell>
        </row>
        <row r="761">
          <cell r="E761" t="str">
            <v>Потери прямые</v>
          </cell>
          <cell r="F761">
            <v>3.9549655391140992E-3</v>
          </cell>
          <cell r="G761">
            <v>142727936.28937894</v>
          </cell>
        </row>
        <row r="762">
          <cell r="E762" t="str">
            <v>Списания материалов</v>
          </cell>
          <cell r="F762">
            <v>0</v>
          </cell>
          <cell r="G762">
            <v>0</v>
          </cell>
        </row>
        <row r="763">
          <cell r="E763" t="str">
            <v>Прочие списания</v>
          </cell>
          <cell r="F763">
            <v>2.1464115196022734E-5</v>
          </cell>
          <cell r="G763">
            <v>191413.4815503681</v>
          </cell>
        </row>
        <row r="764">
          <cell r="E764" t="str">
            <v>Списания для маркетинга/рекламы</v>
          </cell>
          <cell r="F764">
            <v>2.2589262072755001E-5</v>
          </cell>
          <cell r="G764">
            <v>201447.35804441309</v>
          </cell>
        </row>
        <row r="765">
          <cell r="E765" t="str">
            <v>Потери (корректировки)</v>
          </cell>
          <cell r="F765">
            <v>0</v>
          </cell>
          <cell r="G765">
            <v>0</v>
          </cell>
        </row>
        <row r="766">
          <cell r="E766" t="str">
            <v>Списания для получения документации</v>
          </cell>
          <cell r="F766">
            <v>6.4677901870040474E-6</v>
          </cell>
          <cell r="G766">
            <v>57678.698903980665</v>
          </cell>
        </row>
        <row r="767">
          <cell r="E767" t="str">
            <v>Потери по приходу (логистические)</v>
          </cell>
          <cell r="F767">
            <v>7.3426443482084202E-3</v>
          </cell>
          <cell r="G767">
            <v>65480505.748363696</v>
          </cell>
        </row>
        <row r="768">
          <cell r="E768" t="str">
            <v>Итого потери</v>
          </cell>
          <cell r="F768">
            <v>0</v>
          </cell>
          <cell r="G768">
            <v>0</v>
          </cell>
        </row>
        <row r="769">
          <cell r="E769" t="str">
            <v>Потери утиль</v>
          </cell>
          <cell r="F769">
            <v>9.6868260002235772E-3</v>
          </cell>
          <cell r="G769">
            <v>86385535.715863109</v>
          </cell>
        </row>
        <row r="770">
          <cell r="E770" t="str">
            <v>Потери магазинов по приходу (местные поставщики)</v>
          </cell>
          <cell r="F770">
            <v>1.9240520097916656E-4</v>
          </cell>
          <cell r="G770">
            <v>1715838.228199824</v>
          </cell>
        </row>
        <row r="771">
          <cell r="E771" t="str">
            <v>Потери прямые</v>
          </cell>
          <cell r="F771">
            <v>7.4373060854924494E-3</v>
          </cell>
          <cell r="G771">
            <v>66324683.695493788</v>
          </cell>
        </row>
        <row r="772">
          <cell r="E772" t="str">
            <v>Списания материалов</v>
          </cell>
          <cell r="F772">
            <v>2.2952593434256313E-4</v>
          </cell>
          <cell r="G772">
            <v>176001.24581718023</v>
          </cell>
        </row>
        <row r="773">
          <cell r="E773" t="str">
            <v>Прочие списания</v>
          </cell>
          <cell r="F773">
            <v>6.2792360659897912E-4</v>
          </cell>
          <cell r="G773">
            <v>481493.89896174107</v>
          </cell>
        </row>
        <row r="774">
          <cell r="E774" t="str">
            <v>Списания для маркетинга/рекламы</v>
          </cell>
          <cell r="F774">
            <v>3.619487438325142E-4</v>
          </cell>
          <cell r="G774">
            <v>277543.49424152548</v>
          </cell>
        </row>
        <row r="775">
          <cell r="E775" t="str">
            <v>Потери (корректировки)</v>
          </cell>
          <cell r="F775">
            <v>8.0285259494856145E-7</v>
          </cell>
          <cell r="G775">
            <v>615.63002596303841</v>
          </cell>
        </row>
        <row r="776">
          <cell r="E776" t="str">
            <v>Списания для получения документации</v>
          </cell>
          <cell r="F776">
            <v>0</v>
          </cell>
          <cell r="G776">
            <v>0</v>
          </cell>
        </row>
        <row r="777">
          <cell r="E777" t="str">
            <v>Потери по приходу (логистические)</v>
          </cell>
          <cell r="F777">
            <v>8.3984590983867758E-4</v>
          </cell>
          <cell r="G777">
            <v>643996.62220941437</v>
          </cell>
        </row>
        <row r="778">
          <cell r="E778" t="str">
            <v>Итого потери</v>
          </cell>
          <cell r="F778">
            <v>0</v>
          </cell>
          <cell r="G778">
            <v>0</v>
          </cell>
        </row>
        <row r="779">
          <cell r="E779" t="str">
            <v>Потери утиль</v>
          </cell>
          <cell r="F779">
            <v>4.1101205219574852E-4</v>
          </cell>
          <cell r="G779">
            <v>315165.40141543921</v>
          </cell>
        </row>
        <row r="780">
          <cell r="E780" t="str">
            <v>Потери магазинов по приходу (местные поставщики)</v>
          </cell>
          <cell r="F780">
            <v>0</v>
          </cell>
          <cell r="G780">
            <v>0</v>
          </cell>
        </row>
        <row r="781">
          <cell r="E781" t="str">
            <v>Потери прямые</v>
          </cell>
          <cell r="F781">
            <v>1.2743961961167788E-2</v>
          </cell>
          <cell r="G781">
            <v>9772112.1939306464</v>
          </cell>
        </row>
        <row r="782">
          <cell r="E782" t="str">
            <v>Списания материалов</v>
          </cell>
          <cell r="F782">
            <v>5.0731237914838864E-6</v>
          </cell>
          <cell r="G782">
            <v>168658.67660338979</v>
          </cell>
        </row>
        <row r="783">
          <cell r="E783" t="str">
            <v>Прочие списания</v>
          </cell>
          <cell r="F783">
            <v>7.4237974319311421E-6</v>
          </cell>
          <cell r="G783">
            <v>246808.06179872755</v>
          </cell>
        </row>
        <row r="784">
          <cell r="E784" t="str">
            <v>Списания для маркетинга/рекламы</v>
          </cell>
          <cell r="F784">
            <v>0</v>
          </cell>
          <cell r="G784">
            <v>0</v>
          </cell>
        </row>
        <row r="785">
          <cell r="E785" t="str">
            <v>Потери (корректировки)</v>
          </cell>
          <cell r="F785">
            <v>0</v>
          </cell>
          <cell r="G785">
            <v>0</v>
          </cell>
        </row>
        <row r="786">
          <cell r="E786" t="str">
            <v>Списания для получения документации</v>
          </cell>
          <cell r="F786">
            <v>1.2077306957278621E-5</v>
          </cell>
          <cell r="G786">
            <v>401516.44077104604</v>
          </cell>
        </row>
        <row r="787">
          <cell r="E787" t="str">
            <v>Потери по приходу (логистические)</v>
          </cell>
          <cell r="F787">
            <v>9.5006800233233602E-4</v>
          </cell>
          <cell r="G787">
            <v>31585511.913898855</v>
          </cell>
        </row>
        <row r="788">
          <cell r="E788" t="str">
            <v>Итого потери</v>
          </cell>
          <cell r="F788">
            <v>0</v>
          </cell>
          <cell r="G788">
            <v>0</v>
          </cell>
        </row>
        <row r="789">
          <cell r="E789" t="str">
            <v>Потери утиль</v>
          </cell>
          <cell r="F789">
            <v>4.2935796425075851E-4</v>
          </cell>
          <cell r="G789">
            <v>14274232.014842503</v>
          </cell>
        </row>
        <row r="790">
          <cell r="E790" t="str">
            <v>Потери магазинов по приходу (местные поставщики)</v>
          </cell>
          <cell r="F790">
            <v>0</v>
          </cell>
          <cell r="G790">
            <v>0</v>
          </cell>
        </row>
        <row r="791">
          <cell r="E791" t="str">
            <v>Потери прямые</v>
          </cell>
          <cell r="F791">
            <v>1.4114110330076775E-3</v>
          </cell>
          <cell r="G791">
            <v>46923104.334670618</v>
          </cell>
        </row>
        <row r="792">
          <cell r="E792" t="str">
            <v>Списания материалов</v>
          </cell>
          <cell r="F792">
            <v>0</v>
          </cell>
          <cell r="G792">
            <v>0</v>
          </cell>
        </row>
        <row r="793">
          <cell r="E793" t="str">
            <v>Прочие списания</v>
          </cell>
          <cell r="F793">
            <v>0</v>
          </cell>
          <cell r="G793">
            <v>0</v>
          </cell>
        </row>
        <row r="794">
          <cell r="E794" t="str">
            <v>Списания для маркетинга/рекламы</v>
          </cell>
          <cell r="F794">
            <v>1.546713179550683E-3</v>
          </cell>
          <cell r="G794">
            <v>4754.0671182434517</v>
          </cell>
        </row>
        <row r="795">
          <cell r="E795" t="str">
            <v>Потери (корректировки)</v>
          </cell>
          <cell r="F795">
            <v>0</v>
          </cell>
          <cell r="G795">
            <v>0</v>
          </cell>
        </row>
        <row r="796">
          <cell r="E796" t="str">
            <v>Списания для получения документации</v>
          </cell>
          <cell r="F796">
            <v>0</v>
          </cell>
          <cell r="G796">
            <v>0</v>
          </cell>
        </row>
        <row r="797">
          <cell r="E797" t="str">
            <v>Потери по приходу (логистические)</v>
          </cell>
          <cell r="F797">
            <v>0</v>
          </cell>
          <cell r="G797">
            <v>0</v>
          </cell>
        </row>
        <row r="798">
          <cell r="E798" t="str">
            <v>Итого потери</v>
          </cell>
          <cell r="F798">
            <v>0</v>
          </cell>
          <cell r="G798">
            <v>0</v>
          </cell>
        </row>
        <row r="799">
          <cell r="E799" t="str">
            <v>Потери утиль</v>
          </cell>
          <cell r="F799">
            <v>6.3193627100783661E-2</v>
          </cell>
          <cell r="G799">
            <v>194235.58850752612</v>
          </cell>
        </row>
        <row r="800">
          <cell r="E800" t="str">
            <v>Потери магазинов по приходу (местные поставщики)</v>
          </cell>
          <cell r="F800">
            <v>0</v>
          </cell>
          <cell r="G800">
            <v>0</v>
          </cell>
        </row>
        <row r="801">
          <cell r="E801" t="str">
            <v>Потери прямые</v>
          </cell>
          <cell r="F801">
            <v>-2.4487610789393478E-2</v>
          </cell>
          <cell r="G801">
            <v>-75266.537324016099</v>
          </cell>
        </row>
        <row r="802">
          <cell r="E802" t="str">
            <v>Списания материалов</v>
          </cell>
          <cell r="F802">
            <v>2.5521987338282897E-5</v>
          </cell>
          <cell r="G802">
            <v>969673.58560371189</v>
          </cell>
        </row>
        <row r="803">
          <cell r="E803" t="str">
            <v>Прочие списания</v>
          </cell>
          <cell r="F803">
            <v>3.2579472924702796E-4</v>
          </cell>
          <cell r="G803">
            <v>12378132.591809781</v>
          </cell>
        </row>
        <row r="804">
          <cell r="E804" t="str">
            <v>Списания для маркетинга/рекламы</v>
          </cell>
          <cell r="F804">
            <v>0</v>
          </cell>
          <cell r="G804">
            <v>0</v>
          </cell>
        </row>
        <row r="805">
          <cell r="E805" t="str">
            <v>Потери (корректировки)</v>
          </cell>
          <cell r="F805">
            <v>1.3177114971408048E-5</v>
          </cell>
          <cell r="G805">
            <v>500646.76205960603</v>
          </cell>
        </row>
        <row r="806">
          <cell r="E806" t="str">
            <v>Списания для получения документации</v>
          </cell>
          <cell r="F806">
            <v>0</v>
          </cell>
          <cell r="G806">
            <v>0</v>
          </cell>
        </row>
        <row r="807">
          <cell r="E807" t="str">
            <v>Потери по приходу (логистические)</v>
          </cell>
          <cell r="F807">
            <v>1.166285382615388E-2</v>
          </cell>
          <cell r="G807">
            <v>443114446.30390906</v>
          </cell>
        </row>
        <row r="808">
          <cell r="E808" t="str">
            <v>Итого потери</v>
          </cell>
          <cell r="F808">
            <v>0</v>
          </cell>
          <cell r="G808">
            <v>0</v>
          </cell>
        </row>
        <row r="809">
          <cell r="E809" t="str">
            <v>Потери утиль</v>
          </cell>
          <cell r="F809">
            <v>4.5651558939866003E-4</v>
          </cell>
          <cell r="G809">
            <v>17344695.872965399</v>
          </cell>
        </row>
        <row r="810">
          <cell r="E810" t="str">
            <v>Потери магазинов по приходу (местные поставщики)</v>
          </cell>
          <cell r="F810">
            <v>5.2516144096633529E-4</v>
          </cell>
          <cell r="G810">
            <v>19952802.684718337</v>
          </cell>
        </row>
        <row r="811">
          <cell r="E811" t="str">
            <v>Потери прямые</v>
          </cell>
          <cell r="F811">
            <v>3.6574856437257938E-3</v>
          </cell>
          <cell r="G811">
            <v>138961248.25380865</v>
          </cell>
        </row>
        <row r="812">
          <cell r="E812" t="str">
            <v>Списания материалов</v>
          </cell>
          <cell r="F812">
            <v>0</v>
          </cell>
          <cell r="G812">
            <v>0</v>
          </cell>
        </row>
        <row r="813">
          <cell r="E813" t="str">
            <v>Прочие списания</v>
          </cell>
          <cell r="F813">
            <v>3.3130642567636818E-5</v>
          </cell>
          <cell r="G813">
            <v>314601.99608835799</v>
          </cell>
        </row>
        <row r="814">
          <cell r="E814" t="str">
            <v>Списания для маркетинга/рекламы</v>
          </cell>
          <cell r="F814">
            <v>2.2359045378999943E-5</v>
          </cell>
          <cell r="G814">
            <v>212317.05037121178</v>
          </cell>
        </row>
        <row r="815">
          <cell r="E815" t="str">
            <v>Потери (корректировки)</v>
          </cell>
          <cell r="F815">
            <v>0</v>
          </cell>
          <cell r="G815">
            <v>0</v>
          </cell>
        </row>
        <row r="816">
          <cell r="E816" t="str">
            <v>Списания для получения документации</v>
          </cell>
          <cell r="F816">
            <v>5.2468093179544673E-6</v>
          </cell>
          <cell r="G816">
            <v>49822.658318613219</v>
          </cell>
        </row>
        <row r="817">
          <cell r="E817" t="str">
            <v>Потери по приходу (логистические)</v>
          </cell>
          <cell r="F817">
            <v>7.3311025137970977E-3</v>
          </cell>
          <cell r="G817">
            <v>69614692.188973695</v>
          </cell>
        </row>
        <row r="818">
          <cell r="E818" t="str">
            <v>Итого потери</v>
          </cell>
          <cell r="F818">
            <v>0</v>
          </cell>
          <cell r="G818">
            <v>0</v>
          </cell>
        </row>
        <row r="819">
          <cell r="E819" t="str">
            <v>Потери утиль</v>
          </cell>
          <cell r="F819">
            <v>9.7703806217993745E-3</v>
          </cell>
          <cell r="G819">
            <v>92777592.221035689</v>
          </cell>
        </row>
        <row r="820">
          <cell r="E820" t="str">
            <v>Потери магазинов по приходу (местные поставщики)</v>
          </cell>
          <cell r="F820">
            <v>2.284710868882341E-4</v>
          </cell>
          <cell r="G820">
            <v>2169516.0254370547</v>
          </cell>
        </row>
        <row r="821">
          <cell r="E821" t="str">
            <v>Потери прямые</v>
          </cell>
          <cell r="F821">
            <v>6.3537214088611347E-3</v>
          </cell>
          <cell r="G821">
            <v>60333675.501049198</v>
          </cell>
        </row>
        <row r="822">
          <cell r="E822" t="str">
            <v>Списания материалов</v>
          </cell>
          <cell r="F822">
            <v>2.0827149558597243E-4</v>
          </cell>
          <cell r="G822">
            <v>174308.22624103239</v>
          </cell>
        </row>
        <row r="823">
          <cell r="E823" t="str">
            <v>Прочие списания</v>
          </cell>
          <cell r="F823">
            <v>1.6224686239989046E-3</v>
          </cell>
          <cell r="G823">
            <v>1357889.2646124803</v>
          </cell>
        </row>
        <row r="824">
          <cell r="E824" t="str">
            <v>Списания для маркетинга/рекламы</v>
          </cell>
          <cell r="F824">
            <v>1.305724431917854E-5</v>
          </cell>
          <cell r="G824">
            <v>10927.972118644067</v>
          </cell>
        </row>
        <row r="825">
          <cell r="E825" t="str">
            <v>Потери (корректировки)</v>
          </cell>
          <cell r="F825">
            <v>1.2765208398478648E-4</v>
          </cell>
          <cell r="G825">
            <v>106835.59107671799</v>
          </cell>
        </row>
        <row r="826">
          <cell r="E826" t="str">
            <v>Списания для получения документации</v>
          </cell>
          <cell r="F826">
            <v>0</v>
          </cell>
          <cell r="G826">
            <v>0</v>
          </cell>
        </row>
        <row r="827">
          <cell r="E827" t="str">
            <v>Потери по приходу (логистические)</v>
          </cell>
          <cell r="F827">
            <v>1.0591251241187058E-2</v>
          </cell>
          <cell r="G827">
            <v>8864113.7008706946</v>
          </cell>
        </row>
        <row r="828">
          <cell r="E828" t="str">
            <v>Итого потери</v>
          </cell>
          <cell r="F828">
            <v>0</v>
          </cell>
          <cell r="G828">
            <v>0</v>
          </cell>
        </row>
        <row r="829">
          <cell r="E829" t="str">
            <v>Потери утиль</v>
          </cell>
          <cell r="F829">
            <v>6.3984389198973605E-4</v>
          </cell>
          <cell r="G829">
            <v>535503.2073404931</v>
          </cell>
        </row>
        <row r="830">
          <cell r="E830" t="str">
            <v>Потери магазинов по приходу (местные поставщики)</v>
          </cell>
          <cell r="F830">
            <v>7.4438571312987892E-7</v>
          </cell>
          <cell r="G830">
            <v>622.99717457627116</v>
          </cell>
        </row>
        <row r="831">
          <cell r="E831" t="str">
            <v>Потери прямые</v>
          </cell>
          <cell r="F831">
            <v>6.0942767292881343E-3</v>
          </cell>
          <cell r="G831">
            <v>5100470.2487754263</v>
          </cell>
        </row>
        <row r="832">
          <cell r="E832" t="str">
            <v>Списания материалов</v>
          </cell>
          <cell r="F832">
            <v>5.9573948905193055E-6</v>
          </cell>
          <cell r="G832">
            <v>191181.56453644071</v>
          </cell>
        </row>
        <row r="833">
          <cell r="E833" t="str">
            <v>Прочие списания</v>
          </cell>
          <cell r="F833">
            <v>6.8034623245436824E-7</v>
          </cell>
          <cell r="G833">
            <v>21833.31129418566</v>
          </cell>
        </row>
        <row r="834">
          <cell r="E834" t="str">
            <v>Списания для маркетинга/рекламы</v>
          </cell>
          <cell r="F834">
            <v>0</v>
          </cell>
          <cell r="G834">
            <v>0</v>
          </cell>
        </row>
        <row r="835">
          <cell r="E835" t="str">
            <v>Потери (корректировки)</v>
          </cell>
          <cell r="F835">
            <v>0</v>
          </cell>
          <cell r="G835">
            <v>0</v>
          </cell>
        </row>
        <row r="836">
          <cell r="E836" t="str">
            <v>Списания для получения документации</v>
          </cell>
          <cell r="F836">
            <v>1.1372723189928206E-5</v>
          </cell>
          <cell r="G836">
            <v>364967.41485955205</v>
          </cell>
        </row>
        <row r="837">
          <cell r="E837" t="str">
            <v>Потери по приходу (логистические)</v>
          </cell>
          <cell r="F837">
            <v>1.5369240121534541E-3</v>
          </cell>
          <cell r="G837">
            <v>49322152.151560277</v>
          </cell>
        </row>
        <row r="838">
          <cell r="E838" t="str">
            <v>Итого потери</v>
          </cell>
          <cell r="F838">
            <v>0</v>
          </cell>
          <cell r="G838">
            <v>0</v>
          </cell>
        </row>
        <row r="839">
          <cell r="E839" t="str">
            <v>Потери утиль</v>
          </cell>
          <cell r="F839">
            <v>3.3965750943209903E-4</v>
          </cell>
          <cell r="G839">
            <v>10900109.066652633</v>
          </cell>
        </row>
        <row r="840">
          <cell r="E840" t="str">
            <v>Потери магазинов по приходу (местные поставщики)</v>
          </cell>
          <cell r="F840">
            <v>0</v>
          </cell>
          <cell r="G840">
            <v>0</v>
          </cell>
        </row>
        <row r="841">
          <cell r="E841" t="str">
            <v>Потери прямые</v>
          </cell>
          <cell r="F841">
            <v>1.5779984832683159E-3</v>
          </cell>
          <cell r="G841">
            <v>50640292.344472952</v>
          </cell>
        </row>
        <row r="842">
          <cell r="E842" t="str">
            <v>Списания материалов</v>
          </cell>
          <cell r="F842">
            <v>0</v>
          </cell>
          <cell r="G842">
            <v>0</v>
          </cell>
        </row>
        <row r="843">
          <cell r="E843" t="str">
            <v>Прочие списания</v>
          </cell>
          <cell r="F843">
            <v>0</v>
          </cell>
          <cell r="G843">
            <v>0</v>
          </cell>
        </row>
        <row r="844">
          <cell r="E844" t="str">
            <v>Списания для маркетинга/рекламы</v>
          </cell>
          <cell r="F844">
            <v>1.7206497743455648E-3</v>
          </cell>
          <cell r="G844">
            <v>4513.1041446224972</v>
          </cell>
        </row>
        <row r="845">
          <cell r="E845" t="str">
            <v>Потери (корректировки)</v>
          </cell>
          <cell r="F845">
            <v>0</v>
          </cell>
          <cell r="G845">
            <v>0</v>
          </cell>
        </row>
        <row r="846">
          <cell r="E846" t="str">
            <v>Списания для получения документации</v>
          </cell>
          <cell r="F846">
            <v>1.6819982408475192E-4</v>
          </cell>
          <cell r="G846">
            <v>441.17247711864411</v>
          </cell>
        </row>
        <row r="847">
          <cell r="E847" t="str">
            <v>Потери по приходу (логистические)</v>
          </cell>
          <cell r="F847">
            <v>0</v>
          </cell>
          <cell r="G847">
            <v>0</v>
          </cell>
        </row>
        <row r="848">
          <cell r="E848" t="str">
            <v>Итого потери</v>
          </cell>
          <cell r="F848">
            <v>0</v>
          </cell>
          <cell r="G848">
            <v>0</v>
          </cell>
        </row>
        <row r="849">
          <cell r="E849" t="str">
            <v>Потери утиль</v>
          </cell>
          <cell r="F849">
            <v>5.552972636606409E-2</v>
          </cell>
          <cell r="G849">
            <v>145649.30176319875</v>
          </cell>
        </row>
        <row r="850">
          <cell r="E850" t="str">
            <v>Потери магазинов по приходу (местные поставщики)</v>
          </cell>
          <cell r="F850">
            <v>0</v>
          </cell>
          <cell r="G850">
            <v>0</v>
          </cell>
        </row>
        <row r="851">
          <cell r="E851" t="str">
            <v>Потери прямые</v>
          </cell>
          <cell r="F851">
            <v>-9.4870075707395012E-3</v>
          </cell>
          <cell r="G851">
            <v>-24883.537501903382</v>
          </cell>
        </row>
        <row r="852">
          <cell r="E852" t="str">
            <v>Списания материалов</v>
          </cell>
          <cell r="F852">
            <v>2.6668911376703163E-5</v>
          </cell>
          <cell r="G852">
            <v>987658.90286233032</v>
          </cell>
        </row>
        <row r="853">
          <cell r="E853" t="str">
            <v>Прочие списания</v>
          </cell>
          <cell r="F853">
            <v>3.1644311843445486E-4</v>
          </cell>
          <cell r="G853">
            <v>11719183.387602691</v>
          </cell>
        </row>
        <row r="854">
          <cell r="E854" t="str">
            <v>Списания для маркетинга/рекламы</v>
          </cell>
          <cell r="F854">
            <v>0</v>
          </cell>
          <cell r="G854">
            <v>0</v>
          </cell>
        </row>
        <row r="855">
          <cell r="E855" t="str">
            <v>Потери (корректировки)</v>
          </cell>
          <cell r="F855">
            <v>4.8619598086119738E-6</v>
          </cell>
          <cell r="G855">
            <v>180058.26419031245</v>
          </cell>
        </row>
        <row r="856">
          <cell r="E856" t="str">
            <v>Списания для получения документации</v>
          </cell>
          <cell r="F856">
            <v>0</v>
          </cell>
          <cell r="G856">
            <v>0</v>
          </cell>
        </row>
        <row r="857">
          <cell r="E857" t="str">
            <v>Потери по приходу (логистические)</v>
          </cell>
          <cell r="F857">
            <v>1.0765847562464466E-2</v>
          </cell>
          <cell r="G857">
            <v>398703383.19153422</v>
          </cell>
        </row>
        <row r="858">
          <cell r="E858" t="str">
            <v>Итого потери</v>
          </cell>
          <cell r="F858">
            <v>0</v>
          </cell>
          <cell r="G858">
            <v>0</v>
          </cell>
        </row>
        <row r="859">
          <cell r="E859" t="str">
            <v>Потери утиль</v>
          </cell>
          <cell r="F859">
            <v>5.328479193362158E-4</v>
          </cell>
          <cell r="G859">
            <v>19733538.574949533</v>
          </cell>
        </row>
        <row r="860">
          <cell r="E860" t="str">
            <v>Потери магазинов по приходу (местные поставщики)</v>
          </cell>
          <cell r="F860">
            <v>4.0888736208107419E-4</v>
          </cell>
          <cell r="G860">
            <v>15142771.961064927</v>
          </cell>
        </row>
        <row r="861">
          <cell r="E861" t="str">
            <v>Потери прямые</v>
          </cell>
          <cell r="F861">
            <v>3.2197882505738216E-3</v>
          </cell>
          <cell r="G861">
            <v>119241932.5293016</v>
          </cell>
        </row>
        <row r="862">
          <cell r="E862" t="str">
            <v>Списания материалов</v>
          </cell>
          <cell r="F862">
            <v>0</v>
          </cell>
          <cell r="G862">
            <v>0</v>
          </cell>
        </row>
        <row r="863">
          <cell r="E863" t="str">
            <v>Прочие списания</v>
          </cell>
          <cell r="F863">
            <v>6.9964967172394889E-5</v>
          </cell>
          <cell r="G863">
            <v>667505.94763943949</v>
          </cell>
        </row>
        <row r="864">
          <cell r="E864" t="str">
            <v>Списания для маркетинга/рекламы</v>
          </cell>
          <cell r="F864">
            <v>1.9390613380546454E-5</v>
          </cell>
          <cell r="G864">
            <v>184997.5821184768</v>
          </cell>
        </row>
        <row r="865">
          <cell r="E865" t="str">
            <v>Потери (корректировки)</v>
          </cell>
          <cell r="F865">
            <v>0</v>
          </cell>
          <cell r="G865">
            <v>0</v>
          </cell>
        </row>
        <row r="866">
          <cell r="E866" t="str">
            <v>Списания для получения документации</v>
          </cell>
          <cell r="F866">
            <v>4.2237617864401549E-6</v>
          </cell>
          <cell r="G866">
            <v>40297.111937664049</v>
          </cell>
        </row>
        <row r="867">
          <cell r="E867" t="str">
            <v>Потери по приходу (логистические)</v>
          </cell>
          <cell r="F867">
            <v>5.4509525683805234E-3</v>
          </cell>
          <cell r="G867">
            <v>52005216.421084635</v>
          </cell>
        </row>
        <row r="868">
          <cell r="E868" t="str">
            <v>Итого потери</v>
          </cell>
          <cell r="F868">
            <v>0</v>
          </cell>
          <cell r="G868">
            <v>0</v>
          </cell>
        </row>
        <row r="869">
          <cell r="E869" t="str">
            <v>Потери утиль</v>
          </cell>
          <cell r="F869">
            <v>8.1570538127988326E-3</v>
          </cell>
          <cell r="G869">
            <v>77822975.630673915</v>
          </cell>
        </row>
        <row r="870">
          <cell r="E870" t="str">
            <v>Потери магазинов по приходу (местные поставщики)</v>
          </cell>
          <cell r="F870">
            <v>1.9999346724732252E-4</v>
          </cell>
          <cell r="G870">
            <v>1908052.4764298499</v>
          </cell>
        </row>
        <row r="871">
          <cell r="E871" t="str">
            <v>Потери прямые</v>
          </cell>
          <cell r="F871">
            <v>4.8881850270142647E-3</v>
          </cell>
          <cell r="G871">
            <v>46636091.040452465</v>
          </cell>
        </row>
        <row r="872">
          <cell r="E872" t="str">
            <v>Списания материалов</v>
          </cell>
          <cell r="F872">
            <v>1.928806580613343E-4</v>
          </cell>
          <cell r="G872">
            <v>175144.16391007701</v>
          </cell>
        </row>
        <row r="873">
          <cell r="E873" t="str">
            <v>Прочие списания</v>
          </cell>
          <cell r="F873">
            <v>4.3144065007002423E-4</v>
          </cell>
          <cell r="G873">
            <v>391767.18232320494</v>
          </cell>
        </row>
        <row r="874">
          <cell r="E874" t="str">
            <v>Списания для маркетинга/рекламы</v>
          </cell>
          <cell r="F874">
            <v>3.5005213972524863E-4</v>
          </cell>
          <cell r="G874">
            <v>317862.81710847456</v>
          </cell>
        </row>
        <row r="875">
          <cell r="E875" t="str">
            <v>Потери (корректировки)</v>
          </cell>
          <cell r="F875">
            <v>5.4520040412792126E-4</v>
          </cell>
          <cell r="G875">
            <v>495066.06781721121</v>
          </cell>
        </row>
        <row r="876">
          <cell r="E876" t="str">
            <v>Списания для получения документации</v>
          </cell>
          <cell r="F876">
            <v>0</v>
          </cell>
          <cell r="G876">
            <v>0</v>
          </cell>
        </row>
        <row r="877">
          <cell r="E877" t="str">
            <v>Потери по приходу (логистические)</v>
          </cell>
          <cell r="F877">
            <v>1.4513836447576059E-3</v>
          </cell>
          <cell r="G877">
            <v>1317920.5086131413</v>
          </cell>
        </row>
        <row r="878">
          <cell r="E878" t="str">
            <v>Итого потери</v>
          </cell>
          <cell r="F878">
            <v>0</v>
          </cell>
          <cell r="G878">
            <v>0</v>
          </cell>
        </row>
        <row r="879">
          <cell r="E879" t="str">
            <v>Потери утиль</v>
          </cell>
          <cell r="F879">
            <v>6.7175576918937171E-4</v>
          </cell>
          <cell r="G879">
            <v>609983.93373912189</v>
          </cell>
        </row>
        <row r="880">
          <cell r="E880" t="str">
            <v>Потери магазинов по приходу (местные поставщики)</v>
          </cell>
          <cell r="F880">
            <v>1.5338752918865912E-6</v>
          </cell>
          <cell r="G880">
            <v>1392.8265707926726</v>
          </cell>
        </row>
        <row r="881">
          <cell r="E881" t="str">
            <v>Потери прямые</v>
          </cell>
          <cell r="F881">
            <v>5.9603206156495373E-3</v>
          </cell>
          <cell r="G881">
            <v>5412234.5981004378</v>
          </cell>
        </row>
        <row r="882">
          <cell r="E882" t="str">
            <v>Списания материалов</v>
          </cell>
          <cell r="F882">
            <v>5.7160440230181842E-6</v>
          </cell>
          <cell r="G882">
            <v>191615.04931117105</v>
          </cell>
        </row>
        <row r="883">
          <cell r="E883" t="str">
            <v>Прочие списания</v>
          </cell>
          <cell r="F883">
            <v>3.3694941126093214E-7</v>
          </cell>
          <cell r="G883">
            <v>11295.325542304377</v>
          </cell>
        </row>
        <row r="884">
          <cell r="E884" t="str">
            <v>Списания для маркетинга/рекламы</v>
          </cell>
          <cell r="F884">
            <v>0</v>
          </cell>
          <cell r="G884">
            <v>0</v>
          </cell>
        </row>
        <row r="885">
          <cell r="E885" t="str">
            <v>Потери (корректировки)</v>
          </cell>
          <cell r="F885">
            <v>0</v>
          </cell>
          <cell r="G885">
            <v>0</v>
          </cell>
        </row>
        <row r="886">
          <cell r="E886" t="str">
            <v>Списания для получения документации</v>
          </cell>
          <cell r="F886">
            <v>9.846265653967835E-6</v>
          </cell>
          <cell r="G886">
            <v>330069.65503035532</v>
          </cell>
        </row>
        <row r="887">
          <cell r="E887" t="str">
            <v>Потери по приходу (логистические)</v>
          </cell>
          <cell r="F887">
            <v>6.7691457215939661E-4</v>
          </cell>
          <cell r="G887">
            <v>22691746.005008053</v>
          </cell>
        </row>
        <row r="888">
          <cell r="E888" t="str">
            <v>Итого потери</v>
          </cell>
          <cell r="F888">
            <v>0</v>
          </cell>
          <cell r="G888">
            <v>0</v>
          </cell>
        </row>
        <row r="889">
          <cell r="E889" t="str">
            <v>Потери утиль</v>
          </cell>
          <cell r="F889">
            <v>2.3620913049250496E-4</v>
          </cell>
          <cell r="G889">
            <v>7918277.7467783317</v>
          </cell>
        </row>
        <row r="890">
          <cell r="E890" t="str">
            <v>Потери магазинов по приходу (местные поставщики)</v>
          </cell>
          <cell r="F890">
            <v>0</v>
          </cell>
          <cell r="G890">
            <v>0</v>
          </cell>
        </row>
        <row r="891">
          <cell r="E891" t="str">
            <v>Потери прямые</v>
          </cell>
          <cell r="F891">
            <v>1.5043190295416502E-3</v>
          </cell>
          <cell r="G891">
            <v>50428261.900116459</v>
          </cell>
        </row>
        <row r="892">
          <cell r="E892" t="str">
            <v>Списания материалов</v>
          </cell>
          <cell r="F892">
            <v>0</v>
          </cell>
          <cell r="G892">
            <v>0</v>
          </cell>
        </row>
        <row r="893">
          <cell r="E893" t="str">
            <v>Прочие списания</v>
          </cell>
          <cell r="F893">
            <v>0</v>
          </cell>
          <cell r="G893">
            <v>0</v>
          </cell>
        </row>
        <row r="894">
          <cell r="E894" t="str">
            <v>Списания для маркетинга/рекламы</v>
          </cell>
          <cell r="F894">
            <v>1.9936152345777537E-3</v>
          </cell>
          <cell r="G894">
            <v>5452.546559090908</v>
          </cell>
        </row>
        <row r="895">
          <cell r="E895" t="str">
            <v>Потери (корректировки)</v>
          </cell>
          <cell r="F895">
            <v>0</v>
          </cell>
          <cell r="G895">
            <v>0</v>
          </cell>
        </row>
        <row r="896">
          <cell r="E896" t="str">
            <v>Списания для получения документации</v>
          </cell>
          <cell r="F896">
            <v>0</v>
          </cell>
          <cell r="G896">
            <v>0</v>
          </cell>
        </row>
        <row r="897">
          <cell r="E897" t="str">
            <v>Потери по приходу (логистические)</v>
          </cell>
          <cell r="F897">
            <v>0</v>
          </cell>
          <cell r="G897">
            <v>0</v>
          </cell>
        </row>
        <row r="898">
          <cell r="E898" t="str">
            <v>Итого потери</v>
          </cell>
          <cell r="F898">
            <v>0</v>
          </cell>
          <cell r="G898">
            <v>0</v>
          </cell>
        </row>
        <row r="899">
          <cell r="E899" t="str">
            <v>Потери утиль</v>
          </cell>
          <cell r="F899">
            <v>5.2083526036930818E-2</v>
          </cell>
          <cell r="G899">
            <v>142448.67602957363</v>
          </cell>
        </row>
        <row r="900">
          <cell r="E900" t="str">
            <v>Потери магазинов по приходу (местные поставщики)</v>
          </cell>
          <cell r="F900">
            <v>0</v>
          </cell>
          <cell r="G900">
            <v>0</v>
          </cell>
        </row>
        <row r="901">
          <cell r="E901" t="str">
            <v>Потери прямые</v>
          </cell>
          <cell r="F901">
            <v>7.4856608592873434E-3</v>
          </cell>
          <cell r="G901">
            <v>20473.31583994114</v>
          </cell>
        </row>
        <row r="902">
          <cell r="E902" t="str">
            <v>Списания материалов</v>
          </cell>
          <cell r="F902">
            <v>2.620783550732257E-5</v>
          </cell>
          <cell r="G902">
            <v>1003091.5768128134</v>
          </cell>
        </row>
        <row r="903">
          <cell r="E903" t="str">
            <v>Прочие списания</v>
          </cell>
          <cell r="F903">
            <v>2.4118955562527945E-4</v>
          </cell>
          <cell r="G903">
            <v>9231407.5916473791</v>
          </cell>
        </row>
        <row r="904">
          <cell r="E904" t="str">
            <v>Списания для маркетинга/рекламы</v>
          </cell>
          <cell r="F904">
            <v>0</v>
          </cell>
          <cell r="G904">
            <v>0</v>
          </cell>
        </row>
        <row r="905">
          <cell r="E905" t="str">
            <v>Потери (корректировки)</v>
          </cell>
          <cell r="F905">
            <v>4.2517258209769359E-4</v>
          </cell>
          <cell r="G905">
            <v>16273264.370679855</v>
          </cell>
        </row>
        <row r="906">
          <cell r="E906" t="str">
            <v>Списания для получения документации</v>
          </cell>
          <cell r="F906">
            <v>0</v>
          </cell>
          <cell r="G906">
            <v>0</v>
          </cell>
        </row>
        <row r="907">
          <cell r="E907" t="str">
            <v>Потери по приходу (логистические)</v>
          </cell>
          <cell r="F907">
            <v>1.1663801138587436E-2</v>
          </cell>
          <cell r="G907">
            <v>446426057.29373467</v>
          </cell>
        </row>
        <row r="908">
          <cell r="E908" t="str">
            <v>Итого потери</v>
          </cell>
          <cell r="F908">
            <v>0</v>
          </cell>
          <cell r="G908">
            <v>0</v>
          </cell>
        </row>
        <row r="909">
          <cell r="E909" t="str">
            <v>Потери утиль</v>
          </cell>
          <cell r="F909">
            <v>5.923417606531E-4</v>
          </cell>
          <cell r="G909">
            <v>22671579.670880564</v>
          </cell>
        </row>
        <row r="910">
          <cell r="E910" t="str">
            <v>Потери магазинов по приходу (местные поставщики)</v>
          </cell>
          <cell r="F910">
            <v>4.4638920782266744E-4</v>
          </cell>
          <cell r="G910">
            <v>17085319.931207355</v>
          </cell>
        </row>
        <row r="911">
          <cell r="E911" t="str">
            <v>Потери прямые</v>
          </cell>
          <cell r="F911">
            <v>2.9219764989696952E-3</v>
          </cell>
          <cell r="G911">
            <v>111837164.61218478</v>
          </cell>
        </row>
        <row r="912">
          <cell r="E912" t="str">
            <v>Списания материалов</v>
          </cell>
          <cell r="F912">
            <v>0</v>
          </cell>
          <cell r="G912">
            <v>0</v>
          </cell>
        </row>
        <row r="913">
          <cell r="E913" t="str">
            <v>Прочие списания</v>
          </cell>
          <cell r="F913">
            <v>2.9328929582461916E-4</v>
          </cell>
          <cell r="G913">
            <v>2905031.1999440552</v>
          </cell>
        </row>
        <row r="914">
          <cell r="E914" t="str">
            <v>Списания для маркетинга/рекламы</v>
          </cell>
          <cell r="F914">
            <v>1.250247794726821E-5</v>
          </cell>
          <cell r="G914">
            <v>123837.07496486782</v>
          </cell>
        </row>
        <row r="915">
          <cell r="E915" t="str">
            <v>Потери (корректировки)</v>
          </cell>
          <cell r="F915">
            <v>0</v>
          </cell>
          <cell r="G915">
            <v>0</v>
          </cell>
        </row>
        <row r="916">
          <cell r="E916" t="str">
            <v>Списания для получения документации</v>
          </cell>
          <cell r="F916">
            <v>4.7306703976594121E-6</v>
          </cell>
          <cell r="G916">
            <v>46857.301979647476</v>
          </cell>
        </row>
        <row r="917">
          <cell r="E917" t="str">
            <v>Потери по приходу (логистические)</v>
          </cell>
          <cell r="F917">
            <v>5.284974779861935E-3</v>
          </cell>
          <cell r="G917">
            <v>52347688.255207129</v>
          </cell>
        </row>
        <row r="918">
          <cell r="E918" t="str">
            <v>Итого потери</v>
          </cell>
          <cell r="F918">
            <v>0</v>
          </cell>
          <cell r="G918">
            <v>0</v>
          </cell>
        </row>
        <row r="919">
          <cell r="E919" t="str">
            <v>Потери утиль</v>
          </cell>
          <cell r="F919">
            <v>9.1582357661320144E-3</v>
          </cell>
          <cell r="G919">
            <v>90712347.896140948</v>
          </cell>
        </row>
        <row r="920">
          <cell r="E920" t="str">
            <v>Потери магазинов по приходу (местные поставщики)</v>
          </cell>
          <cell r="F920">
            <v>1.9942631138680696E-4</v>
          </cell>
          <cell r="G920">
            <v>1975318.107125415</v>
          </cell>
        </row>
        <row r="921">
          <cell r="E921" t="str">
            <v>Потери прямые</v>
          </cell>
          <cell r="F921">
            <v>5.2887906489393821E-3</v>
          </cell>
          <cell r="G921">
            <v>52385484.447849341</v>
          </cell>
        </row>
        <row r="922">
          <cell r="E922" t="str">
            <v>Списания материалов</v>
          </cell>
          <cell r="F922">
            <v>1.7735689213483125E-4</v>
          </cell>
          <cell r="G922">
            <v>173122.8769392604</v>
          </cell>
        </row>
        <row r="923">
          <cell r="E923" t="str">
            <v>Прочие списания</v>
          </cell>
          <cell r="F923">
            <v>3.9217788123939424E-4</v>
          </cell>
          <cell r="G923">
            <v>382815.47593026183</v>
          </cell>
        </row>
        <row r="924">
          <cell r="E924" t="str">
            <v>Списания для маркетинга/рекламы</v>
          </cell>
          <cell r="F924">
            <v>1.1349643621833159E-3</v>
          </cell>
          <cell r="G924">
            <v>1107869.5236457626</v>
          </cell>
        </row>
        <row r="925">
          <cell r="E925" t="str">
            <v>Потери (корректировки)</v>
          </cell>
          <cell r="F925">
            <v>1.9103597383225492E-4</v>
          </cell>
          <cell r="G925">
            <v>186475.39991617878</v>
          </cell>
        </row>
        <row r="926">
          <cell r="E926" t="str">
            <v>Списания для получения документации</v>
          </cell>
          <cell r="F926">
            <v>0</v>
          </cell>
          <cell r="G926">
            <v>0</v>
          </cell>
        </row>
        <row r="927">
          <cell r="E927" t="str">
            <v>Потери по приходу (логистические)</v>
          </cell>
          <cell r="F927">
            <v>1.2469491133848842E-3</v>
          </cell>
          <cell r="G927">
            <v>1217180.8792293065</v>
          </cell>
        </row>
        <row r="928">
          <cell r="E928" t="str">
            <v>Итого потери</v>
          </cell>
          <cell r="F928">
            <v>0</v>
          </cell>
          <cell r="G928">
            <v>0</v>
          </cell>
        </row>
        <row r="929">
          <cell r="E929" t="str">
            <v>Потери утиль</v>
          </cell>
          <cell r="F929">
            <v>1.0437857659245818E-3</v>
          </cell>
          <cell r="G929">
            <v>1018867.6207053621</v>
          </cell>
        </row>
        <row r="930">
          <cell r="E930" t="str">
            <v>Потери магазинов по приходу (местные поставщики)</v>
          </cell>
          <cell r="F930">
            <v>1.8665948445454566E-7</v>
          </cell>
          <cell r="G930">
            <v>182.20338983050848</v>
          </cell>
        </row>
        <row r="931">
          <cell r="E931" t="str">
            <v>Потери прямые</v>
          </cell>
          <cell r="F931">
            <v>9.0474802164290415E-3</v>
          </cell>
          <cell r="G931">
            <v>8831491.0419634394</v>
          </cell>
        </row>
        <row r="932">
          <cell r="E932" t="str">
            <v>Списания материалов</v>
          </cell>
          <cell r="F932">
            <v>5.4829521573634769E-6</v>
          </cell>
          <cell r="G932">
            <v>190704.73504602467</v>
          </cell>
        </row>
        <row r="933">
          <cell r="E933" t="str">
            <v>Прочие списания</v>
          </cell>
          <cell r="F933">
            <v>8.8457907247090285E-7</v>
          </cell>
          <cell r="G933">
            <v>30766.895789209186</v>
          </cell>
        </row>
        <row r="934">
          <cell r="E934" t="str">
            <v>Списания для маркетинга/рекламы</v>
          </cell>
          <cell r="F934">
            <v>0</v>
          </cell>
          <cell r="G934">
            <v>0</v>
          </cell>
        </row>
        <row r="935">
          <cell r="E935" t="str">
            <v>Потери (корректировки)</v>
          </cell>
          <cell r="F935">
            <v>0</v>
          </cell>
          <cell r="G935">
            <v>0</v>
          </cell>
        </row>
        <row r="936">
          <cell r="E936" t="str">
            <v>Списания для получения документации</v>
          </cell>
          <cell r="F936">
            <v>1.2225681983732169E-5</v>
          </cell>
          <cell r="G936">
            <v>425226.29717522825</v>
          </cell>
        </row>
        <row r="937">
          <cell r="E937" t="str">
            <v>Потери по приходу (логистические)</v>
          </cell>
          <cell r="F937">
            <v>1.6781735065389853E-3</v>
          </cell>
          <cell r="G937">
            <v>58369218.760367066</v>
          </cell>
        </row>
        <row r="938">
          <cell r="E938" t="str">
            <v>Итого потери</v>
          </cell>
          <cell r="F938">
            <v>0</v>
          </cell>
          <cell r="G938">
            <v>0</v>
          </cell>
        </row>
        <row r="939">
          <cell r="E939" t="str">
            <v>Потери утиль</v>
          </cell>
          <cell r="F939">
            <v>5.6430699763115075E-4</v>
          </cell>
          <cell r="G939">
            <v>19627385.645402808</v>
          </cell>
        </row>
        <row r="940">
          <cell r="E940" t="str">
            <v>Потери магазинов по приходу (местные поставщики)</v>
          </cell>
          <cell r="F940">
            <v>0</v>
          </cell>
          <cell r="G940">
            <v>0</v>
          </cell>
        </row>
        <row r="941">
          <cell r="E941" t="str">
            <v>Потери прямые</v>
          </cell>
          <cell r="F941">
            <v>2.063496079589092E-3</v>
          </cell>
          <cell r="G941">
            <v>71771276.099511877</v>
          </cell>
        </row>
        <row r="942">
          <cell r="E942" t="str">
            <v>Списания материалов</v>
          </cell>
          <cell r="F942">
            <v>0</v>
          </cell>
          <cell r="G942">
            <v>0</v>
          </cell>
        </row>
        <row r="943">
          <cell r="E943" t="str">
            <v>Прочие списания</v>
          </cell>
          <cell r="F943">
            <v>0</v>
          </cell>
          <cell r="G943">
            <v>0</v>
          </cell>
        </row>
        <row r="944">
          <cell r="E944" t="str">
            <v>Списания для маркетинга/рекламы</v>
          </cell>
          <cell r="F944">
            <v>1.7969740878425828E-3</v>
          </cell>
          <cell r="G944">
            <v>6020.4862508320502</v>
          </cell>
        </row>
        <row r="945">
          <cell r="E945" t="str">
            <v>Потери (корректировки)</v>
          </cell>
          <cell r="F945">
            <v>0</v>
          </cell>
          <cell r="G945">
            <v>0</v>
          </cell>
        </row>
        <row r="946">
          <cell r="E946" t="str">
            <v>Списания для получения документации</v>
          </cell>
          <cell r="F946">
            <v>0</v>
          </cell>
          <cell r="G946">
            <v>0</v>
          </cell>
        </row>
        <row r="947">
          <cell r="E947" t="str">
            <v>Потери по приходу (логистические)</v>
          </cell>
          <cell r="F947">
            <v>0</v>
          </cell>
          <cell r="G947">
            <v>0</v>
          </cell>
        </row>
        <row r="948">
          <cell r="E948" t="str">
            <v>Итого потери</v>
          </cell>
          <cell r="F948">
            <v>0</v>
          </cell>
          <cell r="G948">
            <v>0</v>
          </cell>
        </row>
        <row r="949">
          <cell r="E949" t="str">
            <v>Потери утиль</v>
          </cell>
          <cell r="F949">
            <v>3.2948080784082318E-2</v>
          </cell>
          <cell r="G949">
            <v>110387.49456316487</v>
          </cell>
        </row>
        <row r="950">
          <cell r="E950" t="str">
            <v>Потери магазинов по приходу (местные поставщики)</v>
          </cell>
          <cell r="F950">
            <v>0</v>
          </cell>
          <cell r="G950">
            <v>0</v>
          </cell>
        </row>
        <row r="951">
          <cell r="E951" t="str">
            <v>Потери прямые</v>
          </cell>
          <cell r="F951">
            <v>-2.2534245215980565E-4</v>
          </cell>
          <cell r="G951">
            <v>-754.97534668721107</v>
          </cell>
        </row>
        <row r="952">
          <cell r="E952" t="str">
            <v>Списания материалов</v>
          </cell>
          <cell r="F952">
            <v>4.0633870242308352E-5</v>
          </cell>
          <cell r="G952">
            <v>1533248.321220339</v>
          </cell>
        </row>
        <row r="953">
          <cell r="E953" t="str">
            <v>Прочие списания</v>
          </cell>
          <cell r="F953">
            <v>2.6670803677313195E-4</v>
          </cell>
          <cell r="G953">
            <v>10063763.239874596</v>
          </cell>
        </row>
        <row r="954">
          <cell r="E954" t="str">
            <v>Списания для маркетинга/рекламы</v>
          </cell>
          <cell r="F954">
            <v>2.1659442742856088E-8</v>
          </cell>
          <cell r="G954">
            <v>817.28134745762725</v>
          </cell>
        </row>
        <row r="955">
          <cell r="E955" t="str">
            <v>Потери (корректировки)</v>
          </cell>
          <cell r="F955">
            <v>5.588660617624194E-6</v>
          </cell>
          <cell r="G955">
            <v>210878.37458615011</v>
          </cell>
        </row>
        <row r="956">
          <cell r="E956" t="str">
            <v>Списания для получения документации</v>
          </cell>
          <cell r="F956">
            <v>0</v>
          </cell>
          <cell r="G956">
            <v>0</v>
          </cell>
        </row>
        <row r="957">
          <cell r="E957" t="str">
            <v>Потери по приходу (логистические)</v>
          </cell>
          <cell r="F957">
            <v>1.1033177436984939E-2</v>
          </cell>
          <cell r="G957">
            <v>416317734.00136429</v>
          </cell>
        </row>
        <row r="958">
          <cell r="E958" t="str">
            <v>Итого потери</v>
          </cell>
          <cell r="F958">
            <v>0</v>
          </cell>
          <cell r="G958">
            <v>0</v>
          </cell>
        </row>
        <row r="959">
          <cell r="E959" t="str">
            <v>Потери утиль</v>
          </cell>
          <cell r="F959">
            <v>4.9993712239255247E-4</v>
          </cell>
          <cell r="G959">
            <v>18864256.568550851</v>
          </cell>
        </row>
        <row r="960">
          <cell r="E960" t="str">
            <v>Потери магазинов по приходу (местные поставщики)</v>
          </cell>
          <cell r="F960">
            <v>4.1497701768849094E-4</v>
          </cell>
          <cell r="G960">
            <v>15658434.993313018</v>
          </cell>
        </row>
        <row r="961">
          <cell r="E961" t="str">
            <v>Потери прямые</v>
          </cell>
          <cell r="F961">
            <v>3.4840343661020241E-3</v>
          </cell>
          <cell r="G961">
            <v>131463968.63122019</v>
          </cell>
        </row>
        <row r="962">
          <cell r="E962" t="str">
            <v>Списания материалов</v>
          </cell>
          <cell r="F962">
            <v>0</v>
          </cell>
          <cell r="G962">
            <v>0</v>
          </cell>
        </row>
        <row r="963">
          <cell r="E963" t="str">
            <v>Прочие списания</v>
          </cell>
          <cell r="F963">
            <v>2.0003322073203707E-4</v>
          </cell>
          <cell r="G963">
            <v>2019350.9185705741</v>
          </cell>
        </row>
        <row r="964">
          <cell r="E964" t="str">
            <v>Списания для маркетинга/рекламы</v>
          </cell>
          <cell r="F964">
            <v>1.2658715325685453E-5</v>
          </cell>
          <cell r="G964">
            <v>127790.71559863299</v>
          </cell>
        </row>
        <row r="965">
          <cell r="E965" t="str">
            <v>Потери (корректировки)</v>
          </cell>
          <cell r="F965">
            <v>0</v>
          </cell>
          <cell r="G965">
            <v>0</v>
          </cell>
        </row>
        <row r="966">
          <cell r="E966" t="str">
            <v>Списания для получения документации</v>
          </cell>
          <cell r="F966">
            <v>5.6179898408192171E-6</v>
          </cell>
          <cell r="G966">
            <v>56714.044317547137</v>
          </cell>
        </row>
        <row r="967">
          <cell r="E967" t="str">
            <v>Потери по приходу (логистические)</v>
          </cell>
          <cell r="F967">
            <v>4.3571928690237464E-3</v>
          </cell>
          <cell r="G967">
            <v>43986200.843303569</v>
          </cell>
        </row>
        <row r="968">
          <cell r="E968" t="str">
            <v>Итого потери</v>
          </cell>
          <cell r="F968">
            <v>0</v>
          </cell>
          <cell r="G968">
            <v>0</v>
          </cell>
        </row>
        <row r="969">
          <cell r="E969" t="str">
            <v>Потери утиль</v>
          </cell>
          <cell r="F969">
            <v>9.2300926291084846E-3</v>
          </cell>
          <cell r="G969">
            <v>93178502.855033711</v>
          </cell>
        </row>
        <row r="970">
          <cell r="E970" t="str">
            <v>Потери магазинов по приходу (местные поставщики)</v>
          </cell>
          <cell r="F970">
            <v>2.5612323906989585E-4</v>
          </cell>
          <cell r="G970">
            <v>2585584.0154466424</v>
          </cell>
        </row>
        <row r="971">
          <cell r="E971" t="str">
            <v>Потери прямые</v>
          </cell>
          <cell r="F971">
            <v>6.106691672571188E-3</v>
          </cell>
          <cell r="G971">
            <v>61647527.312241584</v>
          </cell>
        </row>
        <row r="972">
          <cell r="E972" t="str">
            <v>Списания материалов</v>
          </cell>
          <cell r="F972">
            <v>1.6222245445973285E-4</v>
          </cell>
          <cell r="G972">
            <v>171831.59023040062</v>
          </cell>
        </row>
        <row r="973">
          <cell r="E973" t="str">
            <v>Прочие списания</v>
          </cell>
          <cell r="F973">
            <v>3.8059291327055951E-4</v>
          </cell>
          <cell r="G973">
            <v>403137.07332010788</v>
          </cell>
        </row>
        <row r="974">
          <cell r="E974" t="str">
            <v>Списания для маркетинга/рекламы</v>
          </cell>
          <cell r="F974">
            <v>2.5982209604222223E-3</v>
          </cell>
          <cell r="G974">
            <v>2752124.7960782736</v>
          </cell>
        </row>
        <row r="975">
          <cell r="E975" t="str">
            <v>Потери (корректировки)</v>
          </cell>
          <cell r="F975">
            <v>1.8608414335743052E-3</v>
          </cell>
          <cell r="G975">
            <v>1971067.0989573796</v>
          </cell>
        </row>
        <row r="976">
          <cell r="E976" t="str">
            <v>Списания для получения документации</v>
          </cell>
          <cell r="F976">
            <v>0</v>
          </cell>
          <cell r="G976">
            <v>0</v>
          </cell>
        </row>
        <row r="977">
          <cell r="E977" t="str">
            <v>Потери по приходу (логистические)</v>
          </cell>
          <cell r="F977">
            <v>1.6327640310111143E-3</v>
          </cell>
          <cell r="G977">
            <v>1729479.6879631737</v>
          </cell>
        </row>
        <row r="978">
          <cell r="E978" t="str">
            <v>Итого потери</v>
          </cell>
          <cell r="F978">
            <v>0</v>
          </cell>
          <cell r="G978">
            <v>0</v>
          </cell>
        </row>
        <row r="979">
          <cell r="E979" t="str">
            <v>Потери утиль</v>
          </cell>
          <cell r="F979">
            <v>4.3472422094636184E-4</v>
          </cell>
          <cell r="G979">
            <v>460474.81186044688</v>
          </cell>
        </row>
        <row r="980">
          <cell r="E980" t="str">
            <v>Потери магазинов по приходу (местные поставщики)</v>
          </cell>
          <cell r="F980">
            <v>1.742253605763114E-6</v>
          </cell>
          <cell r="G980">
            <v>1845.4548025423728</v>
          </cell>
        </row>
        <row r="981">
          <cell r="E981" t="str">
            <v>Потери прямые</v>
          </cell>
          <cell r="F981">
            <v>7.4218069998514009E-3</v>
          </cell>
          <cell r="G981">
            <v>7861432.6445426978</v>
          </cell>
        </row>
        <row r="982">
          <cell r="E982" t="str">
            <v>Списания материалов</v>
          </cell>
          <cell r="F982">
            <v>8.2483603698631937E-6</v>
          </cell>
          <cell r="G982">
            <v>280629.02920816647</v>
          </cell>
        </row>
        <row r="983">
          <cell r="E983" t="str">
            <v>Прочие списания</v>
          </cell>
          <cell r="F983">
            <v>1.1503362125877353E-6</v>
          </cell>
          <cell r="G983">
            <v>39137.200622437085</v>
          </cell>
        </row>
        <row r="984">
          <cell r="E984" t="str">
            <v>Списания для маркетинга/рекламы</v>
          </cell>
          <cell r="F984">
            <v>0</v>
          </cell>
          <cell r="G984">
            <v>0</v>
          </cell>
        </row>
        <row r="985">
          <cell r="E985" t="str">
            <v>Потери (корректировки)</v>
          </cell>
          <cell r="F985">
            <v>0</v>
          </cell>
          <cell r="G985">
            <v>0</v>
          </cell>
        </row>
        <row r="986">
          <cell r="E986" t="str">
            <v>Списания для получения документации</v>
          </cell>
          <cell r="F986">
            <v>8.8039783039923174E-6</v>
          </cell>
          <cell r="G986">
            <v>299532.48571026023</v>
          </cell>
        </row>
        <row r="987">
          <cell r="E987" t="str">
            <v>Потери по приходу (логистические)</v>
          </cell>
          <cell r="F987">
            <v>1.316796977398092E-3</v>
          </cell>
          <cell r="G987">
            <v>44800595.616750859</v>
          </cell>
        </row>
        <row r="988">
          <cell r="E988" t="str">
            <v>Итого потери</v>
          </cell>
          <cell r="F988">
            <v>0</v>
          </cell>
          <cell r="G988">
            <v>0</v>
          </cell>
        </row>
        <row r="989">
          <cell r="E989" t="str">
            <v>Потери утиль</v>
          </cell>
          <cell r="F989">
            <v>7.3800222231980295E-4</v>
          </cell>
          <cell r="G989">
            <v>25108608.004054844</v>
          </cell>
        </row>
        <row r="990">
          <cell r="E990" t="str">
            <v>Потери магазинов по приходу (местные поставщики)</v>
          </cell>
          <cell r="F990">
            <v>0</v>
          </cell>
          <cell r="G990">
            <v>0</v>
          </cell>
        </row>
        <row r="991">
          <cell r="E991" t="str">
            <v>Потери прямые</v>
          </cell>
          <cell r="F991">
            <v>1.9819526169982775E-3</v>
          </cell>
          <cell r="G991">
            <v>67430787.926890314</v>
          </cell>
        </row>
        <row r="992">
          <cell r="E992" t="str">
            <v>Списания материалов</v>
          </cell>
          <cell r="F992">
            <v>0</v>
          </cell>
          <cell r="G992">
            <v>0</v>
          </cell>
        </row>
        <row r="993">
          <cell r="E993" t="str">
            <v>Прочие списания</v>
          </cell>
          <cell r="F993">
            <v>0</v>
          </cell>
          <cell r="G993">
            <v>0</v>
          </cell>
        </row>
        <row r="994">
          <cell r="E994" t="str">
            <v>Списания для маркетинга/рекламы</v>
          </cell>
          <cell r="F994">
            <v>2.3015583004576852E-3</v>
          </cell>
          <cell r="G994">
            <v>7721.5137239907554</v>
          </cell>
        </row>
        <row r="995">
          <cell r="E995" t="str">
            <v>Потери (корректировки)</v>
          </cell>
          <cell r="F995">
            <v>0</v>
          </cell>
          <cell r="G995">
            <v>0</v>
          </cell>
        </row>
        <row r="996">
          <cell r="E996" t="str">
            <v>Списания для получения документации</v>
          </cell>
          <cell r="F996">
            <v>0</v>
          </cell>
          <cell r="G996">
            <v>0</v>
          </cell>
        </row>
        <row r="997">
          <cell r="E997" t="str">
            <v>Потери по приходу (логистические)</v>
          </cell>
          <cell r="F997">
            <v>0</v>
          </cell>
          <cell r="G997">
            <v>0</v>
          </cell>
        </row>
        <row r="998">
          <cell r="E998" t="str">
            <v>Итого потери</v>
          </cell>
          <cell r="F998">
            <v>0</v>
          </cell>
          <cell r="G998">
            <v>0</v>
          </cell>
        </row>
        <row r="999">
          <cell r="E999" t="str">
            <v>Потери утиль</v>
          </cell>
          <cell r="F999">
            <v>3.7076708939786318E-2</v>
          </cell>
          <cell r="G999">
            <v>124388.90505708233</v>
          </cell>
        </row>
        <row r="1000">
          <cell r="E1000" t="str">
            <v>Потери магазинов по приходу (местные поставщики)</v>
          </cell>
          <cell r="F1000">
            <v>0</v>
          </cell>
          <cell r="G1000">
            <v>0</v>
          </cell>
        </row>
        <row r="1001">
          <cell r="E1001" t="str">
            <v>Потери прямые</v>
          </cell>
          <cell r="F1001">
            <v>-3.6979345009136342E-4</v>
          </cell>
          <cell r="G1001">
            <v>-1240.6225813852025</v>
          </cell>
        </row>
        <row r="1002">
          <cell r="E1002" t="str">
            <v>Списания материалов</v>
          </cell>
          <cell r="F1002">
            <v>4.2306834401127068E-5</v>
          </cell>
          <cell r="G1002">
            <v>1512234.347782339</v>
          </cell>
        </row>
        <row r="1003">
          <cell r="E1003" t="str">
            <v>Прочие списания</v>
          </cell>
          <cell r="F1003">
            <v>2.0122657639468287E-4</v>
          </cell>
          <cell r="G1003">
            <v>7192732.4466181183</v>
          </cell>
        </row>
        <row r="1004">
          <cell r="E1004" t="str">
            <v>Списания для маркетинга/рекламы</v>
          </cell>
          <cell r="F1004">
            <v>1.8716165000278203E-6</v>
          </cell>
          <cell r="G1004">
            <v>66899.894480000003</v>
          </cell>
        </row>
        <row r="1005">
          <cell r="E1005" t="str">
            <v>Потери (корректировки)</v>
          </cell>
          <cell r="F1005">
            <v>2.9615285628291832E-5</v>
          </cell>
          <cell r="G1005">
            <v>1058581.9709851532</v>
          </cell>
        </row>
        <row r="1006">
          <cell r="E1006" t="str">
            <v>Списания для получения документации</v>
          </cell>
          <cell r="F1006">
            <v>0</v>
          </cell>
          <cell r="G1006">
            <v>0</v>
          </cell>
        </row>
        <row r="1007">
          <cell r="E1007" t="str">
            <v>Потери по приходу (логистические)</v>
          </cell>
          <cell r="F1007">
            <v>9.930309815401708E-3</v>
          </cell>
          <cell r="G1007">
            <v>354953420.63622952</v>
          </cell>
        </row>
        <row r="1008">
          <cell r="E1008" t="str">
            <v>Итого потери</v>
          </cell>
          <cell r="F1008">
            <v>0</v>
          </cell>
          <cell r="G1008">
            <v>0</v>
          </cell>
        </row>
        <row r="1009">
          <cell r="E1009" t="str">
            <v>Потери утиль</v>
          </cell>
          <cell r="F1009">
            <v>5.2962356377560661E-4</v>
          </cell>
          <cell r="G1009">
            <v>18931100.751774184</v>
          </cell>
        </row>
        <row r="1010">
          <cell r="E1010" t="str">
            <v>Потери магазинов по приходу (местные поставщики)</v>
          </cell>
          <cell r="F1010">
            <v>4.049224141676752E-4</v>
          </cell>
          <cell r="G1010">
            <v>14473727.272655303</v>
          </cell>
        </row>
        <row r="1011">
          <cell r="E1011" t="str">
            <v>Потери прямые</v>
          </cell>
          <cell r="F1011">
            <v>3.5430665457390717E-3</v>
          </cell>
          <cell r="G1011">
            <v>126644949.98950838</v>
          </cell>
        </row>
        <row r="1012">
          <cell r="E1012" t="str">
            <v>Списания материалов</v>
          </cell>
          <cell r="F1012">
            <v>0</v>
          </cell>
          <cell r="G1012">
            <v>0</v>
          </cell>
        </row>
        <row r="1013">
          <cell r="E1013" t="str">
            <v>Прочие списания</v>
          </cell>
          <cell r="F1013">
            <v>2.1015287582759474E-5</v>
          </cell>
          <cell r="G1013">
            <v>197875.79434944154</v>
          </cell>
        </row>
        <row r="1014">
          <cell r="E1014" t="str">
            <v>Списания для маркетинга/рекламы</v>
          </cell>
          <cell r="F1014">
            <v>1.6353365953772464E-5</v>
          </cell>
          <cell r="G1014">
            <v>153980.0616882605</v>
          </cell>
        </row>
        <row r="1015">
          <cell r="E1015" t="str">
            <v>Потери (корректировки)</v>
          </cell>
          <cell r="F1015">
            <v>0</v>
          </cell>
          <cell r="G1015">
            <v>0</v>
          </cell>
        </row>
        <row r="1016">
          <cell r="E1016" t="str">
            <v>Списания для получения документации</v>
          </cell>
          <cell r="F1016">
            <v>4.0029680702935114E-6</v>
          </cell>
          <cell r="G1016">
            <v>37691.156190248621</v>
          </cell>
        </row>
        <row r="1017">
          <cell r="E1017" t="str">
            <v>Потери по приходу (логистические)</v>
          </cell>
          <cell r="F1017">
            <v>4.5728222952435889E-3</v>
          </cell>
          <cell r="G1017">
            <v>43056790.944535218</v>
          </cell>
        </row>
        <row r="1018">
          <cell r="E1018" t="str">
            <v>Итого потери</v>
          </cell>
          <cell r="F1018">
            <v>0</v>
          </cell>
          <cell r="G1018">
            <v>0</v>
          </cell>
        </row>
        <row r="1019">
          <cell r="E1019" t="str">
            <v>Потери утиль</v>
          </cell>
          <cell r="F1019">
            <v>9.3573036505364363E-3</v>
          </cell>
          <cell r="G1019">
            <v>88106521.76550889</v>
          </cell>
        </row>
        <row r="1020">
          <cell r="E1020" t="str">
            <v>Потери магазинов по приходу (местные поставщики)</v>
          </cell>
          <cell r="F1020">
            <v>2.1136711812665604E-4</v>
          </cell>
          <cell r="G1020">
            <v>1990191.0089955775</v>
          </cell>
        </row>
        <row r="1021">
          <cell r="E1021" t="str">
            <v>Потери прямые</v>
          </cell>
          <cell r="F1021">
            <v>6.2938176875179004E-3</v>
          </cell>
          <cell r="G1021">
            <v>59261343.415060684</v>
          </cell>
        </row>
        <row r="1022">
          <cell r="E1022" t="str">
            <v>Списания материалов</v>
          </cell>
          <cell r="F1022">
            <v>1.5969476780009062E-4</v>
          </cell>
          <cell r="G1022">
            <v>170260.93234918336</v>
          </cell>
        </row>
        <row r="1023">
          <cell r="E1023" t="str">
            <v>Прочие списания</v>
          </cell>
          <cell r="F1023">
            <v>6.4362960846874875E-4</v>
          </cell>
          <cell r="G1023">
            <v>686215.20125574723</v>
          </cell>
        </row>
        <row r="1024">
          <cell r="E1024" t="str">
            <v>Списания для маркетинга/рекламы</v>
          </cell>
          <cell r="F1024">
            <v>3.0822572251015356E-5</v>
          </cell>
          <cell r="G1024">
            <v>32861.940069491524</v>
          </cell>
        </row>
        <row r="1025">
          <cell r="E1025" t="str">
            <v>Потери (корректировки)</v>
          </cell>
          <cell r="F1025">
            <v>3.1608534209031107E-4</v>
          </cell>
          <cell r="G1025">
            <v>336999.05004762718</v>
          </cell>
        </row>
        <row r="1026">
          <cell r="E1026" t="str">
            <v>Списания для получения документации</v>
          </cell>
          <cell r="F1026">
            <v>0</v>
          </cell>
          <cell r="G1026">
            <v>0</v>
          </cell>
        </row>
        <row r="1027">
          <cell r="E1027" t="str">
            <v>Потери по приходу (логистические)</v>
          </cell>
          <cell r="F1027">
            <v>1.8217919700099913E-3</v>
          </cell>
          <cell r="G1027">
            <v>1942330.3820977197</v>
          </cell>
        </row>
        <row r="1028">
          <cell r="E1028" t="str">
            <v>Итого потери</v>
          </cell>
          <cell r="F1028">
            <v>0</v>
          </cell>
          <cell r="G1028">
            <v>0</v>
          </cell>
        </row>
        <row r="1029">
          <cell r="E1029" t="str">
            <v>Потери утиль</v>
          </cell>
          <cell r="F1029">
            <v>5.2911522776851144E-4</v>
          </cell>
          <cell r="G1029">
            <v>564124.00506941439</v>
          </cell>
        </row>
        <row r="1030">
          <cell r="E1030" t="str">
            <v>Потери магазинов по приходу (местные поставщики)</v>
          </cell>
          <cell r="F1030">
            <v>6.5775123945558071E-7</v>
          </cell>
          <cell r="G1030">
            <v>701.27118644067809</v>
          </cell>
        </row>
        <row r="1031">
          <cell r="E1031" t="str">
            <v>Потери прямые</v>
          </cell>
          <cell r="F1031">
            <v>8.9476833533181001E-3</v>
          </cell>
          <cell r="G1031">
            <v>9539704.5945067145</v>
          </cell>
        </row>
        <row r="1032">
          <cell r="E1032" t="str">
            <v>Списания материалов</v>
          </cell>
          <cell r="F1032">
            <v>5.5168037247363459E-6</v>
          </cell>
          <cell r="G1032">
            <v>181845.2201165639</v>
          </cell>
        </row>
        <row r="1033">
          <cell r="E1033" t="str">
            <v>Прочие списания</v>
          </cell>
          <cell r="F1033">
            <v>1.3393621936390992E-5</v>
          </cell>
          <cell r="G1033">
            <v>441481.38137676031</v>
          </cell>
        </row>
        <row r="1034">
          <cell r="E1034" t="str">
            <v>Списания для маркетинга/рекламы</v>
          </cell>
          <cell r="F1034">
            <v>0</v>
          </cell>
          <cell r="G1034">
            <v>0</v>
          </cell>
        </row>
        <row r="1035">
          <cell r="E1035" t="str">
            <v>Потери (корректировки)</v>
          </cell>
          <cell r="F1035">
            <v>0</v>
          </cell>
          <cell r="G1035">
            <v>0</v>
          </cell>
        </row>
        <row r="1036">
          <cell r="E1036" t="str">
            <v>Списания для получения документации</v>
          </cell>
          <cell r="F1036">
            <v>1.1690919952085411E-5</v>
          </cell>
          <cell r="G1036">
            <v>385356.81494699197</v>
          </cell>
        </row>
        <row r="1037">
          <cell r="E1037" t="str">
            <v>Потери по приходу (логистические)</v>
          </cell>
          <cell r="F1037">
            <v>5.399532713194718E-4</v>
          </cell>
          <cell r="G1037">
            <v>17797972.589724604</v>
          </cell>
        </row>
        <row r="1038">
          <cell r="E1038" t="str">
            <v>Итого потери</v>
          </cell>
          <cell r="F1038">
            <v>0</v>
          </cell>
          <cell r="G1038">
            <v>0</v>
          </cell>
        </row>
        <row r="1039">
          <cell r="E1039" t="str">
            <v>Потери утиль</v>
          </cell>
          <cell r="F1039">
            <v>3.1140581847176736E-4</v>
          </cell>
          <cell r="G1039">
            <v>10264577.540010918</v>
          </cell>
        </row>
        <row r="1040">
          <cell r="E1040" t="str">
            <v>Потери магазинов по приходу (местные поставщики)</v>
          </cell>
          <cell r="F1040">
            <v>0</v>
          </cell>
          <cell r="G1040">
            <v>0</v>
          </cell>
        </row>
        <row r="1041">
          <cell r="E1041" t="str">
            <v>Потери прямые</v>
          </cell>
          <cell r="F1041">
            <v>1.2691476717385727E-3</v>
          </cell>
          <cell r="G1041">
            <v>41833722.793673426</v>
          </cell>
        </row>
        <row r="1042">
          <cell r="E1042" t="str">
            <v>Списания материалов</v>
          </cell>
          <cell r="F1042">
            <v>0</v>
          </cell>
          <cell r="G1042">
            <v>0</v>
          </cell>
        </row>
        <row r="1043">
          <cell r="E1043" t="str">
            <v>Прочие списания</v>
          </cell>
          <cell r="F1043">
            <v>0</v>
          </cell>
          <cell r="G1043">
            <v>0</v>
          </cell>
        </row>
        <row r="1044">
          <cell r="E1044" t="str">
            <v>Списания для маркетинга/рекламы</v>
          </cell>
          <cell r="F1044">
            <v>2.106961512701512E-3</v>
          </cell>
          <cell r="G1044">
            <v>6981.7942149460714</v>
          </cell>
        </row>
        <row r="1045">
          <cell r="E1045" t="str">
            <v>Потери (корректировки)</v>
          </cell>
          <cell r="F1045">
            <v>0</v>
          </cell>
          <cell r="G1045">
            <v>0</v>
          </cell>
        </row>
        <row r="1046">
          <cell r="E1046" t="str">
            <v>Списания для получения документации</v>
          </cell>
          <cell r="F1046">
            <v>0</v>
          </cell>
          <cell r="G1046">
            <v>0</v>
          </cell>
        </row>
        <row r="1047">
          <cell r="E1047" t="str">
            <v>Потери по приходу (логистические)</v>
          </cell>
          <cell r="F1047">
            <v>0</v>
          </cell>
          <cell r="G1047">
            <v>0</v>
          </cell>
        </row>
        <row r="1048">
          <cell r="E1048" t="str">
            <v>Итого потери</v>
          </cell>
          <cell r="F1048">
            <v>0</v>
          </cell>
          <cell r="G1048">
            <v>0</v>
          </cell>
        </row>
        <row r="1049">
          <cell r="E1049" t="str">
            <v>Потери утиль</v>
          </cell>
          <cell r="F1049">
            <v>3.1797131037630259E-2</v>
          </cell>
          <cell r="G1049">
            <v>105365.48683595222</v>
          </cell>
        </row>
        <row r="1050">
          <cell r="E1050" t="str">
            <v>Потери магазинов по приходу (местные поставщики)</v>
          </cell>
          <cell r="F1050">
            <v>0</v>
          </cell>
          <cell r="G1050">
            <v>0</v>
          </cell>
        </row>
        <row r="1051">
          <cell r="E1051" t="str">
            <v>Потери прямые</v>
          </cell>
          <cell r="F1051">
            <v>-3.6697749840222953E-3</v>
          </cell>
          <cell r="G1051">
            <v>-12160.456467355711</v>
          </cell>
        </row>
        <row r="1052">
          <cell r="E1052" t="str">
            <v>Списания материалов</v>
          </cell>
          <cell r="F1052">
            <v>3.9671185106394168E-5</v>
          </cell>
          <cell r="G1052">
            <v>1500680.7381401777</v>
          </cell>
        </row>
        <row r="1053">
          <cell r="E1053" t="str">
            <v>Прочие списания</v>
          </cell>
          <cell r="F1053">
            <v>2.0421851361959617E-4</v>
          </cell>
          <cell r="G1053">
            <v>7725173.5469619092</v>
          </cell>
        </row>
        <row r="1054">
          <cell r="E1054" t="str">
            <v>Списания для маркетинга/рекламы</v>
          </cell>
          <cell r="F1054">
            <v>0</v>
          </cell>
          <cell r="G1054">
            <v>0</v>
          </cell>
        </row>
        <row r="1055">
          <cell r="E1055" t="str">
            <v>Потери (корректировки)</v>
          </cell>
          <cell r="F1055">
            <v>7.0366830873995328E-6</v>
          </cell>
          <cell r="G1055">
            <v>266183.49669506628</v>
          </cell>
        </row>
        <row r="1056">
          <cell r="E1056" t="str">
            <v>Списания для получения документации</v>
          </cell>
          <cell r="F1056">
            <v>0</v>
          </cell>
          <cell r="G1056">
            <v>0</v>
          </cell>
        </row>
        <row r="1057">
          <cell r="E1057" t="str">
            <v>Потери по приходу (логистические)</v>
          </cell>
          <cell r="F1057">
            <v>1.0498424080207569E-2</v>
          </cell>
          <cell r="G1057">
            <v>397134160.61914337</v>
          </cell>
        </row>
        <row r="1058">
          <cell r="E1058" t="str">
            <v>Итого потери</v>
          </cell>
          <cell r="F1058">
            <v>0</v>
          </cell>
          <cell r="G1058">
            <v>0</v>
          </cell>
        </row>
        <row r="1059">
          <cell r="E1059" t="str">
            <v>Потери утиль</v>
          </cell>
          <cell r="F1059">
            <v>4.6732068914165983E-4</v>
          </cell>
          <cell r="G1059">
            <v>17677796.991656993</v>
          </cell>
        </row>
        <row r="1060">
          <cell r="E1060" t="str">
            <v>Потери магазинов по приходу (местные поставщики)</v>
          </cell>
          <cell r="F1060">
            <v>3.9293187713035024E-4</v>
          </cell>
          <cell r="G1060">
            <v>14863818.608628806</v>
          </cell>
        </row>
        <row r="1061">
          <cell r="E1061" t="str">
            <v>Потери прямые</v>
          </cell>
          <cell r="F1061">
            <v>3.4943488738780463E-3</v>
          </cell>
          <cell r="G1061">
            <v>132184154.14883578</v>
          </cell>
        </row>
        <row r="1062">
          <cell r="E1062" t="str">
            <v>Списания материалов</v>
          </cell>
          <cell r="F1062">
            <v>3.1361344795360361E-5</v>
          </cell>
          <cell r="G1062">
            <v>305393.51309707237</v>
          </cell>
        </row>
        <row r="1063">
          <cell r="E1063" t="str">
            <v>Прочие списания</v>
          </cell>
          <cell r="F1063">
            <v>5.798587120732628E-5</v>
          </cell>
          <cell r="G1063">
            <v>564660.38154778269</v>
          </cell>
        </row>
        <row r="1064">
          <cell r="E1064" t="str">
            <v>Списания для маркетинга/рекламы</v>
          </cell>
          <cell r="F1064">
            <v>1.8637694099548357E-5</v>
          </cell>
          <cell r="G1064">
            <v>181491.92626241292</v>
          </cell>
        </row>
        <row r="1065">
          <cell r="E1065" t="str">
            <v>Потери (корректировки)</v>
          </cell>
          <cell r="F1065">
            <v>0</v>
          </cell>
          <cell r="G1065">
            <v>0</v>
          </cell>
        </row>
        <row r="1066">
          <cell r="E1066" t="str">
            <v>Списания для получения документации</v>
          </cell>
          <cell r="F1066">
            <v>6.3178464382729479E-6</v>
          </cell>
          <cell r="G1066">
            <v>61522.53137044824</v>
          </cell>
        </row>
        <row r="1067">
          <cell r="E1067" t="str">
            <v>Потери по приходу (логистические)</v>
          </cell>
          <cell r="F1067">
            <v>5.0501116677169403E-3</v>
          </cell>
          <cell r="G1067">
            <v>49177462.057199694</v>
          </cell>
        </row>
        <row r="1068">
          <cell r="E1068" t="str">
            <v>Итого потери</v>
          </cell>
          <cell r="F1068">
            <v>0</v>
          </cell>
          <cell r="G1068">
            <v>0</v>
          </cell>
        </row>
        <row r="1069">
          <cell r="E1069" t="str">
            <v>Потери утиль</v>
          </cell>
          <cell r="F1069">
            <v>9.4398548480381182E-3</v>
          </cell>
          <cell r="G1069">
            <v>91924324.482261583</v>
          </cell>
        </row>
        <row r="1070">
          <cell r="E1070" t="str">
            <v>Потери магазинов по приходу (местные поставщики)</v>
          </cell>
          <cell r="F1070">
            <v>1.6640684615494404E-4</v>
          </cell>
          <cell r="G1070">
            <v>1620452.5565555696</v>
          </cell>
        </row>
        <row r="1071">
          <cell r="E1071" t="str">
            <v>Потери прямые</v>
          </cell>
          <cell r="F1071">
            <v>5.7493352922379729E-3</v>
          </cell>
          <cell r="G1071">
            <v>55986428.972564168</v>
          </cell>
        </row>
        <row r="1072">
          <cell r="E1072" t="str">
            <v>Списания материалов</v>
          </cell>
          <cell r="F1072">
            <v>1.5593334040609115E-4</v>
          </cell>
          <cell r="G1072">
            <v>168174.7348360247</v>
          </cell>
        </row>
        <row r="1073">
          <cell r="E1073" t="str">
            <v>Прочие списания</v>
          </cell>
          <cell r="F1073">
            <v>6.739280806215502E-4</v>
          </cell>
          <cell r="G1073">
            <v>726834.14567993849</v>
          </cell>
        </row>
        <row r="1074">
          <cell r="E1074" t="str">
            <v>Списания для маркетинга/рекламы</v>
          </cell>
          <cell r="F1074">
            <v>3.5787235570631098E-5</v>
          </cell>
          <cell r="G1074">
            <v>38596.677509322042</v>
          </cell>
        </row>
        <row r="1075">
          <cell r="E1075" t="str">
            <v>Потери (корректировки)</v>
          </cell>
          <cell r="F1075">
            <v>3.067250039164211E-4</v>
          </cell>
          <cell r="G1075">
            <v>330804.15045869036</v>
          </cell>
        </row>
        <row r="1076">
          <cell r="E1076" t="str">
            <v>Списания для получения документации</v>
          </cell>
          <cell r="F1076">
            <v>0</v>
          </cell>
          <cell r="G1076">
            <v>0</v>
          </cell>
        </row>
        <row r="1077">
          <cell r="E1077" t="str">
            <v>Потери по приходу (логистические)</v>
          </cell>
          <cell r="F1077">
            <v>1.7283311531068484E-3</v>
          </cell>
          <cell r="G1077">
            <v>1864012.1004630968</v>
          </cell>
        </row>
        <row r="1078">
          <cell r="E1078" t="str">
            <v>Итого потери</v>
          </cell>
          <cell r="F1078">
            <v>0</v>
          </cell>
          <cell r="G1078">
            <v>0</v>
          </cell>
        </row>
        <row r="1079">
          <cell r="E1079" t="str">
            <v>Потери утиль</v>
          </cell>
          <cell r="F1079">
            <v>4.5228950031677903E-4</v>
          </cell>
          <cell r="G1079">
            <v>487796.04532810475</v>
          </cell>
        </row>
        <row r="1080">
          <cell r="E1080" t="str">
            <v>Потери магазинов по приходу (местные поставщики)</v>
          </cell>
          <cell r="F1080">
            <v>9.2727050745416282E-7</v>
          </cell>
          <cell r="G1080">
            <v>1000.0649720338984</v>
          </cell>
        </row>
        <row r="1081">
          <cell r="E1081" t="str">
            <v>Потери прямые</v>
          </cell>
          <cell r="F1081">
            <v>9.3605600064335381E-3</v>
          </cell>
          <cell r="G1081">
            <v>10095401.617761826</v>
          </cell>
        </row>
        <row r="1082">
          <cell r="E1082" t="str">
            <v>Списания материалов</v>
          </cell>
          <cell r="F1082">
            <v>5.5989793006943069E-6</v>
          </cell>
          <cell r="G1082">
            <v>205066.36494343609</v>
          </cell>
        </row>
        <row r="1083">
          <cell r="E1083" t="str">
            <v>Прочие списания</v>
          </cell>
          <cell r="F1083">
            <v>4.512902042782794E-7</v>
          </cell>
          <cell r="G1083">
            <v>16528.805833315262</v>
          </cell>
        </row>
        <row r="1084">
          <cell r="E1084" t="str">
            <v>Списания для маркетинга/рекламы</v>
          </cell>
          <cell r="F1084">
            <v>0</v>
          </cell>
          <cell r="G1084">
            <v>0</v>
          </cell>
        </row>
        <row r="1085">
          <cell r="E1085" t="str">
            <v>Потери (корректировки)</v>
          </cell>
          <cell r="F1085">
            <v>0</v>
          </cell>
          <cell r="G1085">
            <v>0</v>
          </cell>
        </row>
        <row r="1086">
          <cell r="E1086" t="str">
            <v>Списания для получения документации</v>
          </cell>
          <cell r="F1086">
            <v>1.0990012101622115E-5</v>
          </cell>
          <cell r="G1086">
            <v>402516.55012986914</v>
          </cell>
        </row>
        <row r="1087">
          <cell r="E1087" t="str">
            <v>Потери по приходу (логистические)</v>
          </cell>
          <cell r="F1087">
            <v>2.1575196507533123E-4</v>
          </cell>
          <cell r="G1087">
            <v>7902060.1490551848</v>
          </cell>
        </row>
        <row r="1088">
          <cell r="E1088" t="str">
            <v>Итого потери</v>
          </cell>
          <cell r="F1088">
            <v>0</v>
          </cell>
          <cell r="G1088">
            <v>0</v>
          </cell>
        </row>
        <row r="1089">
          <cell r="E1089" t="str">
            <v>Потери утиль</v>
          </cell>
          <cell r="F1089">
            <v>1.6166447431913763E-4</v>
          </cell>
          <cell r="G1089">
            <v>5921069.5929892054</v>
          </cell>
        </row>
        <row r="1090">
          <cell r="E1090" t="str">
            <v>Потери магазинов по приходу (местные поставщики)</v>
          </cell>
          <cell r="F1090">
            <v>0</v>
          </cell>
          <cell r="G1090">
            <v>0</v>
          </cell>
        </row>
        <row r="1091">
          <cell r="E1091" t="str">
            <v>Потери прямые</v>
          </cell>
          <cell r="F1091">
            <v>1.1905738665560031E-3</v>
          </cell>
          <cell r="G1091">
            <v>43605564.853761017</v>
          </cell>
        </row>
        <row r="1092">
          <cell r="E1092" t="str">
            <v>Списания материалов</v>
          </cell>
          <cell r="F1092">
            <v>0</v>
          </cell>
          <cell r="G1092">
            <v>0</v>
          </cell>
        </row>
        <row r="1093">
          <cell r="E1093" t="str">
            <v>Прочие списания</v>
          </cell>
          <cell r="F1093">
            <v>0</v>
          </cell>
          <cell r="G1093">
            <v>0</v>
          </cell>
        </row>
        <row r="1094">
          <cell r="E1094" t="str">
            <v>Списания для маркетинга/рекламы</v>
          </cell>
          <cell r="F1094">
            <v>1.9939310603626168E-3</v>
          </cell>
          <cell r="G1094">
            <v>7435.2639438212618</v>
          </cell>
        </row>
        <row r="1095">
          <cell r="E1095" t="str">
            <v>Потери (корректировки)</v>
          </cell>
          <cell r="F1095">
            <v>0</v>
          </cell>
          <cell r="G1095">
            <v>0</v>
          </cell>
        </row>
        <row r="1096">
          <cell r="E1096" t="str">
            <v>Списания для получения документации</v>
          </cell>
          <cell r="F1096">
            <v>0</v>
          </cell>
          <cell r="G1096">
            <v>0</v>
          </cell>
        </row>
        <row r="1097">
          <cell r="E1097" t="str">
            <v>Потери по приходу (логистические)</v>
          </cell>
          <cell r="F1097">
            <v>0</v>
          </cell>
          <cell r="G1097">
            <v>0</v>
          </cell>
        </row>
        <row r="1098">
          <cell r="E1098" t="str">
            <v>Итого потери</v>
          </cell>
          <cell r="F1098">
            <v>0</v>
          </cell>
          <cell r="G1098">
            <v>0</v>
          </cell>
        </row>
        <row r="1099">
          <cell r="E1099" t="str">
            <v>Потери утиль</v>
          </cell>
          <cell r="F1099">
            <v>2.0596171228117841E-2</v>
          </cell>
          <cell r="G1099">
            <v>76802.038123295861</v>
          </cell>
        </row>
        <row r="1100">
          <cell r="E1100" t="str">
            <v>Потери магазинов по приходу (местные поставщики)</v>
          </cell>
          <cell r="F1100">
            <v>0</v>
          </cell>
          <cell r="G1100">
            <v>0</v>
          </cell>
        </row>
        <row r="1101">
          <cell r="E1101" t="str">
            <v>Потери прямые</v>
          </cell>
          <cell r="F1101">
            <v>3.0269770265464835E-3</v>
          </cell>
          <cell r="G1101">
            <v>11287.437961954083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>
        <row r="1">
          <cell r="A1" t="str">
            <v>ДатаТ1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S230"/>
  <sheetViews>
    <sheetView showGridLines="0" topLeftCell="A115" zoomScale="70" zoomScaleNormal="70" workbookViewId="0">
      <selection activeCell="B57" sqref="B57"/>
    </sheetView>
  </sheetViews>
  <sheetFormatPr baseColWidth="10" defaultColWidth="8.83203125" defaultRowHeight="15" outlineLevelRow="1" outlineLevelCol="1"/>
  <cols>
    <col min="1" max="1" width="4" customWidth="1"/>
    <col min="2" max="2" width="36.5" customWidth="1"/>
    <col min="3" max="3" width="34.5" customWidth="1" outlineLevel="1"/>
    <col min="4" max="4" width="13.83203125" bestFit="1" customWidth="1"/>
    <col min="5" max="5" width="18.5" customWidth="1"/>
    <col min="6" max="6" width="14.5" customWidth="1"/>
    <col min="7" max="7" width="11.5" customWidth="1"/>
    <col min="8" max="8" width="10.5" customWidth="1"/>
    <col min="9" max="9" width="18.5" bestFit="1" customWidth="1"/>
    <col min="10" max="10" width="22.5" customWidth="1"/>
    <col min="11" max="11" width="32.5" customWidth="1"/>
    <col min="12" max="12" width="37.1640625" customWidth="1"/>
    <col min="13" max="13" width="17.5" customWidth="1"/>
    <col min="14" max="14" width="14.5" customWidth="1"/>
    <col min="15" max="15" width="45.1640625" customWidth="1"/>
    <col min="16" max="16" width="15.1640625" customWidth="1"/>
    <col min="17" max="17" width="20.5" customWidth="1"/>
    <col min="18" max="18" width="15" customWidth="1"/>
  </cols>
  <sheetData>
    <row r="1" spans="2:18" ht="34">
      <c r="B1" s="1" t="s">
        <v>0</v>
      </c>
      <c r="C1" s="1"/>
    </row>
    <row r="4" spans="2:18" ht="31">
      <c r="B4" s="2" t="s">
        <v>1</v>
      </c>
      <c r="C4" s="2"/>
    </row>
    <row r="5" spans="2:18" ht="19">
      <c r="B5" s="5"/>
      <c r="C5" s="5"/>
      <c r="D5" s="6"/>
      <c r="E5" s="6"/>
      <c r="I5" s="7"/>
      <c r="J5" s="7"/>
      <c r="K5" s="9"/>
      <c r="L5" s="9"/>
      <c r="M5" s="9"/>
      <c r="N5" s="9"/>
    </row>
    <row r="6" spans="2:18" ht="19">
      <c r="B6" s="5"/>
      <c r="C6" s="5"/>
      <c r="D6" s="6"/>
      <c r="E6" s="6"/>
      <c r="G6" s="8"/>
      <c r="I6" s="7"/>
      <c r="J6" s="7"/>
      <c r="K6" s="9"/>
      <c r="L6" s="9"/>
      <c r="M6" s="9"/>
      <c r="N6" s="9"/>
    </row>
    <row r="7" spans="2:18" ht="20" thickBot="1">
      <c r="B7" s="3" t="s">
        <v>34</v>
      </c>
      <c r="C7" s="3"/>
      <c r="D7" s="4"/>
      <c r="E7" s="4"/>
      <c r="L7" s="17" t="s">
        <v>34</v>
      </c>
      <c r="M7" s="17"/>
    </row>
    <row r="8" spans="2:18" ht="31" thickBot="1">
      <c r="B8" s="39" t="s">
        <v>9</v>
      </c>
      <c r="C8" s="49" t="s">
        <v>64</v>
      </c>
      <c r="D8" s="40" t="s">
        <v>10</v>
      </c>
      <c r="E8" s="40" t="s">
        <v>15</v>
      </c>
      <c r="F8" s="41" t="s">
        <v>11</v>
      </c>
      <c r="G8" s="41" t="s">
        <v>12</v>
      </c>
      <c r="H8" s="41" t="s">
        <v>13</v>
      </c>
      <c r="I8" s="41" t="s">
        <v>14</v>
      </c>
      <c r="J8" s="42" t="s">
        <v>20</v>
      </c>
      <c r="L8" s="70" t="s">
        <v>21</v>
      </c>
      <c r="M8" s="71" t="s">
        <v>65</v>
      </c>
      <c r="N8" s="72" t="s">
        <v>22</v>
      </c>
      <c r="O8" s="73" t="s">
        <v>23</v>
      </c>
      <c r="P8" s="74" t="s">
        <v>30</v>
      </c>
      <c r="Q8" s="74" t="s">
        <v>24</v>
      </c>
      <c r="R8" s="74" t="s">
        <v>25</v>
      </c>
    </row>
    <row r="9" spans="2:18" ht="36.75" customHeight="1">
      <c r="B9" s="204" t="s">
        <v>88</v>
      </c>
      <c r="C9" s="204" t="s">
        <v>67</v>
      </c>
      <c r="D9" s="222">
        <v>0.5</v>
      </c>
      <c r="E9" s="54" t="s">
        <v>2</v>
      </c>
      <c r="F9" s="95">
        <f>G9*F12</f>
        <v>5.5578234991346962</v>
      </c>
      <c r="G9" s="95">
        <v>7.1254147424803795</v>
      </c>
      <c r="H9" s="95">
        <f>G9*H12</f>
        <v>8.693005985826062</v>
      </c>
      <c r="I9" s="95">
        <v>11.839610023406999</v>
      </c>
      <c r="J9" s="55"/>
      <c r="L9" s="101" t="s">
        <v>38</v>
      </c>
      <c r="M9" s="76">
        <f>G14</f>
        <v>98.7</v>
      </c>
      <c r="N9" s="76">
        <f>M9*85%</f>
        <v>83.894999999999996</v>
      </c>
      <c r="O9" s="102" t="s">
        <v>26</v>
      </c>
      <c r="P9" s="76">
        <v>95.1</v>
      </c>
      <c r="Q9" s="100">
        <f>P9/M9</f>
        <v>0.96352583586626128</v>
      </c>
      <c r="R9" s="77" t="s">
        <v>29</v>
      </c>
    </row>
    <row r="10" spans="2:18" ht="21.75" customHeight="1" outlineLevel="1">
      <c r="B10" s="205"/>
      <c r="C10" s="205"/>
      <c r="D10" s="173"/>
      <c r="E10" s="21" t="s">
        <v>16</v>
      </c>
      <c r="F10" s="22"/>
      <c r="G10" s="35"/>
      <c r="H10" s="22"/>
      <c r="I10" s="23"/>
      <c r="J10" s="24"/>
      <c r="L10" s="78" t="s">
        <v>37</v>
      </c>
      <c r="M10" s="75"/>
      <c r="N10" s="76">
        <v>20</v>
      </c>
      <c r="O10" s="79" t="s">
        <v>28</v>
      </c>
      <c r="P10" s="76">
        <v>17.5</v>
      </c>
      <c r="Q10" s="100"/>
      <c r="R10" s="77" t="s">
        <v>29</v>
      </c>
    </row>
    <row r="11" spans="2:18" ht="27" customHeight="1" outlineLevel="1">
      <c r="B11" s="205"/>
      <c r="C11" s="205"/>
      <c r="D11" s="173"/>
      <c r="E11" s="21" t="s">
        <v>17</v>
      </c>
      <c r="F11" s="44">
        <f>G11*F12</f>
        <v>5.5578234991346962</v>
      </c>
      <c r="G11" s="44">
        <f>G9+G10</f>
        <v>7.1254147424803795</v>
      </c>
      <c r="H11" s="44">
        <f>G11*H12</f>
        <v>8.693005985826062</v>
      </c>
      <c r="I11" s="44">
        <f>I9+I10</f>
        <v>11.839610023406999</v>
      </c>
      <c r="J11" s="25"/>
      <c r="L11" s="189" t="s">
        <v>39</v>
      </c>
      <c r="M11" s="102"/>
      <c r="N11" s="102"/>
      <c r="O11" s="192" t="s">
        <v>40</v>
      </c>
      <c r="P11" s="201" t="s">
        <v>93</v>
      </c>
      <c r="Q11" s="198"/>
      <c r="R11" s="195" t="s">
        <v>29</v>
      </c>
    </row>
    <row r="12" spans="2:18" ht="24">
      <c r="B12" s="205"/>
      <c r="C12" s="205"/>
      <c r="D12" s="173"/>
      <c r="E12" s="28" t="s">
        <v>4</v>
      </c>
      <c r="F12" s="29">
        <v>0.78</v>
      </c>
      <c r="G12" s="29">
        <v>1</v>
      </c>
      <c r="H12" s="29">
        <v>1.22</v>
      </c>
      <c r="I12" s="29">
        <f>IF(I9&lt;0,0,I9/G9)</f>
        <v>1.6616029313804677</v>
      </c>
      <c r="J12" s="26">
        <f>I11/G11</f>
        <v>1.6616029313804677</v>
      </c>
      <c r="L12" s="190"/>
      <c r="M12" s="78"/>
      <c r="N12" s="76"/>
      <c r="O12" s="193"/>
      <c r="P12" s="202"/>
      <c r="Q12" s="199"/>
      <c r="R12" s="196"/>
    </row>
    <row r="13" spans="2:18" ht="21.75" customHeight="1" thickBot="1">
      <c r="B13" s="206"/>
      <c r="C13" s="206"/>
      <c r="D13" s="174"/>
      <c r="E13" s="30" t="s">
        <v>5</v>
      </c>
      <c r="F13" s="31">
        <v>0.5</v>
      </c>
      <c r="G13" s="31">
        <v>1</v>
      </c>
      <c r="H13" s="31">
        <v>1.5</v>
      </c>
      <c r="I13" s="31">
        <f>IF(I12&lt;$F$12,0,IF(I12&gt;$H$12,$H$13,IF(I12&lt;$G$12,$F$13+(I12-$F$12)*($G$13-$F$13)/($G$12-$F$12),$G$12+(I12-$G$12)*($H$13-$G$13)/($H$12-$G$12))))</f>
        <v>1.5</v>
      </c>
      <c r="J13" s="27">
        <f>IF(J12&lt;$F$12,0,IF(J12&gt;$H$12,$H$13,IF(J12&lt;$G$12,$F$13+(J12-$F$12)*($G$13-$F$13)/($G$12-$F$12),$G$12+(J12-$G$12)*($H$13-$G$13)/($H$12-$G$12))))</f>
        <v>1.5</v>
      </c>
      <c r="K13" s="9"/>
      <c r="L13" s="191"/>
      <c r="M13" s="78"/>
      <c r="N13" s="76"/>
      <c r="O13" s="194"/>
      <c r="P13" s="203"/>
      <c r="Q13" s="200"/>
      <c r="R13" s="197"/>
    </row>
    <row r="14" spans="2:18" ht="21.75" customHeight="1">
      <c r="B14" s="207" t="s">
        <v>89</v>
      </c>
      <c r="C14" s="207" t="s">
        <v>91</v>
      </c>
      <c r="D14" s="172">
        <v>0.5</v>
      </c>
      <c r="E14" s="51" t="s">
        <v>2</v>
      </c>
      <c r="F14" s="52">
        <f>G14*F17</f>
        <v>90.804000000000002</v>
      </c>
      <c r="G14" s="52">
        <v>98.7</v>
      </c>
      <c r="H14" s="52">
        <f>G14*H17</f>
        <v>106.596</v>
      </c>
      <c r="I14" s="52">
        <v>95.1</v>
      </c>
      <c r="J14" s="53"/>
      <c r="K14" s="9"/>
      <c r="L14" s="9"/>
      <c r="M14" s="9"/>
      <c r="N14" s="9"/>
    </row>
    <row r="15" spans="2:18" ht="21.75" customHeight="1" outlineLevel="1">
      <c r="B15" s="205"/>
      <c r="C15" s="205"/>
      <c r="D15" s="173"/>
      <c r="E15" s="21" t="s">
        <v>16</v>
      </c>
      <c r="F15" s="22"/>
      <c r="G15" s="35"/>
      <c r="H15" s="36"/>
      <c r="I15" s="35"/>
      <c r="J15" s="37"/>
      <c r="K15" s="7"/>
      <c r="L15" s="7"/>
      <c r="M15" s="7"/>
      <c r="N15" s="7"/>
    </row>
    <row r="16" spans="2:18" ht="21.75" customHeight="1" outlineLevel="1">
      <c r="B16" s="205"/>
      <c r="C16" s="205"/>
      <c r="D16" s="173"/>
      <c r="E16" s="21" t="s">
        <v>17</v>
      </c>
      <c r="F16" s="44">
        <f>G16*F17</f>
        <v>90.804000000000002</v>
      </c>
      <c r="G16" s="44">
        <f>G14+G15</f>
        <v>98.7</v>
      </c>
      <c r="H16" s="44">
        <f>G16*H17</f>
        <v>106.596</v>
      </c>
      <c r="I16" s="44">
        <f>I14+I15</f>
        <v>95.1</v>
      </c>
      <c r="J16" s="24"/>
      <c r="K16" s="7"/>
      <c r="L16" s="11"/>
      <c r="M16" s="11"/>
      <c r="N16" s="7"/>
      <c r="P16" s="61"/>
    </row>
    <row r="17" spans="2:19" ht="21.75" customHeight="1">
      <c r="B17" s="205"/>
      <c r="C17" s="205"/>
      <c r="D17" s="173"/>
      <c r="E17" s="28" t="s">
        <v>4</v>
      </c>
      <c r="F17" s="29">
        <v>0.92</v>
      </c>
      <c r="G17" s="29">
        <v>1</v>
      </c>
      <c r="H17" s="29">
        <v>1.08</v>
      </c>
      <c r="I17" s="29">
        <f>IF(I14&lt;0,0,I14/G14)</f>
        <v>0.96352583586626128</v>
      </c>
      <c r="J17" s="26">
        <f>I16/G16</f>
        <v>0.96352583586626128</v>
      </c>
      <c r="K17" s="7"/>
      <c r="L17" s="7"/>
      <c r="M17" s="7"/>
      <c r="N17" s="7"/>
    </row>
    <row r="18" spans="2:19" ht="21.75" customHeight="1" thickBot="1">
      <c r="B18" s="206"/>
      <c r="C18" s="206"/>
      <c r="D18" s="174"/>
      <c r="E18" s="30" t="s">
        <v>5</v>
      </c>
      <c r="F18" s="31">
        <v>0.5</v>
      </c>
      <c r="G18" s="31">
        <v>1</v>
      </c>
      <c r="H18" s="31">
        <v>1.5</v>
      </c>
      <c r="I18" s="31">
        <f>IF(I17&lt;$F$17,0,IF(I17&gt;$H$17,$H$18,IF(I17&lt;$G$17,$F$18+(I17-$F$17)*($G$18-$F$18)/($G$17-$F$17),$G$17+(I17-$G$17)*($H$18-$G$18)/($H$17-$G$17))))</f>
        <v>0.7720364741641329</v>
      </c>
      <c r="J18" s="27">
        <f>IF(J17&lt;$F$17,0,IF(J17&gt;$H$17,$H$18,IF(J17&lt;$G$17,$F$18+(J17-$F$17)*($G$18-$F$18)/($G$17-$F$17),$G$17+(J17-$G$17)*($H$18-$G$18)/($H$17-$G$17))))</f>
        <v>0.7720364741641329</v>
      </c>
      <c r="K18" s="7"/>
      <c r="L18" s="7"/>
      <c r="M18" s="7"/>
      <c r="N18" s="7"/>
    </row>
    <row r="19" spans="2:19" ht="20" thickBot="1">
      <c r="B19" s="5"/>
      <c r="C19" s="5"/>
      <c r="D19" s="6"/>
      <c r="E19" s="14"/>
      <c r="F19" s="13"/>
      <c r="G19" s="13"/>
      <c r="H19" s="13"/>
      <c r="I19" s="12" t="s">
        <v>18</v>
      </c>
      <c r="J19" s="16">
        <f>I13*D9+I18*D14</f>
        <v>1.1360182370820664</v>
      </c>
      <c r="K19" s="10"/>
      <c r="L19" s="10"/>
      <c r="M19" s="10"/>
      <c r="N19" s="10"/>
    </row>
    <row r="20" spans="2:19" ht="35" thickBot="1">
      <c r="B20" s="5"/>
      <c r="C20" s="5"/>
      <c r="D20" s="6"/>
      <c r="E20" s="6"/>
      <c r="I20" s="12" t="s">
        <v>19</v>
      </c>
      <c r="J20" s="15">
        <f>J13*D9+J18*D14</f>
        <v>1.1360182370820664</v>
      </c>
    </row>
    <row r="21" spans="2:19" ht="19">
      <c r="B21" s="5"/>
      <c r="C21" s="5"/>
      <c r="D21" s="6"/>
      <c r="E21" s="6"/>
      <c r="I21" s="12"/>
      <c r="J21" s="107"/>
    </row>
    <row r="22" spans="2:19" ht="19">
      <c r="B22" s="5"/>
      <c r="C22" s="5"/>
      <c r="D22" s="6"/>
      <c r="E22" s="6"/>
      <c r="I22" s="12"/>
      <c r="J22" s="107"/>
    </row>
    <row r="23" spans="2:19" ht="19">
      <c r="B23" s="5"/>
      <c r="C23" s="5"/>
      <c r="D23" s="6"/>
      <c r="E23" s="109"/>
      <c r="I23" s="12"/>
    </row>
    <row r="24" spans="2:19" ht="19">
      <c r="B24" s="5"/>
      <c r="C24" s="5"/>
      <c r="D24" s="6"/>
      <c r="E24" s="110"/>
      <c r="I24" s="12"/>
    </row>
    <row r="25" spans="2:19" ht="19">
      <c r="B25" s="5"/>
      <c r="C25" s="5"/>
      <c r="D25" s="6"/>
      <c r="E25" s="110"/>
      <c r="I25" s="12"/>
    </row>
    <row r="26" spans="2:19" ht="19">
      <c r="B26" s="5"/>
      <c r="C26" s="5"/>
      <c r="D26" s="6"/>
      <c r="E26" s="110"/>
      <c r="I26" s="12"/>
    </row>
    <row r="27" spans="2:19" ht="19">
      <c r="B27" s="5"/>
      <c r="C27" s="5"/>
      <c r="D27" s="6"/>
      <c r="E27" s="108"/>
      <c r="I27" s="12"/>
    </row>
    <row r="29" spans="2:19" ht="19">
      <c r="B29" s="3" t="s">
        <v>60</v>
      </c>
      <c r="C29" s="3"/>
      <c r="D29" s="4"/>
      <c r="E29" s="4"/>
    </row>
    <row r="31" spans="2:19" ht="20" thickBot="1">
      <c r="B31" s="3" t="s">
        <v>34</v>
      </c>
      <c r="C31" s="3"/>
      <c r="D31" s="4"/>
      <c r="E31" s="4"/>
      <c r="L31" s="3" t="s">
        <v>34</v>
      </c>
      <c r="M31" s="3"/>
    </row>
    <row r="32" spans="2:19" ht="61" thickBot="1">
      <c r="B32" s="39" t="s">
        <v>9</v>
      </c>
      <c r="C32" s="49"/>
      <c r="D32" s="40" t="s">
        <v>10</v>
      </c>
      <c r="E32" s="40" t="s">
        <v>15</v>
      </c>
      <c r="F32" s="41" t="s">
        <v>11</v>
      </c>
      <c r="G32" s="41" t="s">
        <v>12</v>
      </c>
      <c r="H32" s="41" t="s">
        <v>13</v>
      </c>
      <c r="I32" s="41" t="s">
        <v>14</v>
      </c>
      <c r="J32" s="42" t="s">
        <v>20</v>
      </c>
      <c r="L32" s="80" t="s">
        <v>21</v>
      </c>
      <c r="M32" s="81" t="s">
        <v>68</v>
      </c>
      <c r="N32" s="81" t="s">
        <v>65</v>
      </c>
      <c r="O32" s="81" t="s">
        <v>22</v>
      </c>
      <c r="P32" s="81" t="s">
        <v>23</v>
      </c>
      <c r="Q32" s="81" t="s">
        <v>30</v>
      </c>
      <c r="R32" s="81" t="s">
        <v>24</v>
      </c>
      <c r="S32" s="81" t="s">
        <v>25</v>
      </c>
    </row>
    <row r="33" spans="2:19" ht="15.75" customHeight="1">
      <c r="B33" s="204" t="s">
        <v>53</v>
      </c>
      <c r="C33" s="204" t="s">
        <v>71</v>
      </c>
      <c r="D33" s="222">
        <v>0.5</v>
      </c>
      <c r="E33" s="96" t="s">
        <v>2</v>
      </c>
      <c r="F33" s="93">
        <f>G33*F36</f>
        <v>45000</v>
      </c>
      <c r="G33" s="93">
        <v>50000</v>
      </c>
      <c r="H33" s="93">
        <f>G33*H36</f>
        <v>55000.000000000007</v>
      </c>
      <c r="I33" s="93">
        <v>57000</v>
      </c>
      <c r="J33" s="55"/>
      <c r="L33" s="187" t="s">
        <v>90</v>
      </c>
      <c r="M33" s="188">
        <v>50</v>
      </c>
      <c r="N33" s="188"/>
      <c r="O33" s="182">
        <v>-1355</v>
      </c>
      <c r="P33" s="182" t="s">
        <v>69</v>
      </c>
      <c r="Q33" s="183">
        <v>-1218.11113</v>
      </c>
      <c r="R33" s="186"/>
      <c r="S33" s="186" t="s">
        <v>29</v>
      </c>
    </row>
    <row r="34" spans="2:19" ht="16" outlineLevel="1">
      <c r="B34" s="205"/>
      <c r="C34" s="205"/>
      <c r="D34" s="173"/>
      <c r="E34" s="57" t="s">
        <v>16</v>
      </c>
      <c r="F34" s="22"/>
      <c r="G34" s="38"/>
      <c r="H34" s="22"/>
      <c r="I34" s="23"/>
      <c r="J34" s="24"/>
      <c r="L34" s="187"/>
      <c r="M34" s="188"/>
      <c r="N34" s="188"/>
      <c r="O34" s="182"/>
      <c r="P34" s="182"/>
      <c r="Q34" s="184"/>
      <c r="R34" s="186"/>
      <c r="S34" s="186"/>
    </row>
    <row r="35" spans="2:19" ht="24" outlineLevel="1">
      <c r="B35" s="205"/>
      <c r="C35" s="205"/>
      <c r="D35" s="173"/>
      <c r="E35" s="57" t="s">
        <v>17</v>
      </c>
      <c r="F35" s="69">
        <f>G35*F36</f>
        <v>45000</v>
      </c>
      <c r="G35" s="69">
        <f>G33+G34</f>
        <v>50000</v>
      </c>
      <c r="H35" s="69">
        <f>G35*H36</f>
        <v>55000.000000000007</v>
      </c>
      <c r="I35" s="69">
        <f>I34+I33</f>
        <v>57000</v>
      </c>
      <c r="J35" s="25"/>
      <c r="L35" s="187"/>
      <c r="M35" s="188"/>
      <c r="N35" s="188"/>
      <c r="O35" s="182"/>
      <c r="P35" s="182"/>
      <c r="Q35" s="185"/>
      <c r="R35" s="186"/>
      <c r="S35" s="186"/>
    </row>
    <row r="36" spans="2:19" ht="24">
      <c r="B36" s="205"/>
      <c r="C36" s="205"/>
      <c r="D36" s="173"/>
      <c r="E36" s="56" t="s">
        <v>4</v>
      </c>
      <c r="F36" s="29">
        <v>0.9</v>
      </c>
      <c r="G36" s="29">
        <v>1</v>
      </c>
      <c r="H36" s="29">
        <v>1.1000000000000001</v>
      </c>
      <c r="I36" s="29">
        <f>IF(I33&lt;0,0,I33/G33)</f>
        <v>1.1399999999999999</v>
      </c>
      <c r="J36" s="26">
        <f>I35/G35</f>
        <v>1.1399999999999999</v>
      </c>
      <c r="L36" s="83" t="s">
        <v>51</v>
      </c>
      <c r="M36" s="75">
        <v>20</v>
      </c>
      <c r="N36" s="84">
        <v>-2244</v>
      </c>
      <c r="O36" s="82">
        <v>-3253</v>
      </c>
      <c r="P36" s="82" t="s">
        <v>70</v>
      </c>
      <c r="Q36" s="82">
        <v>-2709.9358614433499</v>
      </c>
      <c r="R36" s="85"/>
      <c r="S36" s="99" t="s">
        <v>29</v>
      </c>
    </row>
    <row r="37" spans="2:19" ht="17" thickBot="1">
      <c r="B37" s="206"/>
      <c r="C37" s="206"/>
      <c r="D37" s="174"/>
      <c r="E37" s="58" t="s">
        <v>5</v>
      </c>
      <c r="F37" s="31">
        <v>0.5</v>
      </c>
      <c r="G37" s="31">
        <v>1</v>
      </c>
      <c r="H37" s="31">
        <v>1.5</v>
      </c>
      <c r="I37" s="31">
        <f>IF(I36&lt;$F$36,0,IF(I36&gt;$H$36,$H$37,IF(I36&lt;$G$36,$F$37+(I36-$F$36)*($G$37-$F$37)/($G$36-$F$36),$G$36+(I36-$G$36)*($H$37-$G$37)/($H$36-$G$36))))</f>
        <v>1.5</v>
      </c>
      <c r="J37" s="27">
        <f>IF(J36&lt;$F$36,0,IF(J36&gt;$H$36,$H$37,IF(J36&lt;$G$36,$F$37+(J36-$F$36)*($G$37-$F$37)/($G$36-$F$36),$G$36+(J36-$G$36)*($H$37-$G$37)/($H$36-$G$36))))</f>
        <v>1.5</v>
      </c>
      <c r="L37" s="83" t="s">
        <v>52</v>
      </c>
      <c r="M37" s="75">
        <v>30</v>
      </c>
      <c r="N37" s="83"/>
      <c r="O37" s="86"/>
      <c r="P37" s="86"/>
      <c r="Q37" s="85"/>
      <c r="R37" s="85"/>
      <c r="S37" s="99" t="s">
        <v>29</v>
      </c>
    </row>
    <row r="38" spans="2:19" ht="16">
      <c r="B38" s="205" t="s">
        <v>54</v>
      </c>
      <c r="C38" s="205" t="s">
        <v>72</v>
      </c>
      <c r="D38" s="173">
        <v>0.2</v>
      </c>
      <c r="E38" s="28" t="s">
        <v>2</v>
      </c>
      <c r="F38" s="68">
        <f>G38*F41</f>
        <v>16695</v>
      </c>
      <c r="G38" s="68">
        <v>21000</v>
      </c>
      <c r="H38" s="68">
        <f>G38*H41</f>
        <v>22000</v>
      </c>
      <c r="I38" s="68">
        <v>17400</v>
      </c>
      <c r="J38" s="32"/>
    </row>
    <row r="39" spans="2:19" ht="16" outlineLevel="1">
      <c r="B39" s="205"/>
      <c r="C39" s="205"/>
      <c r="D39" s="173"/>
      <c r="E39" s="21" t="s">
        <v>16</v>
      </c>
      <c r="F39" s="22"/>
      <c r="G39" s="38"/>
      <c r="H39" s="22"/>
      <c r="I39" s="23"/>
      <c r="J39" s="24"/>
      <c r="O39" s="11"/>
    </row>
    <row r="40" spans="2:19" ht="24" outlineLevel="1">
      <c r="B40" s="205"/>
      <c r="C40" s="205"/>
      <c r="D40" s="173">
        <v>0.2</v>
      </c>
      <c r="E40" s="21" t="s">
        <v>17</v>
      </c>
      <c r="F40" s="69">
        <f>G40*F41</f>
        <v>16695</v>
      </c>
      <c r="G40" s="69">
        <f>G38+G39</f>
        <v>21000</v>
      </c>
      <c r="H40" s="69">
        <f>G40*H41</f>
        <v>22000</v>
      </c>
      <c r="I40" s="69">
        <f>I39+I38</f>
        <v>17400</v>
      </c>
      <c r="J40" s="25"/>
    </row>
    <row r="41" spans="2:19" ht="24">
      <c r="B41" s="205"/>
      <c r="C41" s="205"/>
      <c r="D41" s="173"/>
      <c r="E41" s="28" t="s">
        <v>4</v>
      </c>
      <c r="F41" s="45">
        <v>0.79500000000000004</v>
      </c>
      <c r="G41" s="29">
        <v>1</v>
      </c>
      <c r="H41" s="45">
        <v>1.0476190476190477</v>
      </c>
      <c r="I41" s="29">
        <f>IF(I38&lt;0,0,I38/G38)</f>
        <v>0.82857142857142863</v>
      </c>
      <c r="J41" s="26">
        <f>I40/G40</f>
        <v>0.82857142857142863</v>
      </c>
    </row>
    <row r="42" spans="2:19" ht="17" thickBot="1">
      <c r="B42" s="206"/>
      <c r="C42" s="206"/>
      <c r="D42" s="174"/>
      <c r="E42" s="30" t="s">
        <v>5</v>
      </c>
      <c r="F42" s="31">
        <v>0.5</v>
      </c>
      <c r="G42" s="31">
        <v>1</v>
      </c>
      <c r="H42" s="31">
        <v>1.5</v>
      </c>
      <c r="I42" s="31">
        <f>IF(I41&lt;$F$41,0,IF(I41&gt;$H$41,$H$42,IF(I41&lt;$G$41,$F$42+(I41-$F$41)*($G$42-$F$42)/($G$41-$F$41),$G$41+(I41-$G$41)*($H$42-$G$42)/($H$41-$G$41))))</f>
        <v>0.5818815331010454</v>
      </c>
      <c r="J42" s="27">
        <f>IF(J41&lt;$F$41,0,IF(J41&gt;$H$41,$H$42,IF(J41&lt;$G$41,$F$42+(J41-$F$41)*($G$42-$F$42)/($G$41-$F$41),$G$41+(J41-$G$41)*($H$42-$G$42)/($H$41-$G$41))))</f>
        <v>0.5818815331010454</v>
      </c>
    </row>
    <row r="43" spans="2:19" ht="16">
      <c r="B43" s="204" t="s">
        <v>36</v>
      </c>
      <c r="C43" s="204" t="s">
        <v>67</v>
      </c>
      <c r="D43" s="222">
        <v>0.15</v>
      </c>
      <c r="E43" s="54" t="s">
        <v>2</v>
      </c>
      <c r="F43" s="95">
        <f>G43*F46</f>
        <v>5.5578234991346962</v>
      </c>
      <c r="G43" s="95">
        <v>7.1254147424803795</v>
      </c>
      <c r="H43" s="95">
        <f>G43*H46</f>
        <v>8.693005985826062</v>
      </c>
      <c r="I43" s="95">
        <v>11.839610023406999</v>
      </c>
      <c r="J43" s="55"/>
    </row>
    <row r="44" spans="2:19" ht="16" outlineLevel="1">
      <c r="B44" s="205"/>
      <c r="C44" s="205"/>
      <c r="D44" s="173"/>
      <c r="E44" s="21" t="s">
        <v>16</v>
      </c>
      <c r="F44" s="22"/>
      <c r="G44" s="50"/>
      <c r="H44" s="22"/>
      <c r="I44" s="23"/>
      <c r="J44" s="24"/>
    </row>
    <row r="45" spans="2:19" ht="24" outlineLevel="1">
      <c r="B45" s="205"/>
      <c r="C45" s="205"/>
      <c r="D45" s="173"/>
      <c r="E45" s="21" t="s">
        <v>17</v>
      </c>
      <c r="F45" s="44">
        <f>G45*F46</f>
        <v>5.5578234991346962</v>
      </c>
      <c r="G45" s="44">
        <f>G43+G44</f>
        <v>7.1254147424803795</v>
      </c>
      <c r="H45" s="44">
        <f>G45*H46</f>
        <v>8.693005985826062</v>
      </c>
      <c r="I45" s="44">
        <f>I44+I43</f>
        <v>11.839610023406999</v>
      </c>
      <c r="J45" s="25"/>
    </row>
    <row r="46" spans="2:19" ht="24">
      <c r="B46" s="205"/>
      <c r="C46" s="205"/>
      <c r="D46" s="173"/>
      <c r="E46" s="28" t="s">
        <v>4</v>
      </c>
      <c r="F46" s="29">
        <v>0.78</v>
      </c>
      <c r="G46" s="29">
        <v>1</v>
      </c>
      <c r="H46" s="29">
        <v>1.22</v>
      </c>
      <c r="I46" s="29">
        <f>IF(I43&lt;0,0,I43/G43)</f>
        <v>1.6616029313804677</v>
      </c>
      <c r="J46" s="26">
        <f>I45/G45</f>
        <v>1.6616029313804677</v>
      </c>
    </row>
    <row r="47" spans="2:19" ht="17" thickBot="1">
      <c r="B47" s="206"/>
      <c r="C47" s="206"/>
      <c r="D47" s="174"/>
      <c r="E47" s="30" t="s">
        <v>5</v>
      </c>
      <c r="F47" s="31">
        <v>0.5</v>
      </c>
      <c r="G47" s="31">
        <v>1</v>
      </c>
      <c r="H47" s="31">
        <v>1.5</v>
      </c>
      <c r="I47" s="31">
        <f>IF(I46&lt;$F$46,0,IF(I46&gt;$H$46,$H$47,IF(I46&lt;$G$46,$F$47+(I46-$F$46)*($G$47-$F$47)/($G$46-$F$46),$G$46+(I46-$G$46)*($H$47-$G$47)/($H$46-$G$46))))</f>
        <v>1.5</v>
      </c>
      <c r="J47" s="27">
        <f>IF(J46&lt;$F$46,0,IF(J46&gt;$H$46,$H$47,IF(J46&lt;$G$46,$F$47+(J46-$F$46)*($G$47-$F$47)/($G$46-$F$46),$G$46+(J46-$G$46)*($H$47-$G$47)/($H$46-$G$46))))</f>
        <v>1.5</v>
      </c>
    </row>
    <row r="48" spans="2:19" ht="16">
      <c r="B48" s="207" t="s">
        <v>35</v>
      </c>
      <c r="C48" s="207" t="s">
        <v>66</v>
      </c>
      <c r="D48" s="172">
        <v>0.15</v>
      </c>
      <c r="E48" s="51" t="s">
        <v>2</v>
      </c>
      <c r="F48" s="52">
        <f>G48*F51</f>
        <v>90.804000000000002</v>
      </c>
      <c r="G48" s="52">
        <v>98.7</v>
      </c>
      <c r="H48" s="52">
        <f>G48*H51</f>
        <v>106.596</v>
      </c>
      <c r="I48" s="52">
        <v>97.273313981675997</v>
      </c>
      <c r="J48" s="53"/>
    </row>
    <row r="49" spans="2:19" ht="16" outlineLevel="1">
      <c r="B49" s="205"/>
      <c r="C49" s="205"/>
      <c r="D49" s="173"/>
      <c r="E49" s="21" t="s">
        <v>16</v>
      </c>
      <c r="F49" s="22"/>
      <c r="G49" s="35"/>
      <c r="H49" s="36"/>
      <c r="I49" s="35"/>
      <c r="J49" s="24"/>
    </row>
    <row r="50" spans="2:19" ht="24" outlineLevel="1">
      <c r="B50" s="205"/>
      <c r="C50" s="205"/>
      <c r="D50" s="173"/>
      <c r="E50" s="21" t="s">
        <v>17</v>
      </c>
      <c r="F50" s="34">
        <f>G50*F51</f>
        <v>90.804000000000002</v>
      </c>
      <c r="G50" s="34">
        <f>G48+G49</f>
        <v>98.7</v>
      </c>
      <c r="H50" s="34">
        <f>G50*H51</f>
        <v>106.596</v>
      </c>
      <c r="I50" s="34">
        <f>I49+I48</f>
        <v>97.273313981675997</v>
      </c>
      <c r="J50" s="26"/>
    </row>
    <row r="51" spans="2:19" ht="24">
      <c r="B51" s="205"/>
      <c r="C51" s="205"/>
      <c r="D51" s="173"/>
      <c r="E51" s="28" t="s">
        <v>4</v>
      </c>
      <c r="F51" s="29">
        <v>0.92</v>
      </c>
      <c r="G51" s="29">
        <v>1</v>
      </c>
      <c r="H51" s="29">
        <v>1.08</v>
      </c>
      <c r="I51" s="29">
        <f>IF(I48&lt;0,0,I48/G48)</f>
        <v>0.98554522777787223</v>
      </c>
      <c r="J51" s="26">
        <f>I50/G50</f>
        <v>0.98554522777787223</v>
      </c>
    </row>
    <row r="52" spans="2:19" ht="17" thickBot="1">
      <c r="B52" s="206"/>
      <c r="C52" s="206"/>
      <c r="D52" s="174"/>
      <c r="E52" s="30" t="s">
        <v>5</v>
      </c>
      <c r="F52" s="31">
        <v>0.5</v>
      </c>
      <c r="G52" s="31">
        <v>1</v>
      </c>
      <c r="H52" s="31">
        <v>1.5</v>
      </c>
      <c r="I52" s="31">
        <f>IF(I51&lt;$F$51,0,IF(I51&gt;$H$51,$H$52,IF(I51&lt;$G$51,$F$52+(I51-$F$51)*($G$52-$F$52)/($G$51-$F$51),$G$51+(I51-$G$51)*($H$52-$G$52)/($H$51-$G$51))))</f>
        <v>0.90965767361170147</v>
      </c>
      <c r="J52" s="27">
        <f>IF(J51&lt;$F$51,0,IF(J51&gt;$H$51,$H$52,IF(J51&lt;$G$51,$F$52+(J51-$F$51)*($G$52-$F$52)/($G$51-$F$51),$G$51+(J51-$G$51)*($H$52-$G$52)/($H$51-$G$51))))</f>
        <v>0.90965767361170147</v>
      </c>
    </row>
    <row r="53" spans="2:19" ht="20" thickBot="1">
      <c r="B53" s="5"/>
      <c r="C53" s="5"/>
      <c r="D53" s="6"/>
      <c r="E53" s="6"/>
      <c r="I53" s="12" t="s">
        <v>18</v>
      </c>
      <c r="J53" s="16">
        <f>(I37*D33)+(I42*D38)+(I47*D43)+(I52*D48)</f>
        <v>1.2278249576619644</v>
      </c>
    </row>
    <row r="54" spans="2:19" ht="35" thickBot="1">
      <c r="I54" s="12" t="s">
        <v>19</v>
      </c>
      <c r="J54" s="15">
        <f>J37*D33+J42*D38+J47*D43+J52*D48</f>
        <v>1.2278249576619644</v>
      </c>
    </row>
    <row r="55" spans="2:19" ht="16">
      <c r="I55" s="12"/>
    </row>
    <row r="57" spans="2:19" ht="19">
      <c r="B57" s="3" t="s">
        <v>61</v>
      </c>
      <c r="C57" s="3"/>
      <c r="D57" s="4"/>
      <c r="E57" s="4"/>
    </row>
    <row r="60" spans="2:19" ht="20" thickBot="1">
      <c r="B60" s="3" t="s">
        <v>34</v>
      </c>
      <c r="C60" s="3"/>
      <c r="D60" s="4"/>
      <c r="E60" s="4"/>
      <c r="L60" s="3" t="s">
        <v>34</v>
      </c>
      <c r="M60" s="3"/>
    </row>
    <row r="61" spans="2:19" ht="61" thickBot="1">
      <c r="B61" s="39" t="s">
        <v>9</v>
      </c>
      <c r="C61" s="49" t="s">
        <v>64</v>
      </c>
      <c r="D61" s="40" t="s">
        <v>10</v>
      </c>
      <c r="E61" s="40" t="s">
        <v>15</v>
      </c>
      <c r="F61" s="41" t="s">
        <v>11</v>
      </c>
      <c r="G61" s="41" t="s">
        <v>12</v>
      </c>
      <c r="H61" s="41" t="s">
        <v>13</v>
      </c>
      <c r="I61" s="41" t="s">
        <v>14</v>
      </c>
      <c r="J61" s="42" t="s">
        <v>20</v>
      </c>
      <c r="L61" s="80" t="s">
        <v>21</v>
      </c>
      <c r="M61" s="81" t="s">
        <v>68</v>
      </c>
      <c r="N61" s="81" t="s">
        <v>65</v>
      </c>
      <c r="O61" s="81" t="s">
        <v>22</v>
      </c>
      <c r="P61" s="81" t="s">
        <v>23</v>
      </c>
      <c r="Q61" s="81" t="s">
        <v>30</v>
      </c>
      <c r="R61" s="81" t="s">
        <v>24</v>
      </c>
      <c r="S61" s="81" t="s">
        <v>25</v>
      </c>
    </row>
    <row r="62" spans="2:19" ht="28.5" customHeight="1">
      <c r="B62" s="204" t="s">
        <v>53</v>
      </c>
      <c r="C62" s="211" t="s">
        <v>71</v>
      </c>
      <c r="D62" s="214">
        <v>0.4</v>
      </c>
      <c r="E62" s="96" t="s">
        <v>2</v>
      </c>
      <c r="F62" s="93">
        <f>G62*F65</f>
        <v>45000</v>
      </c>
      <c r="G62" s="93">
        <v>50000</v>
      </c>
      <c r="H62" s="93">
        <f>G62*H65</f>
        <v>55000.000000000007</v>
      </c>
      <c r="I62" s="93">
        <v>57000</v>
      </c>
      <c r="J62" s="55"/>
      <c r="L62" s="187" t="s">
        <v>90</v>
      </c>
      <c r="M62" s="188">
        <v>40</v>
      </c>
      <c r="N62" s="188"/>
      <c r="O62" s="182">
        <v>-1355</v>
      </c>
      <c r="P62" s="182" t="s">
        <v>69</v>
      </c>
      <c r="Q62" s="183">
        <v>-1218.11113</v>
      </c>
      <c r="R62" s="186"/>
      <c r="S62" s="186" t="s">
        <v>29</v>
      </c>
    </row>
    <row r="63" spans="2:19" ht="15.75" customHeight="1" outlineLevel="1">
      <c r="B63" s="205"/>
      <c r="C63" s="212"/>
      <c r="D63" s="215"/>
      <c r="E63" s="57" t="s">
        <v>16</v>
      </c>
      <c r="F63" s="22"/>
      <c r="G63" s="38"/>
      <c r="H63" s="22"/>
      <c r="I63" s="23"/>
      <c r="J63" s="24"/>
      <c r="L63" s="187"/>
      <c r="M63" s="188"/>
      <c r="N63" s="188"/>
      <c r="O63" s="182"/>
      <c r="P63" s="182"/>
      <c r="Q63" s="184"/>
      <c r="R63" s="186"/>
      <c r="S63" s="186"/>
    </row>
    <row r="64" spans="2:19" ht="21" customHeight="1" outlineLevel="1">
      <c r="B64" s="205"/>
      <c r="C64" s="212"/>
      <c r="D64" s="215"/>
      <c r="E64" s="57" t="s">
        <v>17</v>
      </c>
      <c r="F64" s="69">
        <f>G64*F65</f>
        <v>45000</v>
      </c>
      <c r="G64" s="69">
        <f>G62+G63</f>
        <v>50000</v>
      </c>
      <c r="H64" s="69">
        <f>G64*H65</f>
        <v>55000.000000000007</v>
      </c>
      <c r="I64" s="69">
        <f>I63+I62</f>
        <v>57000</v>
      </c>
      <c r="J64" s="25"/>
      <c r="L64" s="187"/>
      <c r="M64" s="188"/>
      <c r="N64" s="188"/>
      <c r="O64" s="182"/>
      <c r="P64" s="182"/>
      <c r="Q64" s="185"/>
      <c r="R64" s="186"/>
      <c r="S64" s="186"/>
    </row>
    <row r="65" spans="2:19" ht="24">
      <c r="B65" s="205"/>
      <c r="C65" s="212"/>
      <c r="D65" s="215"/>
      <c r="E65" s="56" t="s">
        <v>4</v>
      </c>
      <c r="F65" s="29">
        <v>0.9</v>
      </c>
      <c r="G65" s="29">
        <v>1</v>
      </c>
      <c r="H65" s="29">
        <v>1.1000000000000001</v>
      </c>
      <c r="I65" s="29">
        <f>IF(I62&lt;0,0,I62/G62)</f>
        <v>1.1399999999999999</v>
      </c>
      <c r="J65" s="26">
        <f>I64/G64</f>
        <v>1.1399999999999999</v>
      </c>
      <c r="L65" s="83" t="s">
        <v>51</v>
      </c>
      <c r="M65" s="75">
        <v>10</v>
      </c>
      <c r="N65" s="84">
        <v>-2244</v>
      </c>
      <c r="O65" s="82">
        <v>-3253</v>
      </c>
      <c r="P65" s="82" t="s">
        <v>70</v>
      </c>
      <c r="Q65" s="82">
        <v>-2709.9358614433499</v>
      </c>
      <c r="R65" s="85"/>
      <c r="S65" s="99" t="s">
        <v>29</v>
      </c>
    </row>
    <row r="66" spans="2:19" ht="17" thickBot="1">
      <c r="B66" s="206"/>
      <c r="C66" s="213"/>
      <c r="D66" s="216"/>
      <c r="E66" s="58" t="s">
        <v>5</v>
      </c>
      <c r="F66" s="31">
        <v>0.5</v>
      </c>
      <c r="G66" s="31">
        <v>1</v>
      </c>
      <c r="H66" s="31">
        <v>1.5</v>
      </c>
      <c r="I66" s="31">
        <f>IF(I65&lt;$F$65,0,IF(I65&gt;$H$65,$H$66,IF(I65&lt;$G$65,$F$66+(I65-$F$65)*($G$66-$F$66)/($G$65-$F$65),$G$65+(I65-$G$65)*($H$66-$G$66)/($H$65-$G$65))))</f>
        <v>1.5</v>
      </c>
      <c r="J66" s="27">
        <f>IF(J65&lt;$F$65,0,IF(J65&gt;$H$65,$H$66,IF(J65&lt;$G$65,$F$66+(J65-$F$65)*($G$66-$F$66)/($G$65-$F$65),$G$65+(J65-$G$65)*($H$66-$G$66)/($H$65-$G$65))))</f>
        <v>1.5</v>
      </c>
      <c r="L66" s="83" t="s">
        <v>52</v>
      </c>
      <c r="M66" s="75">
        <v>50</v>
      </c>
      <c r="N66" s="83"/>
      <c r="O66" s="86"/>
      <c r="P66" s="86"/>
      <c r="Q66" s="85"/>
      <c r="R66" s="85"/>
      <c r="S66" s="99" t="s">
        <v>29</v>
      </c>
    </row>
    <row r="67" spans="2:19" ht="16">
      <c r="B67" s="207" t="s">
        <v>54</v>
      </c>
      <c r="C67" s="207" t="s">
        <v>72</v>
      </c>
      <c r="D67" s="215">
        <v>0.1</v>
      </c>
      <c r="E67" s="28" t="s">
        <v>2</v>
      </c>
      <c r="F67" s="68">
        <f>G67*F70</f>
        <v>16695</v>
      </c>
      <c r="G67" s="68">
        <v>21000</v>
      </c>
      <c r="H67" s="68">
        <f>G67*H70</f>
        <v>22000</v>
      </c>
      <c r="I67" s="68">
        <v>17400</v>
      </c>
      <c r="J67" s="32"/>
    </row>
    <row r="68" spans="2:19" ht="16" outlineLevel="1">
      <c r="B68" s="205"/>
      <c r="C68" s="205"/>
      <c r="D68" s="215"/>
      <c r="E68" s="21" t="s">
        <v>16</v>
      </c>
      <c r="F68" s="22"/>
      <c r="G68" s="38"/>
      <c r="H68" s="22"/>
      <c r="I68" s="23"/>
      <c r="J68" s="24"/>
    </row>
    <row r="69" spans="2:19" ht="24" outlineLevel="1">
      <c r="B69" s="205"/>
      <c r="C69" s="205"/>
      <c r="D69" s="215"/>
      <c r="E69" s="21" t="s">
        <v>17</v>
      </c>
      <c r="F69" s="69">
        <f>G69*F70</f>
        <v>16695</v>
      </c>
      <c r="G69" s="69">
        <f>G67+G68</f>
        <v>21000</v>
      </c>
      <c r="H69" s="69">
        <f>G69*H70</f>
        <v>22000</v>
      </c>
      <c r="I69" s="69">
        <f>I68+I67</f>
        <v>17400</v>
      </c>
      <c r="J69" s="25"/>
    </row>
    <row r="70" spans="2:19" ht="24">
      <c r="B70" s="205"/>
      <c r="C70" s="205"/>
      <c r="D70" s="215"/>
      <c r="E70" s="28" t="s">
        <v>4</v>
      </c>
      <c r="F70" s="45">
        <v>0.79500000000000004</v>
      </c>
      <c r="G70" s="29">
        <v>1</v>
      </c>
      <c r="H70" s="45">
        <v>1.0476190476190477</v>
      </c>
      <c r="I70" s="29">
        <f>IF(I67&lt;0,0,I67/G67)</f>
        <v>0.82857142857142863</v>
      </c>
      <c r="J70" s="26">
        <f>I69/G69</f>
        <v>0.82857142857142863</v>
      </c>
      <c r="K70" s="6"/>
      <c r="L70" s="6"/>
      <c r="M70" s="6"/>
      <c r="N70" s="6"/>
    </row>
    <row r="71" spans="2:19" ht="20" thickBot="1">
      <c r="B71" s="206"/>
      <c r="C71" s="206"/>
      <c r="D71" s="216"/>
      <c r="E71" s="30" t="s">
        <v>5</v>
      </c>
      <c r="F71" s="31">
        <v>0.5</v>
      </c>
      <c r="G71" s="31">
        <v>1</v>
      </c>
      <c r="H71" s="31">
        <v>1.5</v>
      </c>
      <c r="I71" s="31">
        <f>IF(I70&lt;$F$70,0,IF(I70&gt;$H$70,$H$71,IF(I70&lt;$G$70,$F$71+(I70-$F$70)*($G$71-$F$71)/($G$70-$F$70),$G$70+(I70-$G$70)*($H$71-$G$71)/($H$70-$G$70))))</f>
        <v>0.5818815331010454</v>
      </c>
      <c r="J71" s="27">
        <f>IF(J70&lt;$F$70,0,IF(J70&gt;$H$70,$H$71,IF(J70&lt;$G$70,$F$71+(J70-$F$70)*($G$71-$F$71)/($G$70-$F$70),$G$70+(J70-$G$70)*($H$71-$G$71)/($H$70-$G$70))))</f>
        <v>0.5818815331010454</v>
      </c>
      <c r="K71" s="6"/>
      <c r="L71" s="6"/>
      <c r="M71" s="6"/>
      <c r="N71" s="6"/>
    </row>
    <row r="72" spans="2:19" ht="19">
      <c r="B72" s="204" t="s">
        <v>36</v>
      </c>
      <c r="C72" s="207" t="s">
        <v>67</v>
      </c>
      <c r="D72" s="223">
        <v>0.25</v>
      </c>
      <c r="E72" s="54" t="s">
        <v>2</v>
      </c>
      <c r="F72" s="95">
        <f>G72*F75</f>
        <v>5.5578234991346962</v>
      </c>
      <c r="G72" s="95">
        <v>7.1254147424803795</v>
      </c>
      <c r="H72" s="95">
        <f>G72*H75</f>
        <v>8.693005985826062</v>
      </c>
      <c r="I72" s="95">
        <v>11.839610023406999</v>
      </c>
      <c r="J72" s="55"/>
      <c r="K72" s="6"/>
      <c r="L72" s="6"/>
      <c r="M72" s="6"/>
      <c r="N72" s="6"/>
    </row>
    <row r="73" spans="2:19" ht="19" outlineLevel="1">
      <c r="B73" s="205"/>
      <c r="C73" s="205"/>
      <c r="D73" s="220"/>
      <c r="E73" s="21" t="s">
        <v>16</v>
      </c>
      <c r="F73" s="22"/>
      <c r="G73" s="50"/>
      <c r="H73" s="22"/>
      <c r="I73" s="23"/>
      <c r="J73" s="24"/>
      <c r="K73" s="6"/>
      <c r="L73" s="6"/>
      <c r="M73" s="6"/>
      <c r="N73" s="6"/>
    </row>
    <row r="74" spans="2:19" ht="24" outlineLevel="1">
      <c r="B74" s="205"/>
      <c r="C74" s="205"/>
      <c r="D74" s="220"/>
      <c r="E74" s="21" t="s">
        <v>17</v>
      </c>
      <c r="F74" s="44">
        <f>G74*F75</f>
        <v>5.5578234991346962</v>
      </c>
      <c r="G74" s="44">
        <f>G72+G73</f>
        <v>7.1254147424803795</v>
      </c>
      <c r="H74" s="44">
        <f>G74*H75</f>
        <v>8.693005985826062</v>
      </c>
      <c r="I74" s="44">
        <f>I73+I72</f>
        <v>11.839610023406999</v>
      </c>
      <c r="J74" s="25"/>
      <c r="K74" s="6"/>
      <c r="L74" s="6"/>
      <c r="M74" s="6"/>
      <c r="N74" s="6"/>
    </row>
    <row r="75" spans="2:19" ht="24">
      <c r="B75" s="205"/>
      <c r="C75" s="205"/>
      <c r="D75" s="220"/>
      <c r="E75" s="28" t="s">
        <v>4</v>
      </c>
      <c r="F75" s="29">
        <v>0.78</v>
      </c>
      <c r="G75" s="29">
        <v>1</v>
      </c>
      <c r="H75" s="29">
        <v>1.22</v>
      </c>
      <c r="I75" s="29">
        <f>IF(I72&lt;0,0,I72/G72)</f>
        <v>1.6616029313804677</v>
      </c>
      <c r="J75" s="26">
        <f>I74/G74</f>
        <v>1.6616029313804677</v>
      </c>
      <c r="K75" s="6"/>
      <c r="L75" s="6"/>
      <c r="M75" s="6"/>
      <c r="N75" s="6"/>
    </row>
    <row r="76" spans="2:19" ht="17" thickBot="1">
      <c r="B76" s="206"/>
      <c r="C76" s="206"/>
      <c r="D76" s="221"/>
      <c r="E76" s="30" t="s">
        <v>5</v>
      </c>
      <c r="F76" s="31">
        <v>0.5</v>
      </c>
      <c r="G76" s="31">
        <v>1</v>
      </c>
      <c r="H76" s="31">
        <v>1.5</v>
      </c>
      <c r="I76" s="31">
        <f>IF(I75&lt;$F$75,0,IF(I75&gt;$H$75,$H$76,IF(I75&lt;$G$75,$F$76+(I75-$F$75)*($G$76-$F$76)/($G$75-$F$75),$G$75+(I75-$G$75)*($H$76-$G$76)/($H$75-$G$75))))</f>
        <v>1.5</v>
      </c>
      <c r="J76" s="27">
        <f>IF(J75&lt;$F$75,0,IF(J75&gt;$H$75,$H$76,IF(J75&lt;$G$75,$F$76+(J75-$F$75)*($G$76-$F$76)/($G$75-$F$75),$G$75+(J75-$G$75)*($H$76-$G$76)/($H$75-$G$75))))</f>
        <v>1.5</v>
      </c>
    </row>
    <row r="77" spans="2:19" ht="15.75" customHeight="1">
      <c r="B77" s="207" t="s">
        <v>35</v>
      </c>
      <c r="C77" s="207" t="s">
        <v>66</v>
      </c>
      <c r="D77" s="219">
        <v>0.25</v>
      </c>
      <c r="E77" s="51" t="s">
        <v>2</v>
      </c>
      <c r="F77" s="52">
        <f>G77*F80</f>
        <v>90.804000000000002</v>
      </c>
      <c r="G77" s="52">
        <v>98.7</v>
      </c>
      <c r="H77" s="52">
        <f>G77*H80</f>
        <v>106.596</v>
      </c>
      <c r="I77" s="52">
        <v>97.273313981675997</v>
      </c>
      <c r="J77" s="53"/>
    </row>
    <row r="78" spans="2:19" ht="16" outlineLevel="1">
      <c r="B78" s="205"/>
      <c r="C78" s="205"/>
      <c r="D78" s="220"/>
      <c r="E78" s="21" t="s">
        <v>16</v>
      </c>
      <c r="F78" s="22"/>
      <c r="G78" s="35"/>
      <c r="H78" s="36"/>
      <c r="I78" s="35"/>
      <c r="J78" s="24"/>
    </row>
    <row r="79" spans="2:19" ht="24" outlineLevel="1">
      <c r="B79" s="205"/>
      <c r="C79" s="205"/>
      <c r="D79" s="220"/>
      <c r="E79" s="21" t="s">
        <v>17</v>
      </c>
      <c r="F79" s="34">
        <f>G79*F80</f>
        <v>90.804000000000002</v>
      </c>
      <c r="G79" s="34">
        <f>G77+G78</f>
        <v>98.7</v>
      </c>
      <c r="H79" s="34">
        <f>G79*H80</f>
        <v>106.596</v>
      </c>
      <c r="I79" s="34">
        <f>I78+I77</f>
        <v>97.273313981675997</v>
      </c>
      <c r="J79" s="26"/>
    </row>
    <row r="80" spans="2:19" ht="24">
      <c r="B80" s="205"/>
      <c r="C80" s="205"/>
      <c r="D80" s="220"/>
      <c r="E80" s="28" t="s">
        <v>4</v>
      </c>
      <c r="F80" s="29">
        <v>0.92</v>
      </c>
      <c r="G80" s="29">
        <v>1</v>
      </c>
      <c r="H80" s="29">
        <v>1.08</v>
      </c>
      <c r="I80" s="29">
        <f>IF(I77&lt;0,0,I77/G77)</f>
        <v>0.98554522777787223</v>
      </c>
      <c r="J80" s="26">
        <f>I79/G79</f>
        <v>0.98554522777787223</v>
      </c>
    </row>
    <row r="81" spans="2:19" ht="17" thickBot="1">
      <c r="B81" s="206"/>
      <c r="C81" s="206"/>
      <c r="D81" s="221"/>
      <c r="E81" s="30" t="s">
        <v>5</v>
      </c>
      <c r="F81" s="31">
        <v>0.5</v>
      </c>
      <c r="G81" s="31">
        <v>1</v>
      </c>
      <c r="H81" s="31">
        <v>1.5</v>
      </c>
      <c r="I81" s="31">
        <f>IF(I80&lt;$F$80,0,IF(I80&gt;$H$80,$H$81,IF(I80&lt;$G$80,$F$81+(I80-$F$80)*($G$81-$F$81)/($G$80-$F$80),$G$80+(I80-$G$80)*($H$81-$G$81)/($H$80-$G$80))))</f>
        <v>0.90965767361170147</v>
      </c>
      <c r="J81" s="27">
        <f>IF(J80&lt;$F$80,0,IF(J80&gt;$H$80,$H$81,IF(J80&lt;$G$80,$F$81+(J80-$F$80)*($G$81-$F$81)/($G$80-$F$80),$G$80+(J80-$G$80)*($H$81-$G$81)/($H$80-$G$80))))</f>
        <v>0.90965767361170147</v>
      </c>
    </row>
    <row r="82" spans="2:19" ht="20" thickBot="1">
      <c r="B82" s="5"/>
      <c r="C82" s="5"/>
      <c r="D82" s="6"/>
      <c r="E82" s="6"/>
      <c r="I82" s="12" t="s">
        <v>18</v>
      </c>
      <c r="J82" s="16">
        <f>I66*D62+I76*D72+I71*D67+I81*D77</f>
        <v>1.26060257171303</v>
      </c>
    </row>
    <row r="83" spans="2:19" ht="35" thickBot="1">
      <c r="I83" s="12" t="s">
        <v>19</v>
      </c>
      <c r="J83" s="15">
        <f>J66*D62+J71*D67+J76*D72+J81*D77</f>
        <v>1.26060257171303</v>
      </c>
    </row>
    <row r="86" spans="2:19" ht="19">
      <c r="B86" s="3" t="s">
        <v>62</v>
      </c>
      <c r="C86" s="3"/>
      <c r="D86" s="4"/>
      <c r="E86" s="4"/>
    </row>
    <row r="87" spans="2:19" ht="59.25" customHeight="1" thickBot="1">
      <c r="B87" s="3" t="s">
        <v>34</v>
      </c>
      <c r="C87" s="3"/>
      <c r="D87" s="4"/>
      <c r="E87" s="4"/>
      <c r="L87" s="3" t="s">
        <v>34</v>
      </c>
      <c r="M87" s="3"/>
    </row>
    <row r="88" spans="2:19" ht="59.25" customHeight="1" thickBot="1">
      <c r="B88" s="39" t="s">
        <v>9</v>
      </c>
      <c r="C88" s="49" t="s">
        <v>64</v>
      </c>
      <c r="D88" s="40" t="s">
        <v>10</v>
      </c>
      <c r="E88" s="40" t="s">
        <v>15</v>
      </c>
      <c r="F88" s="41" t="s">
        <v>11</v>
      </c>
      <c r="G88" s="41" t="s">
        <v>12</v>
      </c>
      <c r="H88" s="41" t="s">
        <v>13</v>
      </c>
      <c r="I88" s="41" t="s">
        <v>14</v>
      </c>
      <c r="J88" s="42" t="s">
        <v>20</v>
      </c>
      <c r="L88" s="80" t="s">
        <v>21</v>
      </c>
      <c r="M88" s="81" t="s">
        <v>68</v>
      </c>
      <c r="N88" s="81" t="s">
        <v>65</v>
      </c>
      <c r="O88" s="81" t="s">
        <v>22</v>
      </c>
      <c r="P88" s="81" t="s">
        <v>23</v>
      </c>
      <c r="Q88" s="81" t="s">
        <v>30</v>
      </c>
      <c r="R88" s="81" t="s">
        <v>24</v>
      </c>
      <c r="S88" s="81" t="s">
        <v>25</v>
      </c>
    </row>
    <row r="89" spans="2:19" ht="18.75" customHeight="1">
      <c r="B89" s="204" t="s">
        <v>53</v>
      </c>
      <c r="C89" s="208" t="s">
        <v>71</v>
      </c>
      <c r="D89" s="223">
        <v>0.25</v>
      </c>
      <c r="E89" s="96" t="s">
        <v>2</v>
      </c>
      <c r="F89" s="93">
        <f>G89*F92</f>
        <v>45000</v>
      </c>
      <c r="G89" s="93">
        <v>50000</v>
      </c>
      <c r="H89" s="93">
        <f>G89*H92</f>
        <v>55000.000000000007</v>
      </c>
      <c r="I89" s="93">
        <v>57000</v>
      </c>
      <c r="J89" s="55"/>
      <c r="K89" s="6"/>
      <c r="L89" s="187" t="s">
        <v>90</v>
      </c>
      <c r="M89" s="188">
        <v>25</v>
      </c>
      <c r="N89" s="188"/>
      <c r="O89" s="182">
        <v>-1355</v>
      </c>
      <c r="P89" s="182" t="s">
        <v>69</v>
      </c>
      <c r="Q89" s="183">
        <v>-1218.11113</v>
      </c>
      <c r="R89" s="186"/>
      <c r="S89" s="186" t="s">
        <v>29</v>
      </c>
    </row>
    <row r="90" spans="2:19" ht="18.75" customHeight="1" outlineLevel="1">
      <c r="B90" s="205"/>
      <c r="C90" s="209"/>
      <c r="D90" s="220"/>
      <c r="E90" s="57" t="s">
        <v>16</v>
      </c>
      <c r="F90" s="22"/>
      <c r="G90" s="38"/>
      <c r="H90" s="22"/>
      <c r="I90" s="23"/>
      <c r="J90" s="24"/>
      <c r="K90" s="6"/>
      <c r="L90" s="187"/>
      <c r="M90" s="188"/>
      <c r="N90" s="188"/>
      <c r="O90" s="182"/>
      <c r="P90" s="182"/>
      <c r="Q90" s="184"/>
      <c r="R90" s="186"/>
      <c r="S90" s="186"/>
    </row>
    <row r="91" spans="2:19" ht="21" customHeight="1" outlineLevel="1">
      <c r="B91" s="205"/>
      <c r="C91" s="209"/>
      <c r="D91" s="220"/>
      <c r="E91" s="57" t="s">
        <v>17</v>
      </c>
      <c r="F91" s="69">
        <f>G91*F92</f>
        <v>45000</v>
      </c>
      <c r="G91" s="69">
        <f>G89+G90</f>
        <v>50000</v>
      </c>
      <c r="H91" s="69">
        <f>G91*H92</f>
        <v>55000.000000000007</v>
      </c>
      <c r="I91" s="69">
        <f>I90+I89</f>
        <v>57000</v>
      </c>
      <c r="J91" s="25"/>
      <c r="K91" s="6"/>
      <c r="L91" s="187"/>
      <c r="M91" s="188"/>
      <c r="N91" s="188"/>
      <c r="O91" s="182"/>
      <c r="P91" s="182"/>
      <c r="Q91" s="185"/>
      <c r="R91" s="186"/>
      <c r="S91" s="186"/>
    </row>
    <row r="92" spans="2:19" ht="24">
      <c r="B92" s="205"/>
      <c r="C92" s="209"/>
      <c r="D92" s="220"/>
      <c r="E92" s="56" t="s">
        <v>4</v>
      </c>
      <c r="F92" s="29">
        <v>0.9</v>
      </c>
      <c r="G92" s="29">
        <v>1</v>
      </c>
      <c r="H92" s="29">
        <v>1.1000000000000001</v>
      </c>
      <c r="I92" s="29">
        <f>IF(I89&lt;0,0,I89/G89)</f>
        <v>1.1399999999999999</v>
      </c>
      <c r="J92" s="26">
        <f>I91/G91</f>
        <v>1.1399999999999999</v>
      </c>
      <c r="K92" s="6"/>
      <c r="L92" s="83" t="s">
        <v>51</v>
      </c>
      <c r="M92" s="75">
        <v>50</v>
      </c>
      <c r="N92" s="84">
        <v>-2244</v>
      </c>
      <c r="O92" s="82">
        <v>-3253</v>
      </c>
      <c r="P92" s="82" t="s">
        <v>70</v>
      </c>
      <c r="Q92" s="82">
        <v>-2709.9358614433499</v>
      </c>
      <c r="R92" s="85"/>
      <c r="S92" s="99" t="s">
        <v>29</v>
      </c>
    </row>
    <row r="93" spans="2:19" ht="20" thickBot="1">
      <c r="B93" s="206"/>
      <c r="C93" s="210"/>
      <c r="D93" s="221"/>
      <c r="E93" s="58" t="s">
        <v>5</v>
      </c>
      <c r="F93" s="31">
        <v>0.5</v>
      </c>
      <c r="G93" s="31">
        <v>1</v>
      </c>
      <c r="H93" s="31">
        <v>1.5</v>
      </c>
      <c r="I93" s="31">
        <f>IF(I92&lt;$F$92,0,IF(I92&gt;$H$92,$H$93,IF(I92&lt;$G$92,$F$93+(I92-$F$92)*($G$93-$F$93)/($G$92-$F$92),$G$92+(I92-$G$92)*($H$93-$G$93)/($H$92-$G$92))))</f>
        <v>1.5</v>
      </c>
      <c r="J93" s="27">
        <f>IF(J92&lt;$F$92,0,IF(J92&gt;$H$92,$H$93,IF(J92&lt;$G$92,$F$93+(J92-$F$92)*($G$93-$F$93)/($G$92-$F$92),$G$92+(J92-$G$92)*($H$93-$G$93)/($H$92-$G$92))))</f>
        <v>1.5</v>
      </c>
      <c r="K93" s="6"/>
      <c r="L93" s="83" t="s">
        <v>52</v>
      </c>
      <c r="M93" s="75">
        <v>25</v>
      </c>
      <c r="N93" s="83"/>
      <c r="O93" s="86"/>
      <c r="P93" s="86"/>
      <c r="Q93" s="85"/>
      <c r="R93" s="85"/>
      <c r="S93" s="99" t="s">
        <v>29</v>
      </c>
    </row>
    <row r="94" spans="2:19" ht="19">
      <c r="B94" s="204" t="s">
        <v>54</v>
      </c>
      <c r="C94" s="208" t="s">
        <v>72</v>
      </c>
      <c r="D94" s="224">
        <v>0.5</v>
      </c>
      <c r="E94" s="54" t="s">
        <v>2</v>
      </c>
      <c r="F94" s="93">
        <f>G94*F97</f>
        <v>16695</v>
      </c>
      <c r="G94" s="93">
        <v>21000</v>
      </c>
      <c r="H94" s="93">
        <f>G94*H97</f>
        <v>22000</v>
      </c>
      <c r="I94" s="93">
        <v>17400</v>
      </c>
      <c r="J94" s="55"/>
      <c r="K94" s="6"/>
    </row>
    <row r="95" spans="2:19" ht="16" outlineLevel="1">
      <c r="B95" s="205"/>
      <c r="C95" s="209"/>
      <c r="D95" s="225"/>
      <c r="E95" s="21" t="s">
        <v>16</v>
      </c>
      <c r="F95" s="22"/>
      <c r="G95" s="38"/>
      <c r="H95" s="22"/>
      <c r="I95" s="23"/>
      <c r="J95" s="24"/>
    </row>
    <row r="96" spans="2:19" ht="24" outlineLevel="1">
      <c r="B96" s="205"/>
      <c r="C96" s="209"/>
      <c r="D96" s="225"/>
      <c r="E96" s="21" t="s">
        <v>17</v>
      </c>
      <c r="F96" s="69">
        <f>G96*F97</f>
        <v>16695</v>
      </c>
      <c r="G96" s="69">
        <f>G94+G95</f>
        <v>21000</v>
      </c>
      <c r="H96" s="69">
        <f>G96*H97</f>
        <v>22000</v>
      </c>
      <c r="I96" s="69">
        <f>I95+I94</f>
        <v>17400</v>
      </c>
      <c r="J96" s="25"/>
    </row>
    <row r="97" spans="2:14" ht="24">
      <c r="B97" s="205"/>
      <c r="C97" s="209"/>
      <c r="D97" s="225"/>
      <c r="E97" s="28" t="s">
        <v>4</v>
      </c>
      <c r="F97" s="45">
        <v>0.79500000000000004</v>
      </c>
      <c r="G97" s="29">
        <v>1</v>
      </c>
      <c r="H97" s="45">
        <v>1.0476190476190477</v>
      </c>
      <c r="I97" s="29">
        <f>IF(I94&lt;0,0,I94/G94)</f>
        <v>0.82857142857142863</v>
      </c>
      <c r="J97" s="26">
        <f>I96/G96</f>
        <v>0.82857142857142863</v>
      </c>
    </row>
    <row r="98" spans="2:14" ht="17" thickBot="1">
      <c r="B98" s="206"/>
      <c r="C98" s="210"/>
      <c r="D98" s="226"/>
      <c r="E98" s="30" t="s">
        <v>5</v>
      </c>
      <c r="F98" s="31">
        <v>0.5</v>
      </c>
      <c r="G98" s="31">
        <v>1</v>
      </c>
      <c r="H98" s="31">
        <v>1.5</v>
      </c>
      <c r="I98" s="31">
        <f>IF(I97&lt;$F$97,0,IF(I97&gt;$H$97,$H$98,IF(I97&lt;$G$97,$F$98+(I97-$F$97)*($G$98-$F$98)/($G$97-$F$97),$G$97+(I97-$G$97)*($H$98-$G$98)/($H$97-$G$97))))</f>
        <v>0.5818815331010454</v>
      </c>
      <c r="J98" s="27">
        <f>IF(J97&lt;$F$97,0,IF(J97&gt;$H$97,$H$98,IF(J97&lt;$G$97,$F$98+(J97-$F$97)*($G$98-$F$98)/($G$97-$F$97),$G$97+(J97-$G$97)*($H$98-$G$98)/($H$97-$G$97))))</f>
        <v>0.5818815331010454</v>
      </c>
    </row>
    <row r="99" spans="2:14" ht="16">
      <c r="B99" s="204" t="s">
        <v>36</v>
      </c>
      <c r="C99" s="208" t="s">
        <v>67</v>
      </c>
      <c r="D99" s="223">
        <v>0.125</v>
      </c>
      <c r="E99" s="54" t="s">
        <v>2</v>
      </c>
      <c r="F99" s="95">
        <f>G99*F102</f>
        <v>5.5578234991346962</v>
      </c>
      <c r="G99" s="95">
        <v>7.1254147424803795</v>
      </c>
      <c r="H99" s="95">
        <f>G99*H102</f>
        <v>8.693005985826062</v>
      </c>
      <c r="I99" s="95">
        <v>11.839610023406999</v>
      </c>
      <c r="J99" s="55"/>
    </row>
    <row r="100" spans="2:14" ht="16" outlineLevel="1">
      <c r="B100" s="205"/>
      <c r="C100" s="209"/>
      <c r="D100" s="220"/>
      <c r="E100" s="21" t="s">
        <v>16</v>
      </c>
      <c r="F100" s="22"/>
      <c r="G100" s="50"/>
      <c r="H100" s="22"/>
      <c r="I100" s="23"/>
      <c r="J100" s="24"/>
    </row>
    <row r="101" spans="2:14" ht="24" outlineLevel="1">
      <c r="B101" s="205"/>
      <c r="C101" s="209"/>
      <c r="D101" s="220"/>
      <c r="E101" s="21" t="s">
        <v>17</v>
      </c>
      <c r="F101" s="44">
        <f>G101*F102</f>
        <v>5.5578234991346962</v>
      </c>
      <c r="G101" s="44">
        <f>G99+G100</f>
        <v>7.1254147424803795</v>
      </c>
      <c r="H101" s="44">
        <f>G101*H102</f>
        <v>8.693005985826062</v>
      </c>
      <c r="I101" s="44">
        <f>I100+I99</f>
        <v>11.839610023406999</v>
      </c>
      <c r="J101" s="25"/>
    </row>
    <row r="102" spans="2:14" ht="24">
      <c r="B102" s="205"/>
      <c r="C102" s="209"/>
      <c r="D102" s="220"/>
      <c r="E102" s="28" t="s">
        <v>4</v>
      </c>
      <c r="F102" s="29">
        <v>0.78</v>
      </c>
      <c r="G102" s="29">
        <v>1</v>
      </c>
      <c r="H102" s="29">
        <v>1.22</v>
      </c>
      <c r="I102" s="29">
        <f>IF(I99&lt;0,0,I99/G99)</f>
        <v>1.6616029313804677</v>
      </c>
      <c r="J102" s="26">
        <f>I101/G101</f>
        <v>1.6616029313804677</v>
      </c>
    </row>
    <row r="103" spans="2:14" ht="17" thickBot="1">
      <c r="B103" s="206"/>
      <c r="C103" s="210"/>
      <c r="D103" s="221"/>
      <c r="E103" s="30" t="s">
        <v>5</v>
      </c>
      <c r="F103" s="31">
        <v>0.5</v>
      </c>
      <c r="G103" s="31">
        <v>1</v>
      </c>
      <c r="H103" s="31">
        <v>1.5</v>
      </c>
      <c r="I103" s="31">
        <f>IF(I102&lt;$F$102,0,IF(I102&gt;$H$102,$H$103,IF(I102&lt;$G$102,$F$103+(I102-$F$102)*($G$103-$F$103)/($G$102-$F$102),$G$102+(I102-$G$102)*($H$103-$G$103)/($H$102-$G$102))))</f>
        <v>1.5</v>
      </c>
      <c r="J103" s="27">
        <f>IF(J102&lt;$F$102,0,IF(J102&gt;$H$102,$H$103,IF(J102&lt;$G$102,$F$103+(J102-$F$102)*($G$103-$F$103)/($G$102-$F$102),$G$102+(J102-$G$102)*($H$103-$G$103)/($H$102-$G$102))))</f>
        <v>1.5</v>
      </c>
    </row>
    <row r="104" spans="2:14" ht="15.75" customHeight="1">
      <c r="B104" s="204" t="s">
        <v>35</v>
      </c>
      <c r="C104" s="208" t="s">
        <v>66</v>
      </c>
      <c r="D104" s="223">
        <v>0.125</v>
      </c>
      <c r="E104" s="54" t="s">
        <v>2</v>
      </c>
      <c r="F104" s="95">
        <f>G104*F107</f>
        <v>90.804000000000002</v>
      </c>
      <c r="G104" s="95">
        <v>98.7</v>
      </c>
      <c r="H104" s="95">
        <f>G104*H107</f>
        <v>106.596</v>
      </c>
      <c r="I104" s="95">
        <v>97.273313981675997</v>
      </c>
      <c r="J104" s="55"/>
    </row>
    <row r="105" spans="2:14" ht="16" outlineLevel="1">
      <c r="B105" s="205"/>
      <c r="C105" s="209"/>
      <c r="D105" s="220"/>
      <c r="E105" s="21" t="s">
        <v>16</v>
      </c>
      <c r="F105" s="22"/>
      <c r="G105" s="35"/>
      <c r="H105" s="36"/>
      <c r="I105" s="35"/>
      <c r="J105" s="24"/>
    </row>
    <row r="106" spans="2:14" ht="24" outlineLevel="1">
      <c r="B106" s="205"/>
      <c r="C106" s="209"/>
      <c r="D106" s="220"/>
      <c r="E106" s="21" t="s">
        <v>17</v>
      </c>
      <c r="F106" s="34">
        <f>G106*F107</f>
        <v>90.804000000000002</v>
      </c>
      <c r="G106" s="34">
        <f>G104+G105</f>
        <v>98.7</v>
      </c>
      <c r="H106" s="34">
        <f>G106*H107</f>
        <v>106.596</v>
      </c>
      <c r="I106" s="34">
        <f>I105+I104</f>
        <v>97.273313981675997</v>
      </c>
      <c r="J106" s="26"/>
    </row>
    <row r="107" spans="2:14" ht="24">
      <c r="B107" s="205"/>
      <c r="C107" s="209"/>
      <c r="D107" s="220"/>
      <c r="E107" s="28" t="s">
        <v>4</v>
      </c>
      <c r="F107" s="29">
        <v>0.92</v>
      </c>
      <c r="G107" s="29">
        <v>1</v>
      </c>
      <c r="H107" s="29">
        <v>1.08</v>
      </c>
      <c r="I107" s="29">
        <f>IF(I104&lt;0,0,I104/G104)</f>
        <v>0.98554522777787223</v>
      </c>
      <c r="J107" s="26">
        <f>I106/G106</f>
        <v>0.98554522777787223</v>
      </c>
      <c r="K107" s="6"/>
      <c r="L107" s="6"/>
      <c r="M107" s="6"/>
      <c r="N107" s="6"/>
    </row>
    <row r="108" spans="2:14" ht="20" thickBot="1">
      <c r="B108" s="206"/>
      <c r="C108" s="210"/>
      <c r="D108" s="221"/>
      <c r="E108" s="30" t="s">
        <v>5</v>
      </c>
      <c r="F108" s="31">
        <v>0.5</v>
      </c>
      <c r="G108" s="31">
        <v>1</v>
      </c>
      <c r="H108" s="31">
        <v>1.5</v>
      </c>
      <c r="I108" s="31">
        <f>IF(I107&lt;$F$107,0,IF(I107&gt;$H$107,$H$108,IF(I107&lt;$G$107,$F$108+(I107-$F$107)*($G$108-$F$108)/($G$107-$F$107),$G$107+(I107-$G$107)*($H$108-$G$108)/($H$107-$G$107))))</f>
        <v>0.90965767361170147</v>
      </c>
      <c r="J108" s="27">
        <f>IF(J107&lt;$F$107,0,IF(J107&gt;$H$107,$H$108,IF(J107&lt;$G$107,$F$108+(J107-$F$107)*($G$108-$F$108)/($G$107-$F$107),$G$107+(J107-$G$107)*($H$108-$G$108)/($H$107-$G$107))))</f>
        <v>0.90965767361170147</v>
      </c>
      <c r="K108" s="6"/>
      <c r="L108" s="6"/>
      <c r="M108" s="6"/>
      <c r="N108" s="6"/>
    </row>
    <row r="109" spans="2:14" ht="20" thickBot="1">
      <c r="B109" s="5"/>
      <c r="C109" s="5"/>
      <c r="D109" s="6"/>
      <c r="E109" s="6"/>
      <c r="I109" s="12" t="s">
        <v>18</v>
      </c>
      <c r="J109" s="16">
        <f>I93*D89+I103*D99+I98*D94+I108*D104</f>
        <v>0.96714797575198541</v>
      </c>
      <c r="K109" s="6"/>
      <c r="L109" s="6"/>
      <c r="M109" s="6"/>
      <c r="N109" s="6"/>
    </row>
    <row r="110" spans="2:14" ht="35" thickBot="1">
      <c r="I110" s="12" t="s">
        <v>19</v>
      </c>
      <c r="J110" s="15">
        <f>J93*D89+J98*D94+J103*D99+J108*D104</f>
        <v>0.96714797575198541</v>
      </c>
      <c r="K110" s="6"/>
      <c r="L110" s="6"/>
      <c r="M110" s="6"/>
      <c r="N110" s="6"/>
    </row>
    <row r="111" spans="2:14" ht="19"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2:14" ht="19"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2:19" ht="19">
      <c r="B113" s="3" t="s">
        <v>63</v>
      </c>
      <c r="C113" s="3"/>
      <c r="D113" s="4"/>
      <c r="E113" s="4"/>
      <c r="K113" s="6"/>
      <c r="L113" s="6"/>
      <c r="M113" s="6"/>
      <c r="N113" s="6"/>
    </row>
    <row r="114" spans="2:19" ht="19">
      <c r="K114" s="6"/>
      <c r="L114" s="6"/>
      <c r="M114" s="6"/>
      <c r="N114" s="6"/>
    </row>
    <row r="115" spans="2:19" ht="19">
      <c r="K115" s="6"/>
      <c r="L115" s="6"/>
      <c r="M115" s="6"/>
      <c r="N115" s="6"/>
    </row>
    <row r="116" spans="2:19" ht="20" thickBot="1">
      <c r="B116" s="3" t="s">
        <v>34</v>
      </c>
      <c r="C116" s="3"/>
      <c r="D116" s="4"/>
      <c r="E116" s="4"/>
      <c r="K116" s="6"/>
      <c r="L116" s="3" t="s">
        <v>34</v>
      </c>
      <c r="M116" s="3"/>
    </row>
    <row r="117" spans="2:19" ht="61" thickBot="1">
      <c r="B117" s="39" t="s">
        <v>9</v>
      </c>
      <c r="C117" s="49" t="s">
        <v>64</v>
      </c>
      <c r="D117" s="40" t="s">
        <v>10</v>
      </c>
      <c r="E117" s="40" t="s">
        <v>15</v>
      </c>
      <c r="F117" s="41" t="s">
        <v>11</v>
      </c>
      <c r="G117" s="41" t="s">
        <v>12</v>
      </c>
      <c r="H117" s="41" t="s">
        <v>13</v>
      </c>
      <c r="I117" s="41" t="s">
        <v>14</v>
      </c>
      <c r="J117" s="42" t="s">
        <v>20</v>
      </c>
      <c r="K117" s="6"/>
      <c r="L117" s="80" t="s">
        <v>21</v>
      </c>
      <c r="M117" s="81" t="s">
        <v>68</v>
      </c>
      <c r="N117" s="81" t="s">
        <v>65</v>
      </c>
      <c r="O117" s="81" t="s">
        <v>22</v>
      </c>
      <c r="P117" s="81" t="s">
        <v>23</v>
      </c>
      <c r="Q117" s="81" t="s">
        <v>30</v>
      </c>
      <c r="R117" s="81" t="s">
        <v>24</v>
      </c>
      <c r="S117" s="81" t="s">
        <v>25</v>
      </c>
    </row>
    <row r="118" spans="2:19" ht="19">
      <c r="B118" s="204" t="s">
        <v>53</v>
      </c>
      <c r="C118" s="208" t="s">
        <v>71</v>
      </c>
      <c r="D118" s="222">
        <v>0.15</v>
      </c>
      <c r="E118" s="96" t="s">
        <v>2</v>
      </c>
      <c r="F118" s="93">
        <f>G118*F121</f>
        <v>45000</v>
      </c>
      <c r="G118" s="93">
        <v>50000</v>
      </c>
      <c r="H118" s="93">
        <f>G118*H121</f>
        <v>55000.000000000007</v>
      </c>
      <c r="I118" s="93">
        <v>57000</v>
      </c>
      <c r="J118" s="55"/>
      <c r="K118" s="6"/>
      <c r="L118" s="187" t="s">
        <v>90</v>
      </c>
      <c r="M118" s="188"/>
      <c r="N118" s="188"/>
      <c r="O118" s="182">
        <v>-1355</v>
      </c>
      <c r="P118" s="182" t="s">
        <v>69</v>
      </c>
      <c r="Q118" s="183">
        <v>-1218.11113</v>
      </c>
      <c r="R118" s="186"/>
      <c r="S118" s="186" t="s">
        <v>29</v>
      </c>
    </row>
    <row r="119" spans="2:19" ht="19" outlineLevel="1">
      <c r="B119" s="205"/>
      <c r="C119" s="209"/>
      <c r="D119" s="173"/>
      <c r="E119" s="57" t="s">
        <v>16</v>
      </c>
      <c r="F119" s="22"/>
      <c r="G119" s="38"/>
      <c r="H119" s="22"/>
      <c r="I119" s="23"/>
      <c r="J119" s="24"/>
      <c r="K119" s="6"/>
      <c r="L119" s="187"/>
      <c r="M119" s="188"/>
      <c r="N119" s="188"/>
      <c r="O119" s="182"/>
      <c r="P119" s="182"/>
      <c r="Q119" s="184"/>
      <c r="R119" s="186"/>
      <c r="S119" s="186"/>
    </row>
    <row r="120" spans="2:19" ht="24" outlineLevel="1">
      <c r="B120" s="205"/>
      <c r="C120" s="209"/>
      <c r="D120" s="173"/>
      <c r="E120" s="57" t="s">
        <v>17</v>
      </c>
      <c r="F120" s="69">
        <f>G120*F121</f>
        <v>45000</v>
      </c>
      <c r="G120" s="69">
        <f>G118+G119</f>
        <v>50000</v>
      </c>
      <c r="H120" s="69">
        <f>G120*H121</f>
        <v>55000.000000000007</v>
      </c>
      <c r="I120" s="69">
        <f>I119+I118</f>
        <v>57000</v>
      </c>
      <c r="J120" s="25"/>
      <c r="K120" s="6"/>
      <c r="L120" s="187"/>
      <c r="M120" s="188"/>
      <c r="N120" s="188"/>
      <c r="O120" s="182"/>
      <c r="P120" s="182"/>
      <c r="Q120" s="185"/>
      <c r="R120" s="186"/>
      <c r="S120" s="186"/>
    </row>
    <row r="121" spans="2:19" ht="24">
      <c r="B121" s="205"/>
      <c r="C121" s="209"/>
      <c r="D121" s="173"/>
      <c r="E121" s="56" t="s">
        <v>4</v>
      </c>
      <c r="F121" s="29">
        <v>0.9</v>
      </c>
      <c r="G121" s="29">
        <v>1</v>
      </c>
      <c r="H121" s="29">
        <v>1.1000000000000001</v>
      </c>
      <c r="I121" s="29">
        <f>IF(I118&lt;0,0,I118/G118)</f>
        <v>1.1399999999999999</v>
      </c>
      <c r="J121" s="26">
        <f>I120/G120</f>
        <v>1.1399999999999999</v>
      </c>
      <c r="K121" s="6"/>
      <c r="L121" s="83" t="s">
        <v>51</v>
      </c>
      <c r="M121" s="83"/>
      <c r="N121" s="84">
        <v>-2244</v>
      </c>
      <c r="O121" s="82">
        <v>-3253</v>
      </c>
      <c r="P121" s="82" t="s">
        <v>70</v>
      </c>
      <c r="Q121" s="82">
        <v>-2709.9358614433499</v>
      </c>
      <c r="R121" s="85"/>
      <c r="S121" s="99"/>
    </row>
    <row r="122" spans="2:19" ht="20" thickBot="1">
      <c r="B122" s="206"/>
      <c r="C122" s="210"/>
      <c r="D122" s="174"/>
      <c r="E122" s="58" t="s">
        <v>5</v>
      </c>
      <c r="F122" s="31">
        <v>0.5</v>
      </c>
      <c r="G122" s="31">
        <v>1</v>
      </c>
      <c r="H122" s="31">
        <v>1.5</v>
      </c>
      <c r="I122" s="31">
        <f>IF(I121&lt;$F$121,0,IF(I121&gt;$H$121,$H$122,IF(I121&lt;$G$121,$F$122+(I121-$F$121)*($G$122-$F$122)/($G$121-$F$121),$G$121+(I121-$G$121)*($H$122-$G$122)/($H$121-$G$121))))</f>
        <v>1.5</v>
      </c>
      <c r="J122" s="27">
        <f>IF(J121&lt;$F$121,0,IF(J121&gt;$H$121,$H$122,IF(J121&lt;$G$121,$F$122+(J121-$F$121)*($G$122-$F$122)/($G$121-$F$121),$G$121+(J121-$G$121)*($H$122-$G$122)/($H$121-$G$121))))</f>
        <v>1.5</v>
      </c>
      <c r="K122" s="6"/>
      <c r="L122" s="83" t="s">
        <v>52</v>
      </c>
      <c r="M122" s="83"/>
      <c r="N122" s="83"/>
      <c r="O122" s="86"/>
      <c r="P122" s="86"/>
      <c r="Q122" s="85"/>
      <c r="R122" s="85"/>
      <c r="S122" s="99" t="s">
        <v>29</v>
      </c>
    </row>
    <row r="123" spans="2:19" ht="19">
      <c r="B123" s="204" t="s">
        <v>54</v>
      </c>
      <c r="C123" s="208" t="s">
        <v>72</v>
      </c>
      <c r="D123" s="222">
        <v>0.05</v>
      </c>
      <c r="E123" s="54" t="s">
        <v>2</v>
      </c>
      <c r="F123" s="93">
        <f>G123*F126</f>
        <v>16695</v>
      </c>
      <c r="G123" s="93">
        <v>21000</v>
      </c>
      <c r="H123" s="93">
        <f>G123*H126</f>
        <v>22000</v>
      </c>
      <c r="I123" s="93">
        <v>17400</v>
      </c>
      <c r="J123" s="55"/>
      <c r="K123" s="6"/>
      <c r="L123" s="6"/>
      <c r="M123" s="6"/>
      <c r="N123" s="6"/>
    </row>
    <row r="124" spans="2:19" ht="19" outlineLevel="1">
      <c r="B124" s="205"/>
      <c r="C124" s="209"/>
      <c r="D124" s="173"/>
      <c r="E124" s="21" t="s">
        <v>16</v>
      </c>
      <c r="F124" s="22"/>
      <c r="G124" s="38"/>
      <c r="H124" s="22"/>
      <c r="I124" s="23"/>
      <c r="J124" s="24"/>
      <c r="K124" s="6"/>
      <c r="L124" s="6"/>
      <c r="M124" s="6"/>
      <c r="N124" s="6"/>
    </row>
    <row r="125" spans="2:19" ht="24" outlineLevel="1">
      <c r="B125" s="205"/>
      <c r="C125" s="209"/>
      <c r="D125" s="173">
        <v>0.2</v>
      </c>
      <c r="E125" s="21" t="s">
        <v>17</v>
      </c>
      <c r="F125" s="69">
        <f>G125*F126</f>
        <v>16695</v>
      </c>
      <c r="G125" s="69">
        <f>G123+G124</f>
        <v>21000</v>
      </c>
      <c r="H125" s="69">
        <f>G125*H126</f>
        <v>22000</v>
      </c>
      <c r="I125" s="69">
        <f>I124+I123</f>
        <v>17400</v>
      </c>
      <c r="J125" s="25"/>
      <c r="K125" s="6"/>
      <c r="L125" s="6"/>
      <c r="M125" s="6"/>
      <c r="N125" s="6"/>
    </row>
    <row r="126" spans="2:19" ht="24">
      <c r="B126" s="205"/>
      <c r="C126" s="209"/>
      <c r="D126" s="173"/>
      <c r="E126" s="28" t="s">
        <v>4</v>
      </c>
      <c r="F126" s="45">
        <v>0.79500000000000004</v>
      </c>
      <c r="G126" s="29">
        <v>1</v>
      </c>
      <c r="H126" s="45">
        <v>1.0476190476190477</v>
      </c>
      <c r="I126" s="29">
        <f>IF(I123&lt;0,0,I123/G123)</f>
        <v>0.82857142857142863</v>
      </c>
      <c r="J126" s="26">
        <f>I125/G125</f>
        <v>0.82857142857142863</v>
      </c>
      <c r="K126" s="6"/>
      <c r="L126" s="6"/>
      <c r="M126" s="6"/>
      <c r="N126" s="6"/>
    </row>
    <row r="127" spans="2:19" ht="20" thickBot="1">
      <c r="B127" s="206"/>
      <c r="C127" s="210"/>
      <c r="D127" s="174"/>
      <c r="E127" s="30" t="s">
        <v>5</v>
      </c>
      <c r="F127" s="31">
        <v>0.5</v>
      </c>
      <c r="G127" s="31">
        <v>1</v>
      </c>
      <c r="H127" s="31">
        <v>1.5</v>
      </c>
      <c r="I127" s="31">
        <f>IF(I126&lt;$F$126,0,IF(I126&gt;$H$126,$H$127,IF(I126&lt;$G$126,$F$127+(I126-$F$126)*($G$127-$F$127)/($G$126-$F$126),$G$126+(I126-$G$126)*($H$127-$G$127)/($H$126-$G$126))))</f>
        <v>0.5818815331010454</v>
      </c>
      <c r="J127" s="27">
        <f>IF(J126&lt;$F$126,0,IF(J126&gt;$H$126,$H$127,IF(J126&lt;$G$126,$F$127+(J126-$F$126)*($G$127-$F$127)/($G$126-$F$126),$G$126+(J126-$G$126)*($H$127-$G$127)/($H$126-$G$126))))</f>
        <v>0.5818815331010454</v>
      </c>
      <c r="K127" s="6"/>
      <c r="L127" s="6"/>
      <c r="M127" s="6"/>
      <c r="N127" s="6"/>
    </row>
    <row r="128" spans="2:19" ht="19">
      <c r="B128" s="204" t="s">
        <v>36</v>
      </c>
      <c r="C128" s="208" t="s">
        <v>67</v>
      </c>
      <c r="D128" s="222">
        <v>0.4</v>
      </c>
      <c r="E128" s="54" t="s">
        <v>2</v>
      </c>
      <c r="F128" s="95">
        <f>G128*F131</f>
        <v>5.5578234991346962</v>
      </c>
      <c r="G128" s="95">
        <v>7.1254147424803795</v>
      </c>
      <c r="H128" s="95">
        <f>G128*H131</f>
        <v>8.693005985826062</v>
      </c>
      <c r="I128" s="95">
        <v>11.839610023406999</v>
      </c>
      <c r="J128" s="55"/>
      <c r="K128" s="6"/>
      <c r="L128" s="6"/>
      <c r="M128" s="6"/>
      <c r="N128" s="6"/>
    </row>
    <row r="129" spans="2:14" ht="19" outlineLevel="1">
      <c r="B129" s="205"/>
      <c r="C129" s="209"/>
      <c r="D129" s="173"/>
      <c r="E129" s="21" t="s">
        <v>16</v>
      </c>
      <c r="F129" s="22"/>
      <c r="G129" s="50"/>
      <c r="H129" s="22"/>
      <c r="I129" s="23"/>
      <c r="J129" s="24"/>
      <c r="K129" s="6"/>
      <c r="L129" s="6"/>
      <c r="M129" s="6"/>
      <c r="N129" s="6"/>
    </row>
    <row r="130" spans="2:14" ht="24" outlineLevel="1">
      <c r="B130" s="205"/>
      <c r="C130" s="209"/>
      <c r="D130" s="173"/>
      <c r="E130" s="21" t="s">
        <v>17</v>
      </c>
      <c r="F130" s="44">
        <f>G130*F131</f>
        <v>5.5578234991346962</v>
      </c>
      <c r="G130" s="44">
        <f>G128+G129</f>
        <v>7.1254147424803795</v>
      </c>
      <c r="H130" s="44">
        <f>G130*H131</f>
        <v>8.693005985826062</v>
      </c>
      <c r="I130" s="44">
        <f>I129+I128</f>
        <v>11.839610023406999</v>
      </c>
      <c r="J130" s="25"/>
      <c r="K130" s="6"/>
      <c r="L130" s="6"/>
      <c r="M130" s="6"/>
      <c r="N130" s="6"/>
    </row>
    <row r="131" spans="2:14" ht="24">
      <c r="B131" s="205"/>
      <c r="C131" s="209"/>
      <c r="D131" s="173"/>
      <c r="E131" s="28" t="s">
        <v>4</v>
      </c>
      <c r="F131" s="29">
        <v>0.78</v>
      </c>
      <c r="G131" s="29">
        <v>1</v>
      </c>
      <c r="H131" s="29">
        <v>1.22</v>
      </c>
      <c r="I131" s="29">
        <f>IF(I128&lt;0,0,I128/G128)</f>
        <v>1.6616029313804677</v>
      </c>
      <c r="J131" s="26">
        <f>I130/G130</f>
        <v>1.6616029313804677</v>
      </c>
      <c r="K131" s="6"/>
      <c r="L131" s="6"/>
      <c r="M131" s="6"/>
      <c r="N131" s="6"/>
    </row>
    <row r="132" spans="2:14" ht="20" thickBot="1">
      <c r="B132" s="206"/>
      <c r="C132" s="210"/>
      <c r="D132" s="174"/>
      <c r="E132" s="30" t="s">
        <v>5</v>
      </c>
      <c r="F132" s="31">
        <v>0.5</v>
      </c>
      <c r="G132" s="31">
        <v>1</v>
      </c>
      <c r="H132" s="31">
        <v>1.5</v>
      </c>
      <c r="I132" s="31">
        <f>IF(I131&lt;$F$131,0,IF(I131&gt;$H$131,$H$132,IF(I131&lt;$G$131,$F$132+(I131-$F$131)*($G$132-$F$132)/($G$131-$F$131),$G$131+(I131-$G$131)*($H$132-$G$132)/($H$131-$G$131))))</f>
        <v>1.5</v>
      </c>
      <c r="J132" s="27">
        <f>IF(J131&lt;$F$131,0,IF(J131&gt;$H$131,$H$132,IF(J131&lt;$G$131,$F$132+(J131-$F$131)*($G$132-$F$132)/($G$131-$F$131),$G$131+(J131-$G$131)*($H$132-$G$132)/($H$131-$G$131))))</f>
        <v>1.5</v>
      </c>
      <c r="K132" s="6"/>
      <c r="L132" s="6"/>
      <c r="M132" s="6"/>
      <c r="N132" s="6"/>
    </row>
    <row r="133" spans="2:14" ht="19">
      <c r="B133" s="204" t="s">
        <v>35</v>
      </c>
      <c r="C133" s="208" t="s">
        <v>66</v>
      </c>
      <c r="D133" s="222">
        <v>0.4</v>
      </c>
      <c r="E133" s="54" t="s">
        <v>2</v>
      </c>
      <c r="F133" s="95">
        <f>G133*F136</f>
        <v>90.804000000000002</v>
      </c>
      <c r="G133" s="95">
        <v>98.7</v>
      </c>
      <c r="H133" s="95">
        <f>G133*H136</f>
        <v>106.596</v>
      </c>
      <c r="I133" s="52">
        <v>97.273313981675997</v>
      </c>
      <c r="J133" s="55"/>
      <c r="K133" s="6"/>
      <c r="L133" s="6"/>
      <c r="M133" s="6"/>
      <c r="N133" s="6"/>
    </row>
    <row r="134" spans="2:14" ht="19" outlineLevel="1">
      <c r="B134" s="205"/>
      <c r="C134" s="209"/>
      <c r="D134" s="173"/>
      <c r="E134" s="21" t="s">
        <v>16</v>
      </c>
      <c r="F134" s="22"/>
      <c r="G134" s="35"/>
      <c r="H134" s="36"/>
      <c r="I134" s="35"/>
      <c r="J134" s="24"/>
      <c r="K134" s="6"/>
      <c r="L134" s="6"/>
      <c r="M134" s="6"/>
      <c r="N134" s="6"/>
    </row>
    <row r="135" spans="2:14" ht="24" outlineLevel="1">
      <c r="B135" s="205"/>
      <c r="C135" s="209"/>
      <c r="D135" s="173"/>
      <c r="E135" s="21" t="s">
        <v>17</v>
      </c>
      <c r="F135" s="34">
        <f>G135*F136</f>
        <v>90.804000000000002</v>
      </c>
      <c r="G135" s="34">
        <f>G133+G134</f>
        <v>98.7</v>
      </c>
      <c r="H135" s="34">
        <f>G135*H136</f>
        <v>106.596</v>
      </c>
      <c r="I135" s="34">
        <f>I134+I133</f>
        <v>97.273313981675997</v>
      </c>
      <c r="J135" s="26"/>
      <c r="K135" s="6"/>
      <c r="L135" s="6"/>
      <c r="M135" s="6"/>
      <c r="N135" s="6"/>
    </row>
    <row r="136" spans="2:14" ht="24">
      <c r="B136" s="205"/>
      <c r="C136" s="209"/>
      <c r="D136" s="173"/>
      <c r="E136" s="28" t="s">
        <v>4</v>
      </c>
      <c r="F136" s="29">
        <v>0.92</v>
      </c>
      <c r="G136" s="29">
        <v>1</v>
      </c>
      <c r="H136" s="29">
        <v>1.08</v>
      </c>
      <c r="I136" s="29">
        <f>IF(I133&lt;0,0,I133/G133)</f>
        <v>0.98554522777787223</v>
      </c>
      <c r="J136" s="26">
        <f>I135/G135</f>
        <v>0.98554522777787223</v>
      </c>
      <c r="K136" s="6"/>
      <c r="L136" s="6"/>
      <c r="M136" s="6"/>
      <c r="N136" s="6"/>
    </row>
    <row r="137" spans="2:14" ht="20" thickBot="1">
      <c r="B137" s="206"/>
      <c r="C137" s="210"/>
      <c r="D137" s="174"/>
      <c r="E137" s="30" t="s">
        <v>5</v>
      </c>
      <c r="F137" s="31">
        <v>0.5</v>
      </c>
      <c r="G137" s="31">
        <v>1</v>
      </c>
      <c r="H137" s="31">
        <v>1.5</v>
      </c>
      <c r="I137" s="31">
        <f>IF(I136&lt;$F$136,0,IF(I136&gt;$H$136,$H$137,IF(I136&lt;$G$136,$F$137+(I136-$F$136)*($G$137-$F$137)/($G$136-$F$136),$G$136+(I136-$G$136)*($H$137-$G$137)/($H$136-$G$136))))</f>
        <v>0.90965767361170147</v>
      </c>
      <c r="J137" s="27">
        <f>IF(J136&lt;$F$136,0,IF(J136&gt;$H$136,$H$137,IF(J136&lt;$G$136,$F$137+(J136-$F$136)*($G$137-$F$137)/($G$136-$F$136),$G$136+(J136-$G$136)*($H$137-$G$137)/($H$136-$G$136))))</f>
        <v>0.90965767361170147</v>
      </c>
      <c r="K137" s="6"/>
      <c r="L137" s="6"/>
      <c r="M137" s="6"/>
      <c r="N137" s="6"/>
    </row>
    <row r="138" spans="2:14" ht="20" thickBot="1">
      <c r="B138" s="5"/>
      <c r="C138" s="5"/>
      <c r="D138" s="6"/>
      <c r="E138" s="6"/>
      <c r="I138" s="12" t="s">
        <v>18</v>
      </c>
      <c r="J138" s="16">
        <f>I122*D118+I127*D123+I132*D128+I137*D133</f>
        <v>1.2179571460997329</v>
      </c>
      <c r="K138" s="6"/>
      <c r="L138" s="6"/>
      <c r="M138" s="6"/>
      <c r="N138" s="6"/>
    </row>
    <row r="139" spans="2:14" ht="35" thickBot="1">
      <c r="B139" s="5"/>
      <c r="C139" s="5"/>
      <c r="D139" s="6"/>
      <c r="I139" s="12" t="s">
        <v>19</v>
      </c>
      <c r="J139" s="15">
        <f>J122*D118+J127*D123+J132*D128+J137*D133</f>
        <v>1.2179571460997329</v>
      </c>
      <c r="K139" s="6"/>
      <c r="L139" s="6"/>
      <c r="M139" s="6"/>
      <c r="N139" s="6"/>
    </row>
    <row r="140" spans="2:14" ht="19"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2" spans="2:14" ht="31">
      <c r="B142" s="2" t="s">
        <v>6</v>
      </c>
      <c r="C142" s="2"/>
    </row>
    <row r="144" spans="2:14" ht="20" thickBot="1">
      <c r="B144" s="3" t="s">
        <v>41</v>
      </c>
      <c r="C144" s="3"/>
      <c r="D144" s="4"/>
      <c r="E144" s="4"/>
      <c r="L144" s="17" t="s">
        <v>34</v>
      </c>
      <c r="M144" s="17"/>
      <c r="N144" s="20"/>
    </row>
    <row r="145" spans="2:18" ht="37.5" customHeight="1" thickBot="1">
      <c r="B145" s="39" t="s">
        <v>9</v>
      </c>
      <c r="C145" s="49"/>
      <c r="D145" s="40" t="s">
        <v>10</v>
      </c>
      <c r="E145" s="40" t="s">
        <v>15</v>
      </c>
      <c r="F145" s="41" t="s">
        <v>11</v>
      </c>
      <c r="G145" s="41" t="s">
        <v>12</v>
      </c>
      <c r="H145" s="41" t="s">
        <v>13</v>
      </c>
      <c r="I145" s="41" t="s">
        <v>14</v>
      </c>
      <c r="J145" s="42" t="s">
        <v>20</v>
      </c>
      <c r="L145" s="80" t="s">
        <v>21</v>
      </c>
      <c r="M145" s="81" t="s">
        <v>65</v>
      </c>
      <c r="N145" s="81" t="s">
        <v>22</v>
      </c>
      <c r="O145" s="81" t="s">
        <v>23</v>
      </c>
      <c r="P145" s="81" t="s">
        <v>30</v>
      </c>
      <c r="Q145" s="81" t="s">
        <v>24</v>
      </c>
      <c r="R145" s="81" t="s">
        <v>25</v>
      </c>
    </row>
    <row r="146" spans="2:18" ht="15.75" customHeight="1">
      <c r="B146" s="204" t="s">
        <v>42</v>
      </c>
      <c r="C146" s="204" t="s">
        <v>76</v>
      </c>
      <c r="D146" s="222">
        <v>0.35</v>
      </c>
      <c r="E146" s="54" t="s">
        <v>2</v>
      </c>
      <c r="F146" s="95">
        <f>G146*F149</f>
        <v>15.9</v>
      </c>
      <c r="G146" s="95">
        <v>17.7</v>
      </c>
      <c r="H146" s="95">
        <f>G146*H149</f>
        <v>19.399999999999999</v>
      </c>
      <c r="I146" s="95">
        <f>G146*1.059</f>
        <v>18.744299999999999</v>
      </c>
      <c r="J146" s="55"/>
      <c r="L146" s="86" t="s">
        <v>3</v>
      </c>
      <c r="M146" s="87">
        <f>G151</f>
        <v>0.52800000000000002</v>
      </c>
      <c r="N146" s="87">
        <f>M146*85%</f>
        <v>0.44880000000000003</v>
      </c>
      <c r="O146" s="88" t="s">
        <v>26</v>
      </c>
      <c r="P146" s="87">
        <v>0.69</v>
      </c>
      <c r="Q146" s="89">
        <f>P146/M146</f>
        <v>1.3068181818181817</v>
      </c>
      <c r="R146" s="90" t="s">
        <v>29</v>
      </c>
    </row>
    <row r="147" spans="2:18" ht="16" outlineLevel="1">
      <c r="B147" s="205"/>
      <c r="C147" s="205"/>
      <c r="D147" s="173"/>
      <c r="E147" s="21" t="s">
        <v>16</v>
      </c>
      <c r="F147" s="22"/>
      <c r="G147" s="35"/>
      <c r="H147" s="36"/>
      <c r="I147" s="23"/>
      <c r="J147" s="24"/>
    </row>
    <row r="148" spans="2:18" ht="24" outlineLevel="1">
      <c r="B148" s="205"/>
      <c r="C148" s="205"/>
      <c r="D148" s="173"/>
      <c r="E148" s="21" t="s">
        <v>17</v>
      </c>
      <c r="F148" s="69">
        <f>G148*F149</f>
        <v>15.9</v>
      </c>
      <c r="G148" s="69">
        <f>G146+G147</f>
        <v>17.7</v>
      </c>
      <c r="H148" s="69">
        <f>G148*H149</f>
        <v>19.399999999999999</v>
      </c>
      <c r="I148" s="44">
        <f>I147+I146</f>
        <v>18.744299999999999</v>
      </c>
      <c r="J148" s="25"/>
    </row>
    <row r="149" spans="2:18" ht="24">
      <c r="B149" s="205"/>
      <c r="C149" s="205"/>
      <c r="D149" s="173"/>
      <c r="E149" s="28" t="s">
        <v>4</v>
      </c>
      <c r="F149" s="46">
        <v>0.89830508474576276</v>
      </c>
      <c r="G149" s="46">
        <v>1</v>
      </c>
      <c r="H149" s="46">
        <v>1.0960451977401129</v>
      </c>
      <c r="I149" s="29">
        <f>IF(I146&lt;0,0,I146/G146)</f>
        <v>1.0589999999999999</v>
      </c>
      <c r="J149" s="26">
        <f>I148/G148</f>
        <v>1.0589999999999999</v>
      </c>
    </row>
    <row r="150" spans="2:18" ht="17" thickBot="1">
      <c r="B150" s="206"/>
      <c r="C150" s="206"/>
      <c r="D150" s="174"/>
      <c r="E150" s="30" t="s">
        <v>5</v>
      </c>
      <c r="F150" s="31">
        <v>0.5</v>
      </c>
      <c r="G150" s="31">
        <v>1</v>
      </c>
      <c r="H150" s="31">
        <v>1.5</v>
      </c>
      <c r="I150" s="31">
        <f>IF(I149&lt;$F$149,0,IF(I149&gt;$H$149,$H$150,IF(I149&lt;$G$149,$F$150+(I149-$F$149)*($G$150-$F$150)/($G$149-$F$149),$G$149+(I149-$G$149)*($H$150-$G$150)/($H$149-$G$149))))</f>
        <v>1.3071470588235294</v>
      </c>
      <c r="J150" s="27">
        <f>IF(J149&lt;$F$149,0,IF(J149&gt;$H$149,$H$150,IF(J149&lt;$G$149,$F$150+(J149-$F$149)*($G$150-$F$150)/($G$149-$F$149),$G$149+(J149-$G$149)*($H$150-$G$150)/($H$149-$G$149))))</f>
        <v>1.3071470588235294</v>
      </c>
    </row>
    <row r="151" spans="2:18" ht="16">
      <c r="B151" s="204" t="s">
        <v>43</v>
      </c>
      <c r="C151" s="204" t="s">
        <v>73</v>
      </c>
      <c r="D151" s="222">
        <v>0.35</v>
      </c>
      <c r="E151" s="54" t="s">
        <v>2</v>
      </c>
      <c r="F151" s="94">
        <f>G151*F154</f>
        <v>0.47520000000000001</v>
      </c>
      <c r="G151" s="94">
        <v>0.52800000000000002</v>
      </c>
      <c r="H151" s="94">
        <f>G151*H154</f>
        <v>0.58080000000000009</v>
      </c>
      <c r="I151" s="60">
        <v>0.69</v>
      </c>
      <c r="J151" s="55"/>
    </row>
    <row r="152" spans="2:18" ht="16" outlineLevel="1">
      <c r="B152" s="205"/>
      <c r="C152" s="205"/>
      <c r="D152" s="173"/>
      <c r="E152" s="21" t="s">
        <v>16</v>
      </c>
      <c r="F152" s="22"/>
      <c r="G152" s="35"/>
      <c r="H152" s="36"/>
      <c r="I152" s="35"/>
      <c r="J152" s="37"/>
    </row>
    <row r="153" spans="2:18" ht="24" outlineLevel="1">
      <c r="B153" s="205"/>
      <c r="C153" s="205"/>
      <c r="D153" s="173"/>
      <c r="E153" s="21" t="s">
        <v>17</v>
      </c>
      <c r="F153" s="69">
        <f>G153*F154</f>
        <v>0.47520000000000001</v>
      </c>
      <c r="G153" s="69">
        <f>G151+G152</f>
        <v>0.52800000000000002</v>
      </c>
      <c r="H153" s="69">
        <f>G153*H154</f>
        <v>0.58080000000000009</v>
      </c>
      <c r="I153" s="69">
        <v>0.69</v>
      </c>
      <c r="J153" s="24"/>
    </row>
    <row r="154" spans="2:18" ht="24">
      <c r="B154" s="205"/>
      <c r="C154" s="205"/>
      <c r="D154" s="173"/>
      <c r="E154" s="28" t="s">
        <v>4</v>
      </c>
      <c r="F154" s="29">
        <v>0.9</v>
      </c>
      <c r="G154" s="29">
        <v>1</v>
      </c>
      <c r="H154" s="29">
        <v>1.1000000000000001</v>
      </c>
      <c r="I154" s="29">
        <f>IF(I151&lt;0,0,I151/G151)</f>
        <v>1.3068181818181817</v>
      </c>
      <c r="J154" s="26">
        <f>I153/G153</f>
        <v>1.3068181818181817</v>
      </c>
      <c r="N154" s="11"/>
    </row>
    <row r="155" spans="2:18" ht="17" thickBot="1">
      <c r="B155" s="206"/>
      <c r="C155" s="206"/>
      <c r="D155" s="174"/>
      <c r="E155" s="30" t="s">
        <v>5</v>
      </c>
      <c r="F155" s="31">
        <v>0.5</v>
      </c>
      <c r="G155" s="31">
        <v>1</v>
      </c>
      <c r="H155" s="31">
        <v>1.5</v>
      </c>
      <c r="I155" s="31">
        <f>IF(I154&lt;$F$154,0,IF(I154&gt;$H$154,$H$155,IF(I154&lt;$G$154,$F$155+(I154-$F$154)*($G$155-$F$155)/($G$154-$F$154),$G$154+(I154-$G$154)*($H$155-$G$155)/($H$154-$G$154))))</f>
        <v>1.5</v>
      </c>
      <c r="J155" s="27">
        <f>IF(J154&lt;$F$154,0,IF(J154&gt;$H$154,$H$155,IF(J154&lt;$G$154,$F$155+(J154-$F$154)*($G$155-$F$155)/($G$154-$F$154),$G$154+(J154-$G$154)*($H$155-$G$155)/($H$154-$G$154))))</f>
        <v>1.5</v>
      </c>
      <c r="N155" s="11"/>
    </row>
    <row r="156" spans="2:18" ht="16">
      <c r="B156" s="204" t="s">
        <v>27</v>
      </c>
      <c r="C156" s="204" t="s">
        <v>74</v>
      </c>
      <c r="D156" s="222">
        <v>0.1</v>
      </c>
      <c r="E156" s="54" t="s">
        <v>2</v>
      </c>
      <c r="F156" s="97">
        <f>G156*F159</f>
        <v>-6</v>
      </c>
      <c r="G156" s="60">
        <v>-6.98</v>
      </c>
      <c r="H156" s="97">
        <f>G156*H159</f>
        <v>-8</v>
      </c>
      <c r="I156" s="97">
        <v>-8</v>
      </c>
      <c r="J156" s="55"/>
      <c r="N156" s="11"/>
    </row>
    <row r="157" spans="2:18" ht="16" outlineLevel="1">
      <c r="B157" s="205"/>
      <c r="C157" s="205"/>
      <c r="D157" s="173"/>
      <c r="E157" s="21" t="s">
        <v>16</v>
      </c>
      <c r="F157" s="22"/>
      <c r="G157" s="35"/>
      <c r="H157" s="36"/>
      <c r="I157" s="35"/>
      <c r="J157" s="37"/>
    </row>
    <row r="158" spans="2:18" ht="24" outlineLevel="1">
      <c r="B158" s="205"/>
      <c r="C158" s="205"/>
      <c r="D158" s="173"/>
      <c r="E158" s="21" t="s">
        <v>17</v>
      </c>
      <c r="F158" s="67">
        <f>G158*F159</f>
        <v>-6</v>
      </c>
      <c r="G158" s="34">
        <f>G156+G157</f>
        <v>-6.98</v>
      </c>
      <c r="H158" s="67">
        <f>G158*H159</f>
        <v>-8</v>
      </c>
      <c r="I158" s="34">
        <f>I156+I157</f>
        <v>-8</v>
      </c>
      <c r="J158" s="24"/>
    </row>
    <row r="159" spans="2:18" ht="24">
      <c r="B159" s="205"/>
      <c r="C159" s="205"/>
      <c r="D159" s="173"/>
      <c r="E159" s="28" t="s">
        <v>4</v>
      </c>
      <c r="F159" s="46">
        <v>0.85959885386819479</v>
      </c>
      <c r="G159" s="29">
        <v>1</v>
      </c>
      <c r="H159" s="46">
        <v>1.1461318051575931</v>
      </c>
      <c r="I159" s="29">
        <f>I156/G156</f>
        <v>1.1461318051575931</v>
      </c>
      <c r="J159" s="26">
        <f>I158/G158</f>
        <v>1.1461318051575931</v>
      </c>
    </row>
    <row r="160" spans="2:18" ht="17" thickBot="1">
      <c r="B160" s="206"/>
      <c r="C160" s="206"/>
      <c r="D160" s="174"/>
      <c r="E160" s="30" t="s">
        <v>5</v>
      </c>
      <c r="F160" s="31">
        <v>0.5</v>
      </c>
      <c r="G160" s="31">
        <v>1</v>
      </c>
      <c r="H160" s="31">
        <v>1.5</v>
      </c>
      <c r="I160" s="31">
        <f>IF(I159&lt;$F$159,0,IF(I159&gt;$H$159,$H$160,IF(I159&lt;$G$159,$F$160+(I159-$F$159)*($G$160-$F$160)/($G$159-$F$159),$G$159+(I159-$G$159)*($H$160-$G$160)/($H$159-$G$159))))</f>
        <v>1.5</v>
      </c>
      <c r="J160" s="27">
        <f>IF(J159&lt;$F$159,0,IF(J159&gt;$H$159,$H$160,IF(J159&lt;$G$159,$F$160+(J159-$F$159)*($G$160-$F$160)/($G$159-$F$159),$G$159+(J159-$G$159)*($H$160-$G$160)/($H$159-$G$159))))</f>
        <v>1.5</v>
      </c>
    </row>
    <row r="161" spans="2:18" ht="15.75" customHeight="1">
      <c r="B161" s="204" t="s">
        <v>55</v>
      </c>
      <c r="C161" s="204" t="s">
        <v>75</v>
      </c>
      <c r="D161" s="222">
        <v>0.2</v>
      </c>
      <c r="E161" s="54" t="s">
        <v>2</v>
      </c>
      <c r="F161" s="97">
        <f>G161*F164</f>
        <v>21</v>
      </c>
      <c r="G161" s="97">
        <v>30</v>
      </c>
      <c r="H161" s="97">
        <f>G161*H164</f>
        <v>39</v>
      </c>
      <c r="I161" s="60">
        <v>39</v>
      </c>
      <c r="J161" s="55"/>
    </row>
    <row r="162" spans="2:18" ht="16" outlineLevel="1">
      <c r="B162" s="205"/>
      <c r="C162" s="205"/>
      <c r="D162" s="173"/>
      <c r="E162" s="21" t="s">
        <v>16</v>
      </c>
      <c r="F162" s="22"/>
      <c r="G162" s="35"/>
      <c r="H162" s="36"/>
      <c r="I162" s="35"/>
      <c r="J162" s="37"/>
    </row>
    <row r="163" spans="2:18" ht="24" outlineLevel="1">
      <c r="B163" s="205"/>
      <c r="C163" s="205"/>
      <c r="D163" s="173"/>
      <c r="E163" s="21" t="s">
        <v>17</v>
      </c>
      <c r="F163" s="34">
        <f>G163*F164</f>
        <v>21</v>
      </c>
      <c r="G163" s="34">
        <f>G161+G162</f>
        <v>30</v>
      </c>
      <c r="H163" s="34">
        <f>G163*H164</f>
        <v>39</v>
      </c>
      <c r="I163" s="34">
        <f>I161+I162</f>
        <v>39</v>
      </c>
      <c r="J163" s="24"/>
    </row>
    <row r="164" spans="2:18" ht="25" thickBot="1">
      <c r="B164" s="205"/>
      <c r="C164" s="205"/>
      <c r="D164" s="173"/>
      <c r="E164" s="28" t="s">
        <v>4</v>
      </c>
      <c r="F164" s="31">
        <v>0.7</v>
      </c>
      <c r="G164" s="31">
        <v>1</v>
      </c>
      <c r="H164" s="31">
        <v>1.3</v>
      </c>
      <c r="I164" s="29">
        <f>IF(I161&lt;0,0,I161/G161)</f>
        <v>1.3</v>
      </c>
      <c r="J164" s="26">
        <f>I163/G163</f>
        <v>1.3</v>
      </c>
    </row>
    <row r="165" spans="2:18" ht="17" thickBot="1">
      <c r="B165" s="206"/>
      <c r="C165" s="206"/>
      <c r="D165" s="174"/>
      <c r="E165" s="30" t="s">
        <v>5</v>
      </c>
      <c r="F165" s="31">
        <v>0.5</v>
      </c>
      <c r="G165" s="31">
        <v>1</v>
      </c>
      <c r="H165" s="31">
        <v>1.5</v>
      </c>
      <c r="I165" s="31">
        <f>IF(I164&lt;$F$164,0,IF(I164&gt;$H$164,$H$165,IF(I164&lt;$G$164,$F$165+(I164-$F$164)*($G$165-$F$165)/($G$164-$F$164),$G$164+(I164-$G$164)*($H$165-$G$165)/($H$164-$G$164))))</f>
        <v>1.5</v>
      </c>
      <c r="J165" s="27">
        <f>IF(J164&lt;$F$164,0,IF(J164&gt;$H$164,$H$165,IF(J164&lt;$G$164,$F$165+(J164-$F$164)*($G$165-$F$165)/($G$164-$F$164),$G$164+(J164-$G$164)*($H$165-$G$165)/($H$164-$G$164))))</f>
        <v>1.5</v>
      </c>
    </row>
    <row r="166" spans="2:18" ht="18" thickBot="1">
      <c r="I166" s="12" t="s">
        <v>18</v>
      </c>
      <c r="J166" s="16">
        <f>I150*D146+I155*D151+I160*D156+I165*D161</f>
        <v>1.4325014705882351</v>
      </c>
    </row>
    <row r="167" spans="2:18" ht="33.75" customHeight="1" thickBot="1">
      <c r="I167" s="12" t="s">
        <v>19</v>
      </c>
      <c r="J167" s="15">
        <f>J150*D146+J155*D151+J160*D156+J165*D161</f>
        <v>1.4325014705882351</v>
      </c>
    </row>
    <row r="168" spans="2:18" ht="16">
      <c r="J168" s="12"/>
    </row>
    <row r="169" spans="2:18" ht="16">
      <c r="I169" s="12"/>
      <c r="J169" s="12"/>
    </row>
    <row r="170" spans="2:18" ht="31">
      <c r="B170" s="2" t="s">
        <v>7</v>
      </c>
      <c r="C170" s="2"/>
    </row>
    <row r="171" spans="2:18" ht="20" thickBot="1">
      <c r="B171" s="3" t="s">
        <v>34</v>
      </c>
      <c r="C171" s="3"/>
      <c r="D171" s="4"/>
      <c r="E171" s="4"/>
      <c r="L171" s="17" t="s">
        <v>34</v>
      </c>
      <c r="M171" s="17"/>
      <c r="N171" s="20"/>
    </row>
    <row r="172" spans="2:18" ht="31" thickBot="1">
      <c r="B172" s="39" t="s">
        <v>9</v>
      </c>
      <c r="C172" s="49"/>
      <c r="D172" s="40" t="s">
        <v>10</v>
      </c>
      <c r="E172" s="40" t="s">
        <v>15</v>
      </c>
      <c r="F172" s="41" t="s">
        <v>11</v>
      </c>
      <c r="G172" s="41" t="s">
        <v>12</v>
      </c>
      <c r="H172" s="41" t="s">
        <v>13</v>
      </c>
      <c r="I172" s="41" t="s">
        <v>14</v>
      </c>
      <c r="J172" s="42" t="s">
        <v>20</v>
      </c>
      <c r="L172" s="80" t="s">
        <v>21</v>
      </c>
      <c r="M172" s="81" t="s">
        <v>65</v>
      </c>
      <c r="N172" s="81" t="s">
        <v>22</v>
      </c>
      <c r="O172" s="81" t="s">
        <v>31</v>
      </c>
      <c r="P172" s="81" t="s">
        <v>30</v>
      </c>
      <c r="Q172" s="81" t="s">
        <v>24</v>
      </c>
      <c r="R172" s="81" t="s">
        <v>25</v>
      </c>
    </row>
    <row r="173" spans="2:18" ht="17">
      <c r="B173" s="204" t="s">
        <v>56</v>
      </c>
      <c r="C173" s="204" t="s">
        <v>79</v>
      </c>
      <c r="D173" s="222">
        <v>0.4</v>
      </c>
      <c r="E173" s="54" t="s">
        <v>2</v>
      </c>
      <c r="F173" s="95">
        <f>G173*F176</f>
        <v>129.34399999999999</v>
      </c>
      <c r="G173" s="95">
        <v>137.6</v>
      </c>
      <c r="H173" s="95">
        <f>G173*H176</f>
        <v>145.85599999999999</v>
      </c>
      <c r="I173" s="60">
        <v>97</v>
      </c>
      <c r="J173" s="55"/>
      <c r="L173" s="86" t="s">
        <v>44</v>
      </c>
      <c r="M173" s="87">
        <f>G178</f>
        <v>-106.1</v>
      </c>
      <c r="N173" s="87">
        <f>M173*115%</f>
        <v>-122.01499999999999</v>
      </c>
      <c r="O173" s="88" t="s">
        <v>45</v>
      </c>
      <c r="P173" s="87">
        <v>-115.3</v>
      </c>
      <c r="Q173" s="106"/>
      <c r="R173" s="90" t="s">
        <v>29</v>
      </c>
    </row>
    <row r="174" spans="2:18" ht="14.25" customHeight="1" outlineLevel="1">
      <c r="B174" s="205"/>
      <c r="C174" s="205"/>
      <c r="D174" s="173"/>
      <c r="E174" s="21" t="s">
        <v>16</v>
      </c>
      <c r="F174" s="22"/>
      <c r="G174" s="38"/>
      <c r="H174" s="22"/>
      <c r="I174" s="23"/>
      <c r="J174" s="24"/>
      <c r="M174" t="s">
        <v>87</v>
      </c>
    </row>
    <row r="175" spans="2:18" ht="24" outlineLevel="1">
      <c r="B175" s="205"/>
      <c r="C175" s="205"/>
      <c r="D175" s="173"/>
      <c r="E175" s="21" t="s">
        <v>17</v>
      </c>
      <c r="F175" s="34">
        <f>G175*F176</f>
        <v>129.34399999999999</v>
      </c>
      <c r="G175" s="34">
        <f>G173+G174</f>
        <v>137.6</v>
      </c>
      <c r="H175" s="34">
        <f>G175*H176</f>
        <v>145.85599999999999</v>
      </c>
      <c r="I175" s="34">
        <f>I174+I173</f>
        <v>97</v>
      </c>
      <c r="J175" s="25"/>
    </row>
    <row r="176" spans="2:18" ht="24">
      <c r="B176" s="205"/>
      <c r="C176" s="205"/>
      <c r="D176" s="173"/>
      <c r="E176" s="28" t="s">
        <v>4</v>
      </c>
      <c r="F176" s="29">
        <v>0.94</v>
      </c>
      <c r="G176" s="29">
        <v>1</v>
      </c>
      <c r="H176" s="29">
        <v>1.06</v>
      </c>
      <c r="I176" s="29">
        <f>IF(I173&lt;0,0,I173/G173)</f>
        <v>0.70494186046511631</v>
      </c>
      <c r="J176" s="26">
        <f>I175/G175</f>
        <v>0.70494186046511631</v>
      </c>
    </row>
    <row r="177" spans="2:10" ht="17" thickBot="1">
      <c r="B177" s="206"/>
      <c r="C177" s="206"/>
      <c r="D177" s="174"/>
      <c r="E177" s="30" t="s">
        <v>5</v>
      </c>
      <c r="F177" s="31">
        <v>0.5</v>
      </c>
      <c r="G177" s="31">
        <v>1</v>
      </c>
      <c r="H177" s="31">
        <v>1.5</v>
      </c>
      <c r="I177" s="31">
        <f>IF(I176&lt;$F$176,0,IF(I176&gt;$H$176,$H$177,IF(I176&lt;$G$176,$F$177+(I176-$F$176)*($G$177-$F$177)/($G$176-$F$176),$G$176+(I176-$G$176)*($H$177-$G$177)/($H$176-$G$176))))</f>
        <v>0</v>
      </c>
      <c r="J177" s="27">
        <f>IF(J176&lt;$F$176,0,IF(J176&gt;$H$176,$H$177,IF(J176&lt;$G$176,$F$177+(J176-$F$176)*($G$177-$F$177)/($G$176-$F$176),$G$176+(J176-$G$176)*($H$177-$G$177)/($H$176-$G$176))))</f>
        <v>0</v>
      </c>
    </row>
    <row r="178" spans="2:10" ht="16">
      <c r="B178" s="204" t="s">
        <v>57</v>
      </c>
      <c r="C178" s="204" t="s">
        <v>78</v>
      </c>
      <c r="D178" s="222">
        <v>0.25</v>
      </c>
      <c r="E178" s="54" t="s">
        <v>2</v>
      </c>
      <c r="F178" s="95">
        <f>G178*F181</f>
        <v>-116.71000000000001</v>
      </c>
      <c r="G178" s="95">
        <v>-106.1</v>
      </c>
      <c r="H178" s="95">
        <f>G178*H181</f>
        <v>-95.49</v>
      </c>
      <c r="I178" s="60">
        <v>-115.3</v>
      </c>
      <c r="J178" s="55"/>
    </row>
    <row r="179" spans="2:10" ht="16" outlineLevel="1">
      <c r="B179" s="205"/>
      <c r="C179" s="205"/>
      <c r="D179" s="173"/>
      <c r="E179" s="21" t="s">
        <v>16</v>
      </c>
      <c r="F179" s="22"/>
      <c r="G179" s="35"/>
      <c r="H179" s="36"/>
      <c r="I179" s="35"/>
      <c r="J179" s="37"/>
    </row>
    <row r="180" spans="2:10" ht="24" outlineLevel="1">
      <c r="B180" s="205"/>
      <c r="C180" s="205"/>
      <c r="D180" s="173"/>
      <c r="E180" s="21" t="s">
        <v>17</v>
      </c>
      <c r="F180" s="34">
        <f>G180*F181</f>
        <v>-116.71000000000001</v>
      </c>
      <c r="G180" s="34">
        <f>G178+G179</f>
        <v>-106.1</v>
      </c>
      <c r="H180" s="34">
        <f>G180*H181</f>
        <v>-95.49</v>
      </c>
      <c r="I180" s="34">
        <f>I178+I179</f>
        <v>-115.3</v>
      </c>
      <c r="J180" s="24"/>
    </row>
    <row r="181" spans="2:10" ht="24">
      <c r="B181" s="205"/>
      <c r="C181" s="205"/>
      <c r="D181" s="173"/>
      <c r="E181" s="28" t="s">
        <v>4</v>
      </c>
      <c r="F181" s="29">
        <v>1.1000000000000001</v>
      </c>
      <c r="G181" s="29">
        <v>1</v>
      </c>
      <c r="H181" s="29">
        <v>0.9</v>
      </c>
      <c r="I181" s="29">
        <f>I178/G178</f>
        <v>1.0867106503298776</v>
      </c>
      <c r="J181" s="26">
        <f>I180/G180</f>
        <v>1.0867106503298776</v>
      </c>
    </row>
    <row r="182" spans="2:10" ht="17" thickBot="1">
      <c r="B182" s="206"/>
      <c r="C182" s="206"/>
      <c r="D182" s="174"/>
      <c r="E182" s="30" t="s">
        <v>5</v>
      </c>
      <c r="F182" s="31">
        <v>0.5</v>
      </c>
      <c r="G182" s="31">
        <v>1</v>
      </c>
      <c r="H182" s="31">
        <v>1.5</v>
      </c>
      <c r="I182" s="31">
        <f>IF(I181&gt;$F$181,0,IF(I181&lt;$H$181,$H$182,IF(I181&gt;$G$181,$F$182+(I181-$F$181)*($G$182-$F$182)/($G$181-$F$181),$G$181+(I181-$G$181)*($H$182-$G$182)/($H$181-$G$181))))</f>
        <v>0.56644674835061259</v>
      </c>
      <c r="J182" s="27">
        <f>IF(J181&gt;$F$181,0,IF(J181&lt;$H$181,$H$182,IF(J181&gt;$G$181,$F$182+(J181-$F$181)*($G$182-$F$182)/($G$181-$F$181),$G$181+(J181-$G$181)*($H$182-$G$182)/($H$181-$G$181))))</f>
        <v>0.56644674835061259</v>
      </c>
    </row>
    <row r="183" spans="2:10" ht="16">
      <c r="B183" s="204" t="s">
        <v>58</v>
      </c>
      <c r="C183" s="204" t="s">
        <v>77</v>
      </c>
      <c r="D183" s="222">
        <v>0.35</v>
      </c>
      <c r="E183" s="54" t="s">
        <v>2</v>
      </c>
      <c r="F183" s="95">
        <f>G183*F186</f>
        <v>22.747999999999998</v>
      </c>
      <c r="G183" s="95">
        <v>24.2</v>
      </c>
      <c r="H183" s="95">
        <f>G183*H186</f>
        <v>25.652000000000001</v>
      </c>
      <c r="I183" s="60">
        <v>22.2</v>
      </c>
      <c r="J183" s="55"/>
    </row>
    <row r="184" spans="2:10" ht="16" outlineLevel="1">
      <c r="B184" s="205"/>
      <c r="C184" s="205"/>
      <c r="D184" s="173"/>
      <c r="E184" s="21" t="s">
        <v>16</v>
      </c>
      <c r="F184" s="22"/>
      <c r="G184" s="35"/>
      <c r="H184" s="36"/>
      <c r="I184" s="35"/>
      <c r="J184" s="37"/>
    </row>
    <row r="185" spans="2:10" ht="24" outlineLevel="1">
      <c r="B185" s="205"/>
      <c r="C185" s="205"/>
      <c r="D185" s="173"/>
      <c r="E185" s="21" t="s">
        <v>17</v>
      </c>
      <c r="F185" s="34">
        <f>G185*F186</f>
        <v>22.747999999999998</v>
      </c>
      <c r="G185" s="34">
        <f>G183+G184</f>
        <v>24.2</v>
      </c>
      <c r="H185" s="34">
        <f>G185*H186</f>
        <v>25.652000000000001</v>
      </c>
      <c r="I185" s="34">
        <f>I183+I184</f>
        <v>22.2</v>
      </c>
      <c r="J185" s="24"/>
    </row>
    <row r="186" spans="2:10" ht="24">
      <c r="B186" s="205"/>
      <c r="C186" s="205"/>
      <c r="D186" s="173"/>
      <c r="E186" s="28" t="s">
        <v>4</v>
      </c>
      <c r="F186" s="29">
        <v>0.94</v>
      </c>
      <c r="G186" s="29">
        <v>1</v>
      </c>
      <c r="H186" s="29">
        <v>1.06</v>
      </c>
      <c r="I186" s="29">
        <f>IF(I183&lt;0,0,I183/G183)</f>
        <v>0.91735537190082639</v>
      </c>
      <c r="J186" s="26">
        <f>I185/G185</f>
        <v>0.91735537190082639</v>
      </c>
    </row>
    <row r="187" spans="2:10" ht="17" thickBot="1">
      <c r="B187" s="206"/>
      <c r="C187" s="206"/>
      <c r="D187" s="174"/>
      <c r="E187" s="30" t="s">
        <v>5</v>
      </c>
      <c r="F187" s="31">
        <v>0.5</v>
      </c>
      <c r="G187" s="31">
        <v>1</v>
      </c>
      <c r="H187" s="31">
        <v>1.5</v>
      </c>
      <c r="I187" s="31">
        <f>IF(I186&lt;$F$186,0,IF(I186&gt;$H$186,$H$187,IF(I186&lt;$G$186,$F$187+(I186-$F$186)*($G$187-$F$187)/($G$186-$F$186),$G$186+(I186-$G$186)*($H$187-$G$187)/($H$186-$G$186))))</f>
        <v>0</v>
      </c>
      <c r="J187" s="27">
        <f>IF(J186&lt;$F$186,0,IF(J186&gt;$H$186,$H$187,IF(J186&lt;$G$186,$F$187+(J186-$F$186)*($G$187-$F$187)/($G$186-$F$186),$G$186+(J186-$G$186)*($H$187-$G$187)/($H$186-$G$186))))</f>
        <v>0</v>
      </c>
    </row>
    <row r="188" spans="2:10" ht="20" thickBot="1">
      <c r="B188" s="5"/>
      <c r="C188" s="5"/>
      <c r="D188" s="6"/>
      <c r="E188" s="14"/>
      <c r="F188" s="13"/>
      <c r="G188" s="13"/>
      <c r="H188" s="13"/>
      <c r="I188" s="12" t="s">
        <v>18</v>
      </c>
      <c r="J188" s="16">
        <f>I177*D173+I182*D178+I187*D183</f>
        <v>0.14161168708765315</v>
      </c>
    </row>
    <row r="189" spans="2:10" ht="35" thickBot="1">
      <c r="B189" s="5"/>
      <c r="C189" s="5"/>
      <c r="D189" s="6"/>
      <c r="E189" s="6"/>
      <c r="I189" s="12" t="s">
        <v>19</v>
      </c>
      <c r="J189" s="15">
        <f>J177*D173+J182*D178+J187*D183</f>
        <v>0.14161168708765315</v>
      </c>
    </row>
    <row r="192" spans="2:10" ht="31">
      <c r="B192" s="2" t="s">
        <v>92</v>
      </c>
      <c r="C192" s="2"/>
    </row>
    <row r="194" spans="2:18" ht="20" thickBot="1">
      <c r="B194" s="3" t="s">
        <v>41</v>
      </c>
      <c r="C194" s="3"/>
      <c r="D194" s="4"/>
      <c r="E194" s="4"/>
      <c r="L194" s="17" t="s">
        <v>47</v>
      </c>
      <c r="M194" s="17"/>
      <c r="N194" s="20"/>
    </row>
    <row r="195" spans="2:18" ht="31" thickBot="1">
      <c r="B195" s="39" t="s">
        <v>9</v>
      </c>
      <c r="C195" s="49" t="s">
        <v>64</v>
      </c>
      <c r="D195" s="40" t="s">
        <v>10</v>
      </c>
      <c r="E195" s="40" t="s">
        <v>15</v>
      </c>
      <c r="F195" s="41" t="s">
        <v>11</v>
      </c>
      <c r="G195" s="41" t="s">
        <v>12</v>
      </c>
      <c r="H195" s="41" t="s">
        <v>13</v>
      </c>
      <c r="I195" s="41" t="s">
        <v>14</v>
      </c>
      <c r="J195" s="42" t="s">
        <v>20</v>
      </c>
      <c r="L195" s="18" t="s">
        <v>21</v>
      </c>
      <c r="M195" s="18" t="s">
        <v>65</v>
      </c>
      <c r="N195" s="19" t="s">
        <v>22</v>
      </c>
      <c r="O195" s="19" t="s">
        <v>31</v>
      </c>
      <c r="P195" s="19" t="s">
        <v>30</v>
      </c>
      <c r="Q195" s="19" t="s">
        <v>24</v>
      </c>
      <c r="R195" s="19" t="s">
        <v>25</v>
      </c>
    </row>
    <row r="196" spans="2:18" ht="32">
      <c r="B196" s="204" t="s">
        <v>48</v>
      </c>
      <c r="C196" s="204" t="s">
        <v>82</v>
      </c>
      <c r="D196" s="222">
        <v>0.25</v>
      </c>
      <c r="E196" s="54" t="s">
        <v>2</v>
      </c>
      <c r="F196" s="60">
        <f>G196*F199</f>
        <v>34.348999999999997</v>
      </c>
      <c r="G196" s="60">
        <v>49.07</v>
      </c>
      <c r="H196" s="60">
        <f>G196*H199</f>
        <v>63.791000000000004</v>
      </c>
      <c r="I196" s="60">
        <v>36.82</v>
      </c>
      <c r="J196" s="55"/>
      <c r="L196" s="63" t="s">
        <v>46</v>
      </c>
      <c r="M196" s="65">
        <v>1.994</v>
      </c>
      <c r="N196" s="104">
        <f>M196*110.3%</f>
        <v>2.1993819999999999</v>
      </c>
      <c r="O196" s="103" t="s">
        <v>83</v>
      </c>
      <c r="P196" s="65">
        <v>1.994</v>
      </c>
      <c r="Q196" s="66">
        <f>P196/M196</f>
        <v>1</v>
      </c>
      <c r="R196" s="64" t="s">
        <v>29</v>
      </c>
    </row>
    <row r="197" spans="2:18" ht="16">
      <c r="B197" s="205"/>
      <c r="C197" s="205"/>
      <c r="D197" s="173"/>
      <c r="E197" s="21" t="s">
        <v>16</v>
      </c>
      <c r="F197" s="22"/>
      <c r="G197" s="34"/>
      <c r="H197" s="43"/>
      <c r="I197" s="34"/>
      <c r="J197" s="24"/>
      <c r="N197" s="62"/>
    </row>
    <row r="198" spans="2:18" ht="24">
      <c r="B198" s="205"/>
      <c r="C198" s="205"/>
      <c r="D198" s="173"/>
      <c r="E198" s="21" t="s">
        <v>17</v>
      </c>
      <c r="F198" s="34">
        <f>G198*F199</f>
        <v>34.348999999999997</v>
      </c>
      <c r="G198" s="34">
        <f>G196+G197</f>
        <v>49.07</v>
      </c>
      <c r="H198" s="34">
        <f>G198*H199</f>
        <v>63.791000000000004</v>
      </c>
      <c r="I198" s="34">
        <f>I197+I196</f>
        <v>36.82</v>
      </c>
      <c r="J198" s="25"/>
      <c r="O198" s="10"/>
    </row>
    <row r="199" spans="2:18" ht="24">
      <c r="B199" s="205"/>
      <c r="C199" s="205"/>
      <c r="D199" s="173"/>
      <c r="E199" s="28" t="s">
        <v>4</v>
      </c>
      <c r="F199" s="29">
        <v>0.7</v>
      </c>
      <c r="G199" s="29">
        <v>1</v>
      </c>
      <c r="H199" s="29">
        <v>1.3</v>
      </c>
      <c r="I199" s="29">
        <f>IF(I196&lt;0,0,I196/G196)</f>
        <v>0.75035663338088443</v>
      </c>
      <c r="J199" s="26">
        <f>I198/G198</f>
        <v>0.75035663338088443</v>
      </c>
      <c r="N199" s="61"/>
    </row>
    <row r="200" spans="2:18" ht="17" thickBot="1">
      <c r="B200" s="206"/>
      <c r="C200" s="206"/>
      <c r="D200" s="174"/>
      <c r="E200" s="30" t="s">
        <v>5</v>
      </c>
      <c r="F200" s="29">
        <v>0.5</v>
      </c>
      <c r="G200" s="29">
        <v>1</v>
      </c>
      <c r="H200" s="29">
        <v>1.5</v>
      </c>
      <c r="I200" s="31">
        <f>IF(I199&lt;$F$199,0,IF(I199&gt;$H$199,$H$200,IF(I199&lt;$G$199,$F$200+(I199-$F$199)*($G$200-$F$200)/($G$199-$F$199),$G$199+(I199-$G$199)*($H$200-$G$200)/($H$199-$G$199))))</f>
        <v>0.58392772230147405</v>
      </c>
      <c r="J200" s="27">
        <f>IF(J199&lt;$F$199,0,IF(J199&gt;$H$199,$H$200,IF(J199&lt;$G$199,$F$200+(J199-$F$199)*($G$200-$F$200)/($G$199-$F$199),$G$199+(J199-$G$199)*($H$200-$G$200)/($H$199-$G$199))))</f>
        <v>0.58392772230147405</v>
      </c>
    </row>
    <row r="201" spans="2:18" ht="16">
      <c r="B201" s="207" t="s">
        <v>49</v>
      </c>
      <c r="C201" s="207" t="s">
        <v>80</v>
      </c>
      <c r="D201" s="172">
        <v>0.4</v>
      </c>
      <c r="E201" s="51" t="s">
        <v>2</v>
      </c>
      <c r="F201" s="97">
        <f>G201*F204</f>
        <v>80</v>
      </c>
      <c r="G201" s="97">
        <v>90</v>
      </c>
      <c r="H201" s="97">
        <f>G201*H204</f>
        <v>100</v>
      </c>
      <c r="I201" s="59">
        <v>90</v>
      </c>
      <c r="J201" s="53"/>
    </row>
    <row r="202" spans="2:18" ht="16">
      <c r="B202" s="205"/>
      <c r="C202" s="205"/>
      <c r="D202" s="173"/>
      <c r="E202" s="21" t="s">
        <v>16</v>
      </c>
      <c r="F202" s="22"/>
      <c r="G202" s="35"/>
      <c r="H202" s="36"/>
      <c r="I202" s="35"/>
      <c r="J202" s="37"/>
    </row>
    <row r="203" spans="2:18" ht="24">
      <c r="B203" s="205"/>
      <c r="C203" s="205"/>
      <c r="D203" s="173"/>
      <c r="E203" s="21" t="s">
        <v>17</v>
      </c>
      <c r="F203" s="34">
        <f>G203*F204</f>
        <v>80</v>
      </c>
      <c r="G203" s="34">
        <f>G201+G202</f>
        <v>90</v>
      </c>
      <c r="H203" s="34">
        <f>G203*H204</f>
        <v>100</v>
      </c>
      <c r="I203" s="34">
        <f>I202+I201</f>
        <v>90</v>
      </c>
      <c r="J203" s="24"/>
    </row>
    <row r="204" spans="2:18" ht="24">
      <c r="B204" s="205"/>
      <c r="C204" s="205"/>
      <c r="D204" s="173"/>
      <c r="E204" s="28" t="s">
        <v>4</v>
      </c>
      <c r="F204" s="45">
        <v>0.88888888888888884</v>
      </c>
      <c r="G204" s="45">
        <v>1</v>
      </c>
      <c r="H204" s="45">
        <v>1.1111111111111112</v>
      </c>
      <c r="I204" s="29">
        <f>IF(I201&lt;0,0,I201/G201)</f>
        <v>1</v>
      </c>
      <c r="J204" s="26">
        <f>I203/G203</f>
        <v>1</v>
      </c>
    </row>
    <row r="205" spans="2:18" ht="17" thickBot="1">
      <c r="B205" s="206"/>
      <c r="C205" s="206"/>
      <c r="D205" s="174"/>
      <c r="E205" s="30" t="s">
        <v>5</v>
      </c>
      <c r="F205" s="45">
        <v>0.5</v>
      </c>
      <c r="G205" s="45">
        <v>1</v>
      </c>
      <c r="H205" s="45">
        <v>1.5</v>
      </c>
      <c r="I205" s="31">
        <f>IF(I204&lt;$F$204,0,IF(I204&gt;$H$204,$H$205,IF(I204&lt;$G$204,$F$205+(I204-$F$204)*($G$205-$F$205)/($G$204-$F$204),$G$204+(I204-$G$204)*($H$205-$G$205)/($H$204-$G$204))))</f>
        <v>1</v>
      </c>
      <c r="J205" s="27">
        <f>IF(J204&lt;$F$204,0,IF(J204&gt;$H$204,$H$205,IF(J204&lt;$G$204,$F$205+(J204-$F$204)*($G$205-$F$205)/($G$204-$F$204),$G$204+(J204-$G$204)*($H$205-$G$205)/($H$204-$G$204))))</f>
        <v>1</v>
      </c>
    </row>
    <row r="206" spans="2:18" ht="16">
      <c r="B206" s="205" t="s">
        <v>59</v>
      </c>
      <c r="C206" s="205" t="s">
        <v>81</v>
      </c>
      <c r="D206" s="173">
        <v>0.35</v>
      </c>
      <c r="E206" s="28" t="s">
        <v>2</v>
      </c>
      <c r="F206" s="97">
        <f>G206*F209</f>
        <v>-2</v>
      </c>
      <c r="G206" s="97">
        <v>9.9999999999999997E-49</v>
      </c>
      <c r="H206" s="97">
        <f>G206*H209</f>
        <v>2</v>
      </c>
      <c r="I206" s="33">
        <v>-0.5</v>
      </c>
      <c r="J206" s="32"/>
    </row>
    <row r="207" spans="2:18" ht="16">
      <c r="B207" s="205"/>
      <c r="C207" s="205"/>
      <c r="D207" s="173"/>
      <c r="E207" s="21" t="s">
        <v>16</v>
      </c>
      <c r="F207" s="22"/>
      <c r="G207" s="35"/>
      <c r="H207" s="36"/>
      <c r="I207" s="35"/>
      <c r="J207" s="37"/>
    </row>
    <row r="208" spans="2:18" ht="24">
      <c r="B208" s="205"/>
      <c r="C208" s="205"/>
      <c r="D208" s="173"/>
      <c r="E208" s="21" t="s">
        <v>17</v>
      </c>
      <c r="F208" s="34">
        <f>G208*F209</f>
        <v>-2</v>
      </c>
      <c r="G208" s="34">
        <f>G206+G207</f>
        <v>9.9999999999999997E-49</v>
      </c>
      <c r="H208" s="34">
        <f>G208*H209</f>
        <v>2</v>
      </c>
      <c r="I208" s="34">
        <f>I206+I207</f>
        <v>-0.5</v>
      </c>
      <c r="J208" s="24"/>
    </row>
    <row r="209" spans="2:18" ht="24">
      <c r="B209" s="205"/>
      <c r="C209" s="205"/>
      <c r="D209" s="173"/>
      <c r="E209" s="28" t="s">
        <v>4</v>
      </c>
      <c r="F209" s="47">
        <v>-2.0000000000000001E+48</v>
      </c>
      <c r="G209" s="29">
        <v>1</v>
      </c>
      <c r="H209" s="47">
        <v>2.0000000000000001E+48</v>
      </c>
      <c r="I209" s="47">
        <f>I206/G206</f>
        <v>-5.0000000000000002E+47</v>
      </c>
      <c r="J209" s="48">
        <f>I208/G208</f>
        <v>-5.0000000000000002E+47</v>
      </c>
    </row>
    <row r="210" spans="2:18" ht="17" thickBot="1">
      <c r="B210" s="206"/>
      <c r="C210" s="206"/>
      <c r="D210" s="174"/>
      <c r="E210" s="30" t="s">
        <v>5</v>
      </c>
      <c r="F210" s="31">
        <v>0.5</v>
      </c>
      <c r="G210" s="31">
        <v>1</v>
      </c>
      <c r="H210" s="31">
        <v>1.5</v>
      </c>
      <c r="I210" s="31">
        <f>IF(I209&lt;$F$209,0,IF(I209&gt;$H$209,$H$210,IF(I209&lt;$G$209,$F$210+(I209-$F$209)*($G$210-$F$210)/($G$209-$F$209),$G$209+(I209-$G$209)*($H$210-$G$210)/($H$209-$G$209))))</f>
        <v>0.875</v>
      </c>
      <c r="J210" s="27">
        <f>IF(J209&lt;$F$209,0,IF(J209&gt;$H$209,$H$210,IF(J209&lt;$G$209,$F$210+(J209-$F$209)*($G$210-$F$210)/($G$209-$F$209),$G$209+(J209-$G$209)*($H$210-$G$210)/($H$209-$G$209))))</f>
        <v>0.875</v>
      </c>
    </row>
    <row r="211" spans="2:18" ht="20" thickBot="1">
      <c r="B211" s="5"/>
      <c r="C211" s="5"/>
      <c r="D211" s="6"/>
      <c r="E211" s="14"/>
      <c r="F211" s="13"/>
      <c r="G211" s="13"/>
      <c r="H211" s="13"/>
      <c r="I211" s="12" t="s">
        <v>18</v>
      </c>
      <c r="J211" s="16">
        <f>I200*D196+I205*D201+I210*D206</f>
        <v>0.8522319305753685</v>
      </c>
    </row>
    <row r="212" spans="2:18" ht="35" thickBot="1">
      <c r="B212" s="5"/>
      <c r="C212" s="5"/>
      <c r="D212" s="6"/>
      <c r="E212" s="6"/>
      <c r="I212" s="12" t="s">
        <v>19</v>
      </c>
      <c r="J212" s="15">
        <f>J200*D196+J205*D201+J210*D206</f>
        <v>0.8522319305753685</v>
      </c>
    </row>
    <row r="213" spans="2:18" ht="19">
      <c r="B213" s="5"/>
      <c r="C213" s="5"/>
      <c r="D213" s="6"/>
      <c r="E213" s="6"/>
      <c r="I213" s="12"/>
      <c r="J213" s="12"/>
    </row>
    <row r="214" spans="2:18" ht="19">
      <c r="B214" s="5"/>
      <c r="C214" s="5"/>
      <c r="D214" s="6"/>
      <c r="E214" s="6"/>
      <c r="I214" s="12"/>
      <c r="J214" s="12"/>
    </row>
    <row r="215" spans="2:18" ht="31">
      <c r="B215" s="2" t="s">
        <v>8</v>
      </c>
      <c r="C215" s="2"/>
    </row>
    <row r="217" spans="2:18" ht="20" thickBot="1">
      <c r="B217" s="3" t="s">
        <v>34</v>
      </c>
      <c r="C217" s="3"/>
      <c r="D217" s="4"/>
      <c r="E217" s="4"/>
      <c r="L217" s="17" t="s">
        <v>47</v>
      </c>
      <c r="M217" s="17"/>
    </row>
    <row r="218" spans="2:18" ht="31" thickBot="1">
      <c r="B218" s="39" t="s">
        <v>9</v>
      </c>
      <c r="C218" s="49" t="s">
        <v>64</v>
      </c>
      <c r="D218" s="40" t="s">
        <v>10</v>
      </c>
      <c r="E218" s="40" t="s">
        <v>15</v>
      </c>
      <c r="F218" s="41" t="s">
        <v>11</v>
      </c>
      <c r="G218" s="41" t="s">
        <v>12</v>
      </c>
      <c r="H218" s="41" t="s">
        <v>13</v>
      </c>
      <c r="I218" s="41" t="s">
        <v>14</v>
      </c>
      <c r="J218" s="42" t="s">
        <v>20</v>
      </c>
      <c r="L218" s="80" t="s">
        <v>21</v>
      </c>
      <c r="M218" s="80" t="s">
        <v>65</v>
      </c>
      <c r="N218" s="81" t="s">
        <v>22</v>
      </c>
      <c r="O218" s="81" t="s">
        <v>31</v>
      </c>
      <c r="P218" s="81" t="s">
        <v>30</v>
      </c>
      <c r="Q218" s="81" t="s">
        <v>24</v>
      </c>
      <c r="R218" s="81" t="s">
        <v>25</v>
      </c>
    </row>
    <row r="219" spans="2:18" ht="16">
      <c r="B219" s="227" t="s">
        <v>84</v>
      </c>
      <c r="C219" s="204" t="s">
        <v>86</v>
      </c>
      <c r="D219" s="214">
        <v>0.5</v>
      </c>
      <c r="E219" s="54" t="s">
        <v>2</v>
      </c>
      <c r="F219" s="98">
        <f>G219*F222</f>
        <v>5.0999999999999996</v>
      </c>
      <c r="G219" s="93">
        <v>6.8</v>
      </c>
      <c r="H219" s="98">
        <f>G219*H222</f>
        <v>8.5</v>
      </c>
      <c r="I219" s="60">
        <v>12.047487790149999</v>
      </c>
      <c r="J219" s="55"/>
      <c r="L219" s="179" t="s">
        <v>3</v>
      </c>
      <c r="M219" s="180">
        <f>G224</f>
        <v>16.2</v>
      </c>
      <c r="N219" s="181">
        <f>M219*85%</f>
        <v>13.77</v>
      </c>
      <c r="O219" s="182" t="s">
        <v>26</v>
      </c>
      <c r="P219" s="181">
        <v>18.670000000000002</v>
      </c>
      <c r="Q219" s="217">
        <f>P219/M219</f>
        <v>1.1524691358024692</v>
      </c>
      <c r="R219" s="218" t="s">
        <v>29</v>
      </c>
    </row>
    <row r="220" spans="2:18" ht="16" outlineLevel="1">
      <c r="B220" s="228"/>
      <c r="C220" s="205"/>
      <c r="D220" s="215"/>
      <c r="E220" s="21" t="s">
        <v>16</v>
      </c>
      <c r="F220" s="22"/>
      <c r="G220" s="22"/>
      <c r="H220" s="22"/>
      <c r="I220" s="35"/>
      <c r="J220" s="24"/>
      <c r="L220" s="179"/>
      <c r="M220" s="180"/>
      <c r="N220" s="181"/>
      <c r="O220" s="182"/>
      <c r="P220" s="181"/>
      <c r="Q220" s="217"/>
      <c r="R220" s="218"/>
    </row>
    <row r="221" spans="2:18" ht="24" outlineLevel="1">
      <c r="B221" s="228"/>
      <c r="C221" s="205"/>
      <c r="D221" s="215"/>
      <c r="E221" s="21" t="s">
        <v>17</v>
      </c>
      <c r="F221" s="91">
        <f>G221*F222</f>
        <v>5.0999999999999996</v>
      </c>
      <c r="G221" s="91">
        <f>G219+G220</f>
        <v>6.8</v>
      </c>
      <c r="H221" s="91">
        <f>G221*H222</f>
        <v>8.5</v>
      </c>
      <c r="I221" s="105">
        <f>I220+I219</f>
        <v>12.047487790149999</v>
      </c>
      <c r="J221" s="25"/>
      <c r="L221" s="179"/>
      <c r="M221" s="180"/>
      <c r="N221" s="181"/>
      <c r="O221" s="182"/>
      <c r="P221" s="181"/>
      <c r="Q221" s="217"/>
      <c r="R221" s="218"/>
    </row>
    <row r="222" spans="2:18" ht="24">
      <c r="B222" s="228"/>
      <c r="C222" s="205"/>
      <c r="D222" s="215"/>
      <c r="E222" s="28" t="s">
        <v>4</v>
      </c>
      <c r="F222" s="29">
        <v>0.75</v>
      </c>
      <c r="G222" s="29">
        <v>1</v>
      </c>
      <c r="H222" s="29">
        <v>1.25</v>
      </c>
      <c r="I222" s="29">
        <f>IF(I219&lt;0,0,I219/G219)</f>
        <v>1.7716893809044116</v>
      </c>
      <c r="J222" s="26">
        <f>I221/G221</f>
        <v>1.7716893809044116</v>
      </c>
      <c r="L222" s="86" t="s">
        <v>32</v>
      </c>
      <c r="M222" s="92"/>
      <c r="N222" s="92"/>
      <c r="O222" s="82" t="s">
        <v>33</v>
      </c>
      <c r="P222" s="82" t="s">
        <v>33</v>
      </c>
      <c r="Q222" s="86"/>
      <c r="R222" s="90" t="s">
        <v>29</v>
      </c>
    </row>
    <row r="223" spans="2:18" ht="17" thickBot="1">
      <c r="B223" s="229"/>
      <c r="C223" s="206"/>
      <c r="D223" s="216"/>
      <c r="E223" s="30" t="s">
        <v>5</v>
      </c>
      <c r="F223" s="31">
        <v>0.5</v>
      </c>
      <c r="G223" s="31">
        <v>1</v>
      </c>
      <c r="H223" s="31">
        <v>1.5</v>
      </c>
      <c r="I223" s="31">
        <f>IF(I222&lt;$F$222,0,IF(I222&gt;$H$222,$H$223,IF(I222&lt;$G$222,$F$223+(I222-$F$222)*($G$223-$F$223)/($G$222-$F$222),$G$222+(I222-$G$222)*($H$223-$G$223)/($H$222-$G$222))))</f>
        <v>1.5</v>
      </c>
      <c r="J223" s="27">
        <f>IF(J222&lt;$F$222,0,IF(J222&gt;$H$222,$H$223,IF(J222&lt;$G$222,$F$223+(J222-$F$222)*($G$223-$F$223)/($G$222-$F$222),$G$222+(J222-$G$222)*($H$223-$G$223)/($H$222-$G$222))))</f>
        <v>1.5</v>
      </c>
    </row>
    <row r="224" spans="2:18" ht="16">
      <c r="B224" s="227" t="s">
        <v>50</v>
      </c>
      <c r="C224" s="204" t="s">
        <v>85</v>
      </c>
      <c r="D224" s="214">
        <v>0.5</v>
      </c>
      <c r="E224" s="54" t="s">
        <v>2</v>
      </c>
      <c r="F224" s="95">
        <f>G224*F227</f>
        <v>14.58</v>
      </c>
      <c r="G224" s="95">
        <v>16.2</v>
      </c>
      <c r="H224" s="95">
        <f>G224*H227</f>
        <v>17.82</v>
      </c>
      <c r="I224" s="60">
        <v>18.67322991007169</v>
      </c>
      <c r="J224" s="55"/>
    </row>
    <row r="225" spans="2:10" ht="16" outlineLevel="1">
      <c r="B225" s="228"/>
      <c r="C225" s="205"/>
      <c r="D225" s="215"/>
      <c r="E225" s="21" t="s">
        <v>16</v>
      </c>
      <c r="F225" s="22"/>
      <c r="G225" s="35"/>
      <c r="H225" s="36"/>
      <c r="I225" s="35"/>
      <c r="J225" s="37"/>
    </row>
    <row r="226" spans="2:10" ht="24" outlineLevel="1">
      <c r="B226" s="228"/>
      <c r="C226" s="205"/>
      <c r="D226" s="215"/>
      <c r="E226" s="21" t="s">
        <v>17</v>
      </c>
      <c r="F226" s="34">
        <f>G226*F227</f>
        <v>14.58</v>
      </c>
      <c r="G226" s="34">
        <f>G224+G225</f>
        <v>16.2</v>
      </c>
      <c r="H226" s="34">
        <f>G226*H227</f>
        <v>17.82</v>
      </c>
      <c r="I226" s="34">
        <f>I224+I225</f>
        <v>18.67322991007169</v>
      </c>
      <c r="J226" s="24"/>
    </row>
    <row r="227" spans="2:10" ht="24">
      <c r="B227" s="228"/>
      <c r="C227" s="205"/>
      <c r="D227" s="215"/>
      <c r="E227" s="28" t="s">
        <v>4</v>
      </c>
      <c r="F227" s="29">
        <v>0.9</v>
      </c>
      <c r="G227" s="29">
        <v>1</v>
      </c>
      <c r="H227" s="29">
        <v>1.1000000000000001</v>
      </c>
      <c r="I227" s="29">
        <f>IF(I224&lt;0,0,I224/G224)</f>
        <v>1.1526685129673884</v>
      </c>
      <c r="J227" s="26">
        <f>I226/G226</f>
        <v>1.1526685129673884</v>
      </c>
    </row>
    <row r="228" spans="2:10" ht="17" thickBot="1">
      <c r="B228" s="229"/>
      <c r="C228" s="206"/>
      <c r="D228" s="216"/>
      <c r="E228" s="30" t="s">
        <v>5</v>
      </c>
      <c r="F228" s="31">
        <v>0.5</v>
      </c>
      <c r="G228" s="31">
        <v>1</v>
      </c>
      <c r="H228" s="31">
        <v>1.5</v>
      </c>
      <c r="I228" s="31">
        <f>IF(I227&lt;$F$227,0,IF(I227&gt;$H$227,$H$228,IF(I227&lt;$G$227,$F$228+(I227-$F$227)*($G$228-$F$228)/($G$227-$F$227),$G$227+(I227-$G$227)*($H$228-$G$228)/($H$227-$G$227))))</f>
        <v>1.5</v>
      </c>
      <c r="J228" s="27">
        <f>IF(J227&lt;$F$227,0,IF(J227&gt;$H$227,$H$228,IF(J227&lt;$G$227,$F$228+(J227-$F$227)*($G$228-$F$228)/($G$227-$F$227),$G$227+(J227-$G$227)*($H$228-$G$228)/($H$227-$G$227))))</f>
        <v>1.5</v>
      </c>
    </row>
    <row r="229" spans="2:10" ht="20" thickBot="1">
      <c r="B229" s="5"/>
      <c r="C229" s="5"/>
      <c r="D229" s="6"/>
      <c r="E229" s="14"/>
      <c r="F229" s="13"/>
      <c r="G229" s="13"/>
      <c r="H229" s="13"/>
      <c r="I229" s="12" t="s">
        <v>18</v>
      </c>
      <c r="J229" s="16">
        <f>I223*D219+I228*D224</f>
        <v>1.5</v>
      </c>
    </row>
    <row r="230" spans="2:10" ht="35" thickBot="1">
      <c r="B230" s="5"/>
      <c r="C230" s="5"/>
      <c r="D230" s="6"/>
      <c r="E230" s="6"/>
      <c r="I230" s="12" t="s">
        <v>19</v>
      </c>
      <c r="J230" s="15">
        <f>J223*D219+J228*D224</f>
        <v>1.5</v>
      </c>
    </row>
  </sheetData>
  <mergeCells count="134">
    <mergeCell ref="B224:B228"/>
    <mergeCell ref="D219:D223"/>
    <mergeCell ref="B219:B223"/>
    <mergeCell ref="B38:B42"/>
    <mergeCell ref="D38:D42"/>
    <mergeCell ref="B43:B47"/>
    <mergeCell ref="D43:D47"/>
    <mergeCell ref="B48:B52"/>
    <mergeCell ref="D48:D52"/>
    <mergeCell ref="B161:B165"/>
    <mergeCell ref="D161:D165"/>
    <mergeCell ref="B183:B187"/>
    <mergeCell ref="D183:D187"/>
    <mergeCell ref="B206:B210"/>
    <mergeCell ref="D206:D210"/>
    <mergeCell ref="B62:B66"/>
    <mergeCell ref="D62:D66"/>
    <mergeCell ref="B67:B71"/>
    <mergeCell ref="D67:D71"/>
    <mergeCell ref="B72:B76"/>
    <mergeCell ref="D72:D76"/>
    <mergeCell ref="C72:C76"/>
    <mergeCell ref="D133:D137"/>
    <mergeCell ref="B201:B205"/>
    <mergeCell ref="D201:D205"/>
    <mergeCell ref="B146:B150"/>
    <mergeCell ref="D146:D150"/>
    <mergeCell ref="B151:B155"/>
    <mergeCell ref="D151:D155"/>
    <mergeCell ref="B156:B160"/>
    <mergeCell ref="D156:D160"/>
    <mergeCell ref="B196:B200"/>
    <mergeCell ref="D196:D200"/>
    <mergeCell ref="C146:C150"/>
    <mergeCell ref="C151:C155"/>
    <mergeCell ref="C156:C160"/>
    <mergeCell ref="C161:C165"/>
    <mergeCell ref="C173:C177"/>
    <mergeCell ref="C178:C182"/>
    <mergeCell ref="B178:B182"/>
    <mergeCell ref="D178:D182"/>
    <mergeCell ref="B33:B37"/>
    <mergeCell ref="D33:D37"/>
    <mergeCell ref="B9:B13"/>
    <mergeCell ref="D9:D13"/>
    <mergeCell ref="B14:B18"/>
    <mergeCell ref="D14:D18"/>
    <mergeCell ref="C9:C13"/>
    <mergeCell ref="C14:C18"/>
    <mergeCell ref="C33:C37"/>
    <mergeCell ref="B77:B81"/>
    <mergeCell ref="D77:D81"/>
    <mergeCell ref="B173:B177"/>
    <mergeCell ref="D173:D177"/>
    <mergeCell ref="B133:B137"/>
    <mergeCell ref="B104:B108"/>
    <mergeCell ref="D104:D108"/>
    <mergeCell ref="B118:B122"/>
    <mergeCell ref="D118:D122"/>
    <mergeCell ref="B123:B127"/>
    <mergeCell ref="D123:D127"/>
    <mergeCell ref="C123:C127"/>
    <mergeCell ref="C128:C132"/>
    <mergeCell ref="C133:C137"/>
    <mergeCell ref="C77:C81"/>
    <mergeCell ref="B89:B93"/>
    <mergeCell ref="D89:D93"/>
    <mergeCell ref="B94:B98"/>
    <mergeCell ref="D94:D98"/>
    <mergeCell ref="B99:B103"/>
    <mergeCell ref="D99:D103"/>
    <mergeCell ref="B128:B132"/>
    <mergeCell ref="D128:D132"/>
    <mergeCell ref="L11:L13"/>
    <mergeCell ref="O11:O13"/>
    <mergeCell ref="R11:R13"/>
    <mergeCell ref="Q11:Q13"/>
    <mergeCell ref="P11:P13"/>
    <mergeCell ref="C224:C228"/>
    <mergeCell ref="C183:C187"/>
    <mergeCell ref="C196:C200"/>
    <mergeCell ref="C201:C205"/>
    <mergeCell ref="C206:C210"/>
    <mergeCell ref="C219:C223"/>
    <mergeCell ref="C89:C93"/>
    <mergeCell ref="C94:C98"/>
    <mergeCell ref="C99:C103"/>
    <mergeCell ref="C104:C108"/>
    <mergeCell ref="C118:C122"/>
    <mergeCell ref="C38:C42"/>
    <mergeCell ref="C43:C47"/>
    <mergeCell ref="C48:C52"/>
    <mergeCell ref="C62:C66"/>
    <mergeCell ref="C67:C71"/>
    <mergeCell ref="D224:D228"/>
    <mergeCell ref="Q219:Q221"/>
    <mergeCell ref="R219:R221"/>
    <mergeCell ref="S33:S35"/>
    <mergeCell ref="L62:L64"/>
    <mergeCell ref="M62:M64"/>
    <mergeCell ref="N62:N64"/>
    <mergeCell ref="O62:O64"/>
    <mergeCell ref="P62:P64"/>
    <mergeCell ref="Q62:Q64"/>
    <mergeCell ref="R62:R64"/>
    <mergeCell ref="S62:S64"/>
    <mergeCell ref="L33:L35"/>
    <mergeCell ref="M33:M35"/>
    <mergeCell ref="N33:N35"/>
    <mergeCell ref="O33:O35"/>
    <mergeCell ref="P33:P35"/>
    <mergeCell ref="Q33:Q35"/>
    <mergeCell ref="R33:R35"/>
    <mergeCell ref="L219:L221"/>
    <mergeCell ref="M219:M221"/>
    <mergeCell ref="N219:N221"/>
    <mergeCell ref="O219:O221"/>
    <mergeCell ref="P219:P221"/>
    <mergeCell ref="Q89:Q91"/>
    <mergeCell ref="R89:R91"/>
    <mergeCell ref="S89:S91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L89:L91"/>
    <mergeCell ref="M89:M91"/>
    <mergeCell ref="N89:N91"/>
    <mergeCell ref="O89:O91"/>
    <mergeCell ref="P89:P91"/>
  </mergeCells>
  <pageMargins left="0.7" right="0.7" top="0.75" bottom="0.75" header="0.3" footer="0.3"/>
  <pageSetup paperSize="9" orientation="portrait" r:id="rId1"/>
  <ignoredErrors>
    <ignoredError sqref="H11 H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B27D-D5A0-480E-9046-4F116CF28335}">
  <sheetPr>
    <tabColor rgb="FF002060"/>
  </sheetPr>
  <dimension ref="B2:N40"/>
  <sheetViews>
    <sheetView showGridLines="0" zoomScale="60" zoomScaleNormal="60" workbookViewId="0">
      <selection activeCell="I28" sqref="I28"/>
    </sheetView>
  </sheetViews>
  <sheetFormatPr baseColWidth="10" defaultColWidth="8.83203125" defaultRowHeight="15" outlineLevelCol="1"/>
  <cols>
    <col min="2" max="2" width="7.5" customWidth="1"/>
    <col min="3" max="3" width="34.83203125" customWidth="1"/>
    <col min="4" max="4" width="9.83203125" customWidth="1"/>
    <col min="5" max="5" width="33" customWidth="1"/>
    <col min="6" max="6" width="18.5" customWidth="1"/>
    <col min="7" max="7" width="14.5" customWidth="1"/>
    <col min="8" max="8" width="11.5" customWidth="1"/>
    <col min="9" max="10" width="18.83203125" customWidth="1"/>
    <col min="11" max="11" width="22.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130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8.25" customHeight="1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8.25" customHeight="1">
      <c r="C7" s="154" t="s">
        <v>135</v>
      </c>
      <c r="D7" s="167" t="s">
        <v>129</v>
      </c>
      <c r="E7" s="168"/>
      <c r="I7" s="131"/>
      <c r="J7" s="157">
        <v>1.0129706117242949</v>
      </c>
      <c r="K7" s="119"/>
      <c r="M7" s="76"/>
      <c r="N7" s="76"/>
    </row>
    <row r="8" spans="2:14" ht="19">
      <c r="C8" s="5"/>
      <c r="D8" s="5"/>
      <c r="E8" s="6"/>
      <c r="F8" s="6"/>
      <c r="J8" s="7"/>
      <c r="K8" s="7"/>
    </row>
    <row r="9" spans="2:14" ht="19">
      <c r="C9" s="5"/>
      <c r="D9" s="5"/>
      <c r="E9" s="6"/>
      <c r="F9" s="6"/>
      <c r="H9" s="8"/>
      <c r="J9" s="7"/>
      <c r="K9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50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131</v>
      </c>
      <c r="D14" s="172">
        <v>0.17499999999999999</v>
      </c>
      <c r="E14" s="125" t="s">
        <v>104</v>
      </c>
      <c r="F14" s="125"/>
      <c r="G14" s="125"/>
      <c r="H14" s="125"/>
      <c r="I14" s="133"/>
      <c r="J14" s="140"/>
      <c r="K14" s="175"/>
    </row>
    <row r="15" spans="2:14" ht="17">
      <c r="C15" s="170"/>
      <c r="D15" s="173"/>
      <c r="E15" s="113" t="s">
        <v>105</v>
      </c>
      <c r="F15" s="152"/>
      <c r="G15" s="113"/>
      <c r="H15" s="152"/>
      <c r="I15" s="113"/>
      <c r="J15" s="138"/>
      <c r="K15" s="176"/>
    </row>
    <row r="16" spans="2:14" ht="18" thickBot="1">
      <c r="C16" s="171"/>
      <c r="D16" s="174"/>
      <c r="E16" s="115" t="s">
        <v>106</v>
      </c>
      <c r="F16" s="115"/>
      <c r="G16" s="115"/>
      <c r="H16" s="115"/>
      <c r="I16" s="115"/>
      <c r="J16" s="139">
        <v>0.23962880557269142</v>
      </c>
      <c r="K16" s="177"/>
    </row>
    <row r="17" spans="2:11" ht="17">
      <c r="C17" s="178" t="s">
        <v>132</v>
      </c>
      <c r="D17" s="172">
        <v>0.17499999999999999</v>
      </c>
      <c r="E17" s="124" t="s">
        <v>104</v>
      </c>
      <c r="F17" s="124"/>
      <c r="G17" s="125"/>
      <c r="H17" s="124"/>
      <c r="I17" s="132"/>
      <c r="J17" s="137"/>
      <c r="K17" s="175"/>
    </row>
    <row r="18" spans="2:11" ht="17">
      <c r="C18" s="170"/>
      <c r="D18" s="173"/>
      <c r="E18" s="113" t="s">
        <v>105</v>
      </c>
      <c r="F18" s="113"/>
      <c r="G18" s="113"/>
      <c r="H18" s="113"/>
      <c r="I18" s="113"/>
      <c r="J18" s="138"/>
      <c r="K18" s="176"/>
    </row>
    <row r="19" spans="2:11" ht="18" thickBot="1">
      <c r="C19" s="171"/>
      <c r="D19" s="174"/>
      <c r="E19" s="115" t="s">
        <v>106</v>
      </c>
      <c r="F19" s="115"/>
      <c r="G19" s="115"/>
      <c r="H19" s="115"/>
      <c r="I19" s="115"/>
      <c r="J19" s="139">
        <v>0.252</v>
      </c>
      <c r="K19" s="177"/>
    </row>
    <row r="20" spans="2:11" ht="17">
      <c r="C20" s="169" t="s">
        <v>133</v>
      </c>
      <c r="D20" s="172">
        <v>0.17499999999999999</v>
      </c>
      <c r="E20" s="125" t="s">
        <v>104</v>
      </c>
      <c r="F20" s="125">
        <v>2.8755500000000001</v>
      </c>
      <c r="G20" s="151">
        <v>3.383</v>
      </c>
      <c r="H20" s="125">
        <v>4.2287499999999998</v>
      </c>
      <c r="I20" s="156">
        <v>5.0703467860594555</v>
      </c>
      <c r="J20" s="140"/>
      <c r="K20" s="175"/>
    </row>
    <row r="21" spans="2:11" ht="17">
      <c r="C21" s="170"/>
      <c r="D21" s="173"/>
      <c r="E21" s="113" t="s">
        <v>105</v>
      </c>
      <c r="F21" s="113">
        <v>0.85</v>
      </c>
      <c r="G21" s="113">
        <v>1</v>
      </c>
      <c r="H21" s="113">
        <v>1.25</v>
      </c>
      <c r="I21" s="113">
        <v>1.4987723281287189</v>
      </c>
      <c r="J21" s="138"/>
      <c r="K21" s="176"/>
    </row>
    <row r="22" spans="2:11" ht="18" thickBot="1">
      <c r="C22" s="171"/>
      <c r="D22" s="174"/>
      <c r="E22" s="115" t="s">
        <v>106</v>
      </c>
      <c r="F22" s="115">
        <v>1</v>
      </c>
      <c r="G22" s="115">
        <v>1</v>
      </c>
      <c r="H22" s="115">
        <v>1.5</v>
      </c>
      <c r="I22" s="115">
        <v>1.5</v>
      </c>
      <c r="J22" s="139">
        <v>0.2625</v>
      </c>
      <c r="K22" s="177"/>
    </row>
    <row r="23" spans="2:11" ht="17">
      <c r="B23" s="5"/>
      <c r="C23" s="169" t="s">
        <v>134</v>
      </c>
      <c r="D23" s="172">
        <v>0.17499999999999999</v>
      </c>
      <c r="E23" s="125" t="s">
        <v>104</v>
      </c>
      <c r="F23" s="125"/>
      <c r="G23" s="151"/>
      <c r="H23" s="125"/>
      <c r="I23" s="132"/>
      <c r="J23" s="140"/>
      <c r="K23" s="175"/>
    </row>
    <row r="24" spans="2:11" ht="17">
      <c r="C24" s="170"/>
      <c r="D24" s="173"/>
      <c r="E24" s="113" t="s">
        <v>105</v>
      </c>
      <c r="F24" s="113"/>
      <c r="G24" s="113"/>
      <c r="H24" s="113"/>
      <c r="I24" s="113"/>
      <c r="J24" s="138"/>
      <c r="K24" s="176"/>
    </row>
    <row r="25" spans="2:11" ht="18" thickBot="1">
      <c r="C25" s="171"/>
      <c r="D25" s="174"/>
      <c r="E25" s="115" t="s">
        <v>106</v>
      </c>
      <c r="F25" s="115"/>
      <c r="G25" s="115"/>
      <c r="H25" s="115"/>
      <c r="I25" s="115"/>
      <c r="J25" s="139">
        <v>0.17512806157749075</v>
      </c>
      <c r="K25" s="177"/>
    </row>
    <row r="27" spans="2:11" ht="17" thickBot="1">
      <c r="C27" s="153" t="inlineStr">
        <is>
          <t>План/факт 9 месяцев</t>
        </is>
      </c>
      <c r="D27" s="4"/>
      <c r="E27" s="4"/>
      <c r="K27" s="107"/>
    </row>
    <row r="28" spans="2:11" ht="44.5" customHeight="1" thickBot="1">
      <c r="C28" s="159" t="s">
        <v>64</v>
      </c>
      <c r="D28" s="160" t="s">
        <v>68</v>
      </c>
      <c r="E28" s="161" t="s">
        <v>100</v>
      </c>
      <c r="F28" s="161" t="s">
        <v>94</v>
      </c>
      <c r="G28" s="161" t="s">
        <v>22</v>
      </c>
      <c r="H28" s="161" t="s">
        <v>95</v>
      </c>
      <c r="I28" s="162" t="inlineStr">
        <is>
          <t>Факт 9 месяцев</t>
        </is>
      </c>
      <c r="J28" s="163" t="s">
        <v>98</v>
      </c>
      <c r="K28" s="164" t="s">
        <v>99</v>
      </c>
    </row>
    <row r="29" spans="2:11" ht="17">
      <c r="C29" s="169" t="s">
        <v>131</v>
      </c>
      <c r="D29" s="172">
        <v>0.17499999999999999</v>
      </c>
      <c r="E29" s="125" t="s">
        <v>104</v>
      </c>
      <c r="F29" s="125"/>
      <c r="G29" s="151"/>
      <c r="H29" s="125"/>
      <c r="I29" s="155"/>
      <c r="J29" s="140"/>
      <c r="K29" s="175"/>
    </row>
    <row r="30" spans="2:11" ht="17">
      <c r="C30" s="170"/>
      <c r="D30" s="173"/>
      <c r="E30" s="113" t="s">
        <v>105</v>
      </c>
      <c r="F30" s="152"/>
      <c r="G30" s="113"/>
      <c r="H30" s="152"/>
      <c r="I30" s="113"/>
      <c r="J30" s="138"/>
      <c r="K30" s="176"/>
    </row>
    <row r="31" spans="2:11" ht="18" thickBot="1">
      <c r="C31" s="171"/>
      <c r="D31" s="174"/>
      <c r="E31" s="115" t="s">
        <v>106</v>
      </c>
      <c r="F31" s="115"/>
      <c r="G31" s="115"/>
      <c r="H31" s="115"/>
      <c r="I31" s="115"/>
      <c r="J31" s="139">
        <v>0.26249999999999996</v>
      </c>
      <c r="K31" s="177"/>
    </row>
    <row r="32" spans="2:11" ht="17">
      <c r="C32" s="178" t="s">
        <v>132</v>
      </c>
      <c r="D32" s="172">
        <v>0.17499999999999999</v>
      </c>
      <c r="E32" s="124" t="s">
        <v>104</v>
      </c>
      <c r="F32" s="124"/>
      <c r="G32" s="151"/>
      <c r="H32" s="124"/>
      <c r="I32" s="156"/>
      <c r="J32" s="137"/>
      <c r="K32" s="175"/>
    </row>
    <row r="33" spans="3:11" ht="17">
      <c r="C33" s="170"/>
      <c r="D33" s="173"/>
      <c r="E33" s="113" t="s">
        <v>105</v>
      </c>
      <c r="F33" s="113"/>
      <c r="G33" s="113"/>
      <c r="H33" s="113"/>
      <c r="I33" s="113"/>
      <c r="J33" s="138"/>
      <c r="K33" s="176"/>
    </row>
    <row r="34" spans="3:11" ht="18" thickBot="1">
      <c r="C34" s="171"/>
      <c r="D34" s="174"/>
      <c r="E34" s="115" t="s">
        <v>106</v>
      </c>
      <c r="F34" s="115">
        <v>0.5</v>
      </c>
      <c r="G34" s="115">
        <v>1</v>
      </c>
      <c r="H34" s="115">
        <v>1.5</v>
      </c>
      <c r="I34" s="115">
        <v>1.461689587426326</v>
      </c>
      <c r="J34" s="139">
        <v>0.25579567779960705</v>
      </c>
      <c r="K34" s="177"/>
    </row>
    <row r="35" spans="3:11" ht="17">
      <c r="C35" s="169" t="s">
        <v>133</v>
      </c>
      <c r="D35" s="172">
        <v>0.17499999999999999</v>
      </c>
      <c r="E35" s="125" t="s">
        <v>104</v>
      </c>
      <c r="F35" s="125">
        <v>1.322257825651127</v>
      </c>
      <c r="G35" s="151">
        <v>1.555597441942502</v>
      </c>
      <c r="H35" s="125">
        <v>1.944496802428127</v>
      </c>
      <c r="I35" s="156">
        <v>3.272905097915273</v>
      </c>
      <c r="J35" s="140"/>
      <c r="K35" s="175"/>
    </row>
    <row r="36" spans="3:11" ht="17">
      <c r="C36" s="170"/>
      <c r="D36" s="173"/>
      <c r="E36" s="113" t="s">
        <v>105</v>
      </c>
      <c r="F36" s="113">
        <v>0.85</v>
      </c>
      <c r="G36" s="113">
        <v>1</v>
      </c>
      <c r="H36" s="113">
        <v>1.25</v>
      </c>
      <c r="I36" s="113">
        <v>2.103953767003074</v>
      </c>
      <c r="J36" s="138"/>
      <c r="K36" s="176"/>
    </row>
    <row r="37" spans="3:11" ht="18" thickBot="1">
      <c r="C37" s="171"/>
      <c r="D37" s="174"/>
      <c r="E37" s="115" t="s">
        <v>106</v>
      </c>
      <c r="F37" s="115">
        <v>1</v>
      </c>
      <c r="G37" s="115">
        <v>1</v>
      </c>
      <c r="H37" s="115">
        <v>1.5</v>
      </c>
      <c r="I37" s="115">
        <v>1.5</v>
      </c>
      <c r="J37" s="139">
        <v>0.2625</v>
      </c>
      <c r="K37" s="177"/>
    </row>
    <row r="38" spans="3:11" ht="17">
      <c r="C38" s="169" t="s">
        <v>134</v>
      </c>
      <c r="D38" s="172">
        <v>0.17499999999999999</v>
      </c>
      <c r="E38" s="125" t="s">
        <v>104</v>
      </c>
      <c r="F38" s="125"/>
      <c r="G38" s="151"/>
      <c r="H38" s="125"/>
      <c r="I38" s="156"/>
      <c r="J38" s="140"/>
      <c r="K38" s="175"/>
    </row>
    <row r="39" spans="3:11" ht="17">
      <c r="C39" s="170"/>
      <c r="D39" s="173"/>
      <c r="E39" s="113" t="s">
        <v>105</v>
      </c>
      <c r="F39" s="113"/>
      <c r="G39" s="113"/>
      <c r="H39" s="113"/>
      <c r="I39" s="113"/>
      <c r="J39" s="138"/>
      <c r="K39" s="176"/>
    </row>
    <row r="40" spans="3:11" ht="18" thickBot="1">
      <c r="C40" s="171"/>
      <c r="D40" s="174"/>
      <c r="E40" s="115" t="s">
        <v>106</v>
      </c>
      <c r="F40" s="115"/>
      <c r="G40" s="115"/>
      <c r="H40" s="115"/>
      <c r="I40" s="115"/>
      <c r="J40" s="139">
        <v>0.24969462336244541</v>
      </c>
      <c r="K40" s="177"/>
    </row>
  </sheetData>
  <mergeCells count="26">
    <mergeCell ref="C38:C40"/>
    <mergeCell ref="D38:D40"/>
    <mergeCell ref="K38:K40"/>
    <mergeCell ref="C32:C34"/>
    <mergeCell ref="D32:D34"/>
    <mergeCell ref="K32:K34"/>
    <mergeCell ref="C35:C37"/>
    <mergeCell ref="D35:D37"/>
    <mergeCell ref="K35:K37"/>
    <mergeCell ref="C23:C25"/>
    <mergeCell ref="D23:D25"/>
    <mergeCell ref="K23:K25"/>
    <mergeCell ref="C29:C31"/>
    <mergeCell ref="D29:D31"/>
    <mergeCell ref="K29:K31"/>
    <mergeCell ref="C17:C19"/>
    <mergeCell ref="D17:D19"/>
    <mergeCell ref="K17:K19"/>
    <mergeCell ref="C20:C22"/>
    <mergeCell ref="D20:D22"/>
    <mergeCell ref="K20:K22"/>
    <mergeCell ref="D6:E6"/>
    <mergeCell ref="D7:E7"/>
    <mergeCell ref="C14:C16"/>
    <mergeCell ref="D14:D16"/>
    <mergeCell ref="K14:K16"/>
  </mergeCells>
  <conditionalFormatting sqref="K7">
    <cfRule type="expression" dxfId="9" priority="7">
      <formula>J7&gt;1.08</formula>
    </cfRule>
    <cfRule type="expression" dxfId="8" priority="8">
      <formula>J7&lt;=1.08</formula>
    </cfRule>
  </conditionalFormatting>
  <conditionalFormatting sqref="K14:K25 K29:K40">
    <cfRule type="expression" dxfId="7" priority="4">
      <formula>I16&gt;=1</formula>
    </cfRule>
    <cfRule type="expression" dxfId="6" priority="5">
      <formula>I16&gt;=0.5</formula>
    </cfRule>
    <cfRule type="expression" dxfId="5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AA7A-786E-4C5B-808A-D8796AAFFC32}">
  <sheetPr>
    <tabColor rgb="FF002060"/>
  </sheetPr>
  <dimension ref="B2:N28"/>
  <sheetViews>
    <sheetView showGridLines="0" tabSelected="1" zoomScale="69" zoomScaleNormal="60" workbookViewId="0">
      <selection activeCell="L32" sqref="L32"/>
    </sheetView>
  </sheetViews>
  <sheetFormatPr baseColWidth="10" defaultColWidth="8.83203125" defaultRowHeight="15" outlineLevelCol="1"/>
  <cols>
    <col min="1" max="2" width="6.1640625" customWidth="1"/>
    <col min="3" max="3" width="34.83203125" customWidth="1"/>
    <col min="4" max="4" width="9.1640625" customWidth="1"/>
    <col min="5" max="5" width="33" customWidth="1"/>
    <col min="6" max="6" width="18.5" customWidth="1"/>
    <col min="7" max="7" width="14.5" customWidth="1"/>
    <col min="8" max="8" width="11.5" customWidth="1"/>
    <col min="9" max="10" width="19.1640625" customWidth="1"/>
    <col min="11" max="11" width="15.8320312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117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0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4.5" customHeight="1">
      <c r="C7" s="154" t="s">
        <v>137</v>
      </c>
      <c r="D7" s="167" t="s">
        <v>138</v>
      </c>
      <c r="E7" s="168"/>
      <c r="I7" s="131">
        <v>5.0703467860594555</v>
      </c>
      <c r="J7" s="157">
        <v>1.4987723281287189</v>
      </c>
      <c r="K7" s="119"/>
      <c r="M7" s="76">
        <v>3.383</v>
      </c>
      <c r="N7" s="76">
        <v>3.1157429999999997</v>
      </c>
    </row>
    <row r="8" spans="2:14" ht="19">
      <c r="C8" s="5"/>
      <c r="D8" s="5"/>
      <c r="E8" s="6"/>
      <c r="F8" s="6"/>
      <c r="H8" s="8"/>
      <c r="J8" s="7"/>
      <c r="K8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44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133</v>
      </c>
      <c r="D14" s="172">
        <v>0.49</v>
      </c>
      <c r="E14" s="125" t="s">
        <v>104</v>
      </c>
      <c r="F14" s="125">
        <v>3.1123600000000002</v>
      </c>
      <c r="G14" s="125">
        <v>3.383</v>
      </c>
      <c r="H14" s="125">
        <v>4.2287499999999998</v>
      </c>
      <c r="I14" s="133">
        <v>5.0703467860594555</v>
      </c>
      <c r="J14" s="140"/>
      <c r="K14" s="175"/>
    </row>
    <row r="15" spans="2:14" ht="17">
      <c r="C15" s="170"/>
      <c r="D15" s="173"/>
      <c r="E15" s="113" t="s">
        <v>105</v>
      </c>
      <c r="F15" s="152">
        <v>0.92</v>
      </c>
      <c r="G15" s="113">
        <v>1</v>
      </c>
      <c r="H15" s="152">
        <v>1.25</v>
      </c>
      <c r="I15" s="113">
        <v>1.4987723281287189</v>
      </c>
      <c r="J15" s="138"/>
      <c r="K15" s="176"/>
    </row>
    <row r="16" spans="2:14" ht="18" thickBot="1">
      <c r="C16" s="171"/>
      <c r="D16" s="174"/>
      <c r="E16" s="115" t="s">
        <v>106</v>
      </c>
      <c r="F16" s="115">
        <v>0.5</v>
      </c>
      <c r="G16" s="115">
        <v>1</v>
      </c>
      <c r="H16" s="115">
        <v>1.5</v>
      </c>
      <c r="I16" s="115">
        <v>1.5</v>
      </c>
      <c r="J16" s="139">
        <v>0.735</v>
      </c>
      <c r="K16" s="177"/>
    </row>
    <row r="17" spans="3:11" ht="17">
      <c r="C17" s="178" t="s">
        <v>136</v>
      </c>
      <c r="D17" s="172">
        <v>0.21</v>
      </c>
      <c r="E17" s="124" t="s">
        <v>104</v>
      </c>
      <c r="F17" s="125">
        <v>0.8</v>
      </c>
      <c r="G17" s="125">
        <v>1</v>
      </c>
      <c r="H17" s="125">
        <v>1.2</v>
      </c>
      <c r="I17" s="133">
        <v>1.2174168001011636</v>
      </c>
      <c r="J17" s="137"/>
      <c r="K17" s="175"/>
    </row>
    <row r="18" spans="3:11" ht="17">
      <c r="C18" s="170"/>
      <c r="D18" s="173"/>
      <c r="E18" s="113" t="s">
        <v>105</v>
      </c>
      <c r="F18" s="113">
        <v>0.8</v>
      </c>
      <c r="G18" s="113">
        <v>1</v>
      </c>
      <c r="H18" s="113">
        <v>1.2</v>
      </c>
      <c r="I18" s="113">
        <v>1.2174168001011636</v>
      </c>
      <c r="J18" s="138"/>
      <c r="K18" s="176"/>
    </row>
    <row r="19" spans="3:11" ht="18" thickBot="1">
      <c r="C19" s="171"/>
      <c r="D19" s="174"/>
      <c r="E19" s="115" t="s">
        <v>106</v>
      </c>
      <c r="F19" s="115">
        <v>0.5</v>
      </c>
      <c r="G19" s="115">
        <v>1</v>
      </c>
      <c r="H19" s="115">
        <v>1.5</v>
      </c>
      <c r="I19" s="115">
        <v>1.5</v>
      </c>
      <c r="J19" s="139">
        <v>0.315</v>
      </c>
      <c r="K19" s="177"/>
    </row>
    <row r="21" spans="3:11" ht="17" thickBot="1">
      <c r="C21" s="153" t="inlineStr">
        <is>
          <t>План/факт 9 месяцев</t>
        </is>
      </c>
      <c r="D21" s="4"/>
      <c r="E21" s="4"/>
      <c r="K21" s="107"/>
    </row>
    <row r="22" spans="3:11" ht="39" customHeight="1" thickBot="1">
      <c r="C22" s="159" t="s">
        <v>64</v>
      </c>
      <c r="D22" s="160" t="s">
        <v>68</v>
      </c>
      <c r="E22" s="161" t="s">
        <v>100</v>
      </c>
      <c r="F22" s="161" t="s">
        <v>94</v>
      </c>
      <c r="G22" s="161" t="s">
        <v>22</v>
      </c>
      <c r="H22" s="161" t="s">
        <v>95</v>
      </c>
      <c r="I22" s="162" t="inlineStr">
        <is>
          <t>Факт 9 месяцев</t>
        </is>
      </c>
      <c r="J22" s="163" t="s">
        <v>98</v>
      </c>
      <c r="K22" s="164" t="s">
        <v>99</v>
      </c>
    </row>
    <row r="23" spans="3:11" ht="17">
      <c r="C23" s="169" t="s">
        <v>133</v>
      </c>
      <c r="D23" s="172">
        <v>0.49</v>
      </c>
      <c r="E23" s="125" t="s">
        <v>104</v>
      </c>
      <c r="F23" s="151">
        <v>1.431149646587102</v>
      </c>
      <c r="G23" s="151">
        <v>1.555597441942502</v>
      </c>
      <c r="H23" s="151">
        <v>1.944496802428127</v>
      </c>
      <c r="I23" s="155">
        <v>3.272905097915273</v>
      </c>
      <c r="J23" s="140"/>
      <c r="K23" s="175"/>
    </row>
    <row r="24" spans="3:11" ht="17">
      <c r="C24" s="170"/>
      <c r="D24" s="173"/>
      <c r="E24" s="113" t="s">
        <v>105</v>
      </c>
      <c r="F24" s="152">
        <v>0.92</v>
      </c>
      <c r="G24" s="113">
        <v>1</v>
      </c>
      <c r="H24" s="152">
        <v>1.25</v>
      </c>
      <c r="I24" s="113">
        <v>2.103953767003074</v>
      </c>
      <c r="J24" s="138"/>
      <c r="K24" s="176"/>
    </row>
    <row r="25" spans="3:11" ht="18" thickBot="1">
      <c r="C25" s="171"/>
      <c r="D25" s="174"/>
      <c r="E25" s="115" t="s">
        <v>106</v>
      </c>
      <c r="F25" s="115">
        <v>0.5</v>
      </c>
      <c r="G25" s="115">
        <v>1</v>
      </c>
      <c r="H25" s="115">
        <v>1.5</v>
      </c>
      <c r="I25" s="115">
        <v>1.5</v>
      </c>
      <c r="J25" s="139">
        <v>0.735</v>
      </c>
      <c r="K25" s="177"/>
    </row>
    <row r="26" spans="3:11" ht="17">
      <c r="C26" s="178" t="s">
        <v>136</v>
      </c>
      <c r="D26" s="172">
        <v>0.21</v>
      </c>
      <c r="E26" s="124" t="s">
        <v>104</v>
      </c>
      <c r="F26" s="151">
        <v>0.5074683042696714</v>
      </c>
      <c r="G26" s="151">
        <v>0.6343353803370891</v>
      </c>
      <c r="H26" s="151">
        <v>0.7612024564045069</v>
      </c>
      <c r="I26" s="155">
        <v>0.7687572412656909</v>
      </c>
      <c r="J26" s="137"/>
      <c r="K26" s="175"/>
    </row>
    <row r="27" spans="3:11" ht="17">
      <c r="C27" s="170"/>
      <c r="D27" s="173"/>
      <c r="E27" s="113" t="s">
        <v>105</v>
      </c>
      <c r="F27" s="113">
        <v>0.8</v>
      </c>
      <c r="G27" s="113">
        <v>1</v>
      </c>
      <c r="H27" s="113">
        <v>1.2</v>
      </c>
      <c r="I27" s="113">
        <v>1.2119097642908856</v>
      </c>
      <c r="J27" s="138"/>
      <c r="K27" s="176"/>
    </row>
    <row r="28" spans="3:11" ht="18" thickBot="1">
      <c r="C28" s="171"/>
      <c r="D28" s="174"/>
      <c r="E28" s="115" t="s">
        <v>106</v>
      </c>
      <c r="F28" s="115">
        <v>0.5</v>
      </c>
      <c r="G28" s="115">
        <v>1</v>
      </c>
      <c r="H28" s="115">
        <v>1.5</v>
      </c>
      <c r="I28" s="115">
        <v>1.5</v>
      </c>
      <c r="J28" s="139">
        <v>0.315</v>
      </c>
      <c r="K28" s="177"/>
    </row>
  </sheetData>
  <mergeCells count="14">
    <mergeCell ref="C17:C19"/>
    <mergeCell ref="D17:D19"/>
    <mergeCell ref="K17:K19"/>
    <mergeCell ref="C26:C28"/>
    <mergeCell ref="D26:D28"/>
    <mergeCell ref="K26:K28"/>
    <mergeCell ref="C23:C25"/>
    <mergeCell ref="D23:D25"/>
    <mergeCell ref="K23:K25"/>
    <mergeCell ref="D6:E6"/>
    <mergeCell ref="D7:E7"/>
    <mergeCell ref="C14:C16"/>
    <mergeCell ref="D14:D16"/>
    <mergeCell ref="K14:K16"/>
  </mergeCells>
  <conditionalFormatting sqref="K7">
    <cfRule type="expression" dxfId="4" priority="7">
      <formula>J7&lt;0.92</formula>
    </cfRule>
    <cfRule type="expression" dxfId="3" priority="8">
      <formula>J7&gt;=0.92</formula>
    </cfRule>
  </conditionalFormatting>
  <conditionalFormatting sqref="K14:K19 K23:K28">
    <cfRule type="expression" dxfId="2" priority="4">
      <formula>I16&gt;=1</formula>
    </cfRule>
    <cfRule type="expression" dxfId="1" priority="5">
      <formula>I16&gt;=0.5</formula>
    </cfRule>
    <cfRule type="expression" dxfId="0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F161-3BC8-45EB-825A-B54567CB4B99}">
  <sheetPr>
    <tabColor rgb="FF002060"/>
  </sheetPr>
  <dimension ref="B3:X133"/>
  <sheetViews>
    <sheetView showGridLines="0" topLeftCell="A88" zoomScale="70" zoomScaleNormal="70" workbookViewId="0">
      <selection activeCell="C48" sqref="C48"/>
    </sheetView>
  </sheetViews>
  <sheetFormatPr baseColWidth="10" defaultColWidth="8.83203125" defaultRowHeight="15" outlineLevelCol="1"/>
  <cols>
    <col min="1" max="1" width="4" customWidth="1"/>
    <col min="2" max="2" width="36.5" customWidth="1"/>
    <col min="3" max="3" width="34.5" customWidth="1"/>
    <col min="4" max="4" width="13.83203125" bestFit="1" customWidth="1"/>
    <col min="5" max="5" width="41.5" customWidth="1"/>
    <col min="6" max="6" width="14.5" customWidth="1"/>
    <col min="7" max="7" width="9.5" bestFit="1" customWidth="1"/>
    <col min="8" max="8" width="10.5" customWidth="1"/>
    <col min="9" max="9" width="18.5" customWidth="1"/>
    <col min="10" max="10" width="22.5" customWidth="1"/>
    <col min="11" max="11" width="19.83203125" hidden="1" customWidth="1" outlineLevel="1"/>
    <col min="12" max="12" width="19.5" customWidth="1" collapsed="1"/>
    <col min="13" max="13" width="19.5" customWidth="1"/>
    <col min="15" max="15" width="14.5" customWidth="1" outlineLevel="1"/>
    <col min="16" max="16" width="15.5" customWidth="1" outlineLevel="1"/>
    <col min="22" max="22" width="23.5" bestFit="1" customWidth="1"/>
  </cols>
  <sheetData>
    <row r="3" spans="3:16">
      <c r="L3" s="135" t="s">
        <v>115</v>
      </c>
      <c r="M3" s="135"/>
    </row>
    <row r="4" spans="3:16" ht="25.5" customHeight="1">
      <c r="L4" s="135" t="s">
        <v>112</v>
      </c>
      <c r="M4" s="135"/>
    </row>
    <row r="5" spans="3:16" ht="30.75" customHeight="1">
      <c r="L5" s="135" t="s">
        <v>113</v>
      </c>
      <c r="M5" s="135"/>
    </row>
    <row r="8" spans="3:16" ht="30">
      <c r="C8" s="117" t="s">
        <v>97</v>
      </c>
      <c r="D8" s="165" t="s">
        <v>31</v>
      </c>
      <c r="E8" s="166"/>
      <c r="I8" s="122" t="s">
        <v>96</v>
      </c>
      <c r="J8" s="118" t="s">
        <v>24</v>
      </c>
      <c r="K8" s="120" t="s">
        <v>99</v>
      </c>
      <c r="L8" s="145"/>
      <c r="M8" s="145"/>
      <c r="O8" s="117" t="s">
        <v>65</v>
      </c>
      <c r="P8" s="118" t="s">
        <v>22</v>
      </c>
    </row>
    <row r="9" spans="3:16" ht="47.25" customHeight="1">
      <c r="C9" s="130" t="s">
        <v>101</v>
      </c>
      <c r="D9" s="167" t="s">
        <v>107</v>
      </c>
      <c r="E9" s="168"/>
      <c r="I9" s="131"/>
      <c r="J9" s="141">
        <f>I9/O9</f>
        <v>0</v>
      </c>
      <c r="K9" s="119"/>
      <c r="L9" s="146"/>
      <c r="M9" s="146"/>
      <c r="O9" s="76">
        <v>98.7</v>
      </c>
      <c r="P9" s="76">
        <v>83.894999999999996</v>
      </c>
    </row>
    <row r="10" spans="3:16" ht="49.5" customHeight="1">
      <c r="C10" s="129" t="s">
        <v>102</v>
      </c>
      <c r="D10" s="167" t="s">
        <v>108</v>
      </c>
      <c r="E10" s="168"/>
      <c r="I10" s="131"/>
      <c r="J10" s="119"/>
      <c r="K10" s="119"/>
      <c r="L10" s="146"/>
      <c r="M10" s="146"/>
      <c r="O10" s="76"/>
      <c r="P10" s="76">
        <v>20</v>
      </c>
    </row>
    <row r="11" spans="3:16">
      <c r="C11" s="237" t="s">
        <v>103</v>
      </c>
      <c r="D11" s="240" t="s">
        <v>109</v>
      </c>
      <c r="E11" s="241"/>
      <c r="I11" s="246"/>
      <c r="J11" s="249"/>
      <c r="K11" s="249"/>
      <c r="L11" s="147"/>
      <c r="M11" s="147"/>
      <c r="O11" s="201"/>
      <c r="P11" s="201"/>
    </row>
    <row r="12" spans="3:16">
      <c r="C12" s="238"/>
      <c r="D12" s="242"/>
      <c r="E12" s="243"/>
      <c r="I12" s="247"/>
      <c r="J12" s="250"/>
      <c r="K12" s="250"/>
      <c r="L12" s="147"/>
      <c r="M12" s="147"/>
      <c r="O12" s="202"/>
      <c r="P12" s="202"/>
    </row>
    <row r="13" spans="3:16" ht="85.5" customHeight="1">
      <c r="C13" s="239"/>
      <c r="D13" s="244"/>
      <c r="E13" s="245"/>
      <c r="I13" s="248"/>
      <c r="J13" s="251"/>
      <c r="K13" s="251"/>
      <c r="L13" s="147"/>
      <c r="M13" s="147"/>
      <c r="O13" s="203"/>
      <c r="P13" s="203"/>
    </row>
    <row r="21" spans="2:24" ht="33.75" customHeight="1">
      <c r="B21" s="1"/>
      <c r="C21" s="1"/>
    </row>
    <row r="24" spans="2:24" ht="31.5" customHeight="1">
      <c r="B24" s="2"/>
      <c r="C24" s="2" t="s">
        <v>116</v>
      </c>
    </row>
    <row r="25" spans="2:24" ht="19">
      <c r="B25" s="5"/>
      <c r="C25" s="5"/>
      <c r="D25" s="6"/>
      <c r="E25" s="6"/>
      <c r="I25" s="7"/>
      <c r="J25" s="7"/>
      <c r="K25" s="9"/>
      <c r="L25" s="9"/>
      <c r="M25" s="9"/>
    </row>
    <row r="26" spans="2:24" ht="19">
      <c r="B26" s="5"/>
      <c r="C26" s="5"/>
      <c r="D26" s="6"/>
      <c r="E26" s="6"/>
      <c r="G26" s="8"/>
      <c r="I26" s="7"/>
      <c r="J26" s="7"/>
      <c r="K26" s="9"/>
      <c r="L26" s="9"/>
      <c r="M26" s="9"/>
      <c r="V26" s="110"/>
      <c r="W26" s="134"/>
      <c r="X26" s="10"/>
    </row>
    <row r="27" spans="2:24" ht="20" thickBot="1">
      <c r="B27" s="3"/>
      <c r="C27" s="3" t="s">
        <v>126</v>
      </c>
      <c r="D27" s="4"/>
      <c r="E27" s="4"/>
      <c r="V27" s="110"/>
      <c r="W27" s="134"/>
      <c r="X27" s="10"/>
    </row>
    <row r="28" spans="2:24" ht="41" thickBot="1">
      <c r="B28" s="128" t="s">
        <v>9</v>
      </c>
      <c r="C28" s="126" t="s">
        <v>64</v>
      </c>
      <c r="D28" s="127" t="s">
        <v>68</v>
      </c>
      <c r="E28" s="127" t="s">
        <v>100</v>
      </c>
      <c r="F28" s="121" t="s">
        <v>94</v>
      </c>
      <c r="G28" s="121" t="s">
        <v>22</v>
      </c>
      <c r="H28" s="121" t="s">
        <v>95</v>
      </c>
      <c r="I28" s="123" t="s">
        <v>96</v>
      </c>
      <c r="J28" s="136" t="s">
        <v>98</v>
      </c>
      <c r="K28" s="142" t="s">
        <v>99</v>
      </c>
      <c r="L28" s="145"/>
      <c r="M28" s="145"/>
      <c r="V28" s="110"/>
      <c r="W28" s="134"/>
      <c r="X28" s="10"/>
    </row>
    <row r="29" spans="2:24" ht="36.75" customHeight="1">
      <c r="B29" s="178" t="s">
        <v>88</v>
      </c>
      <c r="C29" s="178" t="s">
        <v>110</v>
      </c>
      <c r="D29" s="222">
        <v>0.5</v>
      </c>
      <c r="E29" s="111" t="s">
        <v>104</v>
      </c>
      <c r="F29" s="124">
        <f>G29*F30</f>
        <v>5.9768562022496399</v>
      </c>
      <c r="G29" s="124">
        <v>7.662636156730307</v>
      </c>
      <c r="H29" s="124">
        <f>G29*H30</f>
        <v>9.3484161112109749</v>
      </c>
      <c r="I29" s="143">
        <v>12.517244818135499</v>
      </c>
      <c r="J29" s="137"/>
      <c r="K29" s="230"/>
      <c r="L29" s="148"/>
      <c r="M29" s="148"/>
      <c r="V29" s="110"/>
      <c r="W29" s="134"/>
      <c r="X29" s="10"/>
    </row>
    <row r="30" spans="2:24" ht="16">
      <c r="B30" s="170"/>
      <c r="C30" s="170"/>
      <c r="D30" s="173"/>
      <c r="E30" s="112" t="s">
        <v>105</v>
      </c>
      <c r="F30" s="113">
        <v>0.78</v>
      </c>
      <c r="G30" s="113">
        <v>1</v>
      </c>
      <c r="H30" s="113">
        <v>1.22</v>
      </c>
      <c r="I30" s="113">
        <f>IF(I29&lt;0,0,I29/G29)</f>
        <v>1.6335428907375764</v>
      </c>
      <c r="J30" s="138"/>
      <c r="K30" s="231"/>
      <c r="L30" s="148"/>
      <c r="M30" s="148"/>
      <c r="V30" s="110"/>
      <c r="W30" s="134"/>
      <c r="X30" s="10"/>
    </row>
    <row r="31" spans="2:24" ht="21.75" customHeight="1" thickBot="1">
      <c r="B31" s="171"/>
      <c r="C31" s="171"/>
      <c r="D31" s="174"/>
      <c r="E31" s="114" t="s">
        <v>106</v>
      </c>
      <c r="F31" s="115">
        <v>0.5</v>
      </c>
      <c r="G31" s="115">
        <v>1</v>
      </c>
      <c r="H31" s="115">
        <v>1.5</v>
      </c>
      <c r="I31" s="115">
        <f>IF(I30&lt;$F$30,0,IF(I30&gt;$H$30,$H$31,IF(I30&lt;$G$30,$F$31+(I30-$F$30)*($G$31-$F$31)/($G$30-$F$30),$G$30+(I30-$G$30)*($H$31-$G$31)/($H$30-$G$30))))</f>
        <v>1.5</v>
      </c>
      <c r="J31" s="139">
        <f>D29*I31</f>
        <v>0.75</v>
      </c>
      <c r="K31" s="233"/>
      <c r="L31" s="148"/>
      <c r="M31" s="148"/>
      <c r="V31" s="110"/>
      <c r="W31" s="134"/>
      <c r="X31" s="10"/>
    </row>
    <row r="32" spans="2:24" ht="21.75" customHeight="1">
      <c r="B32" s="169" t="s">
        <v>89</v>
      </c>
      <c r="C32" s="169" t="s">
        <v>111</v>
      </c>
      <c r="D32" s="172">
        <v>0.5</v>
      </c>
      <c r="E32" s="116" t="s">
        <v>104</v>
      </c>
      <c r="F32" s="125">
        <f>G32*F33</f>
        <v>13.011694754905076</v>
      </c>
      <c r="G32" s="125">
        <v>14.143146472722908</v>
      </c>
      <c r="H32" s="125">
        <f>G32*H33</f>
        <v>15.274598190540742</v>
      </c>
      <c r="I32" s="144">
        <v>14.562790907389939</v>
      </c>
      <c r="J32" s="140"/>
      <c r="K32" s="234"/>
      <c r="L32" s="149"/>
      <c r="M32" s="149"/>
      <c r="V32" s="110"/>
      <c r="W32" s="134"/>
      <c r="X32" s="10"/>
    </row>
    <row r="33" spans="2:24" ht="21.75" customHeight="1">
      <c r="B33" s="170"/>
      <c r="C33" s="170"/>
      <c r="D33" s="173"/>
      <c r="E33" s="112" t="s">
        <v>105</v>
      </c>
      <c r="F33" s="113">
        <v>0.92</v>
      </c>
      <c r="G33" s="113">
        <v>1</v>
      </c>
      <c r="H33" s="113">
        <v>1.08</v>
      </c>
      <c r="I33" s="113">
        <f>IF(I32&lt;0,0,I32/G32)</f>
        <v>1.0296712217098491</v>
      </c>
      <c r="J33" s="138"/>
      <c r="K33" s="235"/>
      <c r="L33" s="149"/>
      <c r="M33" s="149"/>
      <c r="V33" s="110"/>
      <c r="W33" s="134"/>
      <c r="X33" s="10"/>
    </row>
    <row r="34" spans="2:24" ht="21.75" customHeight="1" thickBot="1">
      <c r="B34" s="171"/>
      <c r="C34" s="171"/>
      <c r="D34" s="174"/>
      <c r="E34" s="114" t="s">
        <v>106</v>
      </c>
      <c r="F34" s="115">
        <v>0.5</v>
      </c>
      <c r="G34" s="115">
        <v>1</v>
      </c>
      <c r="H34" s="115">
        <v>1.5</v>
      </c>
      <c r="I34" s="115">
        <f>IF(I33&lt;$F$33,0,IF(I33&gt;$H$33,$H$34,IF(I33&lt;$G$33,$F$34+(I33-$F$33)*($G$34-$F$34)/($G$33-$F$33),$G$33+(I33-$G$33)*($H$34-$G$34)/($H$33-$G$33))))</f>
        <v>1.185445135686557</v>
      </c>
      <c r="J34" s="139">
        <f>I34*D32</f>
        <v>0.59272256784327848</v>
      </c>
      <c r="K34" s="236"/>
      <c r="L34" s="149"/>
      <c r="M34" s="149"/>
    </row>
    <row r="35" spans="2:24" ht="20" thickBot="1">
      <c r="B35" s="5"/>
      <c r="C35" s="5"/>
      <c r="D35" s="6"/>
      <c r="E35" s="14"/>
      <c r="F35" s="13"/>
      <c r="G35" s="13"/>
      <c r="H35" s="13"/>
      <c r="I35" s="12"/>
      <c r="J35" s="16">
        <f>J31+J34</f>
        <v>1.3427225678432784</v>
      </c>
      <c r="K35" s="10"/>
      <c r="L35" s="10"/>
      <c r="M35" s="10"/>
    </row>
    <row r="36" spans="2:24" ht="19">
      <c r="B36" s="5"/>
      <c r="C36" s="5"/>
      <c r="D36" s="6"/>
      <c r="E36" s="6"/>
      <c r="I36" s="12"/>
      <c r="J36" s="107"/>
    </row>
    <row r="37" spans="2:24" ht="20" thickBot="1">
      <c r="B37" s="3"/>
      <c r="C37" s="3" t="s">
        <v>127</v>
      </c>
      <c r="D37" s="4"/>
      <c r="E37" s="4"/>
    </row>
    <row r="38" spans="2:24" ht="41" thickBot="1">
      <c r="B38" s="128" t="s">
        <v>9</v>
      </c>
      <c r="C38" s="126" t="s">
        <v>64</v>
      </c>
      <c r="D38" s="127" t="s">
        <v>68</v>
      </c>
      <c r="E38" s="127" t="s">
        <v>100</v>
      </c>
      <c r="F38" s="121" t="s">
        <v>94</v>
      </c>
      <c r="G38" s="121" t="s">
        <v>22</v>
      </c>
      <c r="H38" s="121" t="s">
        <v>95</v>
      </c>
      <c r="I38" s="123" t="s">
        <v>96</v>
      </c>
      <c r="J38" s="136" t="s">
        <v>98</v>
      </c>
      <c r="K38" s="142" t="s">
        <v>99</v>
      </c>
      <c r="L38" s="145"/>
      <c r="M38" s="145"/>
    </row>
    <row r="39" spans="2:24" ht="16">
      <c r="B39" s="178" t="s">
        <v>88</v>
      </c>
      <c r="C39" s="178" t="s">
        <v>110</v>
      </c>
      <c r="D39" s="222">
        <v>0.5</v>
      </c>
      <c r="E39" s="111" t="s">
        <v>104</v>
      </c>
      <c r="F39" s="124">
        <f>G39*F40</f>
        <v>5.2424648439274577</v>
      </c>
      <c r="G39" s="124">
        <v>6.7211087742659714</v>
      </c>
      <c r="H39" s="124">
        <f>G39*H40</f>
        <v>8.1997527046044851</v>
      </c>
      <c r="I39" s="143">
        <v>12.381774952772751</v>
      </c>
      <c r="J39" s="137"/>
      <c r="K39" s="230"/>
      <c r="L39" s="148"/>
      <c r="M39" s="148"/>
    </row>
    <row r="40" spans="2:24" ht="16">
      <c r="B40" s="170"/>
      <c r="C40" s="170"/>
      <c r="D40" s="173"/>
      <c r="E40" s="112" t="s">
        <v>105</v>
      </c>
      <c r="F40" s="113">
        <v>0.78</v>
      </c>
      <c r="G40" s="113">
        <v>1</v>
      </c>
      <c r="H40" s="113">
        <v>1.22</v>
      </c>
      <c r="I40" s="113">
        <f>IF(I39&lt;0,0,I39/G39)</f>
        <v>1.8422220750511504</v>
      </c>
      <c r="J40" s="138"/>
      <c r="K40" s="231"/>
      <c r="L40" s="148"/>
      <c r="M40" s="148"/>
    </row>
    <row r="41" spans="2:24" ht="17" thickBot="1">
      <c r="B41" s="171"/>
      <c r="C41" s="171"/>
      <c r="D41" s="174"/>
      <c r="E41" s="114" t="s">
        <v>106</v>
      </c>
      <c r="F41" s="115">
        <v>0.5</v>
      </c>
      <c r="G41" s="115">
        <v>1</v>
      </c>
      <c r="H41" s="115">
        <v>1.5</v>
      </c>
      <c r="I41" s="115">
        <f>IF(I40&lt;$F$40,0,IF(I40&gt;$H$40,$H$41,IF(I40&lt;$G$40,$F$41+(I40-$F$40)*($G$41-$F$41)/($G$40-$F$40),$G$40+(I40-$G$40)*($H$41-$G$41)/($H$40-$G$40))))</f>
        <v>1.5</v>
      </c>
      <c r="J41" s="139">
        <f>D39*I41</f>
        <v>0.75</v>
      </c>
      <c r="K41" s="233"/>
      <c r="L41" s="148"/>
      <c r="M41" s="148"/>
    </row>
    <row r="42" spans="2:24" ht="16">
      <c r="B42" s="169" t="s">
        <v>89</v>
      </c>
      <c r="C42" s="169" t="s">
        <v>111</v>
      </c>
      <c r="D42" s="172">
        <v>0.5</v>
      </c>
      <c r="E42" s="116" t="s">
        <v>104</v>
      </c>
      <c r="F42" s="125">
        <f>G42*F43</f>
        <v>7.4693671362372873</v>
      </c>
      <c r="G42" s="125">
        <v>8.1188773219970507</v>
      </c>
      <c r="H42" s="125">
        <f>G42*H43</f>
        <v>8.768387507756815</v>
      </c>
      <c r="I42" s="144">
        <v>8.1606278768075846</v>
      </c>
      <c r="J42" s="140"/>
      <c r="K42" s="230"/>
      <c r="L42" s="148"/>
      <c r="M42" s="150"/>
      <c r="N42" s="10"/>
    </row>
    <row r="43" spans="2:24" ht="16">
      <c r="B43" s="170"/>
      <c r="C43" s="170"/>
      <c r="D43" s="173"/>
      <c r="E43" s="112" t="s">
        <v>105</v>
      </c>
      <c r="F43" s="113">
        <v>0.92</v>
      </c>
      <c r="G43" s="113">
        <v>1</v>
      </c>
      <c r="H43" s="113">
        <v>1.08</v>
      </c>
      <c r="I43" s="113">
        <f>IF(I42&lt;0,0,I42/G42)</f>
        <v>1.0051424049353987</v>
      </c>
      <c r="J43" s="138"/>
      <c r="K43" s="231"/>
      <c r="L43" s="148"/>
      <c r="M43" s="150"/>
      <c r="N43" s="10"/>
    </row>
    <row r="44" spans="2:24" ht="17" thickBot="1">
      <c r="B44" s="171"/>
      <c r="C44" s="171"/>
      <c r="D44" s="174"/>
      <c r="E44" s="114" t="s">
        <v>106</v>
      </c>
      <c r="F44" s="115">
        <v>0.5</v>
      </c>
      <c r="G44" s="115">
        <v>1</v>
      </c>
      <c r="H44" s="115">
        <v>1.5</v>
      </c>
      <c r="I44" s="115">
        <f>IF(I43&lt;$F$43,0,IF(I43&gt;$H$43,$H$44,IF(I43&lt;$G$43,$F$44+(I43-$F$43)*($G$44-$F$44)/($G$43-$F$43),$G$43+(I43-$G$43)*($H$44-$G$44)/($H$43-$G$43))))</f>
        <v>1.0321400308462421</v>
      </c>
      <c r="J44" s="139">
        <f>I44*D42</f>
        <v>0.51607001542312103</v>
      </c>
      <c r="K44" s="232"/>
      <c r="L44" s="148"/>
      <c r="M44" s="148"/>
    </row>
    <row r="45" spans="2:24" ht="20" thickBot="1">
      <c r="B45" s="5"/>
      <c r="C45" s="5"/>
      <c r="D45" s="6"/>
      <c r="E45" s="14"/>
      <c r="F45" s="13"/>
      <c r="G45" s="13"/>
      <c r="H45" s="13"/>
      <c r="I45" s="12"/>
      <c r="J45" s="16">
        <f>J41+J44</f>
        <v>1.266070015423121</v>
      </c>
    </row>
    <row r="48" spans="2:24" ht="20" thickBot="1">
      <c r="B48" s="3"/>
      <c r="C48" s="3" t="s">
        <v>125</v>
      </c>
      <c r="D48" s="4"/>
      <c r="E48" s="4"/>
    </row>
    <row r="49" spans="2:13" ht="41" thickBot="1">
      <c r="B49" s="128" t="s">
        <v>9</v>
      </c>
      <c r="C49" s="126" t="s">
        <v>64</v>
      </c>
      <c r="D49" s="127" t="s">
        <v>68</v>
      </c>
      <c r="E49" s="127" t="s">
        <v>100</v>
      </c>
      <c r="F49" s="121" t="s">
        <v>94</v>
      </c>
      <c r="G49" s="121" t="s">
        <v>22</v>
      </c>
      <c r="H49" s="121" t="s">
        <v>95</v>
      </c>
      <c r="I49" s="123" t="s">
        <v>96</v>
      </c>
      <c r="J49" s="136" t="s">
        <v>98</v>
      </c>
      <c r="K49" s="142" t="s">
        <v>99</v>
      </c>
      <c r="L49" s="145"/>
      <c r="M49" s="145"/>
    </row>
    <row r="50" spans="2:13" ht="16">
      <c r="B50" s="178" t="s">
        <v>88</v>
      </c>
      <c r="C50" s="178" t="s">
        <v>110</v>
      </c>
      <c r="D50" s="222">
        <v>0.5</v>
      </c>
      <c r="E50" s="111" t="s">
        <v>104</v>
      </c>
      <c r="F50" s="124">
        <f>G50*F51</f>
        <v>6.8210260215840623</v>
      </c>
      <c r="G50" s="124">
        <v>8.744905155877003</v>
      </c>
      <c r="H50" s="124">
        <f>G50*H51</f>
        <v>10.668784290169944</v>
      </c>
      <c r="I50" s="143">
        <v>10.8797493034692</v>
      </c>
      <c r="J50" s="137"/>
      <c r="K50" s="230"/>
      <c r="L50" s="148"/>
      <c r="M50" s="148"/>
    </row>
    <row r="51" spans="2:13" ht="16">
      <c r="B51" s="170"/>
      <c r="C51" s="170"/>
      <c r="D51" s="173"/>
      <c r="E51" s="112" t="s">
        <v>105</v>
      </c>
      <c r="F51" s="113">
        <v>0.78</v>
      </c>
      <c r="G51" s="113">
        <v>1</v>
      </c>
      <c r="H51" s="113">
        <v>1.22</v>
      </c>
      <c r="I51" s="113">
        <f>IF(I50&lt;0,0,I50/G50)</f>
        <v>1.2441243340595269</v>
      </c>
      <c r="J51" s="138"/>
      <c r="K51" s="231"/>
      <c r="L51" s="148"/>
      <c r="M51" s="148"/>
    </row>
    <row r="52" spans="2:13" ht="17" thickBot="1">
      <c r="B52" s="171"/>
      <c r="C52" s="171"/>
      <c r="D52" s="174"/>
      <c r="E52" s="114" t="s">
        <v>106</v>
      </c>
      <c r="F52" s="115">
        <v>0.5</v>
      </c>
      <c r="G52" s="115">
        <v>1</v>
      </c>
      <c r="H52" s="115">
        <v>1.5</v>
      </c>
      <c r="I52" s="115">
        <f>IF(I51&lt;$F$51,0,IF(I51&gt;$H$51,$H$52,IF(I51&lt;$G$51,$F$52+(I51-$F$51)*($G$52-$F$52)/($G$51-$F$51),$G$51+(I51-$G$51)*($H$52-$G$52)/($H$51-$G$51))))</f>
        <v>1.5</v>
      </c>
      <c r="J52" s="139">
        <f>I52*D50</f>
        <v>0.75</v>
      </c>
      <c r="K52" s="233"/>
      <c r="L52" s="148"/>
      <c r="M52" s="148"/>
    </row>
    <row r="53" spans="2:13" ht="16">
      <c r="B53" s="169" t="s">
        <v>89</v>
      </c>
      <c r="C53" s="169" t="s">
        <v>111</v>
      </c>
      <c r="D53" s="172">
        <v>0.5</v>
      </c>
      <c r="E53" s="116" t="s">
        <v>104</v>
      </c>
      <c r="F53" s="125">
        <f>G53*F54</f>
        <v>12.462342770889583</v>
      </c>
      <c r="G53" s="125">
        <v>13.546024750966938</v>
      </c>
      <c r="H53" s="125">
        <f>G53*H54</f>
        <v>14.629706731044294</v>
      </c>
      <c r="I53" s="144">
        <v>13.167402997984677</v>
      </c>
      <c r="J53" s="140"/>
      <c r="K53" s="230"/>
      <c r="L53" s="148"/>
      <c r="M53" s="148"/>
    </row>
    <row r="54" spans="2:13" ht="16">
      <c r="B54" s="170"/>
      <c r="C54" s="170"/>
      <c r="D54" s="173"/>
      <c r="E54" s="112" t="s">
        <v>105</v>
      </c>
      <c r="F54" s="113">
        <v>0.92</v>
      </c>
      <c r="G54" s="113">
        <v>1</v>
      </c>
      <c r="H54" s="113">
        <v>1.08</v>
      </c>
      <c r="I54" s="113">
        <f>IF(I53&lt;0,0,I53/G53)</f>
        <v>0.97204923511192953</v>
      </c>
      <c r="J54" s="138"/>
      <c r="K54" s="231"/>
      <c r="L54" s="148"/>
      <c r="M54" s="148"/>
    </row>
    <row r="55" spans="2:13" ht="17" thickBot="1">
      <c r="B55" s="171"/>
      <c r="C55" s="171"/>
      <c r="D55" s="174"/>
      <c r="E55" s="114" t="s">
        <v>106</v>
      </c>
      <c r="F55" s="115">
        <v>0.5</v>
      </c>
      <c r="G55" s="115">
        <v>1</v>
      </c>
      <c r="H55" s="115">
        <v>1.5</v>
      </c>
      <c r="I55" s="115">
        <f>IF(I54&lt;$F$54,0,IF(I54&gt;$H$54,$H$55,IF(I54&lt;$G$54,$F$55+(I54-$F$54)*($G$55-$F$55)/($G$54-$F$54),$G$54+(I54-$G$54)*($H$55-$G$55)/($H$54-$G$54))))</f>
        <v>0.8253077194495595</v>
      </c>
      <c r="J55" s="139">
        <f>D53*I55</f>
        <v>0.41265385972477975</v>
      </c>
      <c r="K55" s="232"/>
      <c r="L55" s="148"/>
      <c r="M55" s="148"/>
    </row>
    <row r="56" spans="2:13" ht="20" thickBot="1">
      <c r="B56" s="5"/>
      <c r="C56" s="5"/>
      <c r="D56" s="6"/>
      <c r="E56" s="14"/>
      <c r="F56" s="13"/>
      <c r="G56" s="13"/>
      <c r="H56" s="13"/>
      <c r="I56" s="12"/>
      <c r="J56" s="16">
        <f>J52+J55</f>
        <v>1.1626538597247797</v>
      </c>
    </row>
    <row r="58" spans="2:13" ht="20" thickBot="1">
      <c r="B58" s="3"/>
      <c r="C58" s="3" t="s">
        <v>124</v>
      </c>
      <c r="D58" s="4"/>
      <c r="E58" s="4"/>
    </row>
    <row r="59" spans="2:13" ht="41" thickBot="1">
      <c r="B59" s="128" t="s">
        <v>9</v>
      </c>
      <c r="C59" s="126" t="s">
        <v>64</v>
      </c>
      <c r="D59" s="127" t="s">
        <v>68</v>
      </c>
      <c r="E59" s="127" t="s">
        <v>100</v>
      </c>
      <c r="F59" s="121" t="s">
        <v>94</v>
      </c>
      <c r="G59" s="121" t="s">
        <v>22</v>
      </c>
      <c r="H59" s="121" t="s">
        <v>95</v>
      </c>
      <c r="I59" s="123" t="s">
        <v>96</v>
      </c>
      <c r="J59" s="136" t="s">
        <v>98</v>
      </c>
      <c r="K59" s="142" t="s">
        <v>99</v>
      </c>
      <c r="L59" s="145"/>
      <c r="M59" s="145"/>
    </row>
    <row r="60" spans="2:13" ht="16">
      <c r="B60" s="178" t="s">
        <v>88</v>
      </c>
      <c r="C60" s="178" t="s">
        <v>110</v>
      </c>
      <c r="D60" s="222">
        <v>0.5</v>
      </c>
      <c r="E60" s="111" t="s">
        <v>104</v>
      </c>
      <c r="F60" s="124">
        <f>G60*F61</f>
        <v>7.2824272509177117</v>
      </c>
      <c r="G60" s="124">
        <v>9.336445193484245</v>
      </c>
      <c r="H60" s="124">
        <f>G60*H61</f>
        <v>11.390463136050778</v>
      </c>
      <c r="I60" s="143">
        <v>10.171060393513679</v>
      </c>
      <c r="J60" s="137"/>
      <c r="K60" s="230"/>
      <c r="L60" s="148"/>
      <c r="M60" s="148"/>
    </row>
    <row r="61" spans="2:13" ht="16">
      <c r="B61" s="170"/>
      <c r="C61" s="170"/>
      <c r="D61" s="173"/>
      <c r="E61" s="112" t="s">
        <v>105</v>
      </c>
      <c r="F61" s="113">
        <v>0.78</v>
      </c>
      <c r="G61" s="113">
        <v>1</v>
      </c>
      <c r="H61" s="113">
        <v>1.22</v>
      </c>
      <c r="I61" s="113">
        <f>IF(I60&lt;0,0,I60/G60)</f>
        <v>1.0893932522210807</v>
      </c>
      <c r="J61" s="138"/>
      <c r="K61" s="231"/>
      <c r="L61" s="148"/>
      <c r="M61" s="148"/>
    </row>
    <row r="62" spans="2:13" ht="17" thickBot="1">
      <c r="B62" s="171"/>
      <c r="C62" s="171"/>
      <c r="D62" s="174"/>
      <c r="E62" s="114" t="s">
        <v>106</v>
      </c>
      <c r="F62" s="115">
        <v>0.5</v>
      </c>
      <c r="G62" s="115">
        <v>1</v>
      </c>
      <c r="H62" s="115">
        <v>1.5</v>
      </c>
      <c r="I62" s="115">
        <f>IF(I61&lt;$F$61,0,IF(I61&gt;$H$61,$H$62,IF(I61&lt;$G$61,$F$62+(I61-$F$61)*($G$62-$F$62)/($G$61-$F$61),$G$61+(I61-$G$61)*($H$62-$G$62)/($H$61-$G$61))))</f>
        <v>1.2031664823206381</v>
      </c>
      <c r="J62" s="139">
        <f>D60*I62</f>
        <v>0.60158324116031903</v>
      </c>
      <c r="K62" s="233"/>
      <c r="L62" s="148"/>
      <c r="M62" s="148"/>
    </row>
    <row r="63" spans="2:13" ht="16">
      <c r="B63" s="169" t="s">
        <v>89</v>
      </c>
      <c r="C63" s="169" t="s">
        <v>111</v>
      </c>
      <c r="D63" s="172">
        <v>0.5</v>
      </c>
      <c r="E63" s="116" t="s">
        <v>104</v>
      </c>
      <c r="F63" s="125">
        <f>G63*F64</f>
        <v>5.5169124709598325</v>
      </c>
      <c r="G63" s="125">
        <v>5.9966439901737303</v>
      </c>
      <c r="H63" s="125">
        <f>G63*H64</f>
        <v>6.476375509387629</v>
      </c>
      <c r="I63" s="144">
        <v>5.7600685432297452</v>
      </c>
      <c r="J63" s="140"/>
      <c r="K63" s="230"/>
      <c r="L63" s="148"/>
      <c r="M63" s="148"/>
    </row>
    <row r="64" spans="2:13" ht="16">
      <c r="B64" s="170"/>
      <c r="C64" s="170"/>
      <c r="D64" s="173"/>
      <c r="E64" s="112" t="s">
        <v>105</v>
      </c>
      <c r="F64" s="113">
        <v>0.92</v>
      </c>
      <c r="G64" s="113">
        <v>1</v>
      </c>
      <c r="H64" s="113">
        <v>1.08</v>
      </c>
      <c r="I64" s="113">
        <f>IF(I63&lt;0,0,I63/G63)</f>
        <v>0.96054869234664519</v>
      </c>
      <c r="J64" s="138"/>
      <c r="K64" s="231"/>
      <c r="L64" s="148"/>
      <c r="M64" s="148"/>
    </row>
    <row r="65" spans="2:13" ht="17" thickBot="1">
      <c r="B65" s="171"/>
      <c r="C65" s="171"/>
      <c r="D65" s="174"/>
      <c r="E65" s="114" t="s">
        <v>106</v>
      </c>
      <c r="F65" s="115">
        <v>0.5</v>
      </c>
      <c r="G65" s="115">
        <v>1</v>
      </c>
      <c r="H65" s="115">
        <v>1.5</v>
      </c>
      <c r="I65" s="115">
        <f>IF(I64&lt;$F$64,0,IF(I64&gt;$H$64,$H$65,IF(I64&lt;$G$64,$F$65+(I64-$F$64)*($G$65-$F$65)/($G$64-$F$64),$G$64+(I64-$G$64)*($H$65-$G$65)/($H$64-$G$64))))</f>
        <v>0.75342932716653233</v>
      </c>
      <c r="J65" s="139">
        <f>D63*I65</f>
        <v>0.37671466358326616</v>
      </c>
      <c r="K65" s="232"/>
      <c r="L65" s="148"/>
      <c r="M65" s="148"/>
    </row>
    <row r="66" spans="2:13" ht="20" thickBot="1">
      <c r="B66" s="5"/>
      <c r="C66" s="5"/>
      <c r="D66" s="6"/>
      <c r="E66" s="14"/>
      <c r="F66" s="13"/>
      <c r="G66" s="13"/>
      <c r="H66" s="13"/>
      <c r="I66" s="12"/>
      <c r="J66" s="16">
        <f>J62+J65</f>
        <v>0.97829790474358513</v>
      </c>
    </row>
    <row r="69" spans="2:13" ht="20" thickBot="1">
      <c r="B69" s="3"/>
      <c r="C69" s="3" t="s">
        <v>123</v>
      </c>
      <c r="D69" s="4"/>
      <c r="E69" s="4"/>
    </row>
    <row r="70" spans="2:13" ht="41" thickBot="1">
      <c r="B70" s="128" t="s">
        <v>9</v>
      </c>
      <c r="C70" s="126" t="s">
        <v>64</v>
      </c>
      <c r="D70" s="127" t="s">
        <v>68</v>
      </c>
      <c r="E70" s="127" t="s">
        <v>100</v>
      </c>
      <c r="F70" s="121" t="s">
        <v>94</v>
      </c>
      <c r="G70" s="121" t="s">
        <v>22</v>
      </c>
      <c r="H70" s="121" t="s">
        <v>95</v>
      </c>
      <c r="I70" s="123" t="s">
        <v>96</v>
      </c>
      <c r="J70" s="136" t="s">
        <v>98</v>
      </c>
      <c r="K70" s="142" t="s">
        <v>99</v>
      </c>
      <c r="L70" s="145"/>
      <c r="M70" s="145"/>
    </row>
    <row r="71" spans="2:13" ht="16">
      <c r="B71" s="178" t="s">
        <v>88</v>
      </c>
      <c r="C71" s="178" t="s">
        <v>110</v>
      </c>
      <c r="D71" s="222">
        <v>0.5</v>
      </c>
      <c r="E71" s="111" t="s">
        <v>104</v>
      </c>
      <c r="F71" s="124">
        <f>G71*F72</f>
        <v>6.2284959535348117</v>
      </c>
      <c r="G71" s="124">
        <v>7.9852512224805272</v>
      </c>
      <c r="H71" s="124">
        <f>G71*H72</f>
        <v>9.7420064914262436</v>
      </c>
      <c r="I71" s="143">
        <v>11.665320066910677</v>
      </c>
      <c r="J71" s="137"/>
      <c r="K71" s="230"/>
      <c r="L71" s="148"/>
      <c r="M71" s="148"/>
    </row>
    <row r="72" spans="2:13" ht="16">
      <c r="B72" s="170"/>
      <c r="C72" s="170"/>
      <c r="D72" s="173"/>
      <c r="E72" s="112" t="s">
        <v>105</v>
      </c>
      <c r="F72" s="113">
        <v>0.78</v>
      </c>
      <c r="G72" s="113">
        <v>1</v>
      </c>
      <c r="H72" s="113">
        <v>1.22</v>
      </c>
      <c r="I72" s="113">
        <f>IF(I71&lt;0,0,I71/G71)</f>
        <v>1.4608582425146266</v>
      </c>
      <c r="J72" s="138"/>
      <c r="K72" s="231"/>
      <c r="L72" s="148"/>
      <c r="M72" s="148"/>
    </row>
    <row r="73" spans="2:13" ht="17" thickBot="1">
      <c r="B73" s="171"/>
      <c r="C73" s="171"/>
      <c r="D73" s="174"/>
      <c r="E73" s="114" t="s">
        <v>106</v>
      </c>
      <c r="F73" s="115">
        <v>0.5</v>
      </c>
      <c r="G73" s="115">
        <v>1</v>
      </c>
      <c r="H73" s="115">
        <v>1.5</v>
      </c>
      <c r="I73" s="115">
        <f>IF(I72&lt;$F$72,0,IF(I72&gt;$H$72,$H$73,IF(I72&lt;$G$72,$F$73+(I72-$F$72)*($G$73-$F$73)/($G$72-$F$72),$G$72+(I72-$G$72)*($H$73-$G$73)/($H$72-$G$72))))</f>
        <v>1.5</v>
      </c>
      <c r="J73" s="139">
        <f>D71*I73</f>
        <v>0.75</v>
      </c>
      <c r="K73" s="233"/>
      <c r="L73" s="148"/>
      <c r="M73" s="148"/>
    </row>
    <row r="74" spans="2:13" ht="16">
      <c r="B74" s="169" t="s">
        <v>89</v>
      </c>
      <c r="C74" s="169" t="s">
        <v>111</v>
      </c>
      <c r="D74" s="172">
        <v>0.5</v>
      </c>
      <c r="E74" s="116" t="s">
        <v>104</v>
      </c>
      <c r="F74" s="125">
        <f>G74*F75</f>
        <v>6.9454302999297512</v>
      </c>
      <c r="G74" s="125">
        <v>7.5493807607932073</v>
      </c>
      <c r="H74" s="125">
        <f>G74*H75</f>
        <v>8.1533312216566642</v>
      </c>
      <c r="I74" s="144">
        <v>7.4073344547549311</v>
      </c>
      <c r="J74" s="140"/>
      <c r="K74" s="230"/>
      <c r="L74" s="148"/>
      <c r="M74" s="148"/>
    </row>
    <row r="75" spans="2:13" ht="16">
      <c r="B75" s="170"/>
      <c r="C75" s="170"/>
      <c r="D75" s="173"/>
      <c r="E75" s="112" t="s">
        <v>105</v>
      </c>
      <c r="F75" s="113">
        <v>0.92</v>
      </c>
      <c r="G75" s="113">
        <v>1</v>
      </c>
      <c r="H75" s="113">
        <v>1.08</v>
      </c>
      <c r="I75" s="113">
        <f>IF(I74&lt;0,0,I74/G74)</f>
        <v>0.98118437650198065</v>
      </c>
      <c r="J75" s="138"/>
      <c r="K75" s="231"/>
      <c r="L75" s="148"/>
      <c r="M75" s="148"/>
    </row>
    <row r="76" spans="2:13" ht="17" thickBot="1">
      <c r="B76" s="171"/>
      <c r="C76" s="171"/>
      <c r="D76" s="174"/>
      <c r="E76" s="114" t="s">
        <v>106</v>
      </c>
      <c r="F76" s="115">
        <v>0.5</v>
      </c>
      <c r="G76" s="115">
        <v>1</v>
      </c>
      <c r="H76" s="115">
        <v>1.5</v>
      </c>
      <c r="I76" s="115">
        <f>IF(I75&lt;$F$75,0,IF(I75&gt;$H$75,$H$76,IF(I75&lt;$G$75,$F$76+(I75-$F$75)*($G$76-$F$76)/($G$75-$F$75),$G$75+(I75-$G$75)*($H$76-$G$76)/($H$75-$G$75))))</f>
        <v>0.88240235313737903</v>
      </c>
      <c r="J76" s="139">
        <f>D74*I76</f>
        <v>0.44120117656868951</v>
      </c>
      <c r="K76" s="232"/>
      <c r="L76" s="148"/>
      <c r="M76" s="148"/>
    </row>
    <row r="77" spans="2:13" ht="20" thickBot="1">
      <c r="B77" s="5"/>
      <c r="C77" s="5"/>
      <c r="D77" s="6"/>
      <c r="E77" s="14"/>
      <c r="F77" s="13"/>
      <c r="G77" s="13"/>
      <c r="H77" s="13"/>
      <c r="I77" s="12"/>
      <c r="J77" s="16">
        <f>J73+J76</f>
        <v>1.1912011765686894</v>
      </c>
    </row>
    <row r="80" spans="2:13" ht="20" thickBot="1">
      <c r="B80" s="3"/>
      <c r="C80" s="3" t="s">
        <v>122</v>
      </c>
      <c r="D80" s="4"/>
      <c r="E80" s="4"/>
    </row>
    <row r="81" spans="2:13" ht="41" thickBot="1">
      <c r="B81" s="128" t="s">
        <v>9</v>
      </c>
      <c r="C81" s="126" t="s">
        <v>64</v>
      </c>
      <c r="D81" s="127" t="s">
        <v>68</v>
      </c>
      <c r="E81" s="127" t="s">
        <v>100</v>
      </c>
      <c r="F81" s="121" t="s">
        <v>94</v>
      </c>
      <c r="G81" s="121" t="s">
        <v>22</v>
      </c>
      <c r="H81" s="121" t="s">
        <v>95</v>
      </c>
      <c r="I81" s="123" t="s">
        <v>96</v>
      </c>
      <c r="J81" s="136" t="s">
        <v>98</v>
      </c>
      <c r="K81" s="142" t="s">
        <v>99</v>
      </c>
      <c r="L81" s="145"/>
      <c r="M81" s="145"/>
    </row>
    <row r="82" spans="2:13" ht="16">
      <c r="B82" s="178" t="s">
        <v>88</v>
      </c>
      <c r="C82" s="178" t="s">
        <v>110</v>
      </c>
      <c r="D82" s="222">
        <v>0.5</v>
      </c>
      <c r="E82" s="111" t="s">
        <v>104</v>
      </c>
      <c r="F82" s="124">
        <f>G82*F83</f>
        <v>8.0786959341145046</v>
      </c>
      <c r="G82" s="124">
        <v>10.357302479633979</v>
      </c>
      <c r="H82" s="124">
        <f>G82*H83</f>
        <v>12.635909025153454</v>
      </c>
      <c r="I82" s="143">
        <v>12.822980192212064</v>
      </c>
      <c r="J82" s="137"/>
      <c r="K82" s="230"/>
      <c r="L82" s="148"/>
      <c r="M82" s="148"/>
    </row>
    <row r="83" spans="2:13" ht="16">
      <c r="B83" s="170"/>
      <c r="C83" s="170"/>
      <c r="D83" s="173"/>
      <c r="E83" s="112" t="s">
        <v>105</v>
      </c>
      <c r="F83" s="113">
        <v>0.78</v>
      </c>
      <c r="G83" s="113">
        <v>1</v>
      </c>
      <c r="H83" s="113">
        <v>1.22</v>
      </c>
      <c r="I83" s="113">
        <f>IF(I82&lt;0,0,I82/G82)</f>
        <v>1.2380617653512056</v>
      </c>
      <c r="J83" s="138"/>
      <c r="K83" s="231"/>
      <c r="L83" s="148"/>
      <c r="M83" s="148"/>
    </row>
    <row r="84" spans="2:13" ht="17" thickBot="1">
      <c r="B84" s="171"/>
      <c r="C84" s="171"/>
      <c r="D84" s="174"/>
      <c r="E84" s="114" t="s">
        <v>106</v>
      </c>
      <c r="F84" s="115">
        <v>0.5</v>
      </c>
      <c r="G84" s="115">
        <v>1</v>
      </c>
      <c r="H84" s="115">
        <v>1.5</v>
      </c>
      <c r="I84" s="115">
        <f>IF(I83&lt;$F$83,0,IF(I83&gt;$H$83,$H$84,IF(I83&lt;$G$83,$F$84+(I83-$F$83)*($G$84-$F$84)/($G$83-$F$83),$G$83+(I83-$G$83)*($H$84-$G$84)/($H$83-$G$83))))</f>
        <v>1.5</v>
      </c>
      <c r="J84" s="139">
        <f>D82*I84</f>
        <v>0.75</v>
      </c>
      <c r="K84" s="233"/>
      <c r="L84" s="148"/>
      <c r="M84" s="148"/>
    </row>
    <row r="85" spans="2:13" ht="16">
      <c r="B85" s="169" t="s">
        <v>89</v>
      </c>
      <c r="C85" s="169" t="s">
        <v>111</v>
      </c>
      <c r="D85" s="172">
        <v>0.5</v>
      </c>
      <c r="E85" s="116" t="s">
        <v>104</v>
      </c>
      <c r="F85" s="125">
        <f>G85*F86</f>
        <v>6.5135873415019052</v>
      </c>
      <c r="G85" s="124">
        <v>7.0799862407629401</v>
      </c>
      <c r="H85" s="125">
        <f>G85*H86</f>
        <v>7.646385140023976</v>
      </c>
      <c r="I85" s="144">
        <v>6.5457923624662158</v>
      </c>
      <c r="J85" s="140"/>
      <c r="K85" s="230"/>
      <c r="L85" s="148"/>
      <c r="M85" s="148"/>
    </row>
    <row r="86" spans="2:13" ht="16">
      <c r="B86" s="170"/>
      <c r="C86" s="170"/>
      <c r="D86" s="173"/>
      <c r="E86" s="112" t="s">
        <v>105</v>
      </c>
      <c r="F86" s="113">
        <v>0.92</v>
      </c>
      <c r="G86" s="113">
        <v>1</v>
      </c>
      <c r="H86" s="113">
        <v>1.08</v>
      </c>
      <c r="I86" s="113">
        <f>IF(I85&lt;0,0,I85/G85)</f>
        <v>0.92454874061462022</v>
      </c>
      <c r="J86" s="138"/>
      <c r="K86" s="231"/>
      <c r="L86" s="148"/>
      <c r="M86" s="148"/>
    </row>
    <row r="87" spans="2:13" ht="17" thickBot="1">
      <c r="B87" s="171"/>
      <c r="C87" s="171"/>
      <c r="D87" s="174"/>
      <c r="E87" s="114" t="s">
        <v>106</v>
      </c>
      <c r="F87" s="115">
        <v>0.5</v>
      </c>
      <c r="G87" s="115">
        <v>1</v>
      </c>
      <c r="H87" s="115">
        <v>1.5</v>
      </c>
      <c r="I87" s="115">
        <f>IF(I86&lt;$F$86,0,IF(I86&gt;$H$86,$H$87,IF(I86&lt;$G$86,$F$87+(I86-$F$86)*($G$87-$F$87)/($G$86-$F$86),$G$86+(I86-$G$86)*($H$87-$G$87)/($H$86-$G$86))))</f>
        <v>0.52842962884137612</v>
      </c>
      <c r="J87" s="139">
        <f>D85*I87</f>
        <v>0.26421481442068806</v>
      </c>
      <c r="K87" s="232"/>
      <c r="L87" s="148"/>
      <c r="M87" s="148"/>
    </row>
    <row r="88" spans="2:13" ht="20" thickBot="1">
      <c r="B88" s="5"/>
      <c r="C88" s="5"/>
      <c r="D88" s="6"/>
      <c r="E88" s="14"/>
      <c r="F88" s="13"/>
      <c r="G88" s="13"/>
      <c r="H88" s="13"/>
      <c r="I88" s="12"/>
      <c r="J88" s="16">
        <f>J84+J87</f>
        <v>1.0142148144206882</v>
      </c>
    </row>
    <row r="91" spans="2:13" ht="20" thickBot="1">
      <c r="B91" s="3"/>
      <c r="C91" s="3" t="s">
        <v>121</v>
      </c>
      <c r="D91" s="4"/>
      <c r="E91" s="4"/>
    </row>
    <row r="92" spans="2:13" ht="41" thickBot="1">
      <c r="B92" s="128" t="s">
        <v>9</v>
      </c>
      <c r="C92" s="126" t="s">
        <v>64</v>
      </c>
      <c r="D92" s="127" t="s">
        <v>68</v>
      </c>
      <c r="E92" s="127" t="s">
        <v>100</v>
      </c>
      <c r="F92" s="121" t="s">
        <v>94</v>
      </c>
      <c r="G92" s="121" t="s">
        <v>22</v>
      </c>
      <c r="H92" s="121" t="s">
        <v>95</v>
      </c>
      <c r="I92" s="123" t="s">
        <v>96</v>
      </c>
      <c r="J92" s="136" t="s">
        <v>98</v>
      </c>
      <c r="K92" s="142" t="s">
        <v>99</v>
      </c>
      <c r="L92" s="145"/>
      <c r="M92" s="145"/>
    </row>
    <row r="93" spans="2:13" ht="16">
      <c r="B93" s="178" t="s">
        <v>88</v>
      </c>
      <c r="C93" s="178" t="s">
        <v>110</v>
      </c>
      <c r="D93" s="222">
        <v>0.5</v>
      </c>
      <c r="E93" s="111" t="s">
        <v>104</v>
      </c>
      <c r="F93" s="124">
        <f>G93*F94</f>
        <v>5.2617099798934834</v>
      </c>
      <c r="G93" s="124">
        <v>6.7457820255044654</v>
      </c>
      <c r="H93" s="124">
        <f>G93*H94</f>
        <v>8.2298540711154473</v>
      </c>
      <c r="I93" s="143">
        <v>12.580171673068396</v>
      </c>
      <c r="J93" s="137"/>
      <c r="K93" s="230"/>
      <c r="L93" s="148"/>
      <c r="M93" s="148"/>
    </row>
    <row r="94" spans="2:13" ht="16">
      <c r="B94" s="170"/>
      <c r="C94" s="170"/>
      <c r="D94" s="173"/>
      <c r="E94" s="112" t="s">
        <v>105</v>
      </c>
      <c r="F94" s="113">
        <v>0.78</v>
      </c>
      <c r="G94" s="113">
        <v>1</v>
      </c>
      <c r="H94" s="113">
        <v>1.22</v>
      </c>
      <c r="I94" s="113">
        <f>IF(I93&lt;0,0,I93/G93)</f>
        <v>1.8648944815449504</v>
      </c>
      <c r="J94" s="138"/>
      <c r="K94" s="231"/>
      <c r="L94" s="148"/>
      <c r="M94" s="148"/>
    </row>
    <row r="95" spans="2:13" ht="17" thickBot="1">
      <c r="B95" s="171"/>
      <c r="C95" s="171"/>
      <c r="D95" s="174"/>
      <c r="E95" s="114" t="s">
        <v>106</v>
      </c>
      <c r="F95" s="115">
        <v>0.5</v>
      </c>
      <c r="G95" s="115">
        <v>1</v>
      </c>
      <c r="H95" s="115">
        <v>1.5</v>
      </c>
      <c r="I95" s="115">
        <f>IF(I94&lt;$F$94,0,IF(I94&gt;$H$94,$H$95,IF(I94&lt;$G$94,$F$95+(I94-$F$94)*($G$95-$F$95)/($G$94-$F$94),$G$94+(I94-$G$94)*($H$95-$G$95)/($H$94-$G$94))))</f>
        <v>1.5</v>
      </c>
      <c r="J95" s="139">
        <f>I95*D93</f>
        <v>0.75</v>
      </c>
      <c r="K95" s="233"/>
      <c r="L95" s="148"/>
      <c r="M95" s="148"/>
    </row>
    <row r="96" spans="2:13" ht="16">
      <c r="B96" s="169" t="s">
        <v>89</v>
      </c>
      <c r="C96" s="169" t="s">
        <v>111</v>
      </c>
      <c r="D96" s="172">
        <v>0.5</v>
      </c>
      <c r="E96" s="116" t="s">
        <v>104</v>
      </c>
      <c r="F96" s="125">
        <f>G96*F97</f>
        <v>5.834435491788466</v>
      </c>
      <c r="G96" s="124">
        <v>6.3417777084657239</v>
      </c>
      <c r="H96" s="125">
        <f>G96*H97</f>
        <v>6.8491199251429826</v>
      </c>
      <c r="I96" s="144">
        <v>6.0943008959430678</v>
      </c>
      <c r="J96" s="140"/>
      <c r="K96" s="230"/>
      <c r="L96" s="148"/>
      <c r="M96" s="148"/>
    </row>
    <row r="97" spans="2:13" ht="16">
      <c r="B97" s="170"/>
      <c r="C97" s="170"/>
      <c r="D97" s="173"/>
      <c r="E97" s="112" t="s">
        <v>105</v>
      </c>
      <c r="F97" s="113">
        <v>0.92</v>
      </c>
      <c r="G97" s="113">
        <v>1</v>
      </c>
      <c r="H97" s="113">
        <v>1.08</v>
      </c>
      <c r="I97" s="113">
        <f>IF(I96&lt;0,0,I96/G96)</f>
        <v>0.96097674439261782</v>
      </c>
      <c r="J97" s="138"/>
      <c r="K97" s="231"/>
      <c r="L97" s="148"/>
      <c r="M97" s="148"/>
    </row>
    <row r="98" spans="2:13" ht="17" thickBot="1">
      <c r="B98" s="171"/>
      <c r="C98" s="171"/>
      <c r="D98" s="174"/>
      <c r="E98" s="114" t="s">
        <v>106</v>
      </c>
      <c r="F98" s="115">
        <v>0.5</v>
      </c>
      <c r="G98" s="115">
        <v>1</v>
      </c>
      <c r="H98" s="115">
        <v>1.5</v>
      </c>
      <c r="I98" s="115">
        <f>IF(I97&lt;$F$97,0,IF(I97&gt;$H$97,$H$98,IF(I97&lt;$G$97,$F$98+(I97-$F$97)*($G$98-$F$98)/($G$97-$F$97),$G$97+(I97-$G$97)*($H$98-$G$98)/($H$97-$G$97))))</f>
        <v>0.75610465245386127</v>
      </c>
      <c r="J98" s="139">
        <f>D96*I98</f>
        <v>0.37805232622693064</v>
      </c>
      <c r="K98" s="232"/>
      <c r="L98" s="148"/>
      <c r="M98" s="148"/>
    </row>
    <row r="99" spans="2:13" ht="20" thickBot="1">
      <c r="B99" s="5"/>
      <c r="C99" s="5"/>
      <c r="D99" s="6"/>
      <c r="E99" s="14"/>
      <c r="F99" s="13"/>
      <c r="G99" s="13"/>
      <c r="H99" s="13"/>
      <c r="I99" s="12"/>
      <c r="J99" s="16">
        <f>J95+J98</f>
        <v>1.1280523262269306</v>
      </c>
    </row>
    <row r="103" spans="2:13" ht="20" thickBot="1">
      <c r="B103" s="3"/>
      <c r="C103" s="3" t="s">
        <v>120</v>
      </c>
      <c r="D103" s="4"/>
      <c r="E103" s="4"/>
    </row>
    <row r="104" spans="2:13" ht="41" thickBot="1">
      <c r="B104" s="128" t="s">
        <v>9</v>
      </c>
      <c r="C104" s="126" t="s">
        <v>64</v>
      </c>
      <c r="D104" s="127" t="s">
        <v>68</v>
      </c>
      <c r="E104" s="127" t="s">
        <v>100</v>
      </c>
      <c r="F104" s="121" t="s">
        <v>94</v>
      </c>
      <c r="G104" s="121" t="s">
        <v>22</v>
      </c>
      <c r="H104" s="121" t="s">
        <v>95</v>
      </c>
      <c r="I104" s="123" t="s">
        <v>96</v>
      </c>
      <c r="J104" s="136" t="s">
        <v>98</v>
      </c>
      <c r="K104" s="142" t="s">
        <v>99</v>
      </c>
      <c r="L104" s="145"/>
      <c r="M104" s="145"/>
    </row>
    <row r="105" spans="2:13" ht="16">
      <c r="B105" s="178" t="s">
        <v>88</v>
      </c>
      <c r="C105" s="178" t="s">
        <v>110</v>
      </c>
      <c r="D105" s="222">
        <v>0.5</v>
      </c>
      <c r="E105" s="111" t="s">
        <v>104</v>
      </c>
      <c r="F105" s="124">
        <f>G105*F106</f>
        <v>5.6982346209847137</v>
      </c>
      <c r="G105" s="124">
        <v>7.3054290012624534</v>
      </c>
      <c r="H105" s="124">
        <f>G105*H106</f>
        <v>8.9126233815401932</v>
      </c>
      <c r="I105" s="143">
        <v>10.74996791789944</v>
      </c>
      <c r="J105" s="137"/>
      <c r="K105" s="230"/>
      <c r="L105" s="148"/>
      <c r="M105" s="148"/>
    </row>
    <row r="106" spans="2:13" ht="16">
      <c r="B106" s="170"/>
      <c r="C106" s="170"/>
      <c r="D106" s="173"/>
      <c r="E106" s="112" t="s">
        <v>105</v>
      </c>
      <c r="F106" s="113">
        <v>0.78</v>
      </c>
      <c r="G106" s="113">
        <v>1</v>
      </c>
      <c r="H106" s="113">
        <v>1.22</v>
      </c>
      <c r="I106" s="113">
        <f>IF(I105&lt;0,0,I105/G105)</f>
        <v>1.4715039891622703</v>
      </c>
      <c r="J106" s="138"/>
      <c r="K106" s="231"/>
      <c r="L106" s="148"/>
      <c r="M106" s="148"/>
    </row>
    <row r="107" spans="2:13" ht="17" thickBot="1">
      <c r="B107" s="171"/>
      <c r="C107" s="171"/>
      <c r="D107" s="174"/>
      <c r="E107" s="114" t="s">
        <v>106</v>
      </c>
      <c r="F107" s="115">
        <v>0.5</v>
      </c>
      <c r="G107" s="115">
        <v>1</v>
      </c>
      <c r="H107" s="115">
        <v>1.5</v>
      </c>
      <c r="I107" s="115">
        <f>IF(I106&lt;$F$106,0,IF(I106&gt;$H$106,$H$107,IF(I106&lt;$G$106,$F$107+(I106-$F$106)*($G$107-$F$107)/($G$106-$F$106),$G$106+(I106-$G$106)*($H$107-$G$107)/($H$106-$G$106))))</f>
        <v>1.5</v>
      </c>
      <c r="J107" s="139">
        <f>D105*I107</f>
        <v>0.75</v>
      </c>
      <c r="K107" s="233"/>
      <c r="L107" s="148"/>
      <c r="M107" s="148"/>
    </row>
    <row r="108" spans="2:13" ht="16">
      <c r="B108" s="169" t="s">
        <v>89</v>
      </c>
      <c r="C108" s="169" t="s">
        <v>111</v>
      </c>
      <c r="D108" s="172">
        <v>0.5</v>
      </c>
      <c r="E108" s="116" t="s">
        <v>104</v>
      </c>
      <c r="F108" s="125">
        <f>G108*F109</f>
        <v>14.073660486936221</v>
      </c>
      <c r="G108" s="124">
        <v>15.297457051017631</v>
      </c>
      <c r="H108" s="125">
        <f>G108*H109</f>
        <v>16.521253615099042</v>
      </c>
      <c r="I108" s="144">
        <v>15.245271355229677</v>
      </c>
      <c r="J108" s="140"/>
      <c r="K108" s="230"/>
      <c r="L108" s="148"/>
      <c r="M108" s="148"/>
    </row>
    <row r="109" spans="2:13" ht="16">
      <c r="B109" s="170"/>
      <c r="C109" s="170"/>
      <c r="D109" s="173"/>
      <c r="E109" s="112" t="s">
        <v>105</v>
      </c>
      <c r="F109" s="113">
        <v>0.92</v>
      </c>
      <c r="G109" s="113">
        <v>1</v>
      </c>
      <c r="H109" s="113">
        <v>1.08</v>
      </c>
      <c r="I109" s="113">
        <f>IF(I108&lt;0,0,I108/G108)</f>
        <v>0.996588603215952</v>
      </c>
      <c r="J109" s="138"/>
      <c r="K109" s="231"/>
      <c r="L109" s="148"/>
      <c r="M109" s="148"/>
    </row>
    <row r="110" spans="2:13" ht="17" thickBot="1">
      <c r="B110" s="171"/>
      <c r="C110" s="171"/>
      <c r="D110" s="174"/>
      <c r="E110" s="114" t="s">
        <v>106</v>
      </c>
      <c r="F110" s="115">
        <v>0.5</v>
      </c>
      <c r="G110" s="115">
        <v>1</v>
      </c>
      <c r="H110" s="115">
        <v>1.5</v>
      </c>
      <c r="I110" s="115">
        <f>IF(I109&lt;$F$109,0,IF(I109&gt;$H$109,$H$110,IF(I109&lt;$G$109,$F$110+(I109-$F$109)*($G$110-$F$110)/($G$109-$F$109),$G$109+(I109-$G$109)*($H$110-$G$110)/($H$109-$G$109))))</f>
        <v>0.97867877009969995</v>
      </c>
      <c r="J110" s="139">
        <f>D108*I110</f>
        <v>0.48933938504984997</v>
      </c>
      <c r="K110" s="232"/>
      <c r="L110" s="148"/>
      <c r="M110" s="148"/>
    </row>
    <row r="111" spans="2:13" ht="20" thickBot="1">
      <c r="B111" s="5"/>
      <c r="C111" s="5"/>
      <c r="D111" s="6"/>
      <c r="E111" s="14"/>
      <c r="F111" s="13"/>
      <c r="G111" s="13"/>
      <c r="H111" s="13"/>
      <c r="I111" s="12"/>
      <c r="J111" s="16">
        <f>J107+J110</f>
        <v>1.23933938504985</v>
      </c>
    </row>
    <row r="114" spans="2:13" ht="20" thickBot="1">
      <c r="B114" s="3"/>
      <c r="C114" s="3" t="s">
        <v>119</v>
      </c>
      <c r="D114" s="4"/>
      <c r="E114" s="4"/>
    </row>
    <row r="115" spans="2:13" ht="41" thickBot="1">
      <c r="B115" s="128" t="s">
        <v>9</v>
      </c>
      <c r="C115" s="126" t="s">
        <v>64</v>
      </c>
      <c r="D115" s="127" t="s">
        <v>68</v>
      </c>
      <c r="E115" s="127" t="s">
        <v>100</v>
      </c>
      <c r="F115" s="121" t="s">
        <v>94</v>
      </c>
      <c r="G115" s="121" t="s">
        <v>22</v>
      </c>
      <c r="H115" s="121" t="s">
        <v>95</v>
      </c>
      <c r="I115" s="123" t="s">
        <v>96</v>
      </c>
      <c r="J115" s="136" t="s">
        <v>98</v>
      </c>
      <c r="K115" s="142" t="s">
        <v>99</v>
      </c>
      <c r="L115" s="145"/>
      <c r="M115" s="145"/>
    </row>
    <row r="116" spans="2:13" ht="16">
      <c r="B116" s="178" t="s">
        <v>88</v>
      </c>
      <c r="C116" s="178" t="s">
        <v>110</v>
      </c>
      <c r="D116" s="222">
        <v>0.5</v>
      </c>
      <c r="E116" s="111" t="s">
        <v>104</v>
      </c>
      <c r="F116" s="124">
        <f>G116*F117</f>
        <v>4.7858812882886861</v>
      </c>
      <c r="G116" s="124">
        <v>6.1357452413957514</v>
      </c>
      <c r="H116" s="124">
        <f>G116*H117</f>
        <v>7.4856091945028167</v>
      </c>
      <c r="I116" s="143">
        <v>15.254273514237426</v>
      </c>
      <c r="J116" s="137"/>
      <c r="K116" s="230"/>
      <c r="L116" s="148"/>
      <c r="M116" s="148"/>
    </row>
    <row r="117" spans="2:13" ht="16">
      <c r="B117" s="170"/>
      <c r="C117" s="170"/>
      <c r="D117" s="173"/>
      <c r="E117" s="112" t="s">
        <v>105</v>
      </c>
      <c r="F117" s="113">
        <v>0.78</v>
      </c>
      <c r="G117" s="113">
        <v>1</v>
      </c>
      <c r="H117" s="113">
        <v>1.22</v>
      </c>
      <c r="I117" s="113">
        <f>IF(I116&lt;0,0,I116/G116)</f>
        <v>2.4861321508791008</v>
      </c>
      <c r="J117" s="138"/>
      <c r="K117" s="231"/>
      <c r="L117" s="148"/>
      <c r="M117" s="148"/>
    </row>
    <row r="118" spans="2:13" ht="17" thickBot="1">
      <c r="B118" s="171"/>
      <c r="C118" s="171"/>
      <c r="D118" s="174"/>
      <c r="E118" s="114" t="s">
        <v>106</v>
      </c>
      <c r="F118" s="115">
        <v>0.5</v>
      </c>
      <c r="G118" s="115">
        <v>1</v>
      </c>
      <c r="H118" s="115">
        <v>1.5</v>
      </c>
      <c r="I118" s="115">
        <f>IF(I117&lt;$F$117,0,IF(I117&gt;$H$117,$H$118,IF(I117&lt;$G$117,$F$118+(I117-$F$117)*($G$118-$F$118)/($G$117-$F$117),$G$117+(I117-$G$117)*($H$118-$G$118)/($H$117-$G$117))))</f>
        <v>1.5</v>
      </c>
      <c r="J118" s="139">
        <f>D116*I118</f>
        <v>0.75</v>
      </c>
      <c r="K118" s="233"/>
      <c r="L118" s="148"/>
      <c r="M118" s="148"/>
    </row>
    <row r="119" spans="2:13" ht="16">
      <c r="B119" s="169" t="s">
        <v>89</v>
      </c>
      <c r="C119" s="169" t="s">
        <v>111</v>
      </c>
      <c r="D119" s="172">
        <v>0.5</v>
      </c>
      <c r="E119" s="116" t="s">
        <v>104</v>
      </c>
      <c r="F119" s="125">
        <f>G119*F120</f>
        <v>11.832416675525314</v>
      </c>
      <c r="G119" s="125">
        <v>12.861322473397079</v>
      </c>
      <c r="H119" s="125">
        <f>G119*H120</f>
        <v>13.890228271268846</v>
      </c>
      <c r="I119" s="144">
        <v>14.154663941411645</v>
      </c>
      <c r="J119" s="140"/>
      <c r="K119" s="230"/>
      <c r="L119" s="148"/>
      <c r="M119" s="148"/>
    </row>
    <row r="120" spans="2:13" ht="16">
      <c r="B120" s="170"/>
      <c r="C120" s="170"/>
      <c r="D120" s="173"/>
      <c r="E120" s="112" t="s">
        <v>105</v>
      </c>
      <c r="F120" s="113">
        <v>0.92</v>
      </c>
      <c r="G120" s="113">
        <v>1</v>
      </c>
      <c r="H120" s="113">
        <v>1.08</v>
      </c>
      <c r="I120" s="113">
        <f>IF(I119&lt;0,0,I119/G119)</f>
        <v>1.1005605349441918</v>
      </c>
      <c r="J120" s="138"/>
      <c r="K120" s="231"/>
      <c r="L120" s="148"/>
      <c r="M120" s="148"/>
    </row>
    <row r="121" spans="2:13" ht="17" thickBot="1">
      <c r="B121" s="171"/>
      <c r="C121" s="171"/>
      <c r="D121" s="174"/>
      <c r="E121" s="114" t="s">
        <v>106</v>
      </c>
      <c r="F121" s="115">
        <v>0.5</v>
      </c>
      <c r="G121" s="115">
        <v>1</v>
      </c>
      <c r="H121" s="115">
        <v>1.5</v>
      </c>
      <c r="I121" s="115">
        <f>IF(I120&lt;$F$120,0,IF(I120&gt;$H$120,$H$121,IF(I120&lt;$G$120,$F$121+(I120-$F$120)*($G$121-$F$121)/($G$120-$F$120),$G$120+(I120-$G$120)*($H$121-$G$121)/($H$120-$G$120))))</f>
        <v>1.5</v>
      </c>
      <c r="J121" s="139">
        <f>D119*I121</f>
        <v>0.75</v>
      </c>
      <c r="K121" s="232"/>
      <c r="L121" s="148"/>
      <c r="M121" s="148"/>
    </row>
    <row r="122" spans="2:13" ht="20" thickBot="1">
      <c r="B122" s="5"/>
      <c r="C122" s="5"/>
      <c r="D122" s="6"/>
      <c r="E122" s="14"/>
      <c r="F122" s="13"/>
      <c r="G122" s="13"/>
      <c r="H122" s="13"/>
      <c r="I122" s="12"/>
      <c r="J122" s="16">
        <f>J118+J121</f>
        <v>1.5</v>
      </c>
    </row>
    <row r="125" spans="2:13" ht="20" thickBot="1">
      <c r="B125" s="3"/>
      <c r="C125" s="3" t="s">
        <v>118</v>
      </c>
      <c r="D125" s="4"/>
      <c r="E125" s="4"/>
    </row>
    <row r="126" spans="2:13" ht="41" thickBot="1">
      <c r="B126" s="128" t="s">
        <v>9</v>
      </c>
      <c r="C126" s="126" t="s">
        <v>64</v>
      </c>
      <c r="D126" s="127" t="s">
        <v>68</v>
      </c>
      <c r="E126" s="127" t="s">
        <v>100</v>
      </c>
      <c r="F126" s="121" t="s">
        <v>94</v>
      </c>
      <c r="G126" s="121" t="s">
        <v>22</v>
      </c>
      <c r="H126" s="121" t="s">
        <v>95</v>
      </c>
      <c r="I126" s="123" t="s">
        <v>96</v>
      </c>
      <c r="J126" s="136" t="s">
        <v>98</v>
      </c>
      <c r="K126" s="142" t="s">
        <v>99</v>
      </c>
      <c r="L126" s="145"/>
      <c r="M126" s="145"/>
    </row>
    <row r="127" spans="2:13" ht="16">
      <c r="B127" s="178" t="s">
        <v>88</v>
      </c>
      <c r="C127" s="178" t="s">
        <v>110</v>
      </c>
      <c r="D127" s="222">
        <v>0.5</v>
      </c>
      <c r="E127" s="111" t="s">
        <v>104</v>
      </c>
      <c r="F127" s="124">
        <f>G127*F128</f>
        <v>4.7259738328533034</v>
      </c>
      <c r="G127" s="124">
        <v>6.0589408113503884</v>
      </c>
      <c r="H127" s="124">
        <f>G127*H128</f>
        <v>7.3919077898474734</v>
      </c>
      <c r="I127" s="143">
        <v>10.624498481142663</v>
      </c>
      <c r="J127" s="137"/>
      <c r="K127" s="230"/>
      <c r="L127" s="148"/>
      <c r="M127" s="148"/>
    </row>
    <row r="128" spans="2:13" ht="16">
      <c r="B128" s="170"/>
      <c r="C128" s="170"/>
      <c r="D128" s="173"/>
      <c r="E128" s="112" t="s">
        <v>105</v>
      </c>
      <c r="F128" s="113">
        <v>0.78</v>
      </c>
      <c r="G128" s="113">
        <v>1</v>
      </c>
      <c r="H128" s="113">
        <v>1.22</v>
      </c>
      <c r="I128" s="113">
        <f>IF(I127&lt;0,0,I127/G127)</f>
        <v>1.7535240584029941</v>
      </c>
      <c r="J128" s="138"/>
      <c r="K128" s="231"/>
      <c r="L128" s="148"/>
      <c r="M128" s="148"/>
    </row>
    <row r="129" spans="2:13" ht="17" thickBot="1">
      <c r="B129" s="171"/>
      <c r="C129" s="171"/>
      <c r="D129" s="174"/>
      <c r="E129" s="114" t="s">
        <v>106</v>
      </c>
      <c r="F129" s="115">
        <v>0.5</v>
      </c>
      <c r="G129" s="115">
        <v>1</v>
      </c>
      <c r="H129" s="115">
        <v>1.5</v>
      </c>
      <c r="I129" s="115">
        <f>IF(I128&lt;$F$128,0,IF(I128&gt;$H$128,$H$129,IF(I128&lt;$G$128,$F$129+(I128-$F$128)*($G$129-$F$129)/($G$128-$F$128),$G$128+(I128-$G$128)*($H$129-$G$129)/($H$128-$G$128))))</f>
        <v>1.5</v>
      </c>
      <c r="J129" s="139">
        <f>D127*I129</f>
        <v>0.75</v>
      </c>
      <c r="K129" s="233"/>
      <c r="L129" s="148"/>
      <c r="M129" s="148"/>
    </row>
    <row r="130" spans="2:13" ht="16">
      <c r="B130" s="169" t="s">
        <v>89</v>
      </c>
      <c r="C130" s="169" t="s">
        <v>111</v>
      </c>
      <c r="D130" s="172">
        <v>0.5</v>
      </c>
      <c r="E130" s="116" t="s">
        <v>104</v>
      </c>
      <c r="F130" s="125">
        <f>G130*F131</f>
        <v>18.00487227663951</v>
      </c>
      <c r="G130" s="125">
        <v>19.570513344173378</v>
      </c>
      <c r="H130" s="125">
        <f>G130*H131</f>
        <v>21.136154411707249</v>
      </c>
      <c r="I130" s="144">
        <v>19.113823341700655</v>
      </c>
      <c r="J130" s="140"/>
      <c r="K130" s="230"/>
      <c r="L130" s="148"/>
      <c r="M130" s="148"/>
    </row>
    <row r="131" spans="2:13" ht="16">
      <c r="B131" s="170"/>
      <c r="C131" s="170"/>
      <c r="D131" s="173"/>
      <c r="E131" s="112" t="s">
        <v>105</v>
      </c>
      <c r="F131" s="113">
        <v>0.92</v>
      </c>
      <c r="G131" s="113">
        <v>1</v>
      </c>
      <c r="H131" s="113">
        <v>1.08</v>
      </c>
      <c r="I131" s="113">
        <f>IF(I130&lt;0,0,I130/G130)</f>
        <v>0.97666438307257331</v>
      </c>
      <c r="J131" s="138"/>
      <c r="K131" s="231"/>
      <c r="L131" s="148"/>
      <c r="M131" s="148"/>
    </row>
    <row r="132" spans="2:13" ht="17" thickBot="1">
      <c r="B132" s="171"/>
      <c r="C132" s="171"/>
      <c r="D132" s="174"/>
      <c r="E132" s="114" t="s">
        <v>106</v>
      </c>
      <c r="F132" s="115">
        <v>0.5</v>
      </c>
      <c r="G132" s="115">
        <v>1</v>
      </c>
      <c r="H132" s="115">
        <v>1.5</v>
      </c>
      <c r="I132" s="115">
        <f>IF(I131&lt;$F$131,0,IF(I131&gt;$H$131,$H$132,IF(I131&lt;$G$131,$F$132+(I131-$F$131)*($G$132-$F$132)/($G$131-$F$131),$G$131+(I131-$G$131)*($H$132-$G$132)/($H$131-$G$131))))</f>
        <v>0.85415239420358313</v>
      </c>
      <c r="J132" s="139">
        <f>D130*I132</f>
        <v>0.42707619710179157</v>
      </c>
      <c r="K132" s="232"/>
      <c r="L132" s="148"/>
      <c r="M132" s="148"/>
    </row>
    <row r="133" spans="2:13" ht="20" thickBot="1">
      <c r="B133" s="5"/>
      <c r="C133" s="5"/>
      <c r="D133" s="6"/>
      <c r="E133" s="14"/>
      <c r="F133" s="13"/>
      <c r="G133" s="13"/>
      <c r="H133" s="13"/>
      <c r="I133" s="12"/>
      <c r="J133" s="16">
        <f>J129+J132</f>
        <v>1.1770761971017916</v>
      </c>
    </row>
  </sheetData>
  <mergeCells count="90">
    <mergeCell ref="O11:O13"/>
    <mergeCell ref="P11:P13"/>
    <mergeCell ref="D8:E8"/>
    <mergeCell ref="D9:E9"/>
    <mergeCell ref="D10:E10"/>
    <mergeCell ref="C11:C13"/>
    <mergeCell ref="D11:E13"/>
    <mergeCell ref="I11:I13"/>
    <mergeCell ref="J11:J13"/>
    <mergeCell ref="K11:K13"/>
    <mergeCell ref="K127:K129"/>
    <mergeCell ref="K130:K132"/>
    <mergeCell ref="K93:K95"/>
    <mergeCell ref="K96:K98"/>
    <mergeCell ref="K105:K107"/>
    <mergeCell ref="K108:K110"/>
    <mergeCell ref="K116:K118"/>
    <mergeCell ref="K119:K121"/>
    <mergeCell ref="K85:K87"/>
    <mergeCell ref="K29:K31"/>
    <mergeCell ref="K32:K34"/>
    <mergeCell ref="K39:K41"/>
    <mergeCell ref="K42:K44"/>
    <mergeCell ref="K50:K52"/>
    <mergeCell ref="K53:K55"/>
    <mergeCell ref="K60:K62"/>
    <mergeCell ref="K63:K65"/>
    <mergeCell ref="K71:K73"/>
    <mergeCell ref="K74:K76"/>
    <mergeCell ref="K82:K84"/>
    <mergeCell ref="B127:B129"/>
    <mergeCell ref="C127:C129"/>
    <mergeCell ref="D127:D129"/>
    <mergeCell ref="B130:B132"/>
    <mergeCell ref="C130:C132"/>
    <mergeCell ref="D130:D132"/>
    <mergeCell ref="B116:B118"/>
    <mergeCell ref="C116:C118"/>
    <mergeCell ref="D116:D118"/>
    <mergeCell ref="B119:B121"/>
    <mergeCell ref="C119:C121"/>
    <mergeCell ref="D119:D121"/>
    <mergeCell ref="B105:B107"/>
    <mergeCell ref="C105:C107"/>
    <mergeCell ref="D105:D107"/>
    <mergeCell ref="B108:B110"/>
    <mergeCell ref="C108:C110"/>
    <mergeCell ref="D108:D110"/>
    <mergeCell ref="B93:B95"/>
    <mergeCell ref="C93:C95"/>
    <mergeCell ref="D93:D95"/>
    <mergeCell ref="B96:B98"/>
    <mergeCell ref="C96:C98"/>
    <mergeCell ref="D96:D98"/>
    <mergeCell ref="B82:B84"/>
    <mergeCell ref="C82:C84"/>
    <mergeCell ref="D82:D84"/>
    <mergeCell ref="B85:B87"/>
    <mergeCell ref="C85:C87"/>
    <mergeCell ref="D85:D87"/>
    <mergeCell ref="B71:B73"/>
    <mergeCell ref="C71:C73"/>
    <mergeCell ref="D71:D73"/>
    <mergeCell ref="B74:B76"/>
    <mergeCell ref="C74:C76"/>
    <mergeCell ref="D74:D76"/>
    <mergeCell ref="B60:B62"/>
    <mergeCell ref="C60:C62"/>
    <mergeCell ref="D60:D62"/>
    <mergeCell ref="B63:B65"/>
    <mergeCell ref="C63:C65"/>
    <mergeCell ref="D63:D65"/>
    <mergeCell ref="B50:B52"/>
    <mergeCell ref="C50:C52"/>
    <mergeCell ref="D50:D52"/>
    <mergeCell ref="B53:B55"/>
    <mergeCell ref="C53:C55"/>
    <mergeCell ref="D53:D55"/>
    <mergeCell ref="B39:B41"/>
    <mergeCell ref="C39:C41"/>
    <mergeCell ref="D39:D41"/>
    <mergeCell ref="B42:B44"/>
    <mergeCell ref="C42:C44"/>
    <mergeCell ref="D42:D44"/>
    <mergeCell ref="B29:B31"/>
    <mergeCell ref="C29:C31"/>
    <mergeCell ref="D29:D31"/>
    <mergeCell ref="B32:B34"/>
    <mergeCell ref="C32:C34"/>
    <mergeCell ref="D32:D3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Корп КПЭ в разрезе BU</vt:lpstr>
      <vt:lpstr>Централиз. команда ОМНИ</vt:lpstr>
      <vt:lpstr>AdTech</vt:lpstr>
      <vt:lpstr>Округа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Бабкин Денис Владимирович</cp:lastModifiedBy>
  <dcterms:created xsi:type="dcterms:W3CDTF">2024-02-08T15:12:24Z</dcterms:created>
  <dcterms:modified xsi:type="dcterms:W3CDTF">2026-09-18T15:13:57Z</dcterms:modified>
</cp:coreProperties>
</file>