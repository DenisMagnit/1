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" sheetId="1" state="visible" r:id="rId3"/>
    <sheet name="Свод BU2027" sheetId="2" state="visible" r:id="rId4"/>
    <sheet name="BU2027 расчёт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<sst xmlns="http://schemas.openxmlformats.org/spreadsheetml/2006/main" count="219" uniqueCount="115">
  <si>
    <t xml:space="preserve">факт</t>
  </si>
  <si>
    <t xml:space="preserve">прогноз</t>
  </si>
  <si>
    <t xml:space="preserve">P&amp;L, RUB</t>
  </si>
  <si>
    <t xml:space="preserve">jan'26</t>
  </si>
  <si>
    <t xml:space="preserve">feb'26</t>
  </si>
  <si>
    <t xml:space="preserve">mar'26</t>
  </si>
  <si>
    <t xml:space="preserve">apr'26</t>
  </si>
  <si>
    <t xml:space="preserve">may'26</t>
  </si>
  <si>
    <t xml:space="preserve">jun'26</t>
  </si>
  <si>
    <t xml:space="preserve">jul'26</t>
  </si>
  <si>
    <t xml:space="preserve">aug'26</t>
  </si>
  <si>
    <t xml:space="preserve">sep'26</t>
  </si>
  <si>
    <t xml:space="preserve">oct'26</t>
  </si>
  <si>
    <t xml:space="preserve">nov'26</t>
  </si>
  <si>
    <t xml:space="preserve">dec'26</t>
  </si>
  <si>
    <t xml:space="preserve">Orders</t>
  </si>
  <si>
    <t xml:space="preserve">Own service</t>
  </si>
  <si>
    <t xml:space="preserve">Partners service</t>
  </si>
  <si>
    <t xml:space="preserve">Gross Revenue</t>
  </si>
  <si>
    <t xml:space="preserve">Promo incl Loyalty</t>
  </si>
  <si>
    <t xml:space="preserve">Net Revenue</t>
  </si>
  <si>
    <t xml:space="preserve">Commercial margin</t>
  </si>
  <si>
    <t xml:space="preserve">Commercial margin%</t>
  </si>
  <si>
    <t xml:space="preserve">Losses</t>
  </si>
  <si>
    <t xml:space="preserve">Losses%</t>
  </si>
  <si>
    <t xml:space="preserve">Logistics</t>
  </si>
  <si>
    <t xml:space="preserve">Logistics, %</t>
  </si>
  <si>
    <t xml:space="preserve">Stock provision</t>
  </si>
  <si>
    <t xml:space="preserve">Stock provision, %</t>
  </si>
  <si>
    <t xml:space="preserve">Packaging materials</t>
  </si>
  <si>
    <t xml:space="preserve">Packaging materials, %</t>
  </si>
  <si>
    <t xml:space="preserve">Gross margin</t>
  </si>
  <si>
    <t xml:space="preserve">Gross margin %</t>
  </si>
  <si>
    <t xml:space="preserve">Total other revenue</t>
  </si>
  <si>
    <t xml:space="preserve">Total other revenue %</t>
  </si>
  <si>
    <t xml:space="preserve">Total OPEX</t>
  </si>
  <si>
    <t xml:space="preserve">Total OPEX %</t>
  </si>
  <si>
    <t xml:space="preserve">PEX</t>
  </si>
  <si>
    <t xml:space="preserve">PEX%</t>
  </si>
  <si>
    <t xml:space="preserve">PEX retail</t>
  </si>
  <si>
    <t xml:space="preserve">PEX admin</t>
  </si>
  <si>
    <t xml:space="preserve">PEX other</t>
  </si>
  <si>
    <t xml:space="preserve">NON PEX</t>
  </si>
  <si>
    <t xml:space="preserve">NON PEX%</t>
  </si>
  <si>
    <t xml:space="preserve">Picking and Delivery</t>
  </si>
  <si>
    <t xml:space="preserve">Picking and Delivery, %</t>
  </si>
  <si>
    <t xml:space="preserve">Utilities costs</t>
  </si>
  <si>
    <t xml:space="preserve">Utilities costs, %</t>
  </si>
  <si>
    <t xml:space="preserve">Repair and maintenance</t>
  </si>
  <si>
    <t xml:space="preserve">Repair and maintenance, %</t>
  </si>
  <si>
    <t xml:space="preserve">Packaging and materials</t>
  </si>
  <si>
    <t xml:space="preserve">Packaging and materials, %</t>
  </si>
  <si>
    <t xml:space="preserve">Security</t>
  </si>
  <si>
    <t xml:space="preserve">Security, %</t>
  </si>
  <si>
    <t xml:space="preserve">Marketing</t>
  </si>
  <si>
    <t xml:space="preserve">Own Marketing</t>
  </si>
  <si>
    <t xml:space="preserve">Partners' Marketing</t>
  </si>
  <si>
    <t xml:space="preserve">Marketing, %</t>
  </si>
  <si>
    <t xml:space="preserve">Consulting and insurance</t>
  </si>
  <si>
    <t xml:space="preserve">Consulting and insurance, %</t>
  </si>
  <si>
    <t xml:space="preserve">Other OPEX</t>
  </si>
  <si>
    <t xml:space="preserve">Other OPEX, %</t>
  </si>
  <si>
    <t xml:space="preserve">Rent</t>
  </si>
  <si>
    <t xml:space="preserve">Rent %</t>
  </si>
  <si>
    <t xml:space="preserve">LTI</t>
  </si>
  <si>
    <t xml:space="preserve">EBITDA </t>
  </si>
  <si>
    <t xml:space="preserve">EBITDA, %</t>
  </si>
  <si>
    <t xml:space="preserve">бюджет</t>
  </si>
  <si>
    <t xml:space="preserve">jan'27</t>
  </si>
  <si>
    <t xml:space="preserve">feb'27</t>
  </si>
  <si>
    <t xml:space="preserve">mar'27</t>
  </si>
  <si>
    <t xml:space="preserve">apr'27</t>
  </si>
  <si>
    <t xml:space="preserve">may'27</t>
  </si>
  <si>
    <t xml:space="preserve">jun'27</t>
  </si>
  <si>
    <t xml:space="preserve">jul'27</t>
  </si>
  <si>
    <t xml:space="preserve">aug'27</t>
  </si>
  <si>
    <t xml:space="preserve">sep'27</t>
  </si>
  <si>
    <t xml:space="preserve">oct'27</t>
  </si>
  <si>
    <t xml:space="preserve">nov'27</t>
  </si>
  <si>
    <t xml:space="preserve">dec'27</t>
  </si>
  <si>
    <t xml:space="preserve">Расчёт BU 2027 для консолидации, млн руб. Источник: модель бюджета AdTech 2027 (cons 16.10)</t>
  </si>
  <si>
    <t xml:space="preserve">Логика как в CONS 2026: Commercial margin = прирост выручки 2027 к FC 2026 + вознаграждения РА и креаторам; прирост распределён по месяцам пропорционально выручке BU 2027 направления. OPEX — полный бюджет 2027.</t>
  </si>
  <si>
    <t xml:space="preserve">Статья</t>
  </si>
  <si>
    <t xml:space="preserve">2027</t>
  </si>
  <si>
    <t xml:space="preserve">FC 2026</t>
  </si>
  <si>
    <t xml:space="preserve">Прирост</t>
  </si>
  <si>
    <t xml:space="preserve">Выручка BU 2027</t>
  </si>
  <si>
    <t xml:space="preserve">APP</t>
  </si>
  <si>
    <t xml:space="preserve">Online DMP</t>
  </si>
  <si>
    <t xml:space="preserve">DMP</t>
  </si>
  <si>
    <t xml:space="preserve">Instore digital</t>
  </si>
  <si>
    <t xml:space="preserve">Content factory отдельное ЮЛ</t>
  </si>
  <si>
    <t xml:space="preserve">RMN (Brand budgets call) отдельное ЮЛ</t>
  </si>
  <si>
    <t xml:space="preserve">Gross Revenue BU 2027</t>
  </si>
  <si>
    <t xml:space="preserve">Прирост выручки к FC 2026 по месяцам</t>
  </si>
  <si>
    <t xml:space="preserve">APP (E-comm)</t>
  </si>
  <si>
    <t xml:space="preserve">Online DMP (Offline)</t>
  </si>
  <si>
    <t xml:space="preserve">DMP (Offline)</t>
  </si>
  <si>
    <t xml:space="preserve">Instore digital (Offline)</t>
  </si>
  <si>
    <t xml:space="preserve">Content factory отдельное ЮЛ (Offline)</t>
  </si>
  <si>
    <t xml:space="preserve">RMN (Brand budgets call) отдельное ЮЛ (Offline)</t>
  </si>
  <si>
    <t xml:space="preserve">Прирост E-comm</t>
  </si>
  <si>
    <t xml:space="preserve">Прирост Offline</t>
  </si>
  <si>
    <t xml:space="preserve">Прирост выручки итого</t>
  </si>
  <si>
    <t xml:space="preserve">Расходы BU 2027</t>
  </si>
  <si>
    <t xml:space="preserve">Вознаграждения рекламным агентствам</t>
  </si>
  <si>
    <t xml:space="preserve">Вознаграждения креаторам</t>
  </si>
  <si>
    <t xml:space="preserve">Вознаграждения РА и креаторам (как Direct cost 2026)</t>
  </si>
  <si>
    <t xml:space="preserve">Other PEX</t>
  </si>
  <si>
    <t xml:space="preserve">Marketing всего (модель)</t>
  </si>
  <si>
    <t xml:space="preserve">Marketing без вознаграждений РА и креаторам</t>
  </si>
  <si>
    <t xml:space="preserve">IT (Consulting and insurance)</t>
  </si>
  <si>
    <t xml:space="preserve">Свод для консолидации</t>
  </si>
  <si>
    <t xml:space="preserve">EBITDA</t>
  </si>
  <si>
    <t xml:space="preserve">Проверка: EBITDA = EBITDA (CONS) модели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</si>
</sst>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_ ;[RED]\-#,##0.00\ "/>
    <numFmt numFmtId="166" formatCode="#,##0"/>
    <numFmt numFmtId="167" formatCode="0.0%"/>
    <numFmt numFmtId="168" formatCode="0%"/>
    <numFmt numFmtId="169" formatCode="_(* #,##0.00_);_(* \(#,##0.00\);_(* \-??_);_(@_)"/>
    <numFmt numFmtId="170" formatCode="_-* #,##0_-;\-* #,##0_-;_-* \-??_-;_-@_-"/>
    <numFmt numFmtId="171" formatCode="#,##0.0;[RED]\-#,##0.0"/>
  </numFmts>
  <fonts count="13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204"/>
    </font>
    <font>
      <b val="true"/>
      <sz val="10"/>
      <name val="Arial"/>
      <family val="2"/>
      <charset val="204"/>
    </font>
    <font>
      <b val="true"/>
      <sz val="10"/>
      <color theme="0"/>
      <name val="Arial"/>
      <family val="2"/>
      <charset val="204"/>
    </font>
    <font>
      <sz val="10"/>
      <name val="Arial"/>
      <family val="2"/>
      <charset val="204"/>
    </font>
    <font>
      <sz val="10"/>
      <color rgb="FFC00000"/>
      <name val="Arial"/>
      <family val="2"/>
      <charset val="204"/>
    </font>
    <font>
      <b val="true"/>
      <sz val="10"/>
      <color rgb="FFC00000"/>
      <name val="Arial"/>
      <family val="2"/>
      <charset val="204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7999"/>
        <bgColor rgb="FFF2F2F2"/>
      </patternFill>
    </fill>
    <fill>
      <patternFill patternType="solid">
        <fgColor theme="4" tint="0.7999"/>
        <bgColor rgb="FFD9D9D9"/>
      </patternFill>
    </fill>
    <fill>
      <patternFill patternType="solid">
        <fgColor rgb="FFC00000"/>
        <bgColor rgb="FFFF0000"/>
      </patternFill>
    </fill>
    <fill>
      <patternFill patternType="solid">
        <fgColor theme="5" tint="0.7999"/>
        <bgColor rgb="FFFCE4D6"/>
      </patternFill>
    </fill>
    <fill>
      <patternFill patternType="solid">
        <fgColor rgb="FFFCE4D6"/>
        <bgColor rgb="FFFBE5D6"/>
      </patternFill>
    </fill>
    <fill>
      <patternFill patternType="solid">
        <fgColor theme="0" tint="-0.05"/>
        <bgColor rgb="FFE2F0D9"/>
      </patternFill>
    </fill>
    <fill>
      <patternFill patternType="solid">
        <fgColor rgb="FFD9D9D9"/>
        <bgColor rgb="FFDAE3F3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 style="thick">
        <color rgb="FFC00000"/>
      </top>
      <bottom style="thick">
        <color rgb="FFC00000"/>
      </bottom>
      <diagonal/>
    </border>
    <border diagonalUp="false" diagonalDown="false">
      <left/>
      <right/>
      <top style="dotted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dotted"/>
      <diagonal/>
    </border>
    <border diagonalUp="false" diagonalDown="false">
      <left/>
      <right/>
      <top/>
      <bottom style="thin">
        <color rgb="FFC00000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2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0" xfId="20" applyFont="true" applyBorder="false" applyAlignment="true" applyProtection="false">
      <alignment horizontal="left" vertical="center" textRotation="0" wrapText="true" indent="3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8" fillId="5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2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9" fillId="7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0" xfId="2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0" fillId="0" borderId="0" xfId="2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0" fillId="7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7" borderId="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6" fillId="7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10" fillId="7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9" fillId="7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8" fillId="7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0" xfId="2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6" fontId="8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2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8" fontId="9" fillId="7" borderId="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2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5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" fillId="7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 2" xfId="20"/>
    <cellStyle name="Обычный 2 1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BE5D6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64"/>
  <sheetViews>
    <sheetView showFormulas="false" showGridLines="fals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J74" activeCellId="0" sqref="J74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51.83"/>
    <col collapsed="false" customWidth="true" hidden="false" outlineLevel="0" max="13" min="2" style="0" width="14.16"/>
    <col collapsed="false" customWidth="true" hidden="false" outlineLevel="0" max="14" min="14" style="1" width="11.16"/>
  </cols>
  <sheetData>
    <row r="2" customFormat="false" ht="15.75" hidden="false" customHeight="true" outlineLevel="0" collapsed="false"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3" t="s">
        <v>1</v>
      </c>
      <c r="L2" s="3" t="s">
        <v>1</v>
      </c>
      <c r="M2" s="3" t="s">
        <v>1</v>
      </c>
    </row>
    <row r="3" s="7" customFormat="true" ht="15" hidden="false" customHeight="true" outlineLevel="0" collapsed="false">
      <c r="A3" s="4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  <c r="M3" s="5" t="s">
        <v>14</v>
      </c>
      <c r="N3" s="6"/>
    </row>
    <row r="4" s="7" customFormat="true" ht="15" hidden="true" customHeight="true" outlineLevel="0" collapsed="false">
      <c r="A4" s="8" t="s">
        <v>15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6"/>
    </row>
    <row r="5" s="7" customFormat="true" ht="14.25" hidden="true" customHeight="true" outlineLevel="0" collapsed="false">
      <c r="A5" s="10" t="s">
        <v>16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6"/>
    </row>
    <row r="6" s="7" customFormat="true" ht="14.25" hidden="true" customHeight="true" outlineLevel="0" collapsed="false">
      <c r="A6" s="10" t="s">
        <v>17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6"/>
    </row>
    <row r="7" s="7" customFormat="true" ht="14.25" hidden="true" customHeight="true" outlineLevel="0" collapsed="false">
      <c r="A7" s="8" t="s">
        <v>18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6"/>
    </row>
    <row r="8" s="7" customFormat="true" ht="14.25" hidden="true" customHeight="true" outlineLevel="0" collapsed="false">
      <c r="A8" s="10" t="s">
        <v>16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6"/>
    </row>
    <row r="9" s="7" customFormat="true" ht="14.25" hidden="true" customHeight="true" outlineLevel="0" collapsed="false">
      <c r="A9" s="10" t="s">
        <v>17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6"/>
    </row>
    <row r="10" s="7" customFormat="true" ht="14.25" hidden="true" customHeight="true" outlineLevel="0" collapsed="false">
      <c r="A10" s="8" t="s">
        <v>19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6"/>
    </row>
    <row r="11" s="7" customFormat="true" ht="14.25" hidden="true" customHeight="true" outlineLevel="0" collapsed="false">
      <c r="A11" s="10" t="s">
        <v>16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6"/>
    </row>
    <row r="12" s="7" customFormat="true" ht="14.25" hidden="true" customHeight="true" outlineLevel="0" collapsed="false">
      <c r="A12" s="10" t="s">
        <v>17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6"/>
    </row>
    <row r="13" s="7" customFormat="true" ht="14.25" hidden="true" customHeight="true" outlineLevel="0" collapsed="false">
      <c r="A13" s="8" t="s">
        <v>20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6"/>
    </row>
    <row r="14" s="7" customFormat="true" ht="14.25" hidden="true" customHeight="true" outlineLevel="0" collapsed="false">
      <c r="A14" s="10" t="s">
        <v>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6"/>
    </row>
    <row r="15" s="7" customFormat="true" ht="14.25" hidden="true" customHeight="true" outlineLevel="0" collapsed="false">
      <c r="A15" s="10" t="s">
        <v>17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6"/>
    </row>
    <row r="16" s="7" customFormat="true" ht="15" hidden="false" customHeight="true" outlineLevel="0" collapsed="false">
      <c r="A16" s="8" t="s">
        <v>21</v>
      </c>
      <c r="B16" s="9" t="n">
        <v>79925999.3443796</v>
      </c>
      <c r="C16" s="9" t="n">
        <v>141070480.697693</v>
      </c>
      <c r="D16" s="9" t="n">
        <v>132973014.089216</v>
      </c>
      <c r="E16" s="9" t="n">
        <v>161307290.087433</v>
      </c>
      <c r="F16" s="9" t="n">
        <v>328261556.660264</v>
      </c>
      <c r="G16" s="9" t="n">
        <v>437761061.402804</v>
      </c>
      <c r="H16" s="9" t="n">
        <v>261366316.26821</v>
      </c>
      <c r="I16" s="9" t="n">
        <v>253412062.030422</v>
      </c>
      <c r="J16" s="9" t="n">
        <v>434087500.800036</v>
      </c>
      <c r="K16" s="9" t="n">
        <v>187706013.280844</v>
      </c>
      <c r="L16" s="9" t="n">
        <v>302722641.846839</v>
      </c>
      <c r="M16" s="9" t="n">
        <v>393067327.671565</v>
      </c>
      <c r="N16" s="6"/>
    </row>
    <row r="17" s="7" customFormat="true" ht="15" hidden="true" customHeight="true" outlineLevel="0" collapsed="false">
      <c r="A17" s="15" t="s">
        <v>22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6"/>
    </row>
    <row r="18" s="7" customFormat="true" ht="15" hidden="true" customHeight="true" outlineLevel="0" collapsed="false">
      <c r="A18" s="17" t="s">
        <v>23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6"/>
    </row>
    <row r="19" s="7" customFormat="true" ht="15" hidden="true" customHeight="true" outlineLevel="0" collapsed="false">
      <c r="A19" s="15" t="s">
        <v>24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6"/>
    </row>
    <row r="20" s="7" customFormat="true" ht="15" hidden="true" customHeight="true" outlineLevel="0" collapsed="false">
      <c r="A20" s="17" t="s">
        <v>25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6"/>
    </row>
    <row r="21" s="7" customFormat="true" ht="15" hidden="true" customHeight="true" outlineLevel="0" collapsed="false">
      <c r="A21" s="15" t="s">
        <v>26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6"/>
    </row>
    <row r="22" s="7" customFormat="true" ht="15" hidden="true" customHeight="true" outlineLevel="0" collapsed="false">
      <c r="A22" s="17" t="s">
        <v>27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6"/>
    </row>
    <row r="23" s="7" customFormat="true" ht="15" hidden="true" customHeight="true" outlineLevel="0" collapsed="false">
      <c r="A23" s="15" t="s">
        <v>28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6"/>
    </row>
    <row r="24" s="7" customFormat="true" ht="15" hidden="true" customHeight="true" outlineLevel="0" collapsed="false">
      <c r="A24" s="17" t="s">
        <v>29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6"/>
    </row>
    <row r="25" s="7" customFormat="true" ht="15" hidden="true" customHeight="true" outlineLevel="0" collapsed="false">
      <c r="A25" s="15" t="s">
        <v>30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6"/>
    </row>
    <row r="26" s="7" customFormat="true" ht="15" hidden="false" customHeight="true" outlineLevel="0" collapsed="false">
      <c r="A26" s="18" t="s">
        <v>31</v>
      </c>
      <c r="B26" s="19" t="n">
        <v>79925999.3443796</v>
      </c>
      <c r="C26" s="19" t="n">
        <v>141070480.697693</v>
      </c>
      <c r="D26" s="19" t="n">
        <v>132973014.089216</v>
      </c>
      <c r="E26" s="19" t="n">
        <v>161307290.087433</v>
      </c>
      <c r="F26" s="19" t="n">
        <v>328261556.660264</v>
      </c>
      <c r="G26" s="19" t="n">
        <v>437761061.402804</v>
      </c>
      <c r="H26" s="19" t="n">
        <v>261366316.26821</v>
      </c>
      <c r="I26" s="19" t="n">
        <v>253412062.030422</v>
      </c>
      <c r="J26" s="19" t="n">
        <v>434087500.800036</v>
      </c>
      <c r="K26" s="19" t="n">
        <v>187706013.280844</v>
      </c>
      <c r="L26" s="19" t="n">
        <v>302722641.846839</v>
      </c>
      <c r="M26" s="19" t="n">
        <v>393067327.671565</v>
      </c>
      <c r="N26" s="6"/>
    </row>
    <row r="27" s="7" customFormat="true" ht="15" hidden="true" customHeight="true" outlineLevel="0" collapsed="false">
      <c r="A27" s="20" t="s">
        <v>32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6"/>
    </row>
    <row r="28" s="7" customFormat="true" ht="15" hidden="true" customHeight="true" outlineLevel="0" collapsed="false">
      <c r="A28" s="17" t="s">
        <v>33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6"/>
    </row>
    <row r="29" s="7" customFormat="true" ht="15" hidden="true" customHeight="true" outlineLevel="0" collapsed="false">
      <c r="A29" s="15" t="s">
        <v>34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6"/>
    </row>
    <row r="30" s="7" customFormat="true" ht="15" hidden="false" customHeight="true" outlineLevel="0" collapsed="false">
      <c r="A30" s="22" t="s">
        <v>35</v>
      </c>
      <c r="B30" s="23" t="n">
        <v>-125342678.15</v>
      </c>
      <c r="C30" s="23" t="n">
        <v>-99252146.21</v>
      </c>
      <c r="D30" s="23" t="n">
        <v>-86709865.2102003</v>
      </c>
      <c r="E30" s="23" t="n">
        <v>-193324661.300819</v>
      </c>
      <c r="F30" s="23" t="n">
        <v>-160146548.379688</v>
      </c>
      <c r="G30" s="23" t="n">
        <v>-243860194.96353</v>
      </c>
      <c r="H30" s="23" t="n">
        <v>-224839257.36466</v>
      </c>
      <c r="I30" s="23" t="n">
        <v>-204575265.598262</v>
      </c>
      <c r="J30" s="23" t="n">
        <v>-73689722.9724857</v>
      </c>
      <c r="K30" s="23" t="n">
        <v>-226806110.608523</v>
      </c>
      <c r="L30" s="23" t="n">
        <v>-220860143.331645</v>
      </c>
      <c r="M30" s="23" t="n">
        <v>-235681488.180896</v>
      </c>
      <c r="N30" s="6"/>
    </row>
    <row r="31" s="7" customFormat="true" ht="15" hidden="true" customHeight="true" outlineLevel="0" collapsed="false">
      <c r="A31" s="24" t="s">
        <v>36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6"/>
    </row>
    <row r="32" s="7" customFormat="true" ht="15" hidden="false" customHeight="true" outlineLevel="0" collapsed="false">
      <c r="A32" s="17" t="s">
        <v>37</v>
      </c>
      <c r="B32" s="9" t="n">
        <v>-95938090.5</v>
      </c>
      <c r="C32" s="9" t="n">
        <v>-95034802.9</v>
      </c>
      <c r="D32" s="9" t="n">
        <v>-96333821.1502003</v>
      </c>
      <c r="E32" s="9" t="n">
        <v>-103523767.950819</v>
      </c>
      <c r="F32" s="9" t="n">
        <v>-113707319.549688</v>
      </c>
      <c r="G32" s="9" t="n">
        <v>-122657190.21353</v>
      </c>
      <c r="H32" s="9" t="n">
        <v>-99072375.4646601</v>
      </c>
      <c r="I32" s="9" t="n">
        <v>-114474730.038262</v>
      </c>
      <c r="J32" s="9" t="n">
        <v>44410155.0075143</v>
      </c>
      <c r="K32" s="9" t="n">
        <v>-115782938.276088</v>
      </c>
      <c r="L32" s="9" t="n">
        <v>-115653214.413201</v>
      </c>
      <c r="M32" s="9" t="n">
        <v>-115475622.97614</v>
      </c>
      <c r="N32" s="6"/>
    </row>
    <row r="33" s="7" customFormat="true" ht="15" hidden="true" customHeight="true" outlineLevel="0" collapsed="false">
      <c r="A33" s="15" t="s">
        <v>38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6"/>
    </row>
    <row r="34" s="7" customFormat="true" ht="15" hidden="true" customHeight="true" outlineLevel="0" collapsed="false">
      <c r="A34" s="15" t="s">
        <v>39</v>
      </c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6"/>
    </row>
    <row r="35" s="7" customFormat="true" ht="15" hidden="false" customHeight="true" outlineLevel="0" collapsed="false">
      <c r="A35" s="15" t="s">
        <v>40</v>
      </c>
      <c r="B35" s="9" t="n">
        <v>-92886360.5</v>
      </c>
      <c r="C35" s="9" t="n">
        <v>-94592513.9</v>
      </c>
      <c r="D35" s="9" t="n">
        <v>-95109178.4472488</v>
      </c>
      <c r="E35" s="9" t="n">
        <v>-101882236.510726</v>
      </c>
      <c r="F35" s="9" t="n">
        <v>-112467620.926065</v>
      </c>
      <c r="G35" s="9" t="n">
        <v>-106240266.746165</v>
      </c>
      <c r="H35" s="9" t="n">
        <v>-101336835.394693</v>
      </c>
      <c r="I35" s="9" t="n">
        <v>-111304741.772561</v>
      </c>
      <c r="J35" s="9" t="n">
        <v>44821201.2610459</v>
      </c>
      <c r="K35" s="9" t="n">
        <v>-111510282.75114</v>
      </c>
      <c r="L35" s="9" t="n">
        <v>-111510282.75114</v>
      </c>
      <c r="M35" s="9" t="n">
        <v>-111510282.75114</v>
      </c>
      <c r="N35" s="6"/>
    </row>
    <row r="36" s="7" customFormat="true" ht="15" hidden="false" customHeight="true" outlineLevel="0" collapsed="false">
      <c r="A36" s="15" t="s">
        <v>41</v>
      </c>
      <c r="B36" s="14" t="n">
        <v>-3051730</v>
      </c>
      <c r="C36" s="14" t="n">
        <v>-442289</v>
      </c>
      <c r="D36" s="14" t="n">
        <v>-1224642.70295145</v>
      </c>
      <c r="E36" s="14" t="n">
        <v>-1641531.44009319</v>
      </c>
      <c r="F36" s="14" t="n">
        <v>-1239698.62362298</v>
      </c>
      <c r="G36" s="14" t="n">
        <v>-16416923.4673655</v>
      </c>
      <c r="H36" s="14" t="n">
        <v>2264459.9300332</v>
      </c>
      <c r="I36" s="14" t="n">
        <v>-3169988.26570094</v>
      </c>
      <c r="J36" s="14" t="n">
        <v>-411046.253531583</v>
      </c>
      <c r="K36" s="14" t="n">
        <v>-4272655.52494791</v>
      </c>
      <c r="L36" s="14" t="n">
        <v>-4142931.66206153</v>
      </c>
      <c r="M36" s="14" t="n">
        <v>-3965340.225</v>
      </c>
      <c r="N36" s="6"/>
    </row>
    <row r="37" s="7" customFormat="true" ht="15" hidden="false" customHeight="true" outlineLevel="0" collapsed="false">
      <c r="A37" s="17" t="s">
        <v>42</v>
      </c>
      <c r="B37" s="28" t="n">
        <v>-29404587.65</v>
      </c>
      <c r="C37" s="28" t="n">
        <v>-4217343.31</v>
      </c>
      <c r="D37" s="28" t="n">
        <v>9623955.94</v>
      </c>
      <c r="E37" s="28" t="n">
        <v>-89800893.35</v>
      </c>
      <c r="F37" s="28" t="n">
        <v>-46439228.83</v>
      </c>
      <c r="G37" s="28" t="n">
        <v>-121203004.75</v>
      </c>
      <c r="H37" s="28" t="n">
        <v>-125766881.9</v>
      </c>
      <c r="I37" s="28" t="n">
        <v>-90100535.56</v>
      </c>
      <c r="J37" s="28" t="n">
        <v>-118099877.98</v>
      </c>
      <c r="K37" s="28" t="n">
        <v>-111023172.332435</v>
      </c>
      <c r="L37" s="28" t="n">
        <v>-105206928.918443</v>
      </c>
      <c r="M37" s="28" t="n">
        <v>-120205865.204756</v>
      </c>
      <c r="N37" s="6"/>
    </row>
    <row r="38" s="7" customFormat="true" ht="15" hidden="true" customHeight="true" outlineLevel="0" collapsed="false">
      <c r="A38" s="29" t="s">
        <v>43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6"/>
    </row>
    <row r="39" s="7" customFormat="true" ht="15" hidden="true" customHeight="true" outlineLevel="0" collapsed="false">
      <c r="A39" s="17" t="s">
        <v>44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6"/>
    </row>
    <row r="40" s="7" customFormat="true" ht="15" hidden="true" customHeight="true" outlineLevel="0" collapsed="false">
      <c r="A40" s="15" t="s">
        <v>45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6"/>
    </row>
    <row r="41" s="7" customFormat="true" ht="15" hidden="true" customHeight="true" outlineLevel="0" collapsed="false">
      <c r="A41" s="17" t="s">
        <v>46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6"/>
    </row>
    <row r="42" s="7" customFormat="true" ht="15" hidden="true" customHeight="true" outlineLevel="0" collapsed="false">
      <c r="A42" s="15" t="s">
        <v>47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6"/>
    </row>
    <row r="43" s="7" customFormat="true" ht="15" hidden="true" customHeight="true" outlineLevel="0" collapsed="false">
      <c r="A43" s="17" t="s">
        <v>48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6"/>
    </row>
    <row r="44" s="7" customFormat="true" ht="15" hidden="true" customHeight="true" outlineLevel="0" collapsed="false">
      <c r="A44" s="15" t="s">
        <v>49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6"/>
    </row>
    <row r="45" s="7" customFormat="true" ht="15" hidden="true" customHeight="true" outlineLevel="0" collapsed="false">
      <c r="A45" s="17" t="s">
        <v>50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6"/>
    </row>
    <row r="46" s="7" customFormat="true" ht="15" hidden="true" customHeight="true" outlineLevel="0" collapsed="false">
      <c r="A46" s="15" t="s">
        <v>51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6"/>
    </row>
    <row r="47" s="7" customFormat="true" ht="15" hidden="true" customHeight="true" outlineLevel="0" collapsed="false">
      <c r="A47" s="17" t="s">
        <v>52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6"/>
    </row>
    <row r="48" s="7" customFormat="true" ht="15" hidden="true" customHeight="true" outlineLevel="0" collapsed="false">
      <c r="A48" s="15" t="s">
        <v>53</v>
      </c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6"/>
    </row>
    <row r="49" s="7" customFormat="true" ht="15" hidden="false" customHeight="true" outlineLevel="0" collapsed="false">
      <c r="A49" s="30" t="s">
        <v>54</v>
      </c>
      <c r="B49" s="9" t="n">
        <v>-28528894</v>
      </c>
      <c r="C49" s="9" t="n">
        <v>-1745000</v>
      </c>
      <c r="D49" s="9" t="n">
        <v>9535203.63</v>
      </c>
      <c r="E49" s="9" t="n">
        <v>-87759899.82</v>
      </c>
      <c r="F49" s="9" t="n">
        <v>-43871683.97</v>
      </c>
      <c r="G49" s="9" t="n">
        <v>-106620550.19</v>
      </c>
      <c r="H49" s="9" t="n">
        <v>-120266758.59</v>
      </c>
      <c r="I49" s="9" t="n">
        <v>-82797191.41</v>
      </c>
      <c r="J49" s="9" t="n">
        <v>-105089188</v>
      </c>
      <c r="K49" s="9" t="n">
        <v>-104652831.193023</v>
      </c>
      <c r="L49" s="9" t="n">
        <v>-98207936.9762115</v>
      </c>
      <c r="M49" s="9" t="n">
        <v>-111622857.51429</v>
      </c>
      <c r="N49" s="6"/>
    </row>
    <row r="50" s="7" customFormat="true" ht="15" hidden="true" customHeight="true" outlineLevel="0" collapsed="false">
      <c r="A50" s="10" t="s">
        <v>55</v>
      </c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6"/>
    </row>
    <row r="51" s="7" customFormat="true" ht="15" hidden="true" customHeight="true" outlineLevel="0" collapsed="false">
      <c r="A51" s="10" t="s">
        <v>56</v>
      </c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6"/>
    </row>
    <row r="52" s="7" customFormat="true" ht="15" hidden="true" customHeight="true" outlineLevel="0" collapsed="false">
      <c r="A52" s="32" t="s">
        <v>57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6"/>
    </row>
    <row r="53" s="7" customFormat="true" ht="15" hidden="false" customHeight="true" outlineLevel="0" collapsed="false">
      <c r="A53" s="30" t="s">
        <v>58</v>
      </c>
      <c r="B53" s="11" t="n">
        <v>-155854</v>
      </c>
      <c r="C53" s="11" t="n">
        <v>-1633817</v>
      </c>
      <c r="D53" s="11" t="n">
        <v>772474.76</v>
      </c>
      <c r="E53" s="11" t="n">
        <v>-1371206.32</v>
      </c>
      <c r="F53" s="11" t="n">
        <v>-2464153.54</v>
      </c>
      <c r="G53" s="11" t="n">
        <v>-2164074.74</v>
      </c>
      <c r="H53" s="11" t="n">
        <v>-940167.45</v>
      </c>
      <c r="I53" s="11" t="n">
        <v>-964293.23</v>
      </c>
      <c r="J53" s="11" t="n">
        <v>-3887514.7</v>
      </c>
      <c r="K53" s="11" t="n">
        <v>-1283507.24</v>
      </c>
      <c r="L53" s="11" t="n">
        <v>-1283507.24</v>
      </c>
      <c r="M53" s="11" t="n">
        <v>-1283507.24</v>
      </c>
      <c r="N53" s="6"/>
    </row>
    <row r="54" s="7" customFormat="true" ht="15" hidden="true" customHeight="true" outlineLevel="0" collapsed="false">
      <c r="A54" s="32" t="s">
        <v>59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6"/>
    </row>
    <row r="55" s="7" customFormat="true" ht="15" hidden="false" customHeight="true" outlineLevel="0" collapsed="false">
      <c r="A55" s="17" t="s">
        <v>60</v>
      </c>
      <c r="B55" s="9" t="n">
        <v>-719839.65</v>
      </c>
      <c r="C55" s="9" t="n">
        <v>-838526.31</v>
      </c>
      <c r="D55" s="9" t="n">
        <v>-683722.45</v>
      </c>
      <c r="E55" s="9" t="n">
        <v>-669787.21</v>
      </c>
      <c r="F55" s="9" t="n">
        <v>-103391.32</v>
      </c>
      <c r="G55" s="9" t="n">
        <v>-12418379.82</v>
      </c>
      <c r="H55" s="9" t="n">
        <v>-4559955.86</v>
      </c>
      <c r="I55" s="9" t="n">
        <v>-6339050.92</v>
      </c>
      <c r="J55" s="9" t="n">
        <v>-9123175.28</v>
      </c>
      <c r="K55" s="9" t="n">
        <v>-5086833.8994122</v>
      </c>
      <c r="L55" s="9" t="n">
        <v>-5715484.70223184</v>
      </c>
      <c r="M55" s="9" t="n">
        <v>-7299500.45046586</v>
      </c>
      <c r="N55" s="6"/>
    </row>
    <row r="56" s="7" customFormat="true" ht="15" hidden="true" customHeight="true" outlineLevel="0" collapsed="false">
      <c r="A56" s="29" t="s">
        <v>61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6"/>
    </row>
    <row r="57" s="7" customFormat="true" ht="15" hidden="true" customHeight="true" outlineLevel="0" collapsed="false">
      <c r="A57" s="17" t="s">
        <v>62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6"/>
    </row>
    <row r="58" s="7" customFormat="true" ht="15" hidden="true" customHeight="true" outlineLevel="0" collapsed="false">
      <c r="A58" s="15" t="s">
        <v>63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6"/>
    </row>
    <row r="59" s="7" customFormat="true" ht="15" hidden="true" customHeight="true" outlineLevel="0" collapsed="false">
      <c r="A59" s="34" t="s">
        <v>64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6"/>
    </row>
    <row r="60" s="7" customFormat="true" ht="15" hidden="false" customHeight="true" outlineLevel="0" collapsed="false">
      <c r="A60" s="18" t="s">
        <v>65</v>
      </c>
      <c r="B60" s="19" t="n">
        <v>-45416678.8056204</v>
      </c>
      <c r="C60" s="19" t="n">
        <v>41818334.4876929</v>
      </c>
      <c r="D60" s="19" t="n">
        <v>46263148.8790154</v>
      </c>
      <c r="E60" s="19" t="n">
        <v>-32017371.2133861</v>
      </c>
      <c r="F60" s="19" t="n">
        <v>168115008.280576</v>
      </c>
      <c r="G60" s="19" t="n">
        <v>193900866.439273</v>
      </c>
      <c r="H60" s="19" t="n">
        <v>36527058.9035494</v>
      </c>
      <c r="I60" s="19" t="n">
        <v>48836796.4321603</v>
      </c>
      <c r="J60" s="19" t="n">
        <v>360397777.827551</v>
      </c>
      <c r="K60" s="19" t="n">
        <v>-39100097.3276783</v>
      </c>
      <c r="L60" s="19" t="n">
        <v>81862498.5151942</v>
      </c>
      <c r="M60" s="19" t="n">
        <v>157385839.490669</v>
      </c>
      <c r="N60" s="6"/>
    </row>
    <row r="61" s="7" customFormat="true" ht="15" hidden="true" customHeight="true" outlineLevel="0" collapsed="false">
      <c r="A61" s="36" t="s">
        <v>66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6"/>
    </row>
    <row r="63" customFormat="false" ht="15" hidden="false" customHeight="false" outlineLevel="0" collapsed="false"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</row>
    <row r="64" customFormat="false" ht="15" hidden="false" customHeight="false" outlineLevel="0" collapsed="false"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51.83"/>
    <col collapsed="false" customWidth="true" hidden="false" outlineLevel="0" max="13" min="2" style="0" width="14.16"/>
    <col collapsed="false" customWidth="true" hidden="false" outlineLevel="0" max="14" min="14" style="1" width="11.16"/>
  </cols>
  <sheetData>
    <row r="2" customFormat="false" ht="15.75" hidden="false" customHeight="true" outlineLevel="0" collapsed="false">
      <c r="B2" s="2" t="s">
        <v>67</v>
      </c>
      <c r="C2" s="2" t="s">
        <v>67</v>
      </c>
      <c r="D2" s="2" t="s">
        <v>67</v>
      </c>
      <c r="E2" s="2" t="s">
        <v>67</v>
      </c>
      <c r="F2" s="2" t="s">
        <v>67</v>
      </c>
      <c r="G2" s="2" t="s">
        <v>67</v>
      </c>
      <c r="H2" s="2" t="s">
        <v>67</v>
      </c>
      <c r="I2" s="2" t="s">
        <v>67</v>
      </c>
      <c r="J2" s="2" t="s">
        <v>67</v>
      </c>
      <c r="K2" s="3" t="s">
        <v>67</v>
      </c>
      <c r="L2" s="3" t="s">
        <v>67</v>
      </c>
      <c r="M2" s="3" t="s">
        <v>67</v>
      </c>
    </row>
    <row r="3" s="7" customFormat="true" ht="15" hidden="false" customHeight="true" outlineLevel="0" collapsed="false">
      <c r="A3" s="4" t="s">
        <v>2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  <c r="H3" s="5" t="s">
        <v>74</v>
      </c>
      <c r="I3" s="5" t="s">
        <v>75</v>
      </c>
      <c r="J3" s="5" t="s">
        <v>76</v>
      </c>
      <c r="K3" s="5" t="s">
        <v>77</v>
      </c>
      <c r="L3" s="5" t="s">
        <v>78</v>
      </c>
      <c r="M3" s="5" t="s">
        <v>79</v>
      </c>
      <c r="N3" s="6"/>
    </row>
    <row r="4" s="7" customFormat="true" ht="15" hidden="true" customHeight="true" outlineLevel="0" collapsed="false">
      <c r="A4" s="8" t="s">
        <v>15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6"/>
    </row>
    <row r="5" s="7" customFormat="true" ht="14.25" hidden="true" customHeight="true" outlineLevel="0" collapsed="false">
      <c r="A5" s="10" t="s">
        <v>16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6"/>
    </row>
    <row r="6" s="7" customFormat="true" ht="14.25" hidden="true" customHeight="true" outlineLevel="0" collapsed="false">
      <c r="A6" s="10" t="s">
        <v>17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6"/>
    </row>
    <row r="7" s="7" customFormat="true" ht="14.25" hidden="true" customHeight="true" outlineLevel="0" collapsed="false">
      <c r="A7" s="8" t="s">
        <v>18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6"/>
    </row>
    <row r="8" s="7" customFormat="true" ht="14.25" hidden="true" customHeight="true" outlineLevel="0" collapsed="false">
      <c r="A8" s="10" t="s">
        <v>16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6"/>
    </row>
    <row r="9" s="7" customFormat="true" ht="14.25" hidden="true" customHeight="true" outlineLevel="0" collapsed="false">
      <c r="A9" s="10" t="s">
        <v>17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6"/>
    </row>
    <row r="10" s="7" customFormat="true" ht="14.25" hidden="true" customHeight="true" outlineLevel="0" collapsed="false">
      <c r="A10" s="8" t="s">
        <v>19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6"/>
    </row>
    <row r="11" s="7" customFormat="true" ht="14.25" hidden="true" customHeight="true" outlineLevel="0" collapsed="false">
      <c r="A11" s="10" t="s">
        <v>16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6"/>
    </row>
    <row r="12" s="7" customFormat="true" ht="14.25" hidden="true" customHeight="true" outlineLevel="0" collapsed="false">
      <c r="A12" s="10" t="s">
        <v>17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6"/>
    </row>
    <row r="13" s="7" customFormat="true" ht="14.25" hidden="true" customHeight="true" outlineLevel="0" collapsed="false">
      <c r="A13" s="8" t="s">
        <v>20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6"/>
    </row>
    <row r="14" s="7" customFormat="true" ht="14.25" hidden="true" customHeight="true" outlineLevel="0" collapsed="false">
      <c r="A14" s="10" t="s">
        <v>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6"/>
    </row>
    <row r="15" s="7" customFormat="true" ht="14.25" hidden="true" customHeight="true" outlineLevel="0" collapsed="false">
      <c r="A15" s="10" t="s">
        <v>17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6"/>
    </row>
    <row r="16" s="7" customFormat="true" ht="15" hidden="false" customHeight="true" outlineLevel="0" collapsed="false">
      <c r="A16" s="8" t="s">
        <v>21</v>
      </c>
      <c r="B16" s="9" t="n">
        <v>14366136.9602575</v>
      </c>
      <c r="C16" s="9" t="n">
        <v>138472090.648983</v>
      </c>
      <c r="D16" s="9" t="n">
        <v>216436479.360901</v>
      </c>
      <c r="E16" s="9" t="n">
        <v>215954234.615883</v>
      </c>
      <c r="F16" s="9" t="n">
        <v>215641479.360901</v>
      </c>
      <c r="G16" s="9" t="n">
        <v>214846479.360901</v>
      </c>
      <c r="H16" s="9" t="n">
        <v>214846479.360902</v>
      </c>
      <c r="I16" s="9" t="n">
        <v>256152806.599333</v>
      </c>
      <c r="J16" s="9" t="n">
        <v>256152806.599333</v>
      </c>
      <c r="K16" s="9" t="n">
        <v>383445753.281416</v>
      </c>
      <c r="L16" s="9" t="n">
        <v>509457958.721802</v>
      </c>
      <c r="M16" s="9" t="n">
        <v>635947164.162189</v>
      </c>
      <c r="N16" s="6"/>
    </row>
    <row r="17" s="7" customFormat="true" ht="15" hidden="true" customHeight="true" outlineLevel="0" collapsed="false">
      <c r="A17" s="15" t="s">
        <v>22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6"/>
    </row>
    <row r="18" s="7" customFormat="true" ht="15" hidden="true" customHeight="true" outlineLevel="0" collapsed="false">
      <c r="A18" s="17" t="s">
        <v>23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6"/>
    </row>
    <row r="19" s="7" customFormat="true" ht="15" hidden="true" customHeight="true" outlineLevel="0" collapsed="false">
      <c r="A19" s="15" t="s">
        <v>24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6"/>
    </row>
    <row r="20" s="7" customFormat="true" ht="15" hidden="true" customHeight="true" outlineLevel="0" collapsed="false">
      <c r="A20" s="17" t="s">
        <v>25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6"/>
    </row>
    <row r="21" s="7" customFormat="true" ht="15" hidden="true" customHeight="true" outlineLevel="0" collapsed="false">
      <c r="A21" s="15" t="s">
        <v>26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6"/>
    </row>
    <row r="22" s="7" customFormat="true" ht="15" hidden="true" customHeight="true" outlineLevel="0" collapsed="false">
      <c r="A22" s="17" t="s">
        <v>27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6"/>
    </row>
    <row r="23" s="7" customFormat="true" ht="15" hidden="true" customHeight="true" outlineLevel="0" collapsed="false">
      <c r="A23" s="15" t="s">
        <v>28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6"/>
    </row>
    <row r="24" s="7" customFormat="true" ht="15" hidden="true" customHeight="true" outlineLevel="0" collapsed="false">
      <c r="A24" s="17" t="s">
        <v>29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6"/>
    </row>
    <row r="25" s="7" customFormat="true" ht="15" hidden="true" customHeight="true" outlineLevel="0" collapsed="false">
      <c r="A25" s="15" t="s">
        <v>30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6"/>
    </row>
    <row r="26" s="7" customFormat="true" ht="15" hidden="false" customHeight="true" outlineLevel="0" collapsed="false">
      <c r="A26" s="18" t="s">
        <v>31</v>
      </c>
      <c r="B26" s="19" t="n">
        <v>14366136.9602575</v>
      </c>
      <c r="C26" s="19" t="n">
        <v>138472090.648983</v>
      </c>
      <c r="D26" s="19" t="n">
        <v>216436479.360901</v>
      </c>
      <c r="E26" s="19" t="n">
        <v>215954234.615883</v>
      </c>
      <c r="F26" s="19" t="n">
        <v>215641479.360901</v>
      </c>
      <c r="G26" s="19" t="n">
        <v>214846479.360901</v>
      </c>
      <c r="H26" s="19" t="n">
        <v>214846479.360902</v>
      </c>
      <c r="I26" s="19" t="n">
        <v>256152806.599333</v>
      </c>
      <c r="J26" s="19" t="n">
        <v>256152806.599333</v>
      </c>
      <c r="K26" s="19" t="n">
        <v>383445753.281416</v>
      </c>
      <c r="L26" s="19" t="n">
        <v>509457958.721802</v>
      </c>
      <c r="M26" s="19" t="n">
        <v>635947164.162189</v>
      </c>
      <c r="N26" s="6"/>
    </row>
    <row r="27" s="7" customFormat="true" ht="15" hidden="true" customHeight="true" outlineLevel="0" collapsed="false">
      <c r="A27" s="20" t="s">
        <v>32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6"/>
    </row>
    <row r="28" s="7" customFormat="true" ht="15" hidden="true" customHeight="true" outlineLevel="0" collapsed="false">
      <c r="A28" s="17" t="s">
        <v>33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6"/>
    </row>
    <row r="29" s="7" customFormat="true" ht="15" hidden="true" customHeight="true" outlineLevel="0" collapsed="false">
      <c r="A29" s="15" t="s">
        <v>34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6"/>
    </row>
    <row r="30" s="7" customFormat="true" ht="15" hidden="false" customHeight="true" outlineLevel="0" collapsed="false">
      <c r="A30" s="22" t="s">
        <v>35</v>
      </c>
      <c r="B30" s="23" t="n">
        <v>-149361557.477061</v>
      </c>
      <c r="C30" s="23" t="n">
        <v>-194954076.725268</v>
      </c>
      <c r="D30" s="23" t="n">
        <v>-210429230.421199</v>
      </c>
      <c r="E30" s="23" t="n">
        <v>-224363309.730264</v>
      </c>
      <c r="F30" s="23" t="n">
        <v>-215405009.144147</v>
      </c>
      <c r="G30" s="23" t="n">
        <v>-213599448.026463</v>
      </c>
      <c r="H30" s="23" t="n">
        <v>-225546651.594742</v>
      </c>
      <c r="I30" s="23" t="n">
        <v>-209294037.020681</v>
      </c>
      <c r="J30" s="23" t="n">
        <v>-226472762.807163</v>
      </c>
      <c r="K30" s="23" t="n">
        <v>-271651017.3195</v>
      </c>
      <c r="L30" s="23" t="n">
        <v>-299056861.193039</v>
      </c>
      <c r="M30" s="23" t="n">
        <v>-331586361.55551</v>
      </c>
      <c r="N30" s="6"/>
    </row>
    <row r="31" s="7" customFormat="true" ht="15" hidden="true" customHeight="true" outlineLevel="0" collapsed="false">
      <c r="A31" s="24" t="s">
        <v>36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6"/>
    </row>
    <row r="32" s="7" customFormat="true" ht="15" hidden="false" customHeight="true" outlineLevel="0" collapsed="false">
      <c r="A32" s="17" t="s">
        <v>37</v>
      </c>
      <c r="B32" s="9" t="n">
        <v>-115120241.402344</v>
      </c>
      <c r="C32" s="9" t="n">
        <v>-121257358.977714</v>
      </c>
      <c r="D32" s="9" t="n">
        <v>-118513853.826793</v>
      </c>
      <c r="E32" s="9" t="n">
        <v>-130916128.192984</v>
      </c>
      <c r="F32" s="9" t="n">
        <v>-122546333.750311</v>
      </c>
      <c r="G32" s="9" t="n">
        <v>-119501886.301288</v>
      </c>
      <c r="H32" s="9" t="n">
        <v>-128587363.594834</v>
      </c>
      <c r="I32" s="9" t="n">
        <v>-104886573.994631</v>
      </c>
      <c r="J32" s="9" t="n">
        <v>-121513263.931605</v>
      </c>
      <c r="K32" s="9" t="n">
        <v>-129632256.627366</v>
      </c>
      <c r="L32" s="9" t="n">
        <v>-129699373.530037</v>
      </c>
      <c r="M32" s="9" t="n">
        <v>-134474734.378611</v>
      </c>
      <c r="N32" s="6"/>
    </row>
    <row r="33" s="7" customFormat="true" ht="15" hidden="true" customHeight="true" outlineLevel="0" collapsed="false">
      <c r="A33" s="15" t="s">
        <v>38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6"/>
    </row>
    <row r="34" s="7" customFormat="true" ht="15" hidden="true" customHeight="true" outlineLevel="0" collapsed="false">
      <c r="A34" s="15" t="s">
        <v>39</v>
      </c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6"/>
    </row>
    <row r="35" s="7" customFormat="true" ht="15" hidden="false" customHeight="true" outlineLevel="0" collapsed="false">
      <c r="A35" s="15" t="s">
        <v>40</v>
      </c>
      <c r="B35" s="9" t="n">
        <v>-113964046.852421</v>
      </c>
      <c r="C35" s="9" t="n">
        <v>-116106164.42779</v>
      </c>
      <c r="D35" s="9" t="n">
        <v>-116710569.276869</v>
      </c>
      <c r="E35" s="9" t="n">
        <v>-118662842.973061</v>
      </c>
      <c r="F35" s="9" t="n">
        <v>-120878049.200388</v>
      </c>
      <c r="G35" s="9" t="n">
        <v>-117838601.751365</v>
      </c>
      <c r="H35" s="9" t="n">
        <v>-120784079.044911</v>
      </c>
      <c r="I35" s="9" t="n">
        <v>-102883619.444708</v>
      </c>
      <c r="J35" s="9" t="n">
        <v>-119844979.381682</v>
      </c>
      <c r="K35" s="9" t="n">
        <v>-127968972.077443</v>
      </c>
      <c r="L35" s="9" t="n">
        <v>-128017867.18941</v>
      </c>
      <c r="M35" s="9" t="n">
        <v>-132703144.979922</v>
      </c>
      <c r="N35" s="6"/>
    </row>
    <row r="36" s="7" customFormat="true" ht="15" hidden="false" customHeight="true" outlineLevel="0" collapsed="false">
      <c r="A36" s="15" t="s">
        <v>41</v>
      </c>
      <c r="B36" s="14" t="n">
        <v>-1156194.5499232</v>
      </c>
      <c r="C36" s="14" t="n">
        <v>-5151194.5499232</v>
      </c>
      <c r="D36" s="14" t="n">
        <v>-1803284.5499232</v>
      </c>
      <c r="E36" s="14" t="n">
        <v>-12253285.2199232</v>
      </c>
      <c r="F36" s="14" t="n">
        <v>-1668284.5499232</v>
      </c>
      <c r="G36" s="14" t="n">
        <v>-1663284.5499232</v>
      </c>
      <c r="H36" s="14" t="n">
        <v>-7803284.54992319</v>
      </c>
      <c r="I36" s="14" t="n">
        <v>-2002954.54992319</v>
      </c>
      <c r="J36" s="14" t="n">
        <v>-1668284.5499232</v>
      </c>
      <c r="K36" s="14" t="n">
        <v>-1663284.5499232</v>
      </c>
      <c r="L36" s="14" t="n">
        <v>-1681506.34062704</v>
      </c>
      <c r="M36" s="14" t="n">
        <v>-1771589.3986895</v>
      </c>
      <c r="N36" s="6"/>
    </row>
    <row r="37" s="7" customFormat="true" ht="15" hidden="false" customHeight="true" outlineLevel="0" collapsed="false">
      <c r="A37" s="17" t="s">
        <v>42</v>
      </c>
      <c r="B37" s="28" t="n">
        <v>-34241316.0747166</v>
      </c>
      <c r="C37" s="28" t="n">
        <v>-73696717.747554</v>
      </c>
      <c r="D37" s="28" t="n">
        <v>-91915376.5944069</v>
      </c>
      <c r="E37" s="28" t="n">
        <v>-93447181.5372795</v>
      </c>
      <c r="F37" s="28" t="n">
        <v>-92858675.393836</v>
      </c>
      <c r="G37" s="28" t="n">
        <v>-94097561.7251753</v>
      </c>
      <c r="H37" s="28" t="n">
        <v>-96959287.9999078</v>
      </c>
      <c r="I37" s="28" t="n">
        <v>-104407463.02605</v>
      </c>
      <c r="J37" s="28" t="n">
        <v>-104959498.875558</v>
      </c>
      <c r="K37" s="28" t="n">
        <v>-142018760.692134</v>
      </c>
      <c r="L37" s="28" t="n">
        <v>-169357487.663002</v>
      </c>
      <c r="M37" s="28" t="n">
        <v>-197111627.176899</v>
      </c>
      <c r="N37" s="6"/>
    </row>
    <row r="38" s="7" customFormat="true" ht="15" hidden="true" customHeight="true" outlineLevel="0" collapsed="false">
      <c r="A38" s="29" t="s">
        <v>43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6"/>
    </row>
    <row r="39" s="7" customFormat="true" ht="15" hidden="true" customHeight="true" outlineLevel="0" collapsed="false">
      <c r="A39" s="17" t="s">
        <v>44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6"/>
    </row>
    <row r="40" s="7" customFormat="true" ht="15" hidden="true" customHeight="true" outlineLevel="0" collapsed="false">
      <c r="A40" s="15" t="s">
        <v>45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6"/>
    </row>
    <row r="41" s="7" customFormat="true" ht="15" hidden="true" customHeight="true" outlineLevel="0" collapsed="false">
      <c r="A41" s="17" t="s">
        <v>46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6"/>
    </row>
    <row r="42" s="7" customFormat="true" ht="15" hidden="true" customHeight="true" outlineLevel="0" collapsed="false">
      <c r="A42" s="15" t="s">
        <v>47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6"/>
    </row>
    <row r="43" s="7" customFormat="true" ht="15" hidden="true" customHeight="true" outlineLevel="0" collapsed="false">
      <c r="A43" s="17" t="s">
        <v>48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6"/>
    </row>
    <row r="44" s="7" customFormat="true" ht="15" hidden="true" customHeight="true" outlineLevel="0" collapsed="false">
      <c r="A44" s="15" t="s">
        <v>49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6"/>
    </row>
    <row r="45" s="7" customFormat="true" ht="15" hidden="true" customHeight="true" outlineLevel="0" collapsed="false">
      <c r="A45" s="17" t="s">
        <v>50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6"/>
    </row>
    <row r="46" s="7" customFormat="true" ht="15" hidden="true" customHeight="true" outlineLevel="0" collapsed="false">
      <c r="A46" s="15" t="s">
        <v>51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6"/>
    </row>
    <row r="47" s="7" customFormat="true" ht="15" hidden="true" customHeight="true" outlineLevel="0" collapsed="false">
      <c r="A47" s="17" t="s">
        <v>52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6"/>
    </row>
    <row r="48" s="7" customFormat="true" ht="15" hidden="true" customHeight="true" outlineLevel="0" collapsed="false">
      <c r="A48" s="15" t="s">
        <v>53</v>
      </c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6"/>
    </row>
    <row r="49" s="7" customFormat="true" ht="15" hidden="false" customHeight="true" outlineLevel="0" collapsed="false">
      <c r="A49" s="30" t="s">
        <v>54</v>
      </c>
      <c r="B49" s="9" t="n">
        <v>-25346992.2078975</v>
      </c>
      <c r="C49" s="9" t="n">
        <v>-61921985.9111969</v>
      </c>
      <c r="D49" s="9" t="n">
        <v>-77820424.8835754</v>
      </c>
      <c r="E49" s="9" t="n">
        <v>-79552323.6158397</v>
      </c>
      <c r="F49" s="9" t="n">
        <v>-78463723.6830045</v>
      </c>
      <c r="G49" s="9" t="n">
        <v>-79752103.0634092</v>
      </c>
      <c r="H49" s="9" t="n">
        <v>-82671402.2450732</v>
      </c>
      <c r="I49" s="9" t="n">
        <v>-88891671.7774382</v>
      </c>
      <c r="J49" s="9" t="n">
        <v>-87932309.0539054</v>
      </c>
      <c r="K49" s="9" t="n">
        <v>-121504938.740749</v>
      </c>
      <c r="L49" s="9" t="n">
        <v>-145963289.005211</v>
      </c>
      <c r="M49" s="9" t="n">
        <v>-170837051.8127</v>
      </c>
      <c r="N49" s="6"/>
    </row>
    <row r="50" s="7" customFormat="true" ht="15" hidden="true" customHeight="true" outlineLevel="0" collapsed="false">
      <c r="A50" s="10" t="s">
        <v>55</v>
      </c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6"/>
    </row>
    <row r="51" s="7" customFormat="true" ht="15" hidden="true" customHeight="true" outlineLevel="0" collapsed="false">
      <c r="A51" s="10" t="s">
        <v>56</v>
      </c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6"/>
    </row>
    <row r="52" s="7" customFormat="true" ht="15" hidden="true" customHeight="true" outlineLevel="0" collapsed="false">
      <c r="A52" s="32" t="s">
        <v>57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6"/>
    </row>
    <row r="53" s="7" customFormat="true" ht="15" hidden="false" customHeight="true" outlineLevel="0" collapsed="false">
      <c r="A53" s="30" t="s">
        <v>58</v>
      </c>
      <c r="B53" s="11" t="n">
        <v>-6449072.72921417</v>
      </c>
      <c r="C53" s="11" t="n">
        <v>-6449072.72921417</v>
      </c>
      <c r="D53" s="11" t="n">
        <v>-6849072.72921417</v>
      </c>
      <c r="E53" s="11" t="n">
        <v>-6649072.72921417</v>
      </c>
      <c r="F53" s="11" t="n">
        <v>-7149072.72921417</v>
      </c>
      <c r="G53" s="11" t="n">
        <v>-7099579.68014875</v>
      </c>
      <c r="H53" s="11" t="n">
        <v>-7042006.77321728</v>
      </c>
      <c r="I53" s="11" t="n">
        <v>-7309943.01384494</v>
      </c>
      <c r="J53" s="11" t="n">
        <v>-8821341.58688551</v>
      </c>
      <c r="K53" s="11" t="n">
        <v>-9427440.69455685</v>
      </c>
      <c r="L53" s="11" t="n">
        <v>-9427440.69455685</v>
      </c>
      <c r="M53" s="11" t="n">
        <v>-9427440.69455685</v>
      </c>
      <c r="N53" s="6"/>
    </row>
    <row r="54" s="7" customFormat="true" ht="15" hidden="true" customHeight="true" outlineLevel="0" collapsed="false">
      <c r="A54" s="32" t="s">
        <v>59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6"/>
    </row>
    <row r="55" s="7" customFormat="true" ht="15" hidden="false" customHeight="true" outlineLevel="0" collapsed="false">
      <c r="A55" s="17" t="s">
        <v>60</v>
      </c>
      <c r="B55" s="9" t="n">
        <v>-2445251.13760494</v>
      </c>
      <c r="C55" s="9" t="n">
        <v>-5325659.10714291</v>
      </c>
      <c r="D55" s="9" t="n">
        <v>-7245878.98161731</v>
      </c>
      <c r="E55" s="9" t="n">
        <v>-7245785.19222564</v>
      </c>
      <c r="F55" s="9" t="n">
        <v>-7245878.98161731</v>
      </c>
      <c r="G55" s="9" t="n">
        <v>-7245878.98161731</v>
      </c>
      <c r="H55" s="9" t="n">
        <v>-7245878.98161731</v>
      </c>
      <c r="I55" s="9" t="n">
        <v>-8205848.23476701</v>
      </c>
      <c r="J55" s="9" t="n">
        <v>-8205848.23476701</v>
      </c>
      <c r="K55" s="9" t="n">
        <v>-11086381.2568272</v>
      </c>
      <c r="L55" s="9" t="n">
        <v>-13966757.9632346</v>
      </c>
      <c r="M55" s="9" t="n">
        <v>-16847134.669642</v>
      </c>
      <c r="N55" s="6"/>
    </row>
    <row r="56" s="7" customFormat="true" ht="15" hidden="true" customHeight="true" outlineLevel="0" collapsed="false">
      <c r="A56" s="29" t="s">
        <v>61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6"/>
    </row>
    <row r="57" s="7" customFormat="true" ht="15" hidden="true" customHeight="true" outlineLevel="0" collapsed="false">
      <c r="A57" s="17" t="s">
        <v>62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6"/>
    </row>
    <row r="58" s="7" customFormat="true" ht="15" hidden="true" customHeight="true" outlineLevel="0" collapsed="false">
      <c r="A58" s="15" t="s">
        <v>63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6"/>
    </row>
    <row r="59" s="7" customFormat="true" ht="15" hidden="true" customHeight="true" outlineLevel="0" collapsed="false">
      <c r="A59" s="34" t="s">
        <v>64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6"/>
    </row>
    <row r="60" s="7" customFormat="true" ht="15" hidden="false" customHeight="true" outlineLevel="0" collapsed="false">
      <c r="A60" s="18" t="s">
        <v>65</v>
      </c>
      <c r="B60" s="19" t="n">
        <v>-134995420.516803</v>
      </c>
      <c r="C60" s="19" t="n">
        <v>-56481986.0762842</v>
      </c>
      <c r="D60" s="19" t="n">
        <v>6007248.93970198</v>
      </c>
      <c r="E60" s="19" t="n">
        <v>-8409075.11438084</v>
      </c>
      <c r="F60" s="19" t="n">
        <v>236470.216754384</v>
      </c>
      <c r="G60" s="19" t="n">
        <v>1247031.33443845</v>
      </c>
      <c r="H60" s="19" t="n">
        <v>-10700172.2338401</v>
      </c>
      <c r="I60" s="19" t="n">
        <v>46858769.5786516</v>
      </c>
      <c r="J60" s="19" t="n">
        <v>29680043.7921698</v>
      </c>
      <c r="K60" s="19" t="n">
        <v>111794735.961917</v>
      </c>
      <c r="L60" s="19" t="n">
        <v>210401097.528763</v>
      </c>
      <c r="M60" s="19" t="n">
        <v>304360802.60668</v>
      </c>
      <c r="N60" s="6"/>
    </row>
    <row r="61" s="7" customFormat="true" ht="15" hidden="true" customHeight="true" outlineLevel="0" collapsed="false">
      <c r="A61" s="36" t="s">
        <v>66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6"/>
    </row>
    <row r="63" customFormat="false" ht="15" hidden="false" customHeight="false" outlineLevel="0" collapsed="false"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</row>
    <row r="64" customFormat="false" ht="15" hidden="false" customHeight="false" outlineLevel="0" collapsed="false"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6" min="2" style="0" width="11"/>
  </cols>
  <sheetData>
    <row r="1" customFormat="false" ht="15" hidden="false" customHeight="false" outlineLevel="0" collapsed="false">
      <c r="A1" s="40" t="s">
        <v>80</v>
      </c>
    </row>
    <row r="2" customFormat="false" ht="15" hidden="false" customHeight="false" outlineLevel="0" collapsed="false">
      <c r="A2" s="0" t="s">
        <v>81</v>
      </c>
    </row>
    <row r="4" customFormat="false" ht="15" hidden="false" customHeight="false" outlineLevel="0" collapsed="false">
      <c r="A4" s="41" t="s">
        <v>82</v>
      </c>
      <c r="B4" s="41" t="s">
        <v>68</v>
      </c>
      <c r="C4" s="41" t="s">
        <v>69</v>
      </c>
      <c r="D4" s="41" t="s">
        <v>70</v>
      </c>
      <c r="E4" s="41" t="s">
        <v>71</v>
      </c>
      <c r="F4" s="41" t="s">
        <v>72</v>
      </c>
      <c r="G4" s="41" t="s">
        <v>73</v>
      </c>
      <c r="H4" s="41" t="s">
        <v>74</v>
      </c>
      <c r="I4" s="41" t="s">
        <v>75</v>
      </c>
      <c r="J4" s="41" t="s">
        <v>76</v>
      </c>
      <c r="K4" s="41" t="s">
        <v>77</v>
      </c>
      <c r="L4" s="41" t="s">
        <v>78</v>
      </c>
      <c r="M4" s="41" t="s">
        <v>79</v>
      </c>
      <c r="N4" s="41" t="s">
        <v>83</v>
      </c>
      <c r="O4" s="41" t="s">
        <v>84</v>
      </c>
      <c r="P4" s="41" t="s">
        <v>85</v>
      </c>
    </row>
    <row r="5" customFormat="false" ht="15" hidden="false" customHeight="false" outlineLevel="0" collapsed="false">
      <c r="A5" s="40" t="s">
        <v>86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</row>
    <row r="6" customFormat="false" ht="15" hidden="false" customHeight="false" outlineLevel="0" collapsed="false">
      <c r="A6" s="0" t="s">
        <v>87</v>
      </c>
      <c r="B6" s="42" t="n">
        <v>153.924683950421</v>
      </c>
      <c r="C6" s="42" t="n">
        <v>384.811709876052</v>
      </c>
      <c r="D6" s="42" t="n">
        <v>538.736393826473</v>
      </c>
      <c r="E6" s="42" t="n">
        <v>538.736393826472</v>
      </c>
      <c r="F6" s="42" t="n">
        <v>538.736393826473</v>
      </c>
      <c r="G6" s="42" t="n">
        <v>538.736393826473</v>
      </c>
      <c r="H6" s="42" t="n">
        <v>538.736393826473</v>
      </c>
      <c r="I6" s="42" t="n">
        <v>615.698735801683</v>
      </c>
      <c r="J6" s="42" t="n">
        <v>615.698735801683</v>
      </c>
      <c r="K6" s="42" t="n">
        <v>846.585761727313</v>
      </c>
      <c r="L6" s="42" t="n">
        <v>1077.47278765294</v>
      </c>
      <c r="M6" s="42" t="n">
        <v>1308.35981357858</v>
      </c>
      <c r="N6" s="42" t="n">
        <f aca="false">SUM(B6:M6)</f>
        <v>7696.23419752104</v>
      </c>
      <c r="O6" s="42" t="n">
        <v>6195.4</v>
      </c>
      <c r="P6" s="42" t="n">
        <f aca="false">N6-O6</f>
        <v>1500.83419752104</v>
      </c>
    </row>
    <row r="7" customFormat="false" ht="15" hidden="false" customHeight="false" outlineLevel="0" collapsed="false">
      <c r="A7" s="0" t="s">
        <v>88</v>
      </c>
      <c r="B7" s="42" t="n">
        <v>32</v>
      </c>
      <c r="C7" s="42" t="n">
        <v>79.9999999999999</v>
      </c>
      <c r="D7" s="42" t="n">
        <v>112</v>
      </c>
      <c r="E7" s="42" t="n">
        <v>112</v>
      </c>
      <c r="F7" s="42" t="n">
        <v>112</v>
      </c>
      <c r="G7" s="42" t="n">
        <v>112</v>
      </c>
      <c r="H7" s="42" t="n">
        <v>112</v>
      </c>
      <c r="I7" s="42" t="n">
        <v>128</v>
      </c>
      <c r="J7" s="42" t="n">
        <v>128</v>
      </c>
      <c r="K7" s="42" t="n">
        <v>176</v>
      </c>
      <c r="L7" s="42" t="n">
        <v>224</v>
      </c>
      <c r="M7" s="42" t="n">
        <v>272</v>
      </c>
      <c r="N7" s="42" t="n">
        <f aca="false">SUM(B7:M7)</f>
        <v>1600</v>
      </c>
      <c r="O7" s="42" t="n">
        <v>986.999999999999</v>
      </c>
      <c r="P7" s="42" t="n">
        <f aca="false">N7-O7</f>
        <v>612.999999999999</v>
      </c>
    </row>
    <row r="8" customFormat="false" ht="15" hidden="false" customHeight="false" outlineLevel="0" collapsed="false">
      <c r="A8" s="0" t="s">
        <v>89</v>
      </c>
      <c r="B8" s="42" t="n">
        <v>3.74</v>
      </c>
      <c r="C8" s="42" t="n">
        <v>9.35</v>
      </c>
      <c r="D8" s="42" t="n">
        <v>13.09</v>
      </c>
      <c r="E8" s="42" t="n">
        <v>13.09</v>
      </c>
      <c r="F8" s="42" t="n">
        <v>13.09</v>
      </c>
      <c r="G8" s="42" t="n">
        <v>13.09</v>
      </c>
      <c r="H8" s="42" t="n">
        <v>13.09</v>
      </c>
      <c r="I8" s="42" t="n">
        <v>14.96</v>
      </c>
      <c r="J8" s="42" t="n">
        <v>14.96</v>
      </c>
      <c r="K8" s="42" t="n">
        <v>20.57</v>
      </c>
      <c r="L8" s="42" t="n">
        <v>26.18</v>
      </c>
      <c r="M8" s="42" t="n">
        <v>31.79</v>
      </c>
      <c r="N8" s="42" t="n">
        <f aca="false">SUM(B8:M8)</f>
        <v>187</v>
      </c>
      <c r="O8" s="42" t="n">
        <v>102.4</v>
      </c>
      <c r="P8" s="42" t="n">
        <f aca="false">N8-O8</f>
        <v>84.6</v>
      </c>
    </row>
    <row r="9" customFormat="false" ht="15" hidden="false" customHeight="false" outlineLevel="0" collapsed="false">
      <c r="A9" s="0" t="s">
        <v>90</v>
      </c>
      <c r="B9" s="42" t="n">
        <v>80.3909071359999</v>
      </c>
      <c r="C9" s="42" t="n">
        <v>200.981734001507</v>
      </c>
      <c r="D9" s="42" t="n">
        <v>281.368174976</v>
      </c>
      <c r="E9" s="42" t="n">
        <v>281.354776491477</v>
      </c>
      <c r="F9" s="42" t="n">
        <v>281.368174976</v>
      </c>
      <c r="G9" s="42" t="n">
        <v>281.368174976</v>
      </c>
      <c r="H9" s="42" t="n">
        <v>281.368174976</v>
      </c>
      <c r="I9" s="42" t="n">
        <v>321.541297736462</v>
      </c>
      <c r="J9" s="42" t="n">
        <v>321.541297736462</v>
      </c>
      <c r="K9" s="42" t="n">
        <v>442.149989248</v>
      </c>
      <c r="L9" s="42" t="n">
        <v>562.736349951999</v>
      </c>
      <c r="M9" s="42" t="n">
        <v>683.322710656</v>
      </c>
      <c r="N9" s="42" t="n">
        <f aca="false">SUM(B9:M9)</f>
        <v>4019.49176286191</v>
      </c>
      <c r="O9" s="42" t="n">
        <v>2446.0892363</v>
      </c>
      <c r="P9" s="42" t="n">
        <f aca="false">N9-O9</f>
        <v>1573.40252656191</v>
      </c>
    </row>
    <row r="10" customFormat="false" ht="15" hidden="false" customHeight="false" outlineLevel="0" collapsed="false">
      <c r="A10" s="0" t="s">
        <v>91</v>
      </c>
      <c r="B10" s="42" t="n">
        <v>4.266</v>
      </c>
      <c r="C10" s="42" t="n">
        <v>10.665</v>
      </c>
      <c r="D10" s="42" t="n">
        <v>14.931</v>
      </c>
      <c r="E10" s="42" t="n">
        <v>14.931</v>
      </c>
      <c r="F10" s="42" t="n">
        <v>14.931</v>
      </c>
      <c r="G10" s="42" t="n">
        <v>14.931</v>
      </c>
      <c r="H10" s="42" t="n">
        <v>14.931</v>
      </c>
      <c r="I10" s="42" t="n">
        <v>17.064</v>
      </c>
      <c r="J10" s="42" t="n">
        <v>17.064</v>
      </c>
      <c r="K10" s="42" t="n">
        <v>23.4630000000001</v>
      </c>
      <c r="L10" s="42" t="n">
        <v>29.862</v>
      </c>
      <c r="M10" s="42" t="n">
        <v>36.2609999999999</v>
      </c>
      <c r="N10" s="42" t="n">
        <f aca="false">SUM(B10:M10)</f>
        <v>213.3</v>
      </c>
      <c r="O10" s="42" t="n">
        <v>0</v>
      </c>
      <c r="P10" s="42" t="n">
        <f aca="false">N10-O10</f>
        <v>213.3</v>
      </c>
    </row>
    <row r="11" customFormat="false" ht="15" hidden="false" customHeight="false" outlineLevel="0" collapsed="false">
      <c r="A11" s="0" t="s">
        <v>92</v>
      </c>
      <c r="B11" s="42" t="n">
        <v>17.0041828989972</v>
      </c>
      <c r="C11" s="42" t="n">
        <v>42.510457247493</v>
      </c>
      <c r="D11" s="42" t="n">
        <v>59.5146401464902</v>
      </c>
      <c r="E11" s="42" t="n">
        <v>59.5146401464902</v>
      </c>
      <c r="F11" s="42" t="n">
        <v>59.5146401464902</v>
      </c>
      <c r="G11" s="42" t="n">
        <v>59.5146401464902</v>
      </c>
      <c r="H11" s="42" t="n">
        <v>59.5146401464902</v>
      </c>
      <c r="I11" s="42" t="n">
        <v>68.0167315959888</v>
      </c>
      <c r="J11" s="42" t="n">
        <v>68.0167315959888</v>
      </c>
      <c r="K11" s="42" t="n">
        <v>93.5230059444846</v>
      </c>
      <c r="L11" s="42" t="n">
        <v>119.02928029298</v>
      </c>
      <c r="M11" s="42" t="n">
        <v>144.535554641476</v>
      </c>
      <c r="N11" s="42" t="n">
        <f aca="false">SUM(B11:M11)</f>
        <v>850.209144949859</v>
      </c>
      <c r="O11" s="42" t="n">
        <v>592.56</v>
      </c>
      <c r="P11" s="42" t="n">
        <f aca="false">N11-O11</f>
        <v>257.649144949859</v>
      </c>
    </row>
    <row r="12" customFormat="false" ht="15" hidden="false" customHeight="false" outlineLevel="0" collapsed="false">
      <c r="A12" s="40" t="s">
        <v>93</v>
      </c>
      <c r="B12" s="43" t="n">
        <f aca="false">SUM(B6:B11)</f>
        <v>291.325773985418</v>
      </c>
      <c r="C12" s="43" t="n">
        <f aca="false">SUM(C6:C11)</f>
        <v>728.318901125052</v>
      </c>
      <c r="D12" s="43" t="n">
        <f aca="false">SUM(D6:D11)</f>
        <v>1019.64020894896</v>
      </c>
      <c r="E12" s="43" t="n">
        <f aca="false">SUM(E6:E11)</f>
        <v>1019.62681046444</v>
      </c>
      <c r="F12" s="43" t="n">
        <f aca="false">SUM(F6:F11)</f>
        <v>1019.64020894896</v>
      </c>
      <c r="G12" s="43" t="n">
        <f aca="false">SUM(G6:G11)</f>
        <v>1019.64020894896</v>
      </c>
      <c r="H12" s="43" t="n">
        <f aca="false">SUM(H6:H11)</f>
        <v>1019.64020894896</v>
      </c>
      <c r="I12" s="43" t="n">
        <f aca="false">SUM(I6:I11)</f>
        <v>1165.28076513413</v>
      </c>
      <c r="J12" s="43" t="n">
        <f aca="false">SUM(J6:J11)</f>
        <v>1165.28076513413</v>
      </c>
      <c r="K12" s="43" t="n">
        <f aca="false">SUM(K6:K11)</f>
        <v>1602.2917569198</v>
      </c>
      <c r="L12" s="43" t="n">
        <f aca="false">SUM(L6:L11)</f>
        <v>2039.28041789792</v>
      </c>
      <c r="M12" s="43" t="n">
        <f aca="false">SUM(M6:M11)</f>
        <v>2476.26907887605</v>
      </c>
      <c r="N12" s="43" t="n">
        <f aca="false">SUM(N6:N11)</f>
        <v>14566.2351053328</v>
      </c>
      <c r="O12" s="43" t="n">
        <f aca="false">SUM(O6:O11)</f>
        <v>10323.4492363</v>
      </c>
      <c r="P12" s="43" t="n">
        <f aca="false">SUM(P6:P11)</f>
        <v>4242.7858690328</v>
      </c>
    </row>
    <row r="13" customFormat="false" ht="15" hidden="false" customHeight="false" outlineLevel="0" collapsed="false"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</row>
    <row r="14" customFormat="false" ht="15" hidden="false" customHeight="false" outlineLevel="0" collapsed="false">
      <c r="A14" s="40" t="s">
        <v>94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</row>
    <row r="15" customFormat="false" ht="15" hidden="false" customHeight="false" outlineLevel="0" collapsed="false">
      <c r="A15" s="0" t="s">
        <v>95</v>
      </c>
      <c r="B15" s="42" t="n">
        <f aca="false">IF($N6=0,0,$P6*B6/$N6)</f>
        <v>30.0166839504207</v>
      </c>
      <c r="C15" s="42" t="n">
        <f aca="false">IF($N6=0,0,$P6*C6/$N6)</f>
        <v>75.0417098760519</v>
      </c>
      <c r="D15" s="42" t="n">
        <f aca="false">IF($N6=0,0,$P6*D6/$N6)</f>
        <v>105.058393826473</v>
      </c>
      <c r="E15" s="42" t="n">
        <f aca="false">IF($N6=0,0,$P6*E6/$N6)</f>
        <v>105.058393826473</v>
      </c>
      <c r="F15" s="42" t="n">
        <f aca="false">IF($N6=0,0,$P6*F6/$N6)</f>
        <v>105.058393826473</v>
      </c>
      <c r="G15" s="42" t="n">
        <f aca="false">IF($N6=0,0,$P6*G6/$N6)</f>
        <v>105.058393826473</v>
      </c>
      <c r="H15" s="42" t="n">
        <f aca="false">IF($N6=0,0,$P6*H6/$N6)</f>
        <v>105.058393826473</v>
      </c>
      <c r="I15" s="42" t="n">
        <f aca="false">IF($N6=0,0,$P6*I6/$N6)</f>
        <v>120.066735801683</v>
      </c>
      <c r="J15" s="42" t="n">
        <f aca="false">IF($N6=0,0,$P6*J6/$N6)</f>
        <v>120.066735801683</v>
      </c>
      <c r="K15" s="42" t="n">
        <f aca="false">IF($N6=0,0,$P6*K6/$N6)</f>
        <v>165.091761727314</v>
      </c>
      <c r="L15" s="42" t="n">
        <f aca="false">IF($N6=0,0,$P6*L6/$N6)</f>
        <v>210.116787652945</v>
      </c>
      <c r="M15" s="42" t="n">
        <f aca="false">IF($N6=0,0,$P6*M6/$N6)</f>
        <v>255.141813578577</v>
      </c>
      <c r="N15" s="42" t="n">
        <f aca="false">SUM(B15:M15)</f>
        <v>1500.83419752104</v>
      </c>
      <c r="O15" s="42"/>
      <c r="P15" s="42"/>
    </row>
    <row r="16" customFormat="false" ht="15" hidden="false" customHeight="false" outlineLevel="0" collapsed="false">
      <c r="A16" s="0" t="s">
        <v>96</v>
      </c>
      <c r="B16" s="42" t="n">
        <f aca="false">IF($N7=0,0,$P7*B7/$N7)</f>
        <v>12.26</v>
      </c>
      <c r="C16" s="42" t="n">
        <f aca="false">IF($N7=0,0,$P7*C7/$N7)</f>
        <v>30.65</v>
      </c>
      <c r="D16" s="42" t="n">
        <f aca="false">IF($N7=0,0,$P7*D7/$N7)</f>
        <v>42.91</v>
      </c>
      <c r="E16" s="42" t="n">
        <f aca="false">IF($N7=0,0,$P7*E7/$N7)</f>
        <v>42.91</v>
      </c>
      <c r="F16" s="42" t="n">
        <f aca="false">IF($N7=0,0,$P7*F7/$N7)</f>
        <v>42.91</v>
      </c>
      <c r="G16" s="42" t="n">
        <f aca="false">IF($N7=0,0,$P7*G7/$N7)</f>
        <v>42.91</v>
      </c>
      <c r="H16" s="42" t="n">
        <f aca="false">IF($N7=0,0,$P7*H7/$N7)</f>
        <v>42.91</v>
      </c>
      <c r="I16" s="42" t="n">
        <f aca="false">IF($N7=0,0,$P7*I7/$N7)</f>
        <v>49.0399999999999</v>
      </c>
      <c r="J16" s="42" t="n">
        <f aca="false">IF($N7=0,0,$P7*J7/$N7)</f>
        <v>49.0399999999999</v>
      </c>
      <c r="K16" s="42" t="n">
        <f aca="false">IF($N7=0,0,$P7*K7/$N7)</f>
        <v>67.4299999999999</v>
      </c>
      <c r="L16" s="42" t="n">
        <f aca="false">IF($N7=0,0,$P7*L7/$N7)</f>
        <v>85.8199999999999</v>
      </c>
      <c r="M16" s="42" t="n">
        <f aca="false">IF($N7=0,0,$P7*M7/$N7)</f>
        <v>104.21</v>
      </c>
      <c r="N16" s="42" t="n">
        <f aca="false">SUM(B16:M16)</f>
        <v>612.999999999999</v>
      </c>
      <c r="O16" s="42"/>
      <c r="P16" s="42"/>
    </row>
    <row r="17" customFormat="false" ht="15" hidden="false" customHeight="false" outlineLevel="0" collapsed="false">
      <c r="A17" s="0" t="s">
        <v>97</v>
      </c>
      <c r="B17" s="42" t="n">
        <f aca="false">IF($N8=0,0,$P8*B8/$N8)</f>
        <v>1.692</v>
      </c>
      <c r="C17" s="42" t="n">
        <f aca="false">IF($N8=0,0,$P8*C8/$N8)</f>
        <v>4.23</v>
      </c>
      <c r="D17" s="42" t="n">
        <f aca="false">IF($N8=0,0,$P8*D8/$N8)</f>
        <v>5.922</v>
      </c>
      <c r="E17" s="42" t="n">
        <f aca="false">IF($N8=0,0,$P8*E8/$N8)</f>
        <v>5.922</v>
      </c>
      <c r="F17" s="42" t="n">
        <f aca="false">IF($N8=0,0,$P8*F8/$N8)</f>
        <v>5.922</v>
      </c>
      <c r="G17" s="42" t="n">
        <f aca="false">IF($N8=0,0,$P8*G8/$N8)</f>
        <v>5.922</v>
      </c>
      <c r="H17" s="42" t="n">
        <f aca="false">IF($N8=0,0,$P8*H8/$N8)</f>
        <v>5.922</v>
      </c>
      <c r="I17" s="42" t="n">
        <f aca="false">IF($N8=0,0,$P8*I8/$N8)</f>
        <v>6.768</v>
      </c>
      <c r="J17" s="42" t="n">
        <f aca="false">IF($N8=0,0,$P8*J8/$N8)</f>
        <v>6.768</v>
      </c>
      <c r="K17" s="42" t="n">
        <f aca="false">IF($N8=0,0,$P8*K8/$N8)</f>
        <v>9.306</v>
      </c>
      <c r="L17" s="42" t="n">
        <f aca="false">IF($N8=0,0,$P8*L8/$N8)</f>
        <v>11.844</v>
      </c>
      <c r="M17" s="42" t="n">
        <f aca="false">IF($N8=0,0,$P8*M8/$N8)</f>
        <v>14.382</v>
      </c>
      <c r="N17" s="42" t="n">
        <f aca="false">SUM(B17:M17)</f>
        <v>84.6</v>
      </c>
      <c r="O17" s="42"/>
      <c r="P17" s="42"/>
    </row>
    <row r="18" customFormat="false" ht="15" hidden="false" customHeight="false" outlineLevel="0" collapsed="false">
      <c r="A18" s="0" t="s">
        <v>98</v>
      </c>
      <c r="B18" s="42" t="n">
        <f aca="false">IF($N9=0,0,$P9*B9/$N9)</f>
        <v>31.4684701108396</v>
      </c>
      <c r="C18" s="42" t="n">
        <f aca="false">IF($N9=0,0,$P9*C9/$N9)</f>
        <v>78.6729235254385</v>
      </c>
      <c r="D18" s="42" t="n">
        <f aca="false">IF($N9=0,0,$P9*D9/$N9)</f>
        <v>110.139645387939</v>
      </c>
      <c r="E18" s="42" t="n">
        <f aca="false">IF($N9=0,0,$P9*E9/$N9)</f>
        <v>110.13440064292</v>
      </c>
      <c r="F18" s="42" t="n">
        <f aca="false">IF($N9=0,0,$P9*F9/$N9)</f>
        <v>110.139645387939</v>
      </c>
      <c r="G18" s="42" t="n">
        <f aca="false">IF($N9=0,0,$P9*G9/$N9)</f>
        <v>110.139645387939</v>
      </c>
      <c r="H18" s="42" t="n">
        <f aca="false">IF($N9=0,0,$P9*H9/$N9)</f>
        <v>110.139645387939</v>
      </c>
      <c r="I18" s="42" t="n">
        <f aca="false">IF($N9=0,0,$P9*I9/$N9)</f>
        <v>125.865139201661</v>
      </c>
      <c r="J18" s="42" t="n">
        <f aca="false">IF($N9=0,0,$P9*J9/$N9)</f>
        <v>125.865139201661</v>
      </c>
      <c r="K18" s="42" t="n">
        <f aca="false">IF($N9=0,0,$P9*K9/$N9)</f>
        <v>173.076585609618</v>
      </c>
      <c r="L18" s="42" t="n">
        <f aca="false">IF($N9=0,0,$P9*L9/$N9)</f>
        <v>220.279290775877</v>
      </c>
      <c r="M18" s="42" t="n">
        <f aca="false">IF($N9=0,0,$P9*M9/$N9)</f>
        <v>267.481995942137</v>
      </c>
      <c r="N18" s="42" t="n">
        <f aca="false">SUM(B18:M18)</f>
        <v>1573.40252656191</v>
      </c>
      <c r="O18" s="42"/>
      <c r="P18" s="42"/>
    </row>
    <row r="19" customFormat="false" ht="15" hidden="false" customHeight="false" outlineLevel="0" collapsed="false">
      <c r="A19" s="0" t="s">
        <v>99</v>
      </c>
      <c r="B19" s="42" t="n">
        <f aca="false">IF($N10=0,0,$P10*B10/$N10)</f>
        <v>4.266</v>
      </c>
      <c r="C19" s="42" t="n">
        <f aca="false">IF($N10=0,0,$P10*C10/$N10)</f>
        <v>10.665</v>
      </c>
      <c r="D19" s="42" t="n">
        <f aca="false">IF($N10=0,0,$P10*D10/$N10)</f>
        <v>14.931</v>
      </c>
      <c r="E19" s="42" t="n">
        <f aca="false">IF($N10=0,0,$P10*E10/$N10)</f>
        <v>14.931</v>
      </c>
      <c r="F19" s="42" t="n">
        <f aca="false">IF($N10=0,0,$P10*F10/$N10)</f>
        <v>14.931</v>
      </c>
      <c r="G19" s="42" t="n">
        <f aca="false">IF($N10=0,0,$P10*G10/$N10)</f>
        <v>14.931</v>
      </c>
      <c r="H19" s="42" t="n">
        <f aca="false">IF($N10=0,0,$P10*H10/$N10)</f>
        <v>14.931</v>
      </c>
      <c r="I19" s="42" t="n">
        <f aca="false">IF($N10=0,0,$P10*I10/$N10)</f>
        <v>17.064</v>
      </c>
      <c r="J19" s="42" t="n">
        <f aca="false">IF($N10=0,0,$P10*J10/$N10)</f>
        <v>17.064</v>
      </c>
      <c r="K19" s="42" t="n">
        <f aca="false">IF($N10=0,0,$P10*K10/$N10)</f>
        <v>23.4630000000001</v>
      </c>
      <c r="L19" s="42" t="n">
        <f aca="false">IF($N10=0,0,$P10*L10/$N10)</f>
        <v>29.862</v>
      </c>
      <c r="M19" s="42" t="n">
        <f aca="false">IF($N10=0,0,$P10*M10/$N10)</f>
        <v>36.2609999999999</v>
      </c>
      <c r="N19" s="42" t="n">
        <f aca="false">SUM(B19:M19)</f>
        <v>213.3</v>
      </c>
      <c r="O19" s="42"/>
      <c r="P19" s="42"/>
    </row>
    <row r="20" customFormat="false" ht="15" hidden="false" customHeight="false" outlineLevel="0" collapsed="false">
      <c r="A20" s="0" t="s">
        <v>100</v>
      </c>
      <c r="B20" s="42" t="n">
        <f aca="false">IF($N11=0,0,$P11*B11/$N11)</f>
        <v>5.15298289899719</v>
      </c>
      <c r="C20" s="42" t="n">
        <f aca="false">IF($N11=0,0,$P11*C11/$N11)</f>
        <v>12.882457247493</v>
      </c>
      <c r="D20" s="42" t="n">
        <f aca="false">IF($N11=0,0,$P11*D11/$N11)</f>
        <v>18.0354401464902</v>
      </c>
      <c r="E20" s="42" t="n">
        <f aca="false">IF($N11=0,0,$P11*E11/$N11)</f>
        <v>18.0354401464902</v>
      </c>
      <c r="F20" s="42" t="n">
        <f aca="false">IF($N11=0,0,$P11*F11/$N11)</f>
        <v>18.0354401464902</v>
      </c>
      <c r="G20" s="42" t="n">
        <f aca="false">IF($N11=0,0,$P11*G11/$N11)</f>
        <v>18.0354401464902</v>
      </c>
      <c r="H20" s="42" t="n">
        <f aca="false">IF($N11=0,0,$P11*H11/$N11)</f>
        <v>18.0354401464902</v>
      </c>
      <c r="I20" s="42" t="n">
        <f aca="false">IF($N11=0,0,$P11*I11/$N11)</f>
        <v>20.6119315959888</v>
      </c>
      <c r="J20" s="42" t="n">
        <f aca="false">IF($N11=0,0,$P11*J11/$N11)</f>
        <v>20.6119315959888</v>
      </c>
      <c r="K20" s="42" t="n">
        <f aca="false">IF($N11=0,0,$P11*K11/$N11)</f>
        <v>28.3414059444846</v>
      </c>
      <c r="L20" s="42" t="n">
        <f aca="false">IF($N11=0,0,$P11*L11/$N11)</f>
        <v>36.0708802929802</v>
      </c>
      <c r="M20" s="42" t="n">
        <f aca="false">IF($N11=0,0,$P11*M11/$N11)</f>
        <v>43.8003546414761</v>
      </c>
      <c r="N20" s="42" t="n">
        <f aca="false">SUM(B20:M20)</f>
        <v>257.649144949859</v>
      </c>
      <c r="O20" s="42"/>
      <c r="P20" s="42"/>
    </row>
    <row r="21" customFormat="false" ht="15" hidden="false" customHeight="false" outlineLevel="0" collapsed="false">
      <c r="A21" s="44" t="s">
        <v>101</v>
      </c>
      <c r="B21" s="45" t="n">
        <f aca="false">B15</f>
        <v>30.0166839504207</v>
      </c>
      <c r="C21" s="45" t="n">
        <f aca="false">C15</f>
        <v>75.0417098760519</v>
      </c>
      <c r="D21" s="45" t="n">
        <f aca="false">D15</f>
        <v>105.058393826473</v>
      </c>
      <c r="E21" s="45" t="n">
        <f aca="false">E15</f>
        <v>105.058393826473</v>
      </c>
      <c r="F21" s="45" t="n">
        <f aca="false">F15</f>
        <v>105.058393826473</v>
      </c>
      <c r="G21" s="45" t="n">
        <f aca="false">G15</f>
        <v>105.058393826473</v>
      </c>
      <c r="H21" s="45" t="n">
        <f aca="false">H15</f>
        <v>105.058393826473</v>
      </c>
      <c r="I21" s="45" t="n">
        <f aca="false">I15</f>
        <v>120.066735801683</v>
      </c>
      <c r="J21" s="45" t="n">
        <f aca="false">J15</f>
        <v>120.066735801683</v>
      </c>
      <c r="K21" s="45" t="n">
        <f aca="false">K15</f>
        <v>165.091761727314</v>
      </c>
      <c r="L21" s="45" t="n">
        <f aca="false">L15</f>
        <v>210.116787652945</v>
      </c>
      <c r="M21" s="45" t="n">
        <f aca="false">M15</f>
        <v>255.141813578577</v>
      </c>
      <c r="N21" s="45" t="n">
        <f aca="false">N15</f>
        <v>1500.83419752104</v>
      </c>
      <c r="O21" s="42"/>
      <c r="P21" s="42"/>
    </row>
    <row r="22" customFormat="false" ht="15" hidden="false" customHeight="false" outlineLevel="0" collapsed="false">
      <c r="A22" s="44" t="s">
        <v>102</v>
      </c>
      <c r="B22" s="45" t="n">
        <f aca="false">B16+B17+B18+B19+B20</f>
        <v>54.8394530098368</v>
      </c>
      <c r="C22" s="45" t="n">
        <f aca="false">C16+C17+C18+C19+C20</f>
        <v>137.100380772931</v>
      </c>
      <c r="D22" s="45" t="n">
        <f aca="false">D16+D17+D18+D19+D20</f>
        <v>191.938085534429</v>
      </c>
      <c r="E22" s="45" t="n">
        <f aca="false">E16+E17+E18+E19+E20</f>
        <v>191.93284078941</v>
      </c>
      <c r="F22" s="45" t="n">
        <f aca="false">F16+F17+F18+F19+F20</f>
        <v>191.938085534429</v>
      </c>
      <c r="G22" s="45" t="n">
        <f aca="false">G16+G17+G18+G19+G20</f>
        <v>191.938085534429</v>
      </c>
      <c r="H22" s="45" t="n">
        <f aca="false">H16+H17+H18+H19+H20</f>
        <v>191.938085534429</v>
      </c>
      <c r="I22" s="45" t="n">
        <f aca="false">I16+I17+I18+I19+I20</f>
        <v>219.34907079765</v>
      </c>
      <c r="J22" s="45" t="n">
        <f aca="false">J16+J17+J18+J19+J20</f>
        <v>219.34907079765</v>
      </c>
      <c r="K22" s="45" t="n">
        <f aca="false">K16+K17+K18+K19+K20</f>
        <v>301.616991554102</v>
      </c>
      <c r="L22" s="45" t="n">
        <f aca="false">L16+L17+L18+L19+L20</f>
        <v>383.876171068857</v>
      </c>
      <c r="M22" s="45" t="n">
        <f aca="false">M16+M17+M18+M19+M20</f>
        <v>466.135350583613</v>
      </c>
      <c r="N22" s="45" t="n">
        <f aca="false">N16+N17+N18+N19+N20</f>
        <v>2741.95167151176</v>
      </c>
      <c r="O22" s="42"/>
      <c r="P22" s="42"/>
    </row>
    <row r="23" customFormat="false" ht="15" hidden="false" customHeight="false" outlineLevel="0" collapsed="false">
      <c r="A23" s="40" t="s">
        <v>103</v>
      </c>
      <c r="B23" s="43" t="n">
        <f aca="false">B21+B22</f>
        <v>84.8561369602575</v>
      </c>
      <c r="C23" s="43" t="n">
        <f aca="false">C21+C22</f>
        <v>212.142090648983</v>
      </c>
      <c r="D23" s="43" t="n">
        <f aca="false">D21+D22</f>
        <v>296.996479360901</v>
      </c>
      <c r="E23" s="43" t="n">
        <f aca="false">E21+E22</f>
        <v>296.991234615883</v>
      </c>
      <c r="F23" s="43" t="n">
        <f aca="false">F21+F22</f>
        <v>296.996479360902</v>
      </c>
      <c r="G23" s="43" t="n">
        <f aca="false">G21+G22</f>
        <v>296.996479360902</v>
      </c>
      <c r="H23" s="43" t="n">
        <f aca="false">H21+H22</f>
        <v>296.996479360902</v>
      </c>
      <c r="I23" s="43" t="n">
        <f aca="false">I21+I22</f>
        <v>339.415806599333</v>
      </c>
      <c r="J23" s="43" t="n">
        <f aca="false">J21+J22</f>
        <v>339.415806599333</v>
      </c>
      <c r="K23" s="43" t="n">
        <f aca="false">K21+K22</f>
        <v>466.708753281416</v>
      </c>
      <c r="L23" s="43" t="n">
        <f aca="false">L21+L22</f>
        <v>593.992958721802</v>
      </c>
      <c r="M23" s="43" t="n">
        <f aca="false">M21+M22</f>
        <v>721.277164162189</v>
      </c>
      <c r="N23" s="43" t="n">
        <f aca="false">N21+N22</f>
        <v>4242.7858690328</v>
      </c>
      <c r="O23" s="42"/>
      <c r="P23" s="42"/>
    </row>
    <row r="24" customFormat="false" ht="15" hidden="false" customHeight="false" outlineLevel="0" collapsed="false"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</row>
    <row r="25" customFormat="false" ht="15" hidden="false" customHeight="false" outlineLevel="0" collapsed="false">
      <c r="A25" s="40" t="s">
        <v>104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</row>
    <row r="26" customFormat="false" ht="15" hidden="false" customHeight="false" outlineLevel="0" collapsed="false">
      <c r="A26" s="0" t="s">
        <v>105</v>
      </c>
      <c r="B26" s="42" t="n">
        <v>-66.25</v>
      </c>
      <c r="C26" s="42" t="n">
        <v>-66.25</v>
      </c>
      <c r="D26" s="42" t="n">
        <v>-66.25</v>
      </c>
      <c r="E26" s="42" t="n">
        <v>-66.25</v>
      </c>
      <c r="F26" s="42" t="n">
        <v>-66.25</v>
      </c>
      <c r="G26" s="42" t="n">
        <v>-66.25</v>
      </c>
      <c r="H26" s="42" t="n">
        <v>-66.25</v>
      </c>
      <c r="I26" s="42" t="n">
        <v>-66.25</v>
      </c>
      <c r="J26" s="42" t="n">
        <v>-66.25</v>
      </c>
      <c r="K26" s="42" t="n">
        <v>-66.25</v>
      </c>
      <c r="L26" s="42" t="n">
        <v>-66.25</v>
      </c>
      <c r="M26" s="42" t="n">
        <v>-66.25</v>
      </c>
      <c r="N26" s="42" t="n">
        <f aca="false">SUM(B26:M26)</f>
        <v>-795</v>
      </c>
      <c r="O26" s="42"/>
      <c r="P26" s="42"/>
    </row>
    <row r="27" customFormat="false" ht="15" hidden="false" customHeight="false" outlineLevel="0" collapsed="false">
      <c r="A27" s="0" t="s">
        <v>106</v>
      </c>
      <c r="B27" s="42" t="n">
        <v>-4.24</v>
      </c>
      <c r="C27" s="42" t="n">
        <v>-7.42</v>
      </c>
      <c r="D27" s="42" t="n">
        <v>-14.31</v>
      </c>
      <c r="E27" s="42" t="n">
        <v>-14.787</v>
      </c>
      <c r="F27" s="42" t="n">
        <v>-15.105</v>
      </c>
      <c r="G27" s="42" t="n">
        <v>-15.9</v>
      </c>
      <c r="H27" s="42" t="n">
        <v>-15.9</v>
      </c>
      <c r="I27" s="42" t="n">
        <v>-17.013</v>
      </c>
      <c r="J27" s="42" t="n">
        <v>-17.013</v>
      </c>
      <c r="K27" s="42" t="n">
        <v>-17.013</v>
      </c>
      <c r="L27" s="42" t="n">
        <v>-18.285</v>
      </c>
      <c r="M27" s="42" t="n">
        <v>-19.08</v>
      </c>
      <c r="N27" s="42" t="n">
        <f aca="false">SUM(B27:M27)</f>
        <v>-176.066</v>
      </c>
      <c r="O27" s="42"/>
      <c r="P27" s="42"/>
    </row>
    <row r="28" customFormat="false" ht="15" hidden="false" customHeight="false" outlineLevel="0" collapsed="false">
      <c r="A28" s="40" t="s">
        <v>107</v>
      </c>
      <c r="B28" s="43" t="n">
        <f aca="false">B26+B27</f>
        <v>-70.49</v>
      </c>
      <c r="C28" s="43" t="n">
        <f aca="false">C26+C27</f>
        <v>-73.67</v>
      </c>
      <c r="D28" s="43" t="n">
        <f aca="false">D26+D27</f>
        <v>-80.56</v>
      </c>
      <c r="E28" s="43" t="n">
        <f aca="false">E26+E27</f>
        <v>-81.037</v>
      </c>
      <c r="F28" s="43" t="n">
        <f aca="false">F26+F27</f>
        <v>-81.355</v>
      </c>
      <c r="G28" s="43" t="n">
        <f aca="false">G26+G27</f>
        <v>-82.15</v>
      </c>
      <c r="H28" s="43" t="n">
        <f aca="false">H26+H27</f>
        <v>-82.15</v>
      </c>
      <c r="I28" s="43" t="n">
        <f aca="false">I26+I27</f>
        <v>-83.263</v>
      </c>
      <c r="J28" s="43" t="n">
        <f aca="false">J26+J27</f>
        <v>-83.263</v>
      </c>
      <c r="K28" s="43" t="n">
        <f aca="false">K26+K27</f>
        <v>-83.263</v>
      </c>
      <c r="L28" s="43" t="n">
        <f aca="false">L26+L27</f>
        <v>-84.535</v>
      </c>
      <c r="M28" s="43" t="n">
        <f aca="false">M26+M27</f>
        <v>-85.33</v>
      </c>
      <c r="N28" s="43" t="n">
        <f aca="false">N26+N27</f>
        <v>-971.066</v>
      </c>
      <c r="O28" s="42"/>
      <c r="P28" s="42"/>
    </row>
    <row r="29" customFormat="false" ht="15" hidden="false" customHeight="false" outlineLevel="0" collapsed="false">
      <c r="A29" s="0" t="s">
        <v>37</v>
      </c>
      <c r="B29" s="42" t="n">
        <v>-113.964046852421</v>
      </c>
      <c r="C29" s="42" t="n">
        <v>-116.10616442779</v>
      </c>
      <c r="D29" s="42" t="n">
        <v>-116.710569276869</v>
      </c>
      <c r="E29" s="42" t="n">
        <v>-118.662842973061</v>
      </c>
      <c r="F29" s="42" t="n">
        <v>-120.878049200388</v>
      </c>
      <c r="G29" s="42" t="n">
        <v>-117.838601751365</v>
      </c>
      <c r="H29" s="42" t="n">
        <v>-120.784079044911</v>
      </c>
      <c r="I29" s="42" t="n">
        <v>-102.883619444708</v>
      </c>
      <c r="J29" s="42" t="n">
        <v>-119.844979381682</v>
      </c>
      <c r="K29" s="42" t="n">
        <v>-127.968972077443</v>
      </c>
      <c r="L29" s="42" t="n">
        <v>-128.01786718941</v>
      </c>
      <c r="M29" s="42" t="n">
        <v>-132.703144979922</v>
      </c>
      <c r="N29" s="42" t="n">
        <f aca="false">SUM(B29:M29)</f>
        <v>-1436.36293659997</v>
      </c>
      <c r="O29" s="42"/>
      <c r="P29" s="42"/>
    </row>
    <row r="30" customFormat="false" ht="15" hidden="false" customHeight="false" outlineLevel="0" collapsed="false">
      <c r="A30" s="0" t="s">
        <v>108</v>
      </c>
      <c r="B30" s="42" t="n">
        <v>-1.1561945499232</v>
      </c>
      <c r="C30" s="42" t="n">
        <v>-5.1511945499232</v>
      </c>
      <c r="D30" s="42" t="n">
        <v>-1.8032845499232</v>
      </c>
      <c r="E30" s="42" t="n">
        <v>-12.2532852199232</v>
      </c>
      <c r="F30" s="42" t="n">
        <v>-1.6682845499232</v>
      </c>
      <c r="G30" s="42" t="n">
        <v>-1.6632845499232</v>
      </c>
      <c r="H30" s="42" t="n">
        <v>-7.80328454992319</v>
      </c>
      <c r="I30" s="42" t="n">
        <v>-2.00295454992319</v>
      </c>
      <c r="J30" s="42" t="n">
        <v>-1.6682845499232</v>
      </c>
      <c r="K30" s="42" t="n">
        <v>-1.6632845499232</v>
      </c>
      <c r="L30" s="42" t="n">
        <v>-1.68150634062704</v>
      </c>
      <c r="M30" s="42" t="n">
        <v>-1.7715893986895</v>
      </c>
      <c r="N30" s="42" t="n">
        <f aca="false">SUM(B30:M30)</f>
        <v>-40.2864319085485</v>
      </c>
      <c r="O30" s="42"/>
      <c r="P30" s="42"/>
    </row>
    <row r="31" customFormat="false" ht="15" hidden="false" customHeight="false" outlineLevel="0" collapsed="false">
      <c r="A31" s="0" t="s">
        <v>109</v>
      </c>
      <c r="B31" s="42" t="n">
        <v>-95.8369922078975</v>
      </c>
      <c r="C31" s="42" t="n">
        <v>-135.591985911197</v>
      </c>
      <c r="D31" s="42" t="n">
        <v>-158.380424883575</v>
      </c>
      <c r="E31" s="42" t="n">
        <v>-160.58932361584</v>
      </c>
      <c r="F31" s="42" t="n">
        <v>-159.818723683005</v>
      </c>
      <c r="G31" s="42" t="n">
        <v>-161.902103063409</v>
      </c>
      <c r="H31" s="42" t="n">
        <v>-164.821402245073</v>
      </c>
      <c r="I31" s="42" t="n">
        <v>-172.154671777438</v>
      </c>
      <c r="J31" s="42" t="n">
        <v>-171.195309053905</v>
      </c>
      <c r="K31" s="42" t="n">
        <v>-204.76793874075</v>
      </c>
      <c r="L31" s="42" t="n">
        <v>-230.498289005211</v>
      </c>
      <c r="M31" s="42" t="n">
        <v>-256.1670518127</v>
      </c>
      <c r="N31" s="42" t="n">
        <f aca="false">SUM(B31:M31)</f>
        <v>-2071.724216</v>
      </c>
      <c r="O31" s="42"/>
      <c r="P31" s="42"/>
    </row>
    <row r="32" customFormat="false" ht="15" hidden="false" customHeight="false" outlineLevel="0" collapsed="false">
      <c r="A32" s="0" t="s">
        <v>110</v>
      </c>
      <c r="B32" s="42" t="n">
        <f aca="false">B31-B28</f>
        <v>-25.3469922078975</v>
      </c>
      <c r="C32" s="42" t="n">
        <f aca="false">C31-C28</f>
        <v>-61.9219859111969</v>
      </c>
      <c r="D32" s="42" t="n">
        <f aca="false">D31-D28</f>
        <v>-77.8204248835754</v>
      </c>
      <c r="E32" s="42" t="n">
        <f aca="false">E31-E28</f>
        <v>-79.5523236158397</v>
      </c>
      <c r="F32" s="42" t="n">
        <f aca="false">F31-F28</f>
        <v>-78.4637236830045</v>
      </c>
      <c r="G32" s="42" t="n">
        <f aca="false">G31-G28</f>
        <v>-79.7521030634092</v>
      </c>
      <c r="H32" s="42" t="n">
        <f aca="false">H31-H28</f>
        <v>-82.6714022450732</v>
      </c>
      <c r="I32" s="42" t="n">
        <f aca="false">I31-I28</f>
        <v>-88.8916717774382</v>
      </c>
      <c r="J32" s="42" t="n">
        <f aca="false">J31-J28</f>
        <v>-87.9323090539054</v>
      </c>
      <c r="K32" s="42" t="n">
        <f aca="false">K31-K28</f>
        <v>-121.50493874075</v>
      </c>
      <c r="L32" s="42" t="n">
        <f aca="false">L31-L28</f>
        <v>-145.963289005211</v>
      </c>
      <c r="M32" s="42" t="n">
        <f aca="false">M31-M28</f>
        <v>-170.8370518127</v>
      </c>
      <c r="N32" s="42" t="n">
        <f aca="false">N31-N28</f>
        <v>-1100.658216</v>
      </c>
      <c r="O32" s="42"/>
      <c r="P32" s="42"/>
    </row>
    <row r="33" customFormat="false" ht="15" hidden="false" customHeight="false" outlineLevel="0" collapsed="false">
      <c r="A33" s="0" t="s">
        <v>111</v>
      </c>
      <c r="B33" s="42" t="n">
        <v>-6.44907272921417</v>
      </c>
      <c r="C33" s="42" t="n">
        <v>-6.44907272921417</v>
      </c>
      <c r="D33" s="42" t="n">
        <v>-6.84907272921417</v>
      </c>
      <c r="E33" s="42" t="n">
        <v>-6.64907272921417</v>
      </c>
      <c r="F33" s="42" t="n">
        <v>-7.14907272921417</v>
      </c>
      <c r="G33" s="42" t="n">
        <v>-7.09957968014875</v>
      </c>
      <c r="H33" s="42" t="n">
        <v>-7.04200677321728</v>
      </c>
      <c r="I33" s="42" t="n">
        <v>-7.30994301384494</v>
      </c>
      <c r="J33" s="42" t="n">
        <v>-8.82134158688551</v>
      </c>
      <c r="K33" s="42" t="n">
        <v>-9.42744069455685</v>
      </c>
      <c r="L33" s="42" t="n">
        <v>-9.42744069455685</v>
      </c>
      <c r="M33" s="42" t="n">
        <v>-9.42744069455685</v>
      </c>
      <c r="N33" s="42" t="n">
        <f aca="false">SUM(B33:M33)</f>
        <v>-92.1005567838379</v>
      </c>
      <c r="O33" s="42"/>
      <c r="P33" s="42"/>
    </row>
    <row r="34" customFormat="false" ht="15" hidden="false" customHeight="false" outlineLevel="0" collapsed="false">
      <c r="A34" s="0" t="s">
        <v>60</v>
      </c>
      <c r="B34" s="42" t="n">
        <v>-2.44525113760494</v>
      </c>
      <c r="C34" s="42" t="n">
        <v>-5.32565910714291</v>
      </c>
      <c r="D34" s="42" t="n">
        <v>-7.24587898161731</v>
      </c>
      <c r="E34" s="42" t="n">
        <v>-7.24578519222564</v>
      </c>
      <c r="F34" s="42" t="n">
        <v>-7.24587898161731</v>
      </c>
      <c r="G34" s="42" t="n">
        <v>-7.24587898161731</v>
      </c>
      <c r="H34" s="42" t="n">
        <v>-7.24587898161731</v>
      </c>
      <c r="I34" s="42" t="n">
        <v>-8.20584823476701</v>
      </c>
      <c r="J34" s="42" t="n">
        <v>-8.20584823476701</v>
      </c>
      <c r="K34" s="42" t="n">
        <v>-11.0863812568272</v>
      </c>
      <c r="L34" s="42" t="n">
        <v>-13.9667579632346</v>
      </c>
      <c r="M34" s="42" t="n">
        <v>-16.847134669642</v>
      </c>
      <c r="N34" s="42" t="n">
        <f aca="false">SUM(B34:M34)</f>
        <v>-102.312181722681</v>
      </c>
      <c r="O34" s="42"/>
      <c r="P34" s="42"/>
    </row>
    <row r="35" customFormat="false" ht="15" hidden="false" customHeight="false" outlineLevel="0" collapsed="false"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</row>
    <row r="36" customFormat="false" ht="15" hidden="false" customHeight="false" outlineLevel="0" collapsed="false">
      <c r="A36" s="40" t="s">
        <v>112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</row>
    <row r="37" customFormat="false" ht="15" hidden="false" customHeight="false" outlineLevel="0" collapsed="false">
      <c r="A37" s="40" t="s">
        <v>21</v>
      </c>
      <c r="B37" s="43" t="n">
        <f aca="false">B23+B28</f>
        <v>14.3661369602575</v>
      </c>
      <c r="C37" s="43" t="n">
        <f aca="false">C23+C28</f>
        <v>138.472090648983</v>
      </c>
      <c r="D37" s="43" t="n">
        <f aca="false">D23+D28</f>
        <v>216.436479360901</v>
      </c>
      <c r="E37" s="43" t="n">
        <f aca="false">E23+E28</f>
        <v>215.954234615883</v>
      </c>
      <c r="F37" s="43" t="n">
        <f aca="false">F23+F28</f>
        <v>215.641479360901</v>
      </c>
      <c r="G37" s="43" t="n">
        <f aca="false">G23+G28</f>
        <v>214.846479360902</v>
      </c>
      <c r="H37" s="43" t="n">
        <f aca="false">H23+H28</f>
        <v>214.846479360902</v>
      </c>
      <c r="I37" s="43" t="n">
        <f aca="false">I23+I28</f>
        <v>256.152806599333</v>
      </c>
      <c r="J37" s="43" t="n">
        <f aca="false">J23+J28</f>
        <v>256.152806599333</v>
      </c>
      <c r="K37" s="43" t="n">
        <f aca="false">K23+K28</f>
        <v>383.445753281416</v>
      </c>
      <c r="L37" s="43" t="n">
        <f aca="false">L23+L28</f>
        <v>509.457958721802</v>
      </c>
      <c r="M37" s="43" t="n">
        <f aca="false">M23+M28</f>
        <v>635.947164162189</v>
      </c>
      <c r="N37" s="43" t="n">
        <f aca="false">N23+N28</f>
        <v>3271.7198690328</v>
      </c>
      <c r="O37" s="42"/>
      <c r="P37" s="42"/>
    </row>
    <row r="38" customFormat="false" ht="15" hidden="false" customHeight="false" outlineLevel="0" collapsed="false">
      <c r="A38" s="44" t="s">
        <v>37</v>
      </c>
      <c r="B38" s="45" t="n">
        <f aca="false">B29+B30</f>
        <v>-115.120241402344</v>
      </c>
      <c r="C38" s="45" t="n">
        <f aca="false">C29+C30</f>
        <v>-121.257358977714</v>
      </c>
      <c r="D38" s="45" t="n">
        <f aca="false">D29+D30</f>
        <v>-118.513853826792</v>
      </c>
      <c r="E38" s="45" t="n">
        <f aca="false">E29+E30</f>
        <v>-130.916128192984</v>
      </c>
      <c r="F38" s="45" t="n">
        <f aca="false">F29+F30</f>
        <v>-122.546333750311</v>
      </c>
      <c r="G38" s="45" t="n">
        <f aca="false">G29+G30</f>
        <v>-119.501886301288</v>
      </c>
      <c r="H38" s="45" t="n">
        <f aca="false">H29+H30</f>
        <v>-128.587363594834</v>
      </c>
      <c r="I38" s="45" t="n">
        <f aca="false">I29+I30</f>
        <v>-104.886573994631</v>
      </c>
      <c r="J38" s="45" t="n">
        <f aca="false">J29+J30</f>
        <v>-121.513263931605</v>
      </c>
      <c r="K38" s="45" t="n">
        <f aca="false">K29+K30</f>
        <v>-129.632256627366</v>
      </c>
      <c r="L38" s="45" t="n">
        <f aca="false">L29+L30</f>
        <v>-129.699373530037</v>
      </c>
      <c r="M38" s="45" t="n">
        <f aca="false">M29+M30</f>
        <v>-134.474734378611</v>
      </c>
      <c r="N38" s="45" t="n">
        <f aca="false">N29+N30</f>
        <v>-1476.64936850852</v>
      </c>
      <c r="O38" s="42"/>
      <c r="P38" s="42"/>
    </row>
    <row r="39" customFormat="false" ht="15" hidden="false" customHeight="false" outlineLevel="0" collapsed="false">
      <c r="A39" s="44" t="s">
        <v>42</v>
      </c>
      <c r="B39" s="45" t="n">
        <f aca="false">B32+B33+B34</f>
        <v>-34.2413160747166</v>
      </c>
      <c r="C39" s="45" t="n">
        <f aca="false">C32+C33+C34</f>
        <v>-73.696717747554</v>
      </c>
      <c r="D39" s="45" t="n">
        <f aca="false">D32+D33+D34</f>
        <v>-91.9153765944069</v>
      </c>
      <c r="E39" s="45" t="n">
        <f aca="false">E32+E33+E34</f>
        <v>-93.4471815372795</v>
      </c>
      <c r="F39" s="45" t="n">
        <f aca="false">F32+F33+F34</f>
        <v>-92.858675393836</v>
      </c>
      <c r="G39" s="45" t="n">
        <f aca="false">G32+G33+G34</f>
        <v>-94.0975617251753</v>
      </c>
      <c r="H39" s="45" t="n">
        <f aca="false">H32+H33+H34</f>
        <v>-96.9592879999078</v>
      </c>
      <c r="I39" s="45" t="n">
        <f aca="false">I32+I33+I34</f>
        <v>-104.40746302605</v>
      </c>
      <c r="J39" s="45" t="n">
        <f aca="false">J32+J33+J34</f>
        <v>-104.959498875558</v>
      </c>
      <c r="K39" s="45" t="n">
        <f aca="false">K32+K33+K34</f>
        <v>-142.018760692134</v>
      </c>
      <c r="L39" s="45" t="n">
        <f aca="false">L32+L33+L34</f>
        <v>-169.357487663002</v>
      </c>
      <c r="M39" s="45" t="n">
        <f aca="false">M32+M33+M34</f>
        <v>-197.111627176899</v>
      </c>
      <c r="N39" s="45" t="n">
        <f aca="false">N32+N33+N34</f>
        <v>-1295.07095450652</v>
      </c>
      <c r="O39" s="42"/>
      <c r="P39" s="42"/>
    </row>
    <row r="40" customFormat="false" ht="15" hidden="false" customHeight="false" outlineLevel="0" collapsed="false">
      <c r="A40" s="40" t="s">
        <v>35</v>
      </c>
      <c r="B40" s="43" t="n">
        <f aca="false">B38+B39</f>
        <v>-149.361557477061</v>
      </c>
      <c r="C40" s="43" t="n">
        <f aca="false">C38+C39</f>
        <v>-194.954076725267</v>
      </c>
      <c r="D40" s="43" t="n">
        <f aca="false">D38+D39</f>
        <v>-210.429230421199</v>
      </c>
      <c r="E40" s="43" t="n">
        <f aca="false">E38+E39</f>
        <v>-224.363309730264</v>
      </c>
      <c r="F40" s="43" t="n">
        <f aca="false">F38+F39</f>
        <v>-215.405009144147</v>
      </c>
      <c r="G40" s="43" t="n">
        <f aca="false">G38+G39</f>
        <v>-213.599448026463</v>
      </c>
      <c r="H40" s="43" t="n">
        <f aca="false">H38+H39</f>
        <v>-225.546651594742</v>
      </c>
      <c r="I40" s="43" t="n">
        <f aca="false">I38+I39</f>
        <v>-209.294037020681</v>
      </c>
      <c r="J40" s="43" t="n">
        <f aca="false">J38+J39</f>
        <v>-226.472762807163</v>
      </c>
      <c r="K40" s="43" t="n">
        <f aca="false">K38+K39</f>
        <v>-271.6510173195</v>
      </c>
      <c r="L40" s="43" t="n">
        <f aca="false">L38+L39</f>
        <v>-299.056861193039</v>
      </c>
      <c r="M40" s="43" t="n">
        <f aca="false">M38+M39</f>
        <v>-331.58636155551</v>
      </c>
      <c r="N40" s="43" t="n">
        <f aca="false">N38+N39</f>
        <v>-2771.72032301504</v>
      </c>
      <c r="O40" s="42"/>
      <c r="P40" s="42"/>
    </row>
    <row r="41" customFormat="false" ht="15" hidden="false" customHeight="false" outlineLevel="0" collapsed="false">
      <c r="A41" s="40" t="s">
        <v>113</v>
      </c>
      <c r="B41" s="43" t="n">
        <f aca="false">B37+B40</f>
        <v>-134.995420516803</v>
      </c>
      <c r="C41" s="43" t="n">
        <f aca="false">C37+C40</f>
        <v>-56.4819860762842</v>
      </c>
      <c r="D41" s="43" t="n">
        <f aca="false">D37+D40</f>
        <v>6.00724893970209</v>
      </c>
      <c r="E41" s="43" t="n">
        <f aca="false">E37+E40</f>
        <v>-8.40907511438087</v>
      </c>
      <c r="F41" s="43" t="n">
        <f aca="false">F37+F40</f>
        <v>0.236470216754412</v>
      </c>
      <c r="G41" s="43" t="n">
        <f aca="false">G37+G40</f>
        <v>1.24703133443845</v>
      </c>
      <c r="H41" s="43" t="n">
        <f aca="false">H37+H40</f>
        <v>-10.70017223384</v>
      </c>
      <c r="I41" s="43" t="n">
        <f aca="false">I37+I40</f>
        <v>46.8587695786517</v>
      </c>
      <c r="J41" s="43" t="n">
        <f aca="false">J37+J40</f>
        <v>29.6800437921697</v>
      </c>
      <c r="K41" s="43" t="n">
        <f aca="false">K37+K40</f>
        <v>111.794735961917</v>
      </c>
      <c r="L41" s="43" t="n">
        <f aca="false">L37+L40</f>
        <v>210.401097528763</v>
      </c>
      <c r="M41" s="43" t="n">
        <f aca="false">M37+M40</f>
        <v>304.36080260668</v>
      </c>
      <c r="N41" s="43" t="n">
        <f aca="false">N37+N40</f>
        <v>499.999546017767</v>
      </c>
      <c r="O41" s="42"/>
      <c r="P41" s="42"/>
    </row>
    <row r="42" customFormat="false" ht="15" hidden="false" customHeight="false" outlineLevel="0" collapsed="false"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</row>
    <row r="43" customFormat="false" ht="15" hidden="false" customHeight="false" outlineLevel="0" collapsed="false">
      <c r="A43" s="0" t="s">
        <v>114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 t="n">
        <f aca="false">ROUND(N41-499.999546017767,3)</f>
        <v>0</v>
      </c>
      <c r="O43" s="42"/>
      <c r="P43" s="4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2026-03-06T07:45:58Z</dcterms:created>
  <dc:creator>Сырейщиков Александр Александрович</dc:creator>
  <dc:description/>
  <dc:language>en-US</dc:language>
  <cp:lastModifiedBy>Бабкин Денис Владимирович</cp:lastModifiedBy>
  <dcterms:modified xsi:type="dcterms:W3CDTF">2026-10-21T10:46:33Z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