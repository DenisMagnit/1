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Свод BU2027" sheetId="1" state="visible" r:id="rId1"/>
    <sheet xmlns:r="http://schemas.openxmlformats.org/officeDocument/2006/relationships" name="BU2027 расчёт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0_ ;[RED]\-#,##0.00\ "/>
    <numFmt numFmtId="165" formatCode="0.0%"/>
    <numFmt numFmtId="166" formatCode="_-* #,##0_-;\-* #,##0_-;_-* \-??_-;_-@_-"/>
    <numFmt numFmtId="167" formatCode="#,##0.0;[RED]\-#,##0.0"/>
    <numFmt numFmtId="168" formatCode="_(* #,##0.00_);_(* \(#,##0.00\);_(* \-??_);_(@_)"/>
  </numFmts>
  <fonts count="13">
    <font>
      <name val="Calibri"/>
      <charset val="204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Calibri"/>
      <charset val="204"/>
      <family val="2"/>
      <b val="1"/>
      <color rgb="FFFF0000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color theme="0"/>
      <sz val="10"/>
    </font>
    <font>
      <name val="Arial"/>
      <charset val="204"/>
      <family val="2"/>
      <sz val="10"/>
    </font>
    <font>
      <name val="Arial"/>
      <charset val="204"/>
      <family val="2"/>
      <color rgb="FFC00000"/>
      <sz val="10"/>
    </font>
    <font>
      <name val="Arial"/>
      <charset val="204"/>
      <family val="2"/>
      <b val="1"/>
      <color rgb="FFC00000"/>
      <sz val="10"/>
    </font>
    <font>
      <name val="Cambria"/>
      <charset val="1"/>
      <family val="0"/>
      <b val="1"/>
      <sz val="11"/>
    </font>
    <font>
      <name val="Cambria"/>
      <charset val="1"/>
      <family val="0"/>
      <sz val="11"/>
    </font>
  </fonts>
  <fills count="9">
    <fill>
      <patternFill/>
    </fill>
    <fill>
      <patternFill patternType="gray125"/>
    </fill>
    <fill>
      <patternFill patternType="solid">
        <fgColor theme="9" tint="0.7999000000000001"/>
        <bgColor rgb="FFF2F2F2"/>
      </patternFill>
    </fill>
    <fill>
      <patternFill patternType="solid">
        <fgColor theme="4" tint="0.7999000000000001"/>
        <bgColor rgb="FFD9D9D9"/>
      </patternFill>
    </fill>
    <fill>
      <patternFill patternType="solid">
        <fgColor rgb="FFC00000"/>
        <bgColor rgb="FFFF0000"/>
      </patternFill>
    </fill>
    <fill>
      <patternFill patternType="solid">
        <fgColor theme="5" tint="0.7999000000000001"/>
        <bgColor rgb="FFFCE4D6"/>
      </patternFill>
    </fill>
    <fill>
      <patternFill patternType="solid">
        <fgColor rgb="FFFCE4D6"/>
        <bgColor rgb="FFFBE5D6"/>
      </patternFill>
    </fill>
    <fill>
      <patternFill patternType="solid">
        <fgColor theme="0" tint="-0.05"/>
        <bgColor rgb="FFE2F0D9"/>
      </patternFill>
    </fill>
    <fill>
      <patternFill patternType="solid">
        <fgColor rgb="FFD9D9D9"/>
        <bgColor rgb="FFDAE3F3"/>
      </patternFill>
    </fill>
  </fills>
  <borders count="6">
    <border>
      <left/>
      <right/>
      <top/>
      <bottom/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/>
      <top style="dotted"/>
      <bottom/>
      <diagonal/>
    </border>
    <border>
      <left/>
      <right/>
      <top/>
      <bottom style="thin"/>
      <diagonal/>
    </border>
    <border>
      <left/>
      <right/>
      <top/>
      <bottom style="dotted"/>
      <diagonal/>
    </border>
    <border>
      <left/>
      <right/>
      <top/>
      <bottom style="thin">
        <color rgb="FFC00000"/>
      </bottom>
      <diagonal/>
    </border>
  </borders>
  <cellStyleXfs count="8">
    <xf numFmtId="0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</cellStyleXfs>
  <cellXfs count="9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6" fillId="0" borderId="1" applyAlignment="1" pivotButton="0" quotePrefix="0" xfId="20">
      <alignment horizontal="left" vertical="center" wrapText="1"/>
    </xf>
    <xf numFmtId="164" fontId="7" fillId="4" borderId="1" applyAlignment="1" pivotButton="0" quotePrefix="0" xfId="20">
      <alignment horizontal="center" vertical="center" wrapText="1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3" fontId="8" fillId="0" borderId="2" applyAlignment="1" pivotButton="0" quotePrefix="0" xfId="20">
      <alignment horizontal="left" vertical="center" wrapText="1"/>
    </xf>
    <xf numFmtId="3" fontId="8" fillId="0" borderId="0" applyAlignment="1" pivotButton="0" quotePrefix="0" xfId="0">
      <alignment horizontal="center" vertical="bottom" wrapText="1"/>
    </xf>
    <xf numFmtId="3" fontId="8" fillId="0" borderId="0" applyAlignment="1" pivotButton="0" quotePrefix="0" xfId="20">
      <alignment horizontal="left" vertical="center" wrapText="1" indent="3"/>
    </xf>
    <xf numFmtId="3" fontId="8" fillId="0" borderId="0" applyAlignment="1" pivotButton="0" quotePrefix="0" xfId="0">
      <alignment horizontal="center" vertical="center" wrapText="1"/>
    </xf>
    <xf numFmtId="3" fontId="8" fillId="5" borderId="3" applyAlignment="1" pivotButton="0" quotePrefix="0" xfId="20">
      <alignment horizontal="center" vertical="center" wrapText="1"/>
    </xf>
    <xf numFmtId="3" fontId="8" fillId="6" borderId="3" applyAlignment="1" pivotButton="0" quotePrefix="0" xfId="0">
      <alignment horizontal="center" vertical="bottom" wrapText="1"/>
    </xf>
    <xf numFmtId="3" fontId="8" fillId="5" borderId="0" applyAlignment="1" pivotButton="0" quotePrefix="0" xfId="20">
      <alignment horizontal="center" vertical="center" wrapText="1"/>
    </xf>
    <xf numFmtId="0" fontId="9" fillId="0" borderId="0" applyAlignment="1" pivotButton="0" quotePrefix="0" xfId="20">
      <alignment horizontal="left" vertical="center" wrapText="1"/>
    </xf>
    <xf numFmtId="165" fontId="9" fillId="7" borderId="0" applyAlignment="1" pivotButton="0" quotePrefix="0" xfId="20">
      <alignment horizontal="center" vertical="center" wrapText="1"/>
    </xf>
    <xf numFmtId="3" fontId="8" fillId="0" borderId="0" applyAlignment="1" pivotButton="0" quotePrefix="0" xfId="20">
      <alignment horizontal="left" vertical="center" wrapText="1"/>
    </xf>
    <xf numFmtId="3" fontId="10" fillId="0" borderId="0" applyAlignment="1" pivotButton="0" quotePrefix="0" xfId="20">
      <alignment horizontal="left" vertical="center" wrapText="1"/>
    </xf>
    <xf numFmtId="3" fontId="10" fillId="7" borderId="0" applyAlignment="1" pivotButton="0" quotePrefix="0" xfId="20">
      <alignment horizontal="center" vertical="center" wrapText="1"/>
    </xf>
    <xf numFmtId="0" fontId="10" fillId="0" borderId="4" applyAlignment="1" pivotButton="0" quotePrefix="0" xfId="20">
      <alignment horizontal="left" vertical="center" wrapText="1"/>
    </xf>
    <xf numFmtId="165" fontId="10" fillId="7" borderId="4" applyAlignment="1" pivotButton="0" quotePrefix="0" xfId="20">
      <alignment horizontal="center" vertical="center" wrapText="1"/>
    </xf>
    <xf numFmtId="0" fontId="6" fillId="0" borderId="0" applyAlignment="1" pivotButton="0" quotePrefix="0" xfId="21">
      <alignment horizontal="left" vertical="center" wrapText="1"/>
    </xf>
    <xf numFmtId="3" fontId="6" fillId="7" borderId="0" applyAlignment="1" pivotButton="0" quotePrefix="0" xfId="20">
      <alignment horizontal="center" vertical="center" wrapText="1"/>
    </xf>
    <xf numFmtId="0" fontId="10" fillId="0" borderId="0" applyAlignment="1" pivotButton="0" quotePrefix="0" xfId="21">
      <alignment horizontal="left" vertical="center" wrapText="1"/>
    </xf>
    <xf numFmtId="9" fontId="10" fillId="7" borderId="0" applyAlignment="1" pivotButton="0" quotePrefix="0" xfId="20">
      <alignment horizontal="center" vertical="center" wrapText="1"/>
    </xf>
    <xf numFmtId="9" fontId="9" fillId="7" borderId="0" applyAlignment="1" pivotButton="0" quotePrefix="0" xfId="20">
      <alignment horizontal="center" vertical="center" wrapText="1"/>
    </xf>
    <xf numFmtId="0" fontId="8" fillId="6" borderId="0" applyAlignment="1" pivotButton="0" quotePrefix="0" xfId="0">
      <alignment horizontal="center" vertical="bottom" wrapText="1"/>
    </xf>
    <xf numFmtId="3" fontId="8" fillId="7" borderId="0" applyAlignment="1" pivotButton="0" quotePrefix="0" xfId="20">
      <alignment horizontal="center" vertical="center" wrapText="1"/>
    </xf>
    <xf numFmtId="0" fontId="9" fillId="0" borderId="4" applyAlignment="1" pivotButton="0" quotePrefix="0" xfId="20">
      <alignment horizontal="left" vertical="center" wrapText="1"/>
    </xf>
    <xf numFmtId="3" fontId="8" fillId="0" borderId="0" applyAlignment="1" pivotButton="0" quotePrefix="0" xfId="20">
      <alignment horizontal="left" vertical="center" wrapText="1" indent="1"/>
    </xf>
    <xf numFmtId="3" fontId="8" fillId="6" borderId="0" applyAlignment="1" pivotButton="0" quotePrefix="0" xfId="0">
      <alignment horizontal="center" vertical="bottom" wrapText="1"/>
    </xf>
    <xf numFmtId="0" fontId="9" fillId="0" borderId="0" applyAlignment="1" pivotButton="0" quotePrefix="0" xfId="20">
      <alignment horizontal="left" vertical="center" wrapText="1" indent="1"/>
    </xf>
    <xf numFmtId="9" fontId="9" fillId="7" borderId="4" applyAlignment="1" pivotButton="0" quotePrefix="0" xfId="20">
      <alignment horizontal="center" vertical="center" wrapText="1"/>
    </xf>
    <xf numFmtId="0" fontId="8" fillId="0" borderId="0" applyAlignment="1" pivotButton="0" quotePrefix="0" xfId="20">
      <alignment horizontal="left" vertical="center" wrapText="1"/>
    </xf>
    <xf numFmtId="0" fontId="8" fillId="0" borderId="0" applyAlignment="1" pivotButton="0" quotePrefix="0" xfId="0">
      <alignment horizontal="center" vertical="bottom" wrapText="1"/>
    </xf>
    <xf numFmtId="0" fontId="10" fillId="0" borderId="5" applyAlignment="1" pivotButton="0" quotePrefix="0" xfId="20">
      <alignment horizontal="left" vertical="center" wrapText="1"/>
    </xf>
    <xf numFmtId="9" fontId="10" fillId="7" borderId="5" applyAlignment="1" pivotButton="0" quotePrefix="0" xfId="20">
      <alignment horizontal="center" vertical="center" wrapText="1"/>
    </xf>
    <xf numFmtId="166" fontId="0" fillId="0" borderId="0" applyAlignment="1" pivotButton="0" quotePrefix="0" xfId="15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7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6" fillId="0" borderId="1" applyAlignment="1" pivotButton="0" quotePrefix="0" xfId="20">
      <alignment horizontal="left" vertical="center" wrapText="1"/>
    </xf>
    <xf numFmtId="164" fontId="7" fillId="4" borderId="1" applyAlignment="1" pivotButton="0" quotePrefix="0" xfId="20">
      <alignment horizontal="center" vertical="center" wrapText="1"/>
    </xf>
    <xf numFmtId="0" fontId="5" fillId="0" borderId="0" applyAlignment="1" pivotButton="0" quotePrefix="0" xfId="0">
      <alignment horizontal="general" vertical="center"/>
    </xf>
    <xf numFmtId="3" fontId="8" fillId="0" borderId="2" applyAlignment="1" pivotButton="0" quotePrefix="0" xfId="20">
      <alignment horizontal="left" vertical="center" wrapText="1"/>
    </xf>
    <xf numFmtId="3" fontId="8" fillId="0" borderId="0" applyAlignment="1" pivotButton="0" quotePrefix="0" xfId="0">
      <alignment horizontal="center" vertical="bottom" wrapText="1"/>
    </xf>
    <xf numFmtId="3" fontId="8" fillId="0" borderId="0" applyAlignment="1" pivotButton="0" quotePrefix="0" xfId="20">
      <alignment horizontal="left" vertical="center" wrapText="1" indent="3"/>
    </xf>
    <xf numFmtId="3" fontId="8" fillId="0" borderId="0" applyAlignment="1" pivotButton="0" quotePrefix="0" xfId="0">
      <alignment horizontal="center" vertical="center" wrapText="1"/>
    </xf>
    <xf numFmtId="3" fontId="8" fillId="5" borderId="3" applyAlignment="1" pivotButton="0" quotePrefix="0" xfId="20">
      <alignment horizontal="center" vertical="center" wrapText="1"/>
    </xf>
    <xf numFmtId="3" fontId="8" fillId="6" borderId="3" applyAlignment="1" pivotButton="0" quotePrefix="0" xfId="0">
      <alignment horizontal="center" vertical="bottom" wrapText="1"/>
    </xf>
    <xf numFmtId="3" fontId="8" fillId="5" borderId="0" applyAlignment="1" pivotButton="0" quotePrefix="0" xfId="20">
      <alignment horizontal="center" vertical="center" wrapText="1"/>
    </xf>
    <xf numFmtId="0" fontId="9" fillId="0" borderId="0" applyAlignment="1" pivotButton="0" quotePrefix="0" xfId="20">
      <alignment horizontal="left" vertical="center" wrapText="1"/>
    </xf>
    <xf numFmtId="165" fontId="9" fillId="7" borderId="0" applyAlignment="1" pivotButton="0" quotePrefix="0" xfId="20">
      <alignment horizontal="center" vertical="center" wrapText="1"/>
    </xf>
    <xf numFmtId="3" fontId="8" fillId="0" borderId="0" applyAlignment="1" pivotButton="0" quotePrefix="0" xfId="20">
      <alignment horizontal="left" vertical="center" wrapText="1"/>
    </xf>
    <xf numFmtId="3" fontId="10" fillId="0" borderId="0" applyAlignment="1" pivotButton="0" quotePrefix="0" xfId="20">
      <alignment horizontal="left" vertical="center" wrapText="1"/>
    </xf>
    <xf numFmtId="3" fontId="10" fillId="7" borderId="0" applyAlignment="1" pivotButton="0" quotePrefix="0" xfId="20">
      <alignment horizontal="center" vertical="center" wrapText="1"/>
    </xf>
    <xf numFmtId="0" fontId="10" fillId="0" borderId="4" applyAlignment="1" pivotButton="0" quotePrefix="0" xfId="20">
      <alignment horizontal="left" vertical="center" wrapText="1"/>
    </xf>
    <xf numFmtId="165" fontId="10" fillId="7" borderId="4" applyAlignment="1" pivotButton="0" quotePrefix="0" xfId="20">
      <alignment horizontal="center" vertical="center" wrapText="1"/>
    </xf>
    <xf numFmtId="0" fontId="6" fillId="0" borderId="0" applyAlignment="1" pivotButton="0" quotePrefix="0" xfId="21">
      <alignment horizontal="left" vertical="center" wrapText="1"/>
    </xf>
    <xf numFmtId="3" fontId="6" fillId="7" borderId="0" applyAlignment="1" pivotButton="0" quotePrefix="0" xfId="20">
      <alignment horizontal="center" vertical="center" wrapText="1"/>
    </xf>
    <xf numFmtId="0" fontId="10" fillId="0" borderId="0" applyAlignment="1" pivotButton="0" quotePrefix="0" xfId="21">
      <alignment horizontal="left" vertical="center" wrapText="1"/>
    </xf>
    <xf numFmtId="9" fontId="10" fillId="7" borderId="0" applyAlignment="1" pivotButton="0" quotePrefix="0" xfId="20">
      <alignment horizontal="center" vertical="center" wrapText="1"/>
    </xf>
    <xf numFmtId="9" fontId="9" fillId="7" borderId="0" applyAlignment="1" pivotButton="0" quotePrefix="0" xfId="20">
      <alignment horizontal="center" vertical="center" wrapText="1"/>
    </xf>
    <xf numFmtId="0" fontId="8" fillId="6" borderId="0" applyAlignment="1" pivotButton="0" quotePrefix="0" xfId="0">
      <alignment horizontal="center" vertical="bottom" wrapText="1"/>
    </xf>
    <xf numFmtId="3" fontId="8" fillId="7" borderId="0" applyAlignment="1" pivotButton="0" quotePrefix="0" xfId="20">
      <alignment horizontal="center" vertical="center" wrapText="1"/>
    </xf>
    <xf numFmtId="0" fontId="9" fillId="0" borderId="4" applyAlignment="1" pivotButton="0" quotePrefix="0" xfId="20">
      <alignment horizontal="left" vertical="center" wrapText="1"/>
    </xf>
    <xf numFmtId="3" fontId="8" fillId="0" borderId="0" applyAlignment="1" pivotButton="0" quotePrefix="0" xfId="20">
      <alignment horizontal="left" vertical="center" wrapText="1" indent="1"/>
    </xf>
    <xf numFmtId="3" fontId="8" fillId="6" borderId="0" applyAlignment="1" pivotButton="0" quotePrefix="0" xfId="0">
      <alignment horizontal="center" vertical="bottom" wrapText="1"/>
    </xf>
    <xf numFmtId="0" fontId="9" fillId="0" borderId="0" applyAlignment="1" pivotButton="0" quotePrefix="0" xfId="20">
      <alignment horizontal="left" vertical="center" wrapText="1" indent="1"/>
    </xf>
    <xf numFmtId="9" fontId="9" fillId="7" borderId="4" applyAlignment="1" pivotButton="0" quotePrefix="0" xfId="20">
      <alignment horizontal="center" vertical="center" wrapText="1"/>
    </xf>
    <xf numFmtId="0" fontId="8" fillId="0" borderId="0" applyAlignment="1" pivotButton="0" quotePrefix="0" xfId="20">
      <alignment horizontal="left" vertical="center" wrapText="1"/>
    </xf>
    <xf numFmtId="0" fontId="8" fillId="0" borderId="0" applyAlignment="1" pivotButton="0" quotePrefix="0" xfId="0">
      <alignment horizontal="center" vertical="bottom" wrapText="1"/>
    </xf>
    <xf numFmtId="0" fontId="10" fillId="0" borderId="5" applyAlignment="1" pivotButton="0" quotePrefix="0" xfId="20">
      <alignment horizontal="left" vertical="center" wrapText="1"/>
    </xf>
    <xf numFmtId="9" fontId="10" fillId="7" borderId="5" applyAlignment="1" pivotButton="0" quotePrefix="0" xfId="20">
      <alignment horizontal="center" vertical="center" wrapText="1"/>
    </xf>
    <xf numFmtId="166" fontId="0" fillId="0" borderId="0" applyAlignment="1" pivotButton="0" quotePrefix="0" xfId="15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8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7" fontId="12" fillId="0" borderId="0" applyAlignment="1" pivotButton="0" quotePrefix="0" xfId="0">
      <alignment horizontal="general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 2" xfId="6"/>
    <cellStyle name="Обычный 2 12" xfId="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BE5D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zeroHeight="0" outlineLevelRow="0"/>
  <cols>
    <col width="51.83" customWidth="1" style="46" min="1" max="1"/>
    <col width="14.16" customWidth="1" style="46" min="2" max="13"/>
    <col width="11.16" customWidth="1" style="47" min="14" max="14"/>
  </cols>
  <sheetData>
    <row r="2" ht="15.75" customHeight="1" s="48">
      <c r="B2" s="49" t="inlineStr">
        <is>
          <t>бюджет</t>
        </is>
      </c>
      <c r="C2" s="49" t="inlineStr">
        <is>
          <t>бюджет</t>
        </is>
      </c>
      <c r="D2" s="49" t="inlineStr">
        <is>
          <t>бюджет</t>
        </is>
      </c>
      <c r="E2" s="49" t="inlineStr">
        <is>
          <t>бюджет</t>
        </is>
      </c>
      <c r="F2" s="49" t="inlineStr">
        <is>
          <t>бюджет</t>
        </is>
      </c>
      <c r="G2" s="49" t="inlineStr">
        <is>
          <t>бюджет</t>
        </is>
      </c>
      <c r="H2" s="49" t="inlineStr">
        <is>
          <t>бюджет</t>
        </is>
      </c>
      <c r="I2" s="49" t="inlineStr">
        <is>
          <t>бюджет</t>
        </is>
      </c>
      <c r="J2" s="49" t="inlineStr">
        <is>
          <t>бюджет</t>
        </is>
      </c>
      <c r="K2" s="50" t="inlineStr">
        <is>
          <t>бюджет</t>
        </is>
      </c>
      <c r="L2" s="50" t="inlineStr">
        <is>
          <t>бюджет</t>
        </is>
      </c>
      <c r="M2" s="50" t="inlineStr">
        <is>
          <t>бюджет</t>
        </is>
      </c>
    </row>
    <row r="3" ht="15" customFormat="1" customHeight="1" s="51">
      <c r="A3" s="52" t="inlineStr">
        <is>
          <t>P&amp;L, RUB</t>
        </is>
      </c>
      <c r="B3" s="53" t="inlineStr">
        <is>
          <t>jan'27</t>
        </is>
      </c>
      <c r="C3" s="53" t="inlineStr">
        <is>
          <t>feb'27</t>
        </is>
      </c>
      <c r="D3" s="53" t="inlineStr">
        <is>
          <t>mar'27</t>
        </is>
      </c>
      <c r="E3" s="53" t="inlineStr">
        <is>
          <t>apr'27</t>
        </is>
      </c>
      <c r="F3" s="53" t="inlineStr">
        <is>
          <t>may'27</t>
        </is>
      </c>
      <c r="G3" s="53" t="inlineStr">
        <is>
          <t>jun'27</t>
        </is>
      </c>
      <c r="H3" s="53" t="inlineStr">
        <is>
          <t>jul'27</t>
        </is>
      </c>
      <c r="I3" s="53" t="inlineStr">
        <is>
          <t>aug'27</t>
        </is>
      </c>
      <c r="J3" s="53" t="inlineStr">
        <is>
          <t>sep'27</t>
        </is>
      </c>
      <c r="K3" s="53" t="inlineStr">
        <is>
          <t>oct'27</t>
        </is>
      </c>
      <c r="L3" s="53" t="inlineStr">
        <is>
          <t>nov'27</t>
        </is>
      </c>
      <c r="M3" s="53" t="inlineStr">
        <is>
          <t>dec'27</t>
        </is>
      </c>
      <c r="N3" s="54" t="n"/>
    </row>
    <row r="4" hidden="1" ht="15" customFormat="1" customHeight="1" s="51">
      <c r="A4" s="55" t="inlineStr">
        <is>
          <t>Orders</t>
        </is>
      </c>
      <c r="B4" s="56" t="n"/>
      <c r="C4" s="56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4" t="n"/>
    </row>
    <row r="5" hidden="1" ht="14.25" customFormat="1" customHeight="1" s="51">
      <c r="A5" s="57" t="inlineStr">
        <is>
          <t>Own service</t>
        </is>
      </c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4" t="n"/>
    </row>
    <row r="6" hidden="1" ht="14.25" customFormat="1" customHeight="1" s="51">
      <c r="A6" s="57" t="inlineStr">
        <is>
          <t>Partners service</t>
        </is>
      </c>
      <c r="B6" s="59" t="n"/>
      <c r="C6" s="59" t="n"/>
      <c r="D6" s="59" t="n"/>
      <c r="E6" s="59" t="n"/>
      <c r="F6" s="59" t="n"/>
      <c r="G6" s="59" t="n"/>
      <c r="H6" s="59" t="n"/>
      <c r="I6" s="59" t="n"/>
      <c r="J6" s="59" t="n"/>
      <c r="K6" s="59" t="n"/>
      <c r="L6" s="59" t="n"/>
      <c r="M6" s="59" t="n"/>
      <c r="N6" s="54" t="n"/>
    </row>
    <row r="7" hidden="1" ht="14.25" customFormat="1" customHeight="1" s="51">
      <c r="A7" s="55" t="inlineStr">
        <is>
          <t>Gross Revenue</t>
        </is>
      </c>
      <c r="B7" s="56" t="n"/>
      <c r="C7" s="56" t="n"/>
      <c r="D7" s="56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4" t="n"/>
    </row>
    <row r="8" hidden="1" ht="14.25" customFormat="1" customHeight="1" s="51">
      <c r="A8" s="57" t="inlineStr">
        <is>
          <t>Own service</t>
        </is>
      </c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4" t="n"/>
    </row>
    <row r="9" hidden="1" ht="14.25" customFormat="1" customHeight="1" s="51">
      <c r="A9" s="57" t="inlineStr">
        <is>
          <t>Partners service</t>
        </is>
      </c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54" t="n"/>
    </row>
    <row r="10" hidden="1" ht="14.25" customFormat="1" customHeight="1" s="51">
      <c r="A10" s="55" t="inlineStr">
        <is>
          <t>Promo incl Loyalty</t>
        </is>
      </c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4" t="n"/>
    </row>
    <row r="11" hidden="1" ht="14.25" customFormat="1" customHeight="1" s="51">
      <c r="A11" s="57" t="inlineStr">
        <is>
          <t>Own service</t>
        </is>
      </c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4" t="n"/>
    </row>
    <row r="12" hidden="1" ht="14.25" customFormat="1" customHeight="1" s="51">
      <c r="A12" s="57" t="inlineStr">
        <is>
          <t>Partners service</t>
        </is>
      </c>
      <c r="B12" s="61" t="n"/>
      <c r="C12" s="61" t="n"/>
      <c r="D12" s="61" t="n"/>
      <c r="E12" s="61" t="n"/>
      <c r="F12" s="61" t="n"/>
      <c r="G12" s="61" t="n"/>
      <c r="H12" s="61" t="n"/>
      <c r="I12" s="61" t="n"/>
      <c r="J12" s="61" t="n"/>
      <c r="K12" s="61" t="n"/>
      <c r="L12" s="61" t="n"/>
      <c r="M12" s="61" t="n"/>
      <c r="N12" s="54" t="n"/>
    </row>
    <row r="13" hidden="1" ht="14.25" customFormat="1" customHeight="1" s="51">
      <c r="A13" s="55" t="inlineStr">
        <is>
          <t>Net Revenue</t>
        </is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4" t="n"/>
    </row>
    <row r="14" hidden="1" ht="14.25" customFormat="1" customHeight="1" s="51">
      <c r="A14" s="57" t="inlineStr">
        <is>
          <t>Own service</t>
        </is>
      </c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4" t="n"/>
    </row>
    <row r="15" hidden="1" ht="14.25" customFormat="1" customHeight="1" s="51">
      <c r="A15" s="57" t="inlineStr">
        <is>
          <t>Partners service</t>
        </is>
      </c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54" t="n"/>
    </row>
    <row r="16" ht="15" customFormat="1" customHeight="1" s="51">
      <c r="A16" s="55" t="inlineStr">
        <is>
          <t>Commercial margin</t>
        </is>
      </c>
      <c r="B16" s="56" t="n">
        <v>-5013162.98097329</v>
      </c>
      <c r="C16" s="56" t="n">
        <v>86867797.004453</v>
      </c>
      <c r="D16" s="56" t="n">
        <v>148158746.743993</v>
      </c>
      <c r="E16" s="56" t="n">
        <v>144369603.26671</v>
      </c>
      <c r="F16" s="56" t="n">
        <v>143345447.944564</v>
      </c>
      <c r="G16" s="56" t="n">
        <v>142437068.564159</v>
      </c>
      <c r="H16" s="56" t="n">
        <v>142483754.182495</v>
      </c>
      <c r="I16" s="56" t="n">
        <v>174919811.888561</v>
      </c>
      <c r="J16" s="56" t="n">
        <v>177454174.612094</v>
      </c>
      <c r="K16" s="56" t="n">
        <v>269549491.607334</v>
      </c>
      <c r="L16" s="56" t="n">
        <v>375003346.783258</v>
      </c>
      <c r="M16" s="56" t="n">
        <v>472143789.416156</v>
      </c>
      <c r="N16" s="54" t="n"/>
    </row>
    <row r="17" hidden="1" ht="15" customFormat="1" customHeight="1" s="51">
      <c r="A17" s="62" t="inlineStr">
        <is>
          <t>Commercial margin%</t>
        </is>
      </c>
      <c r="B17" s="63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63" t="n"/>
      <c r="L17" s="63" t="n"/>
      <c r="M17" s="63" t="n"/>
      <c r="N17" s="54" t="n"/>
    </row>
    <row r="18" hidden="1" ht="15" customFormat="1" customHeight="1" s="51">
      <c r="A18" s="64" t="inlineStr">
        <is>
          <t>Losses</t>
        </is>
      </c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4" t="n"/>
    </row>
    <row r="19" hidden="1" ht="15" customFormat="1" customHeight="1" s="51">
      <c r="A19" s="62" t="inlineStr">
        <is>
          <t>Losses%</t>
        </is>
      </c>
      <c r="B19" s="63" t="n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63" t="n"/>
      <c r="L19" s="63" t="n"/>
      <c r="M19" s="63" t="n"/>
      <c r="N19" s="54" t="n"/>
    </row>
    <row r="20" hidden="1" ht="15" customFormat="1" customHeight="1" s="51">
      <c r="A20" s="64" t="inlineStr">
        <is>
          <t>Logistics</t>
        </is>
      </c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4" t="n"/>
    </row>
    <row r="21" hidden="1" ht="15" customFormat="1" customHeight="1" s="51">
      <c r="A21" s="62" t="inlineStr">
        <is>
          <t>Logistics, %</t>
        </is>
      </c>
      <c r="B21" s="63" t="n"/>
      <c r="C21" s="63" t="n"/>
      <c r="D21" s="63" t="n"/>
      <c r="E21" s="63" t="n"/>
      <c r="F21" s="63" t="n"/>
      <c r="G21" s="63" t="n"/>
      <c r="H21" s="63" t="n"/>
      <c r="I21" s="63" t="n"/>
      <c r="J21" s="63" t="n"/>
      <c r="K21" s="63" t="n"/>
      <c r="L21" s="63" t="n"/>
      <c r="M21" s="63" t="n"/>
      <c r="N21" s="54" t="n"/>
    </row>
    <row r="22" hidden="1" ht="15" customFormat="1" customHeight="1" s="51">
      <c r="A22" s="64" t="inlineStr">
        <is>
          <t>Stock provision</t>
        </is>
      </c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4" t="n"/>
    </row>
    <row r="23" hidden="1" ht="15" customFormat="1" customHeight="1" s="51">
      <c r="A23" s="62" t="inlineStr">
        <is>
          <t>Stock provision, %</t>
        </is>
      </c>
      <c r="B23" s="63" t="n"/>
      <c r="C23" s="63" t="n"/>
      <c r="D23" s="63" t="n"/>
      <c r="E23" s="63" t="n"/>
      <c r="F23" s="63" t="n"/>
      <c r="G23" s="63" t="n"/>
      <c r="H23" s="63" t="n"/>
      <c r="I23" s="63" t="n"/>
      <c r="J23" s="63" t="n"/>
      <c r="K23" s="63" t="n"/>
      <c r="L23" s="63" t="n"/>
      <c r="M23" s="63" t="n"/>
      <c r="N23" s="54" t="n"/>
    </row>
    <row r="24" hidden="1" ht="15" customFormat="1" customHeight="1" s="51">
      <c r="A24" s="64" t="inlineStr">
        <is>
          <t>Packaging materials</t>
        </is>
      </c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4" t="n"/>
    </row>
    <row r="25" hidden="1" ht="15" customFormat="1" customHeight="1" s="51">
      <c r="A25" s="62" t="inlineStr">
        <is>
          <t>Packaging materials, %</t>
        </is>
      </c>
      <c r="B25" s="63" t="n"/>
      <c r="C25" s="63" t="n"/>
      <c r="D25" s="63" t="n"/>
      <c r="E25" s="63" t="n"/>
      <c r="F25" s="63" t="n"/>
      <c r="G25" s="63" t="n"/>
      <c r="H25" s="63" t="n"/>
      <c r="I25" s="63" t="n"/>
      <c r="J25" s="63" t="n"/>
      <c r="K25" s="63" t="n"/>
      <c r="L25" s="63" t="n"/>
      <c r="M25" s="63" t="n"/>
      <c r="N25" s="54" t="n"/>
    </row>
    <row r="26" ht="15" customFormat="1" customHeight="1" s="51">
      <c r="A26" s="65" t="inlineStr">
        <is>
          <t>Gross margin</t>
        </is>
      </c>
      <c r="B26" s="66" t="n">
        <v>-5013162.98097329</v>
      </c>
      <c r="C26" s="66" t="n">
        <v>86867797.004453</v>
      </c>
      <c r="D26" s="66" t="n">
        <v>148158746.743993</v>
      </c>
      <c r="E26" s="66" t="n">
        <v>144369603.26671</v>
      </c>
      <c r="F26" s="66" t="n">
        <v>143345447.944564</v>
      </c>
      <c r="G26" s="66" t="n">
        <v>142437068.564159</v>
      </c>
      <c r="H26" s="66" t="n">
        <v>142483754.182495</v>
      </c>
      <c r="I26" s="66" t="n">
        <v>174919811.888561</v>
      </c>
      <c r="J26" s="66" t="n">
        <v>177454174.612094</v>
      </c>
      <c r="K26" s="66" t="n">
        <v>269549491.607334</v>
      </c>
      <c r="L26" s="66" t="n">
        <v>375003346.783258</v>
      </c>
      <c r="M26" s="66" t="n">
        <v>472143789.416156</v>
      </c>
      <c r="N26" s="54" t="n"/>
    </row>
    <row r="27" hidden="1" ht="15" customFormat="1" customHeight="1" s="51">
      <c r="A27" s="67" t="inlineStr">
        <is>
          <t>Gross margin %</t>
        </is>
      </c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54" t="n"/>
    </row>
    <row r="28" hidden="1" ht="15" customFormat="1" customHeight="1" s="51">
      <c r="A28" s="64" t="inlineStr">
        <is>
          <t>Total other revenue</t>
        </is>
      </c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4" t="n"/>
    </row>
    <row r="29" hidden="1" ht="15" customFormat="1" customHeight="1" s="51">
      <c r="A29" s="62" t="inlineStr">
        <is>
          <t>Total other revenue %</t>
        </is>
      </c>
      <c r="B29" s="63" t="n"/>
      <c r="C29" s="63" t="n"/>
      <c r="D29" s="63" t="n"/>
      <c r="E29" s="63" t="n"/>
      <c r="F29" s="63" t="n"/>
      <c r="G29" s="63" t="n"/>
      <c r="H29" s="63" t="n"/>
      <c r="I29" s="63" t="n"/>
      <c r="J29" s="63" t="n"/>
      <c r="K29" s="63" t="n"/>
      <c r="L29" s="63" t="n"/>
      <c r="M29" s="63" t="n"/>
      <c r="N29" s="54" t="n"/>
    </row>
    <row r="30" ht="15" customFormat="1" customHeight="1" s="51">
      <c r="A30" s="69" t="inlineStr">
        <is>
          <t>Total OPEX</t>
        </is>
      </c>
      <c r="B30" s="70" t="n">
        <v>-129982257.53583</v>
      </c>
      <c r="C30" s="70" t="n">
        <v>-143349783.080737</v>
      </c>
      <c r="D30" s="70" t="n">
        <v>-142151497.804291</v>
      </c>
      <c r="E30" s="70" t="n">
        <v>-152778678.381091</v>
      </c>
      <c r="F30" s="70" t="n">
        <v>-143108977.727809</v>
      </c>
      <c r="G30" s="70" t="n">
        <v>-141190037.229721</v>
      </c>
      <c r="H30" s="70" t="n">
        <v>-153183926.416335</v>
      </c>
      <c r="I30" s="70" t="n">
        <v>-128061042.30991</v>
      </c>
      <c r="J30" s="70" t="n">
        <v>-147774130.819924</v>
      </c>
      <c r="K30" s="70" t="n">
        <v>-157754755.645417</v>
      </c>
      <c r="L30" s="70" t="n">
        <v>-164602249.254495</v>
      </c>
      <c r="M30" s="70" t="n">
        <v>-167782986.809477</v>
      </c>
      <c r="N30" s="54" t="n"/>
    </row>
    <row r="31" hidden="1" ht="15" customFormat="1" customHeight="1" s="51">
      <c r="A31" s="71" t="inlineStr">
        <is>
          <t>Total OPEX %</t>
        </is>
      </c>
      <c r="B31" s="72" t="n"/>
      <c r="C31" s="72" t="n"/>
      <c r="D31" s="72" t="n"/>
      <c r="E31" s="72" t="n"/>
      <c r="F31" s="72" t="n"/>
      <c r="G31" s="72" t="n"/>
      <c r="H31" s="72" t="n"/>
      <c r="I31" s="72" t="n"/>
      <c r="J31" s="72" t="n"/>
      <c r="K31" s="72" t="n"/>
      <c r="L31" s="72" t="n"/>
      <c r="M31" s="72" t="n"/>
      <c r="N31" s="54" t="n"/>
    </row>
    <row r="32" ht="15" customFormat="1" customHeight="1" s="51">
      <c r="A32" s="64" t="inlineStr">
        <is>
          <t>PEX</t>
        </is>
      </c>
      <c r="B32" s="56" t="n">
        <v>-115120241.402344</v>
      </c>
      <c r="C32" s="56" t="n">
        <v>-121257358.977714</v>
      </c>
      <c r="D32" s="56" t="n">
        <v>-118513853.826793</v>
      </c>
      <c r="E32" s="56" t="n">
        <v>-130916128.192984</v>
      </c>
      <c r="F32" s="56" t="n">
        <v>-122546333.750311</v>
      </c>
      <c r="G32" s="56" t="n">
        <v>-119501886.301288</v>
      </c>
      <c r="H32" s="56" t="n">
        <v>-128587363.594834</v>
      </c>
      <c r="I32" s="56" t="n">
        <v>-104886573.994631</v>
      </c>
      <c r="J32" s="56" t="n">
        <v>-121513263.931605</v>
      </c>
      <c r="K32" s="56" t="n">
        <v>-129632256.627366</v>
      </c>
      <c r="L32" s="56" t="n">
        <v>-129699373.530037</v>
      </c>
      <c r="M32" s="56" t="n">
        <v>-134474734.378611</v>
      </c>
      <c r="N32" s="54" t="n"/>
    </row>
    <row r="33" hidden="1" ht="15" customFormat="1" customHeight="1" s="51">
      <c r="A33" s="62" t="inlineStr">
        <is>
          <t>PEX%</t>
        </is>
      </c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54" t="n"/>
    </row>
    <row r="34" hidden="1" ht="15" customFormat="1" customHeight="1" s="51">
      <c r="A34" s="62" t="inlineStr">
        <is>
          <t>PEX retail</t>
        </is>
      </c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54" t="n"/>
    </row>
    <row r="35" ht="15" customFormat="1" customHeight="1" s="51">
      <c r="A35" s="62" t="inlineStr">
        <is>
          <t>PEX admin</t>
        </is>
      </c>
      <c r="B35" s="56" t="n">
        <v>-113964046.852421</v>
      </c>
      <c r="C35" s="56" t="n">
        <v>-116106164.42779</v>
      </c>
      <c r="D35" s="56" t="n">
        <v>-116710569.276869</v>
      </c>
      <c r="E35" s="56" t="n">
        <v>-118662842.973061</v>
      </c>
      <c r="F35" s="56" t="n">
        <v>-120878049.200388</v>
      </c>
      <c r="G35" s="56" t="n">
        <v>-117838601.751365</v>
      </c>
      <c r="H35" s="56" t="n">
        <v>-120784079.044911</v>
      </c>
      <c r="I35" s="56" t="n">
        <v>-102883619.444708</v>
      </c>
      <c r="J35" s="56" t="n">
        <v>-119844979.381682</v>
      </c>
      <c r="K35" s="56" t="n">
        <v>-127968972.077443</v>
      </c>
      <c r="L35" s="56" t="n">
        <v>-128017867.18941</v>
      </c>
      <c r="M35" s="56" t="n">
        <v>-132703144.979922</v>
      </c>
      <c r="N35" s="54" t="n"/>
    </row>
    <row r="36" ht="15" customFormat="1" customHeight="1" s="51">
      <c r="A36" s="62" t="inlineStr">
        <is>
          <t>PEX other</t>
        </is>
      </c>
      <c r="B36" s="61" t="n">
        <v>-1156194.5499232</v>
      </c>
      <c r="C36" s="61" t="n">
        <v>-5151194.5499232</v>
      </c>
      <c r="D36" s="61" t="n">
        <v>-1803284.5499232</v>
      </c>
      <c r="E36" s="61" t="n">
        <v>-12253285.2199232</v>
      </c>
      <c r="F36" s="61" t="n">
        <v>-1668284.5499232</v>
      </c>
      <c r="G36" s="61" t="n">
        <v>-1663284.5499232</v>
      </c>
      <c r="H36" s="61" t="n">
        <v>-7803284.54992319</v>
      </c>
      <c r="I36" s="61" t="n">
        <v>-2002954.54992319</v>
      </c>
      <c r="J36" s="61" t="n">
        <v>-1668284.5499232</v>
      </c>
      <c r="K36" s="61" t="n">
        <v>-1663284.5499232</v>
      </c>
      <c r="L36" s="61" t="n">
        <v>-1681506.34062704</v>
      </c>
      <c r="M36" s="61" t="n">
        <v>-1771589.3986895</v>
      </c>
      <c r="N36" s="54" t="n"/>
    </row>
    <row r="37" ht="15" customFormat="1" customHeight="1" s="51">
      <c r="A37" s="64" t="inlineStr">
        <is>
          <t>NON PEX</t>
        </is>
      </c>
      <c r="B37" s="75" t="n">
        <v>-14862016.1334858</v>
      </c>
      <c r="C37" s="75" t="n">
        <v>-22092424.1030237</v>
      </c>
      <c r="D37" s="75" t="n">
        <v>-23637643.9774982</v>
      </c>
      <c r="E37" s="75" t="n">
        <v>-21862550.1881065</v>
      </c>
      <c r="F37" s="75" t="n">
        <v>-20562643.9774981</v>
      </c>
      <c r="G37" s="75" t="n">
        <v>-21688150.9284327</v>
      </c>
      <c r="H37" s="75" t="n">
        <v>-24596562.8215012</v>
      </c>
      <c r="I37" s="75" t="n">
        <v>-23174468.3152786</v>
      </c>
      <c r="J37" s="75" t="n">
        <v>-26260866.8883192</v>
      </c>
      <c r="K37" s="75" t="n">
        <v>-28122499.0180507</v>
      </c>
      <c r="L37" s="75" t="n">
        <v>-34902875.7244581</v>
      </c>
      <c r="M37" s="75" t="n">
        <v>-33308252.4308655</v>
      </c>
      <c r="N37" s="54" t="n"/>
    </row>
    <row r="38" hidden="1" ht="15" customFormat="1" customHeight="1" s="51">
      <c r="A38" s="76" t="inlineStr">
        <is>
          <t>NON PEX%</t>
        </is>
      </c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54" t="n"/>
    </row>
    <row r="39" hidden="1" ht="15" customFormat="1" customHeight="1" s="51">
      <c r="A39" s="64" t="inlineStr">
        <is>
          <t>Picking and Delivery</t>
        </is>
      </c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58" t="n"/>
      <c r="M39" s="58" t="n"/>
      <c r="N39" s="54" t="n"/>
    </row>
    <row r="40" hidden="1" ht="15" customFormat="1" customHeight="1" s="51">
      <c r="A40" s="62" t="inlineStr">
        <is>
          <t>Picking and Delivery, %</t>
        </is>
      </c>
      <c r="B40" s="63" t="n"/>
      <c r="C40" s="63" t="n"/>
      <c r="D40" s="63" t="n"/>
      <c r="E40" s="63" t="n"/>
      <c r="F40" s="63" t="n"/>
      <c r="G40" s="63" t="n"/>
      <c r="H40" s="63" t="n"/>
      <c r="I40" s="63" t="n"/>
      <c r="J40" s="63" t="n"/>
      <c r="K40" s="63" t="n"/>
      <c r="L40" s="63" t="n"/>
      <c r="M40" s="63" t="n"/>
      <c r="N40" s="54" t="n"/>
    </row>
    <row r="41" hidden="1" ht="15" customFormat="1" customHeight="1" s="51">
      <c r="A41" s="64" t="inlineStr">
        <is>
          <t>Utilities costs</t>
        </is>
      </c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4" t="n"/>
    </row>
    <row r="42" hidden="1" ht="15" customFormat="1" customHeight="1" s="51">
      <c r="A42" s="62" t="inlineStr">
        <is>
          <t>Utilities costs, %</t>
        </is>
      </c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54" t="n"/>
    </row>
    <row r="43" hidden="1" ht="15" customFormat="1" customHeight="1" s="51">
      <c r="A43" s="64" t="inlineStr">
        <is>
          <t>Repair and maintenance</t>
        </is>
      </c>
      <c r="B43" s="58" t="n"/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4" t="n"/>
    </row>
    <row r="44" hidden="1" ht="15" customFormat="1" customHeight="1" s="51">
      <c r="A44" s="62" t="inlineStr">
        <is>
          <t>Repair and maintenance, %</t>
        </is>
      </c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54" t="n"/>
    </row>
    <row r="45" hidden="1" ht="15" customFormat="1" customHeight="1" s="51">
      <c r="A45" s="64" t="inlineStr">
        <is>
          <t>Packaging and materials</t>
        </is>
      </c>
      <c r="B45" s="58" t="n"/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58" t="n"/>
      <c r="M45" s="58" t="n"/>
      <c r="N45" s="54" t="n"/>
    </row>
    <row r="46" hidden="1" ht="15" customFormat="1" customHeight="1" s="51">
      <c r="A46" s="62" t="inlineStr">
        <is>
          <t>Packaging and materials, %</t>
        </is>
      </c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54" t="n"/>
    </row>
    <row r="47" hidden="1" ht="15" customFormat="1" customHeight="1" s="51">
      <c r="A47" s="64" t="inlineStr">
        <is>
          <t>Security</t>
        </is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4" t="n"/>
    </row>
    <row r="48" hidden="1" ht="15" customFormat="1" customHeight="1" s="51">
      <c r="A48" s="62" t="inlineStr">
        <is>
          <t>Security, %</t>
        </is>
      </c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54" t="n"/>
    </row>
    <row r="49" ht="15" customFormat="1" customHeight="1" s="51">
      <c r="A49" s="77" t="inlineStr">
        <is>
          <t>Marketing</t>
        </is>
      </c>
      <c r="B49" s="56" t="n">
        <v>-5967692.26666667</v>
      </c>
      <c r="C49" s="56" t="n">
        <v>-10317692.2666667</v>
      </c>
      <c r="D49" s="56" t="n">
        <v>-9542692.266666681</v>
      </c>
      <c r="E49" s="56" t="n">
        <v>-7967692.26666666</v>
      </c>
      <c r="F49" s="56" t="n">
        <v>-6167692.26666665</v>
      </c>
      <c r="G49" s="56" t="n">
        <v>-7342692.26666666</v>
      </c>
      <c r="H49" s="56" t="n">
        <v>-10308677.0666666</v>
      </c>
      <c r="I49" s="56" t="n">
        <v>-7658677.06666666</v>
      </c>
      <c r="J49" s="56" t="n">
        <v>-9233677.06666667</v>
      </c>
      <c r="K49" s="56" t="n">
        <v>-7608677.06666667</v>
      </c>
      <c r="L49" s="56" t="n">
        <v>-11508677.0666667</v>
      </c>
      <c r="M49" s="56" t="n">
        <v>-7033677.06666666</v>
      </c>
      <c r="N49" s="54" t="n"/>
    </row>
    <row r="50" hidden="1" ht="15" customFormat="1" customHeight="1" s="51">
      <c r="A50" s="57" t="inlineStr">
        <is>
          <t>Own Marketing</t>
        </is>
      </c>
      <c r="B50" s="78" t="n"/>
      <c r="C50" s="78" t="n"/>
      <c r="D50" s="78" t="n"/>
      <c r="E50" s="78" t="n"/>
      <c r="F50" s="78" t="n"/>
      <c r="G50" s="78" t="n"/>
      <c r="H50" s="78" t="n"/>
      <c r="I50" s="78" t="n"/>
      <c r="J50" s="78" t="n"/>
      <c r="K50" s="78" t="n"/>
      <c r="L50" s="78" t="n"/>
      <c r="M50" s="78" t="n"/>
      <c r="N50" s="54" t="n"/>
    </row>
    <row r="51" hidden="1" ht="15" customFormat="1" customHeight="1" s="51">
      <c r="A51" s="57" t="inlineStr">
        <is>
          <t>Partners' Marketing</t>
        </is>
      </c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54" t="n"/>
    </row>
    <row r="52" hidden="1" ht="15" customFormat="1" customHeight="1" s="51">
      <c r="A52" s="79" t="inlineStr">
        <is>
          <t>Marketing, %</t>
        </is>
      </c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54" t="n"/>
    </row>
    <row r="53" ht="15" customFormat="1" customHeight="1" s="51">
      <c r="A53" s="77" t="inlineStr">
        <is>
          <t>Consulting and insurance</t>
        </is>
      </c>
      <c r="B53" s="58" t="n">
        <v>-6449072.72921417</v>
      </c>
      <c r="C53" s="58" t="n">
        <v>-6449072.72921417</v>
      </c>
      <c r="D53" s="58" t="n">
        <v>-6849072.72921417</v>
      </c>
      <c r="E53" s="58" t="n">
        <v>-6649072.72921417</v>
      </c>
      <c r="F53" s="58" t="n">
        <v>-7149072.72921417</v>
      </c>
      <c r="G53" s="58" t="n">
        <v>-7099579.68014875</v>
      </c>
      <c r="H53" s="58" t="n">
        <v>-7042006.77321728</v>
      </c>
      <c r="I53" s="58" t="n">
        <v>-7309943.01384494</v>
      </c>
      <c r="J53" s="58" t="n">
        <v>-8821341.58688551</v>
      </c>
      <c r="K53" s="58" t="n">
        <v>-9427440.694556849</v>
      </c>
      <c r="L53" s="58" t="n">
        <v>-9427440.694556849</v>
      </c>
      <c r="M53" s="58" t="n">
        <v>-9427440.694556849</v>
      </c>
      <c r="N53" s="54" t="n"/>
    </row>
    <row r="54" hidden="1" ht="15" customFormat="1" customHeight="1" s="51">
      <c r="A54" s="79" t="inlineStr">
        <is>
          <t>Consulting and insurance, %</t>
        </is>
      </c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54" t="n"/>
    </row>
    <row r="55" ht="15" customFormat="1" customHeight="1" s="51">
      <c r="A55" s="64" t="inlineStr">
        <is>
          <t>Other OPEX</t>
        </is>
      </c>
      <c r="B55" s="56" t="n">
        <v>-2445251.13760494</v>
      </c>
      <c r="C55" s="56" t="n">
        <v>-5325659.10714291</v>
      </c>
      <c r="D55" s="56" t="n">
        <v>-7245878.98161731</v>
      </c>
      <c r="E55" s="56" t="n">
        <v>-7245785.19222564</v>
      </c>
      <c r="F55" s="56" t="n">
        <v>-7245878.98161731</v>
      </c>
      <c r="G55" s="56" t="n">
        <v>-7245878.98161731</v>
      </c>
      <c r="H55" s="56" t="n">
        <v>-7245878.98161731</v>
      </c>
      <c r="I55" s="56" t="n">
        <v>-8205848.23476701</v>
      </c>
      <c r="J55" s="56" t="n">
        <v>-8205848.23476701</v>
      </c>
      <c r="K55" s="56" t="n">
        <v>-11086381.2568272</v>
      </c>
      <c r="L55" s="56" t="n">
        <v>-13966757.9632346</v>
      </c>
      <c r="M55" s="56" t="n">
        <v>-16847134.669642</v>
      </c>
      <c r="N55" s="54" t="n"/>
    </row>
    <row r="56" hidden="1" ht="15" customFormat="1" customHeight="1" s="51">
      <c r="A56" s="76" t="inlineStr">
        <is>
          <t>Other OPEX, %</t>
        </is>
      </c>
      <c r="B56" s="80" t="n"/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54" t="n"/>
    </row>
    <row r="57" hidden="1" ht="15" customFormat="1" customHeight="1" s="51">
      <c r="A57" s="64" t="inlineStr">
        <is>
          <t>Rent</t>
        </is>
      </c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4" t="n"/>
    </row>
    <row r="58" hidden="1" ht="15" customFormat="1" customHeight="1" s="51">
      <c r="A58" s="62" t="inlineStr">
        <is>
          <t>Rent %</t>
        </is>
      </c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54" t="n"/>
    </row>
    <row r="59" hidden="1" ht="15" customFormat="1" customHeight="1" s="51">
      <c r="A59" s="81" t="inlineStr">
        <is>
          <t>LTI</t>
        </is>
      </c>
      <c r="B59" s="82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82" t="n"/>
      <c r="L59" s="82" t="n"/>
      <c r="M59" s="82" t="n"/>
      <c r="N59" s="54" t="n"/>
    </row>
    <row r="60" ht="15" customFormat="1" customHeight="1" s="51">
      <c r="A60" s="65" t="inlineStr">
        <is>
          <t xml:space="preserve">EBITDA </t>
        </is>
      </c>
      <c r="B60" s="66" t="n">
        <v>-134995420.516803</v>
      </c>
      <c r="C60" s="66" t="n">
        <v>-56481986.0762842</v>
      </c>
      <c r="D60" s="66" t="n">
        <v>6007248.93970198</v>
      </c>
      <c r="E60" s="66" t="n">
        <v>-8409075.11438084</v>
      </c>
      <c r="F60" s="66" t="n">
        <v>236470.216754412</v>
      </c>
      <c r="G60" s="66" t="n">
        <v>1247031.33443845</v>
      </c>
      <c r="H60" s="66" t="n">
        <v>-10700172.23384</v>
      </c>
      <c r="I60" s="66" t="n">
        <v>46858769.5786517</v>
      </c>
      <c r="J60" s="66" t="n">
        <v>29680043.7921698</v>
      </c>
      <c r="K60" s="66" t="n">
        <v>111794735.961917</v>
      </c>
      <c r="L60" s="66" t="n">
        <v>210401097.528763</v>
      </c>
      <c r="M60" s="66" t="n">
        <v>304360802.60668</v>
      </c>
      <c r="N60" s="54" t="n"/>
    </row>
    <row r="61" hidden="1" ht="15" customFormat="1" customHeight="1" s="51">
      <c r="A61" s="83" t="inlineStr">
        <is>
          <t>EBITDA, %</t>
        </is>
      </c>
      <c r="B61" s="84" t="n"/>
      <c r="C61" s="84" t="n"/>
      <c r="D61" s="84" t="n"/>
      <c r="E61" s="84" t="n"/>
      <c r="F61" s="84" t="n"/>
      <c r="G61" s="84" t="n"/>
      <c r="H61" s="84" t="n"/>
      <c r="I61" s="84" t="n"/>
      <c r="J61" s="84" t="n"/>
      <c r="K61" s="84" t="n"/>
      <c r="L61" s="84" t="n"/>
      <c r="M61" s="84" t="n"/>
      <c r="N61" s="54" t="n"/>
    </row>
    <row r="63" ht="15" customHeight="1" s="48"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</row>
    <row r="64" ht="15" customHeight="1" s="48"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  <c r="M64" s="86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46" min="1" max="1"/>
    <col width="11" customWidth="1" style="46" min="2" max="16"/>
  </cols>
  <sheetData>
    <row r="1" ht="15" customHeight="1" s="48">
      <c r="A1" s="87" t="inlineStr">
        <is>
          <t>Расчёт BU 2027 для консолидации, млн руб. Источник: модель бюджета AdTech 2027 (cons 16.10)</t>
        </is>
      </c>
    </row>
    <row r="2" ht="15" customHeight="1" s="48">
      <c r="A2" s="46" t="inlineStr">
        <is>
          <t>Commercial margin = Net Revenue: прирост выручки 2027 к FC 2026 за вычетом всех расходов, привязанных к выручке (закупка трафика DMP, РА, креаторы); прирост распределён по месяцам пропорционально выручке BU 2027 направления. OPEX — бюджет 2027 без COGS (1,77 млрд).</t>
        </is>
      </c>
    </row>
    <row r="4" ht="15" customHeight="1" s="48">
      <c r="A4" s="88" t="inlineStr">
        <is>
          <t>Статья</t>
        </is>
      </c>
      <c r="B4" s="88" t="inlineStr">
        <is>
          <t>jan'27</t>
        </is>
      </c>
      <c r="C4" s="88" t="inlineStr">
        <is>
          <t>feb'27</t>
        </is>
      </c>
      <c r="D4" s="88" t="inlineStr">
        <is>
          <t>mar'27</t>
        </is>
      </c>
      <c r="E4" s="88" t="inlineStr">
        <is>
          <t>apr'27</t>
        </is>
      </c>
      <c r="F4" s="88" t="inlineStr">
        <is>
          <t>may'27</t>
        </is>
      </c>
      <c r="G4" s="88" t="inlineStr">
        <is>
          <t>jun'27</t>
        </is>
      </c>
      <c r="H4" s="88" t="inlineStr">
        <is>
          <t>jul'27</t>
        </is>
      </c>
      <c r="I4" s="88" t="inlineStr">
        <is>
          <t>aug'27</t>
        </is>
      </c>
      <c r="J4" s="88" t="inlineStr">
        <is>
          <t>sep'27</t>
        </is>
      </c>
      <c r="K4" s="88" t="inlineStr">
        <is>
          <t>oct'27</t>
        </is>
      </c>
      <c r="L4" s="88" t="inlineStr">
        <is>
          <t>nov'27</t>
        </is>
      </c>
      <c r="M4" s="88" t="inlineStr">
        <is>
          <t>dec'27</t>
        </is>
      </c>
      <c r="N4" s="88" t="inlineStr">
        <is>
          <t>2027</t>
        </is>
      </c>
      <c r="O4" s="88" t="inlineStr">
        <is>
          <t>FC 2026</t>
        </is>
      </c>
      <c r="P4" s="88" t="inlineStr">
        <is>
          <t>Прирост</t>
        </is>
      </c>
    </row>
    <row r="5" ht="15" customHeight="1" s="48">
      <c r="A5" s="87" t="inlineStr">
        <is>
          <t>Выручка BU 2027</t>
        </is>
      </c>
      <c r="B5" s="89" t="n"/>
      <c r="C5" s="89" t="n"/>
      <c r="D5" s="89" t="n"/>
      <c r="E5" s="89" t="n"/>
      <c r="F5" s="89" t="n"/>
      <c r="G5" s="89" t="n"/>
      <c r="H5" s="89" t="n"/>
      <c r="I5" s="89" t="n"/>
      <c r="J5" s="89" t="n"/>
      <c r="K5" s="89" t="n"/>
      <c r="L5" s="89" t="n"/>
      <c r="M5" s="89" t="n"/>
      <c r="N5" s="89" t="n"/>
      <c r="O5" s="89" t="n"/>
      <c r="P5" s="89" t="n"/>
    </row>
    <row r="6" ht="15" customHeight="1" s="48">
      <c r="A6" s="46" t="inlineStr">
        <is>
          <t>APP</t>
        </is>
      </c>
      <c r="B6" s="89" t="n">
        <v>153.924683950421</v>
      </c>
      <c r="C6" s="89" t="n">
        <v>384.811709876052</v>
      </c>
      <c r="D6" s="89" t="n">
        <v>538.736393826473</v>
      </c>
      <c r="E6" s="89" t="n">
        <v>538.736393826472</v>
      </c>
      <c r="F6" s="89" t="n">
        <v>538.736393826473</v>
      </c>
      <c r="G6" s="89" t="n">
        <v>538.736393826473</v>
      </c>
      <c r="H6" s="89" t="n">
        <v>538.736393826473</v>
      </c>
      <c r="I6" s="89" t="n">
        <v>615.698735801683</v>
      </c>
      <c r="J6" s="89" t="n">
        <v>615.698735801683</v>
      </c>
      <c r="K6" s="89" t="n">
        <v>846.585761727313</v>
      </c>
      <c r="L6" s="89" t="n">
        <v>1077.47278765294</v>
      </c>
      <c r="M6" s="89" t="n">
        <v>1308.35981357858</v>
      </c>
      <c r="N6" s="89">
        <f>SUM(B6:M6)</f>
        <v/>
      </c>
      <c r="O6" s="89" t="n">
        <v>6195.4</v>
      </c>
      <c r="P6" s="89">
        <f>N6-O6</f>
        <v/>
      </c>
    </row>
    <row r="7" ht="15" customHeight="1" s="48">
      <c r="A7" s="46" t="inlineStr">
        <is>
          <t>Online DMP</t>
        </is>
      </c>
      <c r="B7" s="89" t="n">
        <v>32</v>
      </c>
      <c r="C7" s="89" t="n">
        <v>79.9999999999999</v>
      </c>
      <c r="D7" s="89" t="n">
        <v>112</v>
      </c>
      <c r="E7" s="89" t="n">
        <v>112</v>
      </c>
      <c r="F7" s="89" t="n">
        <v>112</v>
      </c>
      <c r="G7" s="89" t="n">
        <v>112</v>
      </c>
      <c r="H7" s="89" t="n">
        <v>112</v>
      </c>
      <c r="I7" s="89" t="n">
        <v>128</v>
      </c>
      <c r="J7" s="89" t="n">
        <v>128</v>
      </c>
      <c r="K7" s="89" t="n">
        <v>176</v>
      </c>
      <c r="L7" s="89" t="n">
        <v>224</v>
      </c>
      <c r="M7" s="89" t="n">
        <v>272</v>
      </c>
      <c r="N7" s="89">
        <f>SUM(B7:M7)</f>
        <v/>
      </c>
      <c r="O7" s="89" t="n">
        <v>986.999999999999</v>
      </c>
      <c r="P7" s="89">
        <f>N7-O7</f>
        <v/>
      </c>
    </row>
    <row r="8" ht="15" customHeight="1" s="48">
      <c r="A8" s="46" t="inlineStr">
        <is>
          <t>DMP</t>
        </is>
      </c>
      <c r="B8" s="89" t="n">
        <v>3.74</v>
      </c>
      <c r="C8" s="89" t="n">
        <v>9.35</v>
      </c>
      <c r="D8" s="89" t="n">
        <v>13.09</v>
      </c>
      <c r="E8" s="89" t="n">
        <v>13.09</v>
      </c>
      <c r="F8" s="89" t="n">
        <v>13.09</v>
      </c>
      <c r="G8" s="89" t="n">
        <v>13.09</v>
      </c>
      <c r="H8" s="89" t="n">
        <v>13.09</v>
      </c>
      <c r="I8" s="89" t="n">
        <v>14.96</v>
      </c>
      <c r="J8" s="89" t="n">
        <v>14.96</v>
      </c>
      <c r="K8" s="89" t="n">
        <v>20.57</v>
      </c>
      <c r="L8" s="89" t="n">
        <v>26.18</v>
      </c>
      <c r="M8" s="89" t="n">
        <v>31.79</v>
      </c>
      <c r="N8" s="89">
        <f>SUM(B8:M8)</f>
        <v/>
      </c>
      <c r="O8" s="89" t="n">
        <v>102.4</v>
      </c>
      <c r="P8" s="89">
        <f>N8-O8</f>
        <v/>
      </c>
    </row>
    <row r="9" ht="15" customHeight="1" s="48">
      <c r="A9" s="46" t="inlineStr">
        <is>
          <t>Instore digital</t>
        </is>
      </c>
      <c r="B9" s="89" t="n">
        <v>80.3909071359999</v>
      </c>
      <c r="C9" s="89" t="n">
        <v>200.981734001507</v>
      </c>
      <c r="D9" s="89" t="n">
        <v>281.368174976</v>
      </c>
      <c r="E9" s="89" t="n">
        <v>281.354776491477</v>
      </c>
      <c r="F9" s="89" t="n">
        <v>281.368174976</v>
      </c>
      <c r="G9" s="89" t="n">
        <v>281.368174976</v>
      </c>
      <c r="H9" s="89" t="n">
        <v>281.368174976</v>
      </c>
      <c r="I9" s="89" t="n">
        <v>321.541297736462</v>
      </c>
      <c r="J9" s="89" t="n">
        <v>321.541297736462</v>
      </c>
      <c r="K9" s="89" t="n">
        <v>442.149989248</v>
      </c>
      <c r="L9" s="89" t="n">
        <v>562.736349951999</v>
      </c>
      <c r="M9" s="89" t="n">
        <v>683.322710656</v>
      </c>
      <c r="N9" s="89">
        <f>SUM(B9:M9)</f>
        <v/>
      </c>
      <c r="O9" s="89" t="n">
        <v>2446.0892363</v>
      </c>
      <c r="P9" s="89">
        <f>N9-O9</f>
        <v/>
      </c>
    </row>
    <row r="10" ht="15" customHeight="1" s="48">
      <c r="A10" s="46" t="inlineStr">
        <is>
          <t>Content factory отдельное ЮЛ</t>
        </is>
      </c>
      <c r="B10" s="89" t="n">
        <v>4.266</v>
      </c>
      <c r="C10" s="89" t="n">
        <v>10.665</v>
      </c>
      <c r="D10" s="89" t="n">
        <v>14.931</v>
      </c>
      <c r="E10" s="89" t="n">
        <v>14.931</v>
      </c>
      <c r="F10" s="89" t="n">
        <v>14.931</v>
      </c>
      <c r="G10" s="89" t="n">
        <v>14.931</v>
      </c>
      <c r="H10" s="89" t="n">
        <v>14.931</v>
      </c>
      <c r="I10" s="89" t="n">
        <v>17.064</v>
      </c>
      <c r="J10" s="89" t="n">
        <v>17.064</v>
      </c>
      <c r="K10" s="89" t="n">
        <v>23.4630000000001</v>
      </c>
      <c r="L10" s="89" t="n">
        <v>29.862</v>
      </c>
      <c r="M10" s="89" t="n">
        <v>36.2609999999999</v>
      </c>
      <c r="N10" s="89">
        <f>SUM(B10:M10)</f>
        <v/>
      </c>
      <c r="O10" s="89" t="n">
        <v>0</v>
      </c>
      <c r="P10" s="89">
        <f>N10-O10</f>
        <v/>
      </c>
    </row>
    <row r="11" ht="15" customHeight="1" s="48">
      <c r="A11" s="46" t="inlineStr">
        <is>
          <t>RMN (Brand budgets call) отдельное ЮЛ</t>
        </is>
      </c>
      <c r="B11" s="89" t="n">
        <v>17.0041828989972</v>
      </c>
      <c r="C11" s="89" t="n">
        <v>42.510457247493</v>
      </c>
      <c r="D11" s="89" t="n">
        <v>59.5146401464902</v>
      </c>
      <c r="E11" s="89" t="n">
        <v>59.5146401464902</v>
      </c>
      <c r="F11" s="89" t="n">
        <v>59.5146401464902</v>
      </c>
      <c r="G11" s="89" t="n">
        <v>59.5146401464902</v>
      </c>
      <c r="H11" s="89" t="n">
        <v>59.5146401464902</v>
      </c>
      <c r="I11" s="89" t="n">
        <v>68.0167315959888</v>
      </c>
      <c r="J11" s="89" t="n">
        <v>68.0167315959888</v>
      </c>
      <c r="K11" s="89" t="n">
        <v>93.52300594448459</v>
      </c>
      <c r="L11" s="89" t="n">
        <v>119.02928029298</v>
      </c>
      <c r="M11" s="89" t="n">
        <v>144.535554641476</v>
      </c>
      <c r="N11" s="89">
        <f>SUM(B11:M11)</f>
        <v/>
      </c>
      <c r="O11" s="89" t="n">
        <v>592.5599999999999</v>
      </c>
      <c r="P11" s="89">
        <f>N11-O11</f>
        <v/>
      </c>
    </row>
    <row r="12" ht="15" customHeight="1" s="48">
      <c r="A12" s="87" t="inlineStr">
        <is>
          <t>Gross Revenue BU 2027</t>
        </is>
      </c>
      <c r="B12" s="90">
        <f>SUM(B6:B11)</f>
        <v/>
      </c>
      <c r="C12" s="90">
        <f>SUM(C6:C11)</f>
        <v/>
      </c>
      <c r="D12" s="90">
        <f>SUM(D6:D11)</f>
        <v/>
      </c>
      <c r="E12" s="90">
        <f>SUM(E6:E11)</f>
        <v/>
      </c>
      <c r="F12" s="90">
        <f>SUM(F6:F11)</f>
        <v/>
      </c>
      <c r="G12" s="90">
        <f>SUM(G6:G11)</f>
        <v/>
      </c>
      <c r="H12" s="90">
        <f>SUM(H6:H11)</f>
        <v/>
      </c>
      <c r="I12" s="90">
        <f>SUM(I6:I11)</f>
        <v/>
      </c>
      <c r="J12" s="90">
        <f>SUM(J6:J11)</f>
        <v/>
      </c>
      <c r="K12" s="90">
        <f>SUM(K6:K11)</f>
        <v/>
      </c>
      <c r="L12" s="90">
        <f>SUM(L6:L11)</f>
        <v/>
      </c>
      <c r="M12" s="90">
        <f>SUM(M6:M11)</f>
        <v/>
      </c>
      <c r="N12" s="90">
        <f>SUM(N6:N11)</f>
        <v/>
      </c>
      <c r="O12" s="90">
        <f>SUM(O6:O11)</f>
        <v/>
      </c>
      <c r="P12" s="90">
        <f>SUM(P6:P11)</f>
        <v/>
      </c>
    </row>
    <row r="13" ht="15" customHeight="1" s="48">
      <c r="B13" s="89" t="n"/>
      <c r="C13" s="89" t="n"/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89" t="n"/>
    </row>
    <row r="14" ht="15" customHeight="1" s="48">
      <c r="A14" s="87" t="inlineStr">
        <is>
          <t>Прирост выручки к FC 2026 по месяцам</t>
        </is>
      </c>
      <c r="B14" s="89" t="n"/>
      <c r="C14" s="89" t="n"/>
      <c r="D14" s="89" t="n"/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</row>
    <row r="15" ht="15" customHeight="1" s="48">
      <c r="A15" s="46" t="inlineStr">
        <is>
          <t>APP (E-comm)</t>
        </is>
      </c>
      <c r="B15" s="89">
        <f>IF($N6=0,0,$P6*B6/$N6)</f>
        <v/>
      </c>
      <c r="C15" s="89">
        <f>IF($N6=0,0,$P6*C6/$N6)</f>
        <v/>
      </c>
      <c r="D15" s="89">
        <f>IF($N6=0,0,$P6*D6/$N6)</f>
        <v/>
      </c>
      <c r="E15" s="89">
        <f>IF($N6=0,0,$P6*E6/$N6)</f>
        <v/>
      </c>
      <c r="F15" s="89">
        <f>IF($N6=0,0,$P6*F6/$N6)</f>
        <v/>
      </c>
      <c r="G15" s="89">
        <f>IF($N6=0,0,$P6*G6/$N6)</f>
        <v/>
      </c>
      <c r="H15" s="89">
        <f>IF($N6=0,0,$P6*H6/$N6)</f>
        <v/>
      </c>
      <c r="I15" s="89">
        <f>IF($N6=0,0,$P6*I6/$N6)</f>
        <v/>
      </c>
      <c r="J15" s="89">
        <f>IF($N6=0,0,$P6*J6/$N6)</f>
        <v/>
      </c>
      <c r="K15" s="89">
        <f>IF($N6=0,0,$P6*K6/$N6)</f>
        <v/>
      </c>
      <c r="L15" s="89">
        <f>IF($N6=0,0,$P6*L6/$N6)</f>
        <v/>
      </c>
      <c r="M15" s="89">
        <f>IF($N6=0,0,$P6*M6/$N6)</f>
        <v/>
      </c>
      <c r="N15" s="89">
        <f>SUM(B15:M15)</f>
        <v/>
      </c>
      <c r="O15" s="89" t="n"/>
      <c r="P15" s="89" t="n"/>
    </row>
    <row r="16" ht="15" customHeight="1" s="48">
      <c r="A16" s="46" t="inlineStr">
        <is>
          <t>Online DMP (Offline)</t>
        </is>
      </c>
      <c r="B16" s="89">
        <f>IF($N7=0,0,$P7*B7/$N7)</f>
        <v/>
      </c>
      <c r="C16" s="89">
        <f>IF($N7=0,0,$P7*C7/$N7)</f>
        <v/>
      </c>
      <c r="D16" s="89">
        <f>IF($N7=0,0,$P7*D7/$N7)</f>
        <v/>
      </c>
      <c r="E16" s="89">
        <f>IF($N7=0,0,$P7*E7/$N7)</f>
        <v/>
      </c>
      <c r="F16" s="89">
        <f>IF($N7=0,0,$P7*F7/$N7)</f>
        <v/>
      </c>
      <c r="G16" s="89">
        <f>IF($N7=0,0,$P7*G7/$N7)</f>
        <v/>
      </c>
      <c r="H16" s="89">
        <f>IF($N7=0,0,$P7*H7/$N7)</f>
        <v/>
      </c>
      <c r="I16" s="89">
        <f>IF($N7=0,0,$P7*I7/$N7)</f>
        <v/>
      </c>
      <c r="J16" s="89">
        <f>IF($N7=0,0,$P7*J7/$N7)</f>
        <v/>
      </c>
      <c r="K16" s="89">
        <f>IF($N7=0,0,$P7*K7/$N7)</f>
        <v/>
      </c>
      <c r="L16" s="89">
        <f>IF($N7=0,0,$P7*L7/$N7)</f>
        <v/>
      </c>
      <c r="M16" s="89">
        <f>IF($N7=0,0,$P7*M7/$N7)</f>
        <v/>
      </c>
      <c r="N16" s="89">
        <f>SUM(B16:M16)</f>
        <v/>
      </c>
      <c r="O16" s="89" t="n"/>
      <c r="P16" s="89" t="n"/>
    </row>
    <row r="17" ht="15" customHeight="1" s="48">
      <c r="A17" s="46" t="inlineStr">
        <is>
          <t>DMP (Offline)</t>
        </is>
      </c>
      <c r="B17" s="89">
        <f>IF($N8=0,0,$P8*B8/$N8)</f>
        <v/>
      </c>
      <c r="C17" s="89">
        <f>IF($N8=0,0,$P8*C8/$N8)</f>
        <v/>
      </c>
      <c r="D17" s="89">
        <f>IF($N8=0,0,$P8*D8/$N8)</f>
        <v/>
      </c>
      <c r="E17" s="89">
        <f>IF($N8=0,0,$P8*E8/$N8)</f>
        <v/>
      </c>
      <c r="F17" s="89">
        <f>IF($N8=0,0,$P8*F8/$N8)</f>
        <v/>
      </c>
      <c r="G17" s="89">
        <f>IF($N8=0,0,$P8*G8/$N8)</f>
        <v/>
      </c>
      <c r="H17" s="89">
        <f>IF($N8=0,0,$P8*H8/$N8)</f>
        <v/>
      </c>
      <c r="I17" s="89">
        <f>IF($N8=0,0,$P8*I8/$N8)</f>
        <v/>
      </c>
      <c r="J17" s="89">
        <f>IF($N8=0,0,$P8*J8/$N8)</f>
        <v/>
      </c>
      <c r="K17" s="89">
        <f>IF($N8=0,0,$P8*K8/$N8)</f>
        <v/>
      </c>
      <c r="L17" s="89">
        <f>IF($N8=0,0,$P8*L8/$N8)</f>
        <v/>
      </c>
      <c r="M17" s="89">
        <f>IF($N8=0,0,$P8*M8/$N8)</f>
        <v/>
      </c>
      <c r="N17" s="89">
        <f>SUM(B17:M17)</f>
        <v/>
      </c>
      <c r="O17" s="89" t="n"/>
      <c r="P17" s="89" t="n"/>
    </row>
    <row r="18" ht="15" customHeight="1" s="48">
      <c r="A18" s="46" t="inlineStr">
        <is>
          <t>Instore digital (Offline)</t>
        </is>
      </c>
      <c r="B18" s="89">
        <f>IF($N9=0,0,$P9*B9/$N9)</f>
        <v/>
      </c>
      <c r="C18" s="89">
        <f>IF($N9=0,0,$P9*C9/$N9)</f>
        <v/>
      </c>
      <c r="D18" s="89">
        <f>IF($N9=0,0,$P9*D9/$N9)</f>
        <v/>
      </c>
      <c r="E18" s="89">
        <f>IF($N9=0,0,$P9*E9/$N9)</f>
        <v/>
      </c>
      <c r="F18" s="89">
        <f>IF($N9=0,0,$P9*F9/$N9)</f>
        <v/>
      </c>
      <c r="G18" s="89">
        <f>IF($N9=0,0,$P9*G9/$N9)</f>
        <v/>
      </c>
      <c r="H18" s="89">
        <f>IF($N9=0,0,$P9*H9/$N9)</f>
        <v/>
      </c>
      <c r="I18" s="89">
        <f>IF($N9=0,0,$P9*I9/$N9)</f>
        <v/>
      </c>
      <c r="J18" s="89">
        <f>IF($N9=0,0,$P9*J9/$N9)</f>
        <v/>
      </c>
      <c r="K18" s="89">
        <f>IF($N9=0,0,$P9*K9/$N9)</f>
        <v/>
      </c>
      <c r="L18" s="89">
        <f>IF($N9=0,0,$P9*L9/$N9)</f>
        <v/>
      </c>
      <c r="M18" s="89">
        <f>IF($N9=0,0,$P9*M9/$N9)</f>
        <v/>
      </c>
      <c r="N18" s="89">
        <f>SUM(B18:M18)</f>
        <v/>
      </c>
      <c r="O18" s="89" t="n"/>
      <c r="P18" s="89" t="n"/>
    </row>
    <row r="19" ht="15" customHeight="1" s="48">
      <c r="A19" s="46" t="inlineStr">
        <is>
          <t>Content factory отдельное ЮЛ (Offline)</t>
        </is>
      </c>
      <c r="B19" s="89">
        <f>IF($N10=0,0,$P10*B10/$N10)</f>
        <v/>
      </c>
      <c r="C19" s="89">
        <f>IF($N10=0,0,$P10*C10/$N10)</f>
        <v/>
      </c>
      <c r="D19" s="89">
        <f>IF($N10=0,0,$P10*D10/$N10)</f>
        <v/>
      </c>
      <c r="E19" s="89">
        <f>IF($N10=0,0,$P10*E10/$N10)</f>
        <v/>
      </c>
      <c r="F19" s="89">
        <f>IF($N10=0,0,$P10*F10/$N10)</f>
        <v/>
      </c>
      <c r="G19" s="89">
        <f>IF($N10=0,0,$P10*G10/$N10)</f>
        <v/>
      </c>
      <c r="H19" s="89">
        <f>IF($N10=0,0,$P10*H10/$N10)</f>
        <v/>
      </c>
      <c r="I19" s="89">
        <f>IF($N10=0,0,$P10*I10/$N10)</f>
        <v/>
      </c>
      <c r="J19" s="89">
        <f>IF($N10=0,0,$P10*J10/$N10)</f>
        <v/>
      </c>
      <c r="K19" s="89">
        <f>IF($N10=0,0,$P10*K10/$N10)</f>
        <v/>
      </c>
      <c r="L19" s="89">
        <f>IF($N10=0,0,$P10*L10/$N10)</f>
        <v/>
      </c>
      <c r="M19" s="89">
        <f>IF($N10=0,0,$P10*M10/$N10)</f>
        <v/>
      </c>
      <c r="N19" s="89">
        <f>SUM(B19:M19)</f>
        <v/>
      </c>
      <c r="O19" s="89" t="n"/>
      <c r="P19" s="89" t="n"/>
    </row>
    <row r="20" ht="15" customHeight="1" s="48">
      <c r="A20" s="46" t="inlineStr">
        <is>
          <t>RMN (Brand budgets call) отдельное ЮЛ (Offline)</t>
        </is>
      </c>
      <c r="B20" s="89">
        <f>IF($N11=0,0,$P11*B11/$N11)</f>
        <v/>
      </c>
      <c r="C20" s="89">
        <f>IF($N11=0,0,$P11*C11/$N11)</f>
        <v/>
      </c>
      <c r="D20" s="89">
        <f>IF($N11=0,0,$P11*D11/$N11)</f>
        <v/>
      </c>
      <c r="E20" s="89">
        <f>IF($N11=0,0,$P11*E11/$N11)</f>
        <v/>
      </c>
      <c r="F20" s="89">
        <f>IF($N11=0,0,$P11*F11/$N11)</f>
        <v/>
      </c>
      <c r="G20" s="89">
        <f>IF($N11=0,0,$P11*G11/$N11)</f>
        <v/>
      </c>
      <c r="H20" s="89">
        <f>IF($N11=0,0,$P11*H11/$N11)</f>
        <v/>
      </c>
      <c r="I20" s="89">
        <f>IF($N11=0,0,$P11*I11/$N11)</f>
        <v/>
      </c>
      <c r="J20" s="89">
        <f>IF($N11=0,0,$P11*J11/$N11)</f>
        <v/>
      </c>
      <c r="K20" s="89">
        <f>IF($N11=0,0,$P11*K11/$N11)</f>
        <v/>
      </c>
      <c r="L20" s="89">
        <f>IF($N11=0,0,$P11*L11/$N11)</f>
        <v/>
      </c>
      <c r="M20" s="89">
        <f>IF($N11=0,0,$P11*M11/$N11)</f>
        <v/>
      </c>
      <c r="N20" s="89">
        <f>SUM(B20:M20)</f>
        <v/>
      </c>
      <c r="O20" s="89" t="n"/>
      <c r="P20" s="89" t="n"/>
    </row>
    <row r="21" ht="15" customHeight="1" s="48">
      <c r="A21" s="91" t="inlineStr">
        <is>
          <t>Прирост E-comm</t>
        </is>
      </c>
      <c r="B21" s="92">
        <f>B15</f>
        <v/>
      </c>
      <c r="C21" s="92">
        <f>C15</f>
        <v/>
      </c>
      <c r="D21" s="92">
        <f>D15</f>
        <v/>
      </c>
      <c r="E21" s="92">
        <f>E15</f>
        <v/>
      </c>
      <c r="F21" s="92">
        <f>F15</f>
        <v/>
      </c>
      <c r="G21" s="92">
        <f>G15</f>
        <v/>
      </c>
      <c r="H21" s="92">
        <f>H15</f>
        <v/>
      </c>
      <c r="I21" s="92">
        <f>I15</f>
        <v/>
      </c>
      <c r="J21" s="92">
        <f>J15</f>
        <v/>
      </c>
      <c r="K21" s="92">
        <f>K15</f>
        <v/>
      </c>
      <c r="L21" s="92">
        <f>L15</f>
        <v/>
      </c>
      <c r="M21" s="92">
        <f>M15</f>
        <v/>
      </c>
      <c r="N21" s="92">
        <f>N15</f>
        <v/>
      </c>
      <c r="O21" s="89" t="n"/>
      <c r="P21" s="89" t="n"/>
    </row>
    <row r="22" ht="15" customHeight="1" s="48">
      <c r="A22" s="91" t="inlineStr">
        <is>
          <t>Прирост Offline</t>
        </is>
      </c>
      <c r="B22" s="92">
        <f>B16+B17+B18+B19+B20</f>
        <v/>
      </c>
      <c r="C22" s="92">
        <f>C16+C17+C18+C19+C20</f>
        <v/>
      </c>
      <c r="D22" s="92">
        <f>D16+D17+D18+D19+D20</f>
        <v/>
      </c>
      <c r="E22" s="92">
        <f>E16+E17+E18+E19+E20</f>
        <v/>
      </c>
      <c r="F22" s="92">
        <f>F16+F17+F18+F19+F20</f>
        <v/>
      </c>
      <c r="G22" s="92">
        <f>G16+G17+G18+G19+G20</f>
        <v/>
      </c>
      <c r="H22" s="92">
        <f>H16+H17+H18+H19+H20</f>
        <v/>
      </c>
      <c r="I22" s="92">
        <f>I16+I17+I18+I19+I20</f>
        <v/>
      </c>
      <c r="J22" s="92">
        <f>J16+J17+J18+J19+J20</f>
        <v/>
      </c>
      <c r="K22" s="92">
        <f>K16+K17+K18+K19+K20</f>
        <v/>
      </c>
      <c r="L22" s="92">
        <f>L16+L17+L18+L19+L20</f>
        <v/>
      </c>
      <c r="M22" s="92">
        <f>M16+M17+M18+M19+M20</f>
        <v/>
      </c>
      <c r="N22" s="92">
        <f>N16+N17+N18+N19+N20</f>
        <v/>
      </c>
      <c r="O22" s="89" t="n"/>
      <c r="P22" s="89" t="n"/>
    </row>
    <row r="23" ht="15" customHeight="1" s="48">
      <c r="A23" s="87" t="inlineStr">
        <is>
          <t>Прирост выручки итого</t>
        </is>
      </c>
      <c r="B23" s="90">
        <f>B21+B22</f>
        <v/>
      </c>
      <c r="C23" s="90">
        <f>C21+C22</f>
        <v/>
      </c>
      <c r="D23" s="90">
        <f>D21+D22</f>
        <v/>
      </c>
      <c r="E23" s="90">
        <f>E21+E22</f>
        <v/>
      </c>
      <c r="F23" s="90">
        <f>F21+F22</f>
        <v/>
      </c>
      <c r="G23" s="90">
        <f>G21+G22</f>
        <v/>
      </c>
      <c r="H23" s="90">
        <f>H21+H22</f>
        <v/>
      </c>
      <c r="I23" s="90">
        <f>I21+I22</f>
        <v/>
      </c>
      <c r="J23" s="90">
        <f>J21+J22</f>
        <v/>
      </c>
      <c r="K23" s="90">
        <f>K21+K22</f>
        <v/>
      </c>
      <c r="L23" s="90">
        <f>L21+L22</f>
        <v/>
      </c>
      <c r="M23" s="90">
        <f>M21+M22</f>
        <v/>
      </c>
      <c r="N23" s="90">
        <f>N21+N22</f>
        <v/>
      </c>
      <c r="O23" s="89" t="n"/>
      <c r="P23" s="89" t="n"/>
    </row>
    <row r="24" ht="15" customHeight="1" s="48">
      <c r="B24" s="89" t="n"/>
      <c r="C24" s="89" t="n"/>
      <c r="D24" s="89" t="n"/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</row>
    <row r="25" ht="15" customHeight="1" s="48">
      <c r="A25" s="87" t="inlineStr">
        <is>
          <t>Расходы BU 2027</t>
        </is>
      </c>
      <c r="B25" s="89" t="n"/>
      <c r="C25" s="89" t="n"/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89" t="n"/>
    </row>
    <row r="26" ht="15" customHeight="1" s="48">
      <c r="A26" s="46" t="inlineStr">
        <is>
          <t>Закупка трафика DMP (маркетинг в сети интернет)</t>
        </is>
      </c>
      <c r="B26" s="89" t="n">
        <v>-19.3792999412308</v>
      </c>
      <c r="C26" s="89" t="n">
        <v>-51.6042936445303</v>
      </c>
      <c r="D26" s="89" t="n">
        <v>-68.27773261690869</v>
      </c>
      <c r="E26" s="89" t="n">
        <v>-71.58463134917299</v>
      </c>
      <c r="F26" s="89" t="n">
        <v>-72.2960314163378</v>
      </c>
      <c r="G26" s="89" t="n">
        <v>-72.40941079674251</v>
      </c>
      <c r="H26" s="89" t="n">
        <v>-72.36272517840651</v>
      </c>
      <c r="I26" s="89" t="n">
        <v>-81.23299471077161</v>
      </c>
      <c r="J26" s="89" t="n">
        <v>-78.6986319872387</v>
      </c>
      <c r="K26" s="89" t="n">
        <v>-113.896261674083</v>
      </c>
      <c r="L26" s="89" t="n">
        <v>-134.454611938544</v>
      </c>
      <c r="M26" s="89" t="n">
        <v>-163.803374746033</v>
      </c>
      <c r="N26" s="89">
        <f>SUM(B26:M26)</f>
        <v/>
      </c>
      <c r="O26" s="89" t="n"/>
      <c r="P26" s="89" t="n"/>
    </row>
    <row r="27" ht="15" customHeight="1" s="48">
      <c r="A27" s="46" t="inlineStr">
        <is>
          <t>Вознаграждения рекламным агентствам</t>
        </is>
      </c>
      <c r="B27" s="89" t="n">
        <v>-66.25</v>
      </c>
      <c r="C27" s="89" t="n">
        <v>-66.25</v>
      </c>
      <c r="D27" s="89" t="n">
        <v>-66.25</v>
      </c>
      <c r="E27" s="89" t="n">
        <v>-66.25</v>
      </c>
      <c r="F27" s="89" t="n">
        <v>-66.25</v>
      </c>
      <c r="G27" s="89" t="n">
        <v>-66.25</v>
      </c>
      <c r="H27" s="89" t="n">
        <v>-66.25</v>
      </c>
      <c r="I27" s="89" t="n">
        <v>-66.25</v>
      </c>
      <c r="J27" s="89" t="n">
        <v>-66.25</v>
      </c>
      <c r="K27" s="89" t="n">
        <v>-66.25</v>
      </c>
      <c r="L27" s="89" t="n">
        <v>-66.25</v>
      </c>
      <c r="M27" s="89" t="n">
        <v>-66.25</v>
      </c>
      <c r="N27" s="89">
        <f>SUM(B27:M27)</f>
        <v/>
      </c>
      <c r="O27" s="89" t="n"/>
      <c r="P27" s="89" t="n"/>
    </row>
    <row r="28" ht="15" customHeight="1" s="48">
      <c r="A28" s="46" t="inlineStr">
        <is>
          <t>Вознаграждения креаторам</t>
        </is>
      </c>
      <c r="B28" s="89" t="n">
        <v>-4.24</v>
      </c>
      <c r="C28" s="89" t="n">
        <v>-7.42</v>
      </c>
      <c r="D28" s="89" t="n">
        <v>-14.31</v>
      </c>
      <c r="E28" s="89" t="n">
        <v>-14.787</v>
      </c>
      <c r="F28" s="89" t="n">
        <v>-15.105</v>
      </c>
      <c r="G28" s="89" t="n">
        <v>-15.9</v>
      </c>
      <c r="H28" s="89" t="n">
        <v>-15.9</v>
      </c>
      <c r="I28" s="89" t="n">
        <v>-17.013</v>
      </c>
      <c r="J28" s="89" t="n">
        <v>-17.013</v>
      </c>
      <c r="K28" s="89" t="n">
        <v>-17.013</v>
      </c>
      <c r="L28" s="89" t="n">
        <v>-18.285</v>
      </c>
      <c r="M28" s="89" t="n">
        <v>-19.08</v>
      </c>
      <c r="N28" s="89">
        <f>SUM(B28:M28)</f>
        <v/>
      </c>
      <c r="O28" s="89" t="n"/>
      <c r="P28" s="89" t="n"/>
    </row>
    <row r="29" ht="15" customHeight="1" s="48">
      <c r="A29" s="87" t="inlineStr">
        <is>
          <t>COGS: расходы, привязанные к выручке (трафик DMP, РА, креаторы)</t>
        </is>
      </c>
      <c r="B29" s="90">
        <f>B26+B27+B28</f>
        <v/>
      </c>
      <c r="C29" s="90">
        <f>C26+C27+C28</f>
        <v/>
      </c>
      <c r="D29" s="90">
        <f>D26+D27+D28</f>
        <v/>
      </c>
      <c r="E29" s="90">
        <f>E26+E27+E28</f>
        <v/>
      </c>
      <c r="F29" s="90">
        <f>F26+F27+F28</f>
        <v/>
      </c>
      <c r="G29" s="90">
        <f>G26+G27+G28</f>
        <v/>
      </c>
      <c r="H29" s="90">
        <f>H26+H27+H28</f>
        <v/>
      </c>
      <c r="I29" s="90">
        <f>I26+I27+I28</f>
        <v/>
      </c>
      <c r="J29" s="90">
        <f>J26+J27+J28</f>
        <v/>
      </c>
      <c r="K29" s="90">
        <f>K26+K27+K28</f>
        <v/>
      </c>
      <c r="L29" s="90">
        <f>L26+L27+L28</f>
        <v/>
      </c>
      <c r="M29" s="90">
        <f>M26+M27+M28</f>
        <v/>
      </c>
      <c r="N29" s="90">
        <f>N26+N27+N28</f>
        <v/>
      </c>
      <c r="O29" s="89" t="n"/>
      <c r="P29" s="89" t="n"/>
    </row>
    <row r="30" ht="15" customHeight="1" s="48">
      <c r="A30" s="46" t="inlineStr">
        <is>
          <t>PEX</t>
        </is>
      </c>
      <c r="B30" s="89" t="n">
        <v>-113.964046852421</v>
      </c>
      <c r="C30" s="89" t="n">
        <v>-116.10616442779</v>
      </c>
      <c r="D30" s="89" t="n">
        <v>-116.710569276869</v>
      </c>
      <c r="E30" s="89" t="n">
        <v>-118.662842973061</v>
      </c>
      <c r="F30" s="89" t="n">
        <v>-120.878049200388</v>
      </c>
      <c r="G30" s="89" t="n">
        <v>-117.838601751365</v>
      </c>
      <c r="H30" s="89" t="n">
        <v>-120.784079044911</v>
      </c>
      <c r="I30" s="89" t="n">
        <v>-102.883619444708</v>
      </c>
      <c r="J30" s="89" t="n">
        <v>-119.844979381682</v>
      </c>
      <c r="K30" s="89" t="n">
        <v>-127.968972077443</v>
      </c>
      <c r="L30" s="89" t="n">
        <v>-128.01786718941</v>
      </c>
      <c r="M30" s="89" t="n">
        <v>-132.703144979922</v>
      </c>
      <c r="N30" s="89">
        <f>SUM(B30:M30)</f>
        <v/>
      </c>
      <c r="O30" s="89" t="n"/>
      <c r="P30" s="89" t="n"/>
    </row>
    <row r="31" ht="15" customHeight="1" s="48">
      <c r="A31" s="46" t="inlineStr">
        <is>
          <t>Other PEX</t>
        </is>
      </c>
      <c r="B31" s="89" t="n">
        <v>-1.1561945499232</v>
      </c>
      <c r="C31" s="89" t="n">
        <v>-5.1511945499232</v>
      </c>
      <c r="D31" s="89" t="n">
        <v>-1.8032845499232</v>
      </c>
      <c r="E31" s="89" t="n">
        <v>-12.2532852199232</v>
      </c>
      <c r="F31" s="89" t="n">
        <v>-1.6682845499232</v>
      </c>
      <c r="G31" s="89" t="n">
        <v>-1.6632845499232</v>
      </c>
      <c r="H31" s="89" t="n">
        <v>-7.80328454992319</v>
      </c>
      <c r="I31" s="89" t="n">
        <v>-2.00295454992319</v>
      </c>
      <c r="J31" s="89" t="n">
        <v>-1.6682845499232</v>
      </c>
      <c r="K31" s="89" t="n">
        <v>-1.6632845499232</v>
      </c>
      <c r="L31" s="89" t="n">
        <v>-1.68150634062704</v>
      </c>
      <c r="M31" s="89" t="n">
        <v>-1.7715893986895</v>
      </c>
      <c r="N31" s="89">
        <f>SUM(B31:M31)</f>
        <v/>
      </c>
      <c r="O31" s="89" t="n"/>
      <c r="P31" s="89" t="n"/>
    </row>
    <row r="32" ht="15" customHeight="1" s="48">
      <c r="A32" s="46" t="inlineStr">
        <is>
          <t>Marketing всего (модель)</t>
        </is>
      </c>
      <c r="B32" s="89" t="n">
        <v>-95.8369922078975</v>
      </c>
      <c r="C32" s="89" t="n">
        <v>-135.591985911197</v>
      </c>
      <c r="D32" s="89" t="n">
        <v>-158.380424883575</v>
      </c>
      <c r="E32" s="89" t="n">
        <v>-160.58932361584</v>
      </c>
      <c r="F32" s="89" t="n">
        <v>-159.818723683005</v>
      </c>
      <c r="G32" s="89" t="n">
        <v>-161.902103063409</v>
      </c>
      <c r="H32" s="89" t="n">
        <v>-164.821402245073</v>
      </c>
      <c r="I32" s="89" t="n">
        <v>-172.154671777438</v>
      </c>
      <c r="J32" s="89" t="n">
        <v>-171.195309053905</v>
      </c>
      <c r="K32" s="89" t="n">
        <v>-204.76793874075</v>
      </c>
      <c r="L32" s="89" t="n">
        <v>-230.498289005211</v>
      </c>
      <c r="M32" s="89" t="n">
        <v>-256.1670518127</v>
      </c>
      <c r="N32" s="89">
        <f>SUM(B32:M32)</f>
        <v/>
      </c>
      <c r="O32" s="89" t="n"/>
      <c r="P32" s="89" t="n"/>
    </row>
    <row r="33" ht="15" customHeight="1" s="48">
      <c r="A33" s="46" t="inlineStr">
        <is>
          <t>Marketing без COGS (PR/GR, мероприятия, исследования, маркетинг ВГО)</t>
        </is>
      </c>
      <c r="B33" s="89">
        <f>B32-B29</f>
        <v/>
      </c>
      <c r="C33" s="89">
        <f>C32-C29</f>
        <v/>
      </c>
      <c r="D33" s="89">
        <f>D32-D29</f>
        <v/>
      </c>
      <c r="E33" s="89">
        <f>E32-E29</f>
        <v/>
      </c>
      <c r="F33" s="89">
        <f>F32-F29</f>
        <v/>
      </c>
      <c r="G33" s="89">
        <f>G32-G29</f>
        <v/>
      </c>
      <c r="H33" s="89">
        <f>H32-H29</f>
        <v/>
      </c>
      <c r="I33" s="89">
        <f>I32-I29</f>
        <v/>
      </c>
      <c r="J33" s="89">
        <f>J32-J29</f>
        <v/>
      </c>
      <c r="K33" s="89">
        <f>K32-K29</f>
        <v/>
      </c>
      <c r="L33" s="89">
        <f>L32-L29</f>
        <v/>
      </c>
      <c r="M33" s="89">
        <f>M32-M29</f>
        <v/>
      </c>
      <c r="N33" s="89">
        <f>N32-N29</f>
        <v/>
      </c>
      <c r="O33" s="89" t="n"/>
      <c r="P33" s="89" t="n"/>
    </row>
    <row r="34" ht="15" customHeight="1" s="48">
      <c r="A34" s="46" t="inlineStr">
        <is>
          <t>IT (Consulting and insurance)</t>
        </is>
      </c>
      <c r="B34" s="89" t="n">
        <v>-6.44907272921417</v>
      </c>
      <c r="C34" s="89" t="n">
        <v>-6.44907272921417</v>
      </c>
      <c r="D34" s="89" t="n">
        <v>-6.84907272921417</v>
      </c>
      <c r="E34" s="89" t="n">
        <v>-6.64907272921417</v>
      </c>
      <c r="F34" s="89" t="n">
        <v>-7.14907272921417</v>
      </c>
      <c r="G34" s="89" t="n">
        <v>-7.09957968014875</v>
      </c>
      <c r="H34" s="89" t="n">
        <v>-7.04200677321728</v>
      </c>
      <c r="I34" s="89" t="n">
        <v>-7.30994301384494</v>
      </c>
      <c r="J34" s="89" t="n">
        <v>-8.821341586885509</v>
      </c>
      <c r="K34" s="89" t="n">
        <v>-9.42744069455685</v>
      </c>
      <c r="L34" s="89" t="n">
        <v>-9.42744069455685</v>
      </c>
      <c r="M34" s="89" t="n">
        <v>-9.42744069455685</v>
      </c>
      <c r="N34" s="89">
        <f>SUM(B34:M34)</f>
        <v/>
      </c>
      <c r="O34" s="89" t="n"/>
      <c r="P34" s="89" t="n"/>
    </row>
    <row r="35" ht="15" customHeight="1" s="48">
      <c r="A35" s="46" t="inlineStr">
        <is>
          <t>Other OPEX</t>
        </is>
      </c>
      <c r="B35" s="89" t="n">
        <v>-2.44525113760494</v>
      </c>
      <c r="C35" s="89" t="n">
        <v>-5.32565910714291</v>
      </c>
      <c r="D35" s="89" t="n">
        <v>-7.24587898161731</v>
      </c>
      <c r="E35" s="89" t="n">
        <v>-7.24578519222564</v>
      </c>
      <c r="F35" s="89" t="n">
        <v>-7.24587898161731</v>
      </c>
      <c r="G35" s="89" t="n">
        <v>-7.24587898161731</v>
      </c>
      <c r="H35" s="89" t="n">
        <v>-7.24587898161731</v>
      </c>
      <c r="I35" s="89" t="n">
        <v>-8.205848234767011</v>
      </c>
      <c r="J35" s="89" t="n">
        <v>-8.205848234767011</v>
      </c>
      <c r="K35" s="89" t="n">
        <v>-11.0863812568272</v>
      </c>
      <c r="L35" s="89" t="n">
        <v>-13.9667579632346</v>
      </c>
      <c r="M35" s="89" t="n">
        <v>-16.847134669642</v>
      </c>
      <c r="N35" s="89">
        <f>SUM(B35:M35)</f>
        <v/>
      </c>
      <c r="O35" s="89" t="n"/>
      <c r="P35" s="89" t="n"/>
    </row>
    <row r="36" ht="15" customHeight="1" s="48">
      <c r="B36" s="89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  <c r="P36" s="89" t="n"/>
    </row>
    <row r="37" ht="15" customHeight="1" s="48">
      <c r="A37" s="87" t="inlineStr">
        <is>
          <t>Свод для консолидации</t>
        </is>
      </c>
      <c r="B37" s="89" t="n"/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89" t="n"/>
    </row>
    <row r="38" ht="15" customHeight="1" s="48">
      <c r="A38" s="87" t="inlineStr">
        <is>
          <t>Commercial margin = Net Revenue (прирост выручки − COGS)</t>
        </is>
      </c>
      <c r="B38" s="90">
        <f>B23+B29</f>
        <v/>
      </c>
      <c r="C38" s="90">
        <f>C23+C29</f>
        <v/>
      </c>
      <c r="D38" s="90">
        <f>D23+D29</f>
        <v/>
      </c>
      <c r="E38" s="90">
        <f>E23+E29</f>
        <v/>
      </c>
      <c r="F38" s="90">
        <f>F23+F29</f>
        <v/>
      </c>
      <c r="G38" s="90">
        <f>G23+G29</f>
        <v/>
      </c>
      <c r="H38" s="90">
        <f>H23+H29</f>
        <v/>
      </c>
      <c r="I38" s="90">
        <f>I23+I29</f>
        <v/>
      </c>
      <c r="J38" s="90">
        <f>J23+J29</f>
        <v/>
      </c>
      <c r="K38" s="90">
        <f>K23+K29</f>
        <v/>
      </c>
      <c r="L38" s="90">
        <f>L23+L29</f>
        <v/>
      </c>
      <c r="M38" s="90">
        <f>M23+M29</f>
        <v/>
      </c>
      <c r="N38" s="90">
        <f>N23+N29</f>
        <v/>
      </c>
      <c r="O38" s="89" t="n"/>
      <c r="P38" s="89" t="n"/>
    </row>
    <row r="39" ht="15" customHeight="1" s="48">
      <c r="A39" s="91" t="inlineStr">
        <is>
          <t>PEX</t>
        </is>
      </c>
      <c r="B39" s="92">
        <f>B30+B31</f>
        <v/>
      </c>
      <c r="C39" s="92">
        <f>C30+C31</f>
        <v/>
      </c>
      <c r="D39" s="92">
        <f>D30+D31</f>
        <v/>
      </c>
      <c r="E39" s="92">
        <f>E30+E31</f>
        <v/>
      </c>
      <c r="F39" s="92">
        <f>F30+F31</f>
        <v/>
      </c>
      <c r="G39" s="92">
        <f>G30+G31</f>
        <v/>
      </c>
      <c r="H39" s="92">
        <f>H30+H31</f>
        <v/>
      </c>
      <c r="I39" s="92">
        <f>I30+I31</f>
        <v/>
      </c>
      <c r="J39" s="92">
        <f>J30+J31</f>
        <v/>
      </c>
      <c r="K39" s="92">
        <f>K30+K31</f>
        <v/>
      </c>
      <c r="L39" s="92">
        <f>L30+L31</f>
        <v/>
      </c>
      <c r="M39" s="92">
        <f>M30+M31</f>
        <v/>
      </c>
      <c r="N39" s="92">
        <f>N30+N31</f>
        <v/>
      </c>
      <c r="O39" s="89" t="n"/>
      <c r="P39" s="89" t="n"/>
    </row>
    <row r="40" ht="15" customHeight="1" s="48">
      <c r="A40" s="91" t="inlineStr">
        <is>
          <t>NON PEX</t>
        </is>
      </c>
      <c r="B40" s="92">
        <f>B33+B34+B35</f>
        <v/>
      </c>
      <c r="C40" s="92">
        <f>C33+C34+C35</f>
        <v/>
      </c>
      <c r="D40" s="92">
        <f>D33+D34+D35</f>
        <v/>
      </c>
      <c r="E40" s="92">
        <f>E33+E34+E35</f>
        <v/>
      </c>
      <c r="F40" s="92">
        <f>F33+F34+F35</f>
        <v/>
      </c>
      <c r="G40" s="92">
        <f>G33+G34+G35</f>
        <v/>
      </c>
      <c r="H40" s="92">
        <f>H33+H34+H35</f>
        <v/>
      </c>
      <c r="I40" s="92">
        <f>I33+I34+I35</f>
        <v/>
      </c>
      <c r="J40" s="92">
        <f>J33+J34+J35</f>
        <v/>
      </c>
      <c r="K40" s="92">
        <f>K33+K34+K35</f>
        <v/>
      </c>
      <c r="L40" s="92">
        <f>L33+L34+L35</f>
        <v/>
      </c>
      <c r="M40" s="92">
        <f>M33+M34+M35</f>
        <v/>
      </c>
      <c r="N40" s="92">
        <f>N33+N34+N35</f>
        <v/>
      </c>
      <c r="O40" s="89" t="n"/>
      <c r="P40" s="89" t="n"/>
    </row>
    <row r="41" ht="15" customHeight="1" s="48">
      <c r="A41" s="87" t="inlineStr">
        <is>
          <t>Total OPEX</t>
        </is>
      </c>
      <c r="B41" s="90">
        <f>B39+B40</f>
        <v/>
      </c>
      <c r="C41" s="90">
        <f>C39+C40</f>
        <v/>
      </c>
      <c r="D41" s="90">
        <f>D39+D40</f>
        <v/>
      </c>
      <c r="E41" s="90">
        <f>E39+E40</f>
        <v/>
      </c>
      <c r="F41" s="90">
        <f>F39+F40</f>
        <v/>
      </c>
      <c r="G41" s="90">
        <f>G39+G40</f>
        <v/>
      </c>
      <c r="H41" s="90">
        <f>H39+H40</f>
        <v/>
      </c>
      <c r="I41" s="90">
        <f>I39+I40</f>
        <v/>
      </c>
      <c r="J41" s="90">
        <f>J39+J40</f>
        <v/>
      </c>
      <c r="K41" s="90">
        <f>K39+K40</f>
        <v/>
      </c>
      <c r="L41" s="90">
        <f>L39+L40</f>
        <v/>
      </c>
      <c r="M41" s="90">
        <f>M39+M40</f>
        <v/>
      </c>
      <c r="N41" s="90">
        <f>N39+N40</f>
        <v/>
      </c>
      <c r="O41" s="89" t="n"/>
      <c r="P41" s="89" t="n"/>
    </row>
    <row r="42" ht="15" customHeight="1" s="48">
      <c r="A42" s="87" t="inlineStr">
        <is>
          <t>EBITDA</t>
        </is>
      </c>
      <c r="B42" s="90">
        <f>B38+B41</f>
        <v/>
      </c>
      <c r="C42" s="90">
        <f>C38+C41</f>
        <v/>
      </c>
      <c r="D42" s="90">
        <f>D38+D41</f>
        <v/>
      </c>
      <c r="E42" s="90">
        <f>E38+E41</f>
        <v/>
      </c>
      <c r="F42" s="90">
        <f>F38+F41</f>
        <v/>
      </c>
      <c r="G42" s="90">
        <f>G38+G41</f>
        <v/>
      </c>
      <c r="H42" s="90">
        <f>H38+H41</f>
        <v/>
      </c>
      <c r="I42" s="90">
        <f>I38+I41</f>
        <v/>
      </c>
      <c r="J42" s="90">
        <f>J38+J41</f>
        <v/>
      </c>
      <c r="K42" s="90">
        <f>K38+K41</f>
        <v/>
      </c>
      <c r="L42" s="90">
        <f>L38+L41</f>
        <v/>
      </c>
      <c r="M42" s="90">
        <f>M38+M41</f>
        <v/>
      </c>
      <c r="N42" s="90">
        <f>N38+N41</f>
        <v/>
      </c>
      <c r="O42" s="89" t="n"/>
      <c r="P42" s="89" t="n"/>
    </row>
    <row r="43" ht="15" customHeight="1" s="48">
      <c r="B43" s="89" t="n"/>
      <c r="C43" s="89" t="n"/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ht="15" customHeight="1" s="48">
      <c r="A44" s="46" t="inlineStr">
        <is>
          <t>Проверка: EBITDA = EBITDA (CONS) модели</t>
        </is>
      </c>
      <c r="B44" s="89" t="n"/>
      <c r="C44" s="89" t="n"/>
      <c r="D44" s="89" t="n"/>
      <c r="E44" s="89" t="n"/>
      <c r="F44" s="89" t="n"/>
      <c r="G44" s="89" t="n"/>
      <c r="H44" s="89" t="n"/>
      <c r="I44" s="89" t="n"/>
      <c r="J44" s="89" t="n"/>
      <c r="K44" s="89" t="n"/>
      <c r="L44" s="89" t="n"/>
      <c r="M44" s="89" t="n"/>
      <c r="N44" s="89">
        <f>ROUND(N42-499.999546017767,3)</f>
        <v/>
      </c>
      <c r="O44" s="89" t="n"/>
      <c r="P44" s="8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Сырейщиков Александр Александрович</dc:creator>
  <dc:language xmlns:dc="http://purl.org/dc/elements/1.1/">en-US</dc:language>
  <dcterms:created xmlns:dcterms="http://purl.org/dc/terms/" xmlns:xsi="http://www.w3.org/2001/XMLSchema-instance" xsi:type="dcterms:W3CDTF">2026-03-06T07:45:58Z</dcterms:created>
  <dcterms:modified xmlns:dcterms="http://purl.org/dc/terms/" xmlns:xsi="http://www.w3.org/2001/XMLSchema-instance" xsi:type="dcterms:W3CDTF">2026-10-21T13:03:49Z</dcterms:modified>
  <cp:lastModifiedBy>Бабкин Денис Владимирович</cp:lastModifiedBy>
  <cp:revision>0</cp:revision>
</cp:coreProperties>
</file>